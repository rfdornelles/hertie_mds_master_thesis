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table+xml" PartName="/xl/tables/table1.xml"/>
  <Override ContentType="application/vnd.openxmlformats-officedocument.spreadsheetml.table+xml" PartName="/xl/tables/table2.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2"/>
  </bookViews>
  <sheets>
    <sheet r:id="rId1" sheetId="1" name="AplicQuest"/>
    <sheet r:id="rId2" sheetId="2" name="TJSP - Apenas p Complementação"/>
    <sheet r:id="rId3" sheetId="3" name="BD"/>
    <sheet r:id="rId4" sheetId="4" name="Objetivos"/>
    <sheet r:id="rId5" sheetId="5" name="Descritivo"/>
    <sheet r:id="rId6" sheetId="6" name="Panorama (res. por Vara)"/>
  </sheets>
  <definedNames>
    <definedName name="_xlnm._FilterDatabase" localSheetId="0">AplicQuest!$C$2:$C$421</definedName>
    <definedName name="_xlnm._FilterDatabase" localSheetId="2">BD!$A$1:$BS$421</definedName>
    <definedName name="_xlnm.Extract" localSheetId="0">AplicQuest!$C$423</definedName>
  </definedNames>
  <calcPr fullCalcOnLoad="1"/>
</workbook>
</file>

<file path=xl/sharedStrings.xml><?xml version="1.0" encoding="utf-8"?>
<sst xmlns="http://schemas.openxmlformats.org/spreadsheetml/2006/main" count="63099" uniqueCount="10255">
  <si>
    <t>*média calculada desconsiderando os casos em que 0g da droga foram apreendidos</t>
  </si>
  <si>
    <t>*média calculada desconsiderando os casos em que não houve pena</t>
  </si>
  <si>
    <t>Gênero</t>
  </si>
  <si>
    <t>Raça</t>
  </si>
  <si>
    <t>Idade (anos)</t>
  </si>
  <si>
    <t>Maconha (g)</t>
  </si>
  <si>
    <t>Cocaína (g)</t>
  </si>
  <si>
    <t>Crack (g)</t>
  </si>
  <si>
    <t>Ecstasy (g)</t>
  </si>
  <si>
    <t>LSD (g)</t>
  </si>
  <si>
    <t>Outras drogas</t>
  </si>
  <si>
    <t>Sentença</t>
  </si>
  <si>
    <t>Agravantes</t>
  </si>
  <si>
    <t>Atenuantes</t>
  </si>
  <si>
    <t>Aumento</t>
  </si>
  <si>
    <t>4º (tráfico privilegiado)</t>
  </si>
  <si>
    <t>Pena 33 (meses)</t>
  </si>
  <si>
    <t>Pena total (meses)</t>
  </si>
  <si>
    <t>Substituição da pena</t>
  </si>
  <si>
    <t>Regime inicial</t>
  </si>
  <si>
    <t>Vara</t>
  </si>
  <si>
    <t>Qtde Processos</t>
  </si>
  <si>
    <t>Masculino</t>
  </si>
  <si>
    <t>(%)</t>
  </si>
  <si>
    <t>Negros, pardos e outros</t>
  </si>
  <si>
    <t>(média)</t>
  </si>
  <si>
    <t>(n)</t>
  </si>
  <si>
    <t>Condenação por tráfico</t>
  </si>
  <si>
    <t>Confissão</t>
  </si>
  <si>
    <t>Menoridade</t>
  </si>
  <si>
    <t>Adolescente</t>
  </si>
  <si>
    <t>Arma de fogo</t>
  </si>
  <si>
    <t>Interestadual</t>
  </si>
  <si>
    <t>Conc. Form.</t>
  </si>
  <si>
    <t>Estabelecimento</t>
  </si>
  <si>
    <t>Sim</t>
  </si>
  <si>
    <t>Sim (total ou parcial)</t>
  </si>
  <si>
    <t>Fechado</t>
  </si>
  <si>
    <t>1ª Vara Criminal</t>
  </si>
  <si>
    <t>2ª Vara Criminal</t>
  </si>
  <si>
    <t>3ª Vara Criminal</t>
  </si>
  <si>
    <t>4ª Vara Criminal</t>
  </si>
  <si>
    <t>5ª Vara Criminal</t>
  </si>
  <si>
    <t>6ª Vara Criminal</t>
  </si>
  <si>
    <t>7ª Vara Criminal</t>
  </si>
  <si>
    <t>8ª Vara Criminal</t>
  </si>
  <si>
    <t>9ª Vara Criminal</t>
  </si>
  <si>
    <t>10ª Vara Criminal</t>
  </si>
  <si>
    <t>11ª Vara Criminal</t>
  </si>
  <si>
    <t>12ª Vara Criminal</t>
  </si>
  <si>
    <t>13ª Vara Criminal</t>
  </si>
  <si>
    <t>14ª Vara Criminal</t>
  </si>
  <si>
    <t>15ª Vara Criminal</t>
  </si>
  <si>
    <t>16ª Vara Criminal</t>
  </si>
  <si>
    <t>17ª Vara Criminal</t>
  </si>
  <si>
    <t>18ª Vara Criminal</t>
  </si>
  <si>
    <t>19ª Vara Criminal</t>
  </si>
  <si>
    <t>20ª Vara Criminal</t>
  </si>
  <si>
    <t>21ª Vara Criminal</t>
  </si>
  <si>
    <t>22ª Vara Criminal</t>
  </si>
  <si>
    <t>23ª Vara Criminal</t>
  </si>
  <si>
    <t>24ª Vara Criminal</t>
  </si>
  <si>
    <t>25ª Vara Criminal</t>
  </si>
  <si>
    <t>26ª Vara Criminal</t>
  </si>
  <si>
    <t>27ª Vara Criminal</t>
  </si>
  <si>
    <t>28ª Vara Criminal</t>
  </si>
  <si>
    <t>29ª Vara Criminal</t>
  </si>
  <si>
    <t>30ª Vara Criminal</t>
  </si>
  <si>
    <t>31ª Vara Criminal</t>
  </si>
  <si>
    <t>32ª Vara Criminal</t>
  </si>
  <si>
    <t>Qtde processos</t>
  </si>
  <si>
    <t>Data de disponibilização do processo</t>
  </si>
  <si>
    <t>De</t>
  </si>
  <si>
    <t>Até</t>
  </si>
  <si>
    <t>Row Labels</t>
  </si>
  <si>
    <t>Contagem de Juiz</t>
  </si>
  <si>
    <t>Klaus Marouelli Arroyo</t>
  </si>
  <si>
    <t>Carlos Eduardo Lora Franco</t>
  </si>
  <si>
    <t>Antonio de Oliveira Angrisani Filho</t>
  </si>
  <si>
    <t>Roseane Cristina de Aguiar Almeida</t>
  </si>
  <si>
    <t>MARIA PRISCILLA ERNANDES VEIGA OLIVEIRA</t>
  </si>
  <si>
    <t>Paulo Eduardo Balbone Costa</t>
  </si>
  <si>
    <t>Rafael Henrique Janela Tamai Rocha</t>
  </si>
  <si>
    <t>Edison Tetsuzo Namba</t>
  </si>
  <si>
    <t>TERESA DE ALMEIDA RIBEIRO MAGALHAES</t>
  </si>
  <si>
    <t>Helio Narvaez</t>
  </si>
  <si>
    <t>José Roberto Cabral Longaretti</t>
  </si>
  <si>
    <t>Waldir Calciolari</t>
  </si>
  <si>
    <t>Cecilia Pinheiro da Fonseca</t>
  </si>
  <si>
    <t>Carlos José Zulian</t>
  </si>
  <si>
    <t>CRISTINA ESCHER</t>
  </si>
  <si>
    <t>Sônia Nazaré Fernandes Fraga</t>
  </si>
  <si>
    <t>RICHARD FRANCISCO CHEQUINI</t>
  </si>
  <si>
    <t>Marcos Fleury Silveira de Alvarenga</t>
  </si>
  <si>
    <t>Paula Marie Konno</t>
  </si>
  <si>
    <t>Maria Domitila Prado Manssur</t>
  </si>
  <si>
    <t>Eliana Cassales Tosi</t>
  </si>
  <si>
    <t>Carla de Oliveira Pinto Ferrari</t>
  </si>
  <si>
    <t>Érica Aparecida Ribeiro Lopes e Navarro Rodrigues</t>
  </si>
  <si>
    <t>Fátima Vilas Boas Cruz</t>
  </si>
  <si>
    <t>José Fernandes Freitas Neto</t>
  </si>
  <si>
    <t>MARCIO LUCIO FALAVIGNA SAUANDAG</t>
  </si>
  <si>
    <t>Antonio Carlos de Campos Machado Junior</t>
  </si>
  <si>
    <t>Fábio Aguiar Munhoz Soares</t>
  </si>
  <si>
    <t>ALESSANDRA TEIXEIRA MIGUEL</t>
  </si>
  <si>
    <t>Erica Regina Colmenero Coimbra</t>
  </si>
  <si>
    <t>Marcello Ovidio Lopes Guimarães</t>
  </si>
  <si>
    <t>Carlos Alberto Corrêa de Almeida Oliveira</t>
  </si>
  <si>
    <t>Maria Paula Cassone Rossi</t>
  </si>
  <si>
    <t>MARCO ANTONIO MARTIN VARGAS</t>
  </si>
  <si>
    <t>Fernanda Galizia Noriega</t>
  </si>
  <si>
    <t>Marcelo Matias Pereira</t>
  </si>
  <si>
    <t>Giovana Furtado de Oliveira</t>
  </si>
  <si>
    <t>Augusto Antonini</t>
  </si>
  <si>
    <t>VICENTE LUIZ ADUA</t>
  </si>
  <si>
    <t>Ana Lucia Fernandes Queiroga</t>
  </si>
  <si>
    <t>Patrícia Álvares Cruz</t>
  </si>
  <si>
    <t>Maria Cecília Leone</t>
  </si>
  <si>
    <t>Isaura Cristina Barreira</t>
  </si>
  <si>
    <t>LEYLA MARIA DA SILVA LACAZ</t>
  </si>
  <si>
    <t>Izabel Irlanda Castro Correia Araújo</t>
  </si>
  <si>
    <t>Tamara Priscila Tocci</t>
  </si>
  <si>
    <t>Carlos Eduardo Oliveira de Alencar</t>
  </si>
  <si>
    <t>Renata William Rached Catelli</t>
  </si>
  <si>
    <t>Luciane Jabur Mouchaloite Figueiredo</t>
  </si>
  <si>
    <t>Fernando Cesar Carrari</t>
  </si>
  <si>
    <t>Vivian Brenner De Oliveira</t>
  </si>
  <si>
    <t>Cynthia Torres Cristofaro</t>
  </si>
  <si>
    <t>Marcos Alexandre Coelho Zilli</t>
  </si>
  <si>
    <t>Daniela Martins de Castro Mariani Cavallanti</t>
  </si>
  <si>
    <t>Claudia Carneiro Calbucci Renaux</t>
  </si>
  <si>
    <t>Erika Soares de Azevedo Mascarenhas</t>
  </si>
  <si>
    <t>Cristina Ribeiro Leite Balbone Costa</t>
  </si>
  <si>
    <t>Tatiana Vieira Guerra</t>
  </si>
  <si>
    <t>MARIO RUBENS ASSUMPCAO FILHO</t>
  </si>
  <si>
    <t>Nelson Becker</t>
  </si>
  <si>
    <t>Wendell Lopes Barbosa de Souza</t>
  </si>
  <si>
    <t>Adriana Costa</t>
  </si>
  <si>
    <t>Júlio Alexandre Felix de Faria</t>
  </si>
  <si>
    <t>Rodrigo Cesar Muller Valente</t>
  </si>
  <si>
    <t>Marcela Dias De Abreu Pinto Coelho</t>
  </si>
  <si>
    <t>Tatiana Saes Valverde Ormeleze</t>
  </si>
  <si>
    <t>Pedro Luiz Fernandes Nery Rafael</t>
  </si>
  <si>
    <t>Rejane Rodrigues Lage</t>
  </si>
  <si>
    <t>Lizianne Marques Curto</t>
  </si>
  <si>
    <t>ANA CAROLINA MUNHOZ DE ALMEIDA</t>
  </si>
  <si>
    <t>Erasmo Samuel Tozetto</t>
  </si>
  <si>
    <t>Cynthia Maria Sabino Bezerra Camurri</t>
  </si>
  <si>
    <t>FERNANDA ALVES DA ROCHA BRANCO DE OLIVA POLITI</t>
  </si>
  <si>
    <t>Daiane Saladini Monari</t>
  </si>
  <si>
    <t>Celina Maria Macedo Stern</t>
  </si>
  <si>
    <t>ANDRE LUIZ DA SILVA DA CUNHA</t>
  </si>
  <si>
    <t>Simone Candida Lucas Marcondes</t>
  </si>
  <si>
    <t>Juliana Guelfi</t>
  </si>
  <si>
    <t>Grand Total</t>
  </si>
  <si>
    <t>Contagem de Vara</t>
  </si>
  <si>
    <t>Qtde réus</t>
  </si>
  <si>
    <t>Contagem de Local</t>
  </si>
  <si>
    <t>Via Pública</t>
  </si>
  <si>
    <t>Residência</t>
  </si>
  <si>
    <t>Favela - Viela</t>
  </si>
  <si>
    <t>Restaurante e afins</t>
  </si>
  <si>
    <t>Comércio e serviços</t>
  </si>
  <si>
    <t>Área não ocupada</t>
  </si>
  <si>
    <t>Terminal/Estação</t>
  </si>
  <si>
    <t>Invasão/Ocupação</t>
  </si>
  <si>
    <t>Repartição Pública</t>
  </si>
  <si>
    <t>Estádio</t>
  </si>
  <si>
    <t>Contagem de Sexo</t>
  </si>
  <si>
    <t>Qtde</t>
  </si>
  <si>
    <t>Feminino</t>
  </si>
  <si>
    <t>Total</t>
  </si>
  <si>
    <t>Count of ID</t>
  </si>
  <si>
    <t>Gênero do Juiz</t>
  </si>
  <si>
    <t>Contagem de Cutis</t>
  </si>
  <si>
    <t>Parda</t>
  </si>
  <si>
    <t>Branca</t>
  </si>
  <si>
    <t>Preta</t>
  </si>
  <si>
    <t>Outros</t>
  </si>
  <si>
    <t>Amarela</t>
  </si>
  <si>
    <t>Count of Cutis (agrup)</t>
  </si>
  <si>
    <t>Raça (agrupado)</t>
  </si>
  <si>
    <t>Branco e amarelo</t>
  </si>
  <si>
    <t>Count of Idade</t>
  </si>
  <si>
    <t>Average of Idade2</t>
  </si>
  <si>
    <t>Min of Idade2</t>
  </si>
  <si>
    <t>Max of Idade2</t>
  </si>
  <si>
    <t>StdDev of Idade2</t>
  </si>
  <si>
    <t>Variável</t>
  </si>
  <si>
    <t>Qtde dados válidos</t>
  </si>
  <si>
    <t>Média</t>
  </si>
  <si>
    <t>Mínimo</t>
  </si>
  <si>
    <t>Máximo</t>
  </si>
  <si>
    <t>Desvio Padrão</t>
  </si>
  <si>
    <t>Idade</t>
  </si>
  <si>
    <t>Contagem de Sentença</t>
  </si>
  <si>
    <t>Tipo de sentença</t>
  </si>
  <si>
    <t>Procedente</t>
  </si>
  <si>
    <t>Parcialmente procedente</t>
  </si>
  <si>
    <t>Absolvição</t>
  </si>
  <si>
    <t>Desclassificação</t>
  </si>
  <si>
    <t>Count of Sentença (agrup)</t>
  </si>
  <si>
    <t>Tipo de sentença (agrup)</t>
  </si>
  <si>
    <t>Sem Condenação por tráfico</t>
  </si>
  <si>
    <t>Contagem de Agravantes33</t>
  </si>
  <si>
    <t>Agravante</t>
  </si>
  <si>
    <t>Não</t>
  </si>
  <si>
    <t>Reincidência</t>
  </si>
  <si>
    <t>NA</t>
  </si>
  <si>
    <t>Count of Agravantes33 (agrup)</t>
  </si>
  <si>
    <t>Agravante (agrupado)</t>
  </si>
  <si>
    <t>Contagem de Atenuantes33</t>
  </si>
  <si>
    <t>Confissão. Menoridade</t>
  </si>
  <si>
    <t>Atenuante</t>
  </si>
  <si>
    <t>Nenhum</t>
  </si>
  <si>
    <t>Count of Atenuantes33 (agrup)</t>
  </si>
  <si>
    <t>Atenuante (agrupado)</t>
  </si>
  <si>
    <t>Contagem de Aumento33</t>
  </si>
  <si>
    <t>ConcForm</t>
  </si>
  <si>
    <t>Adolescente. Arma de fogo</t>
  </si>
  <si>
    <t>Adolescente. Interestadual</t>
  </si>
  <si>
    <t>Count of Aumento33 (agrup)</t>
  </si>
  <si>
    <t>Aumento (agrupado)</t>
  </si>
  <si>
    <t>Contagem de Substituição da pena</t>
  </si>
  <si>
    <t>Substituição de pena</t>
  </si>
  <si>
    <t>Contagem de Regime inicial</t>
  </si>
  <si>
    <t>Regime inicial de cumprimento de pena</t>
  </si>
  <si>
    <t xml:space="preserve">Fechado </t>
  </si>
  <si>
    <t>Semiaberto</t>
  </si>
  <si>
    <t>Aberto</t>
  </si>
  <si>
    <t>Count of Regime inicial (agrupado)</t>
  </si>
  <si>
    <t>Regime inicial de cumprimento de pena (agrupado)</t>
  </si>
  <si>
    <t>NA (Pena Total &gt; 8)</t>
  </si>
  <si>
    <t>Count of Sentença</t>
  </si>
  <si>
    <t>Count of §4º</t>
  </si>
  <si>
    <t>4º - tráfico privilegiado</t>
  </si>
  <si>
    <t>Sim total</t>
  </si>
  <si>
    <t>Sim parcial</t>
  </si>
  <si>
    <t>Não cabimento</t>
  </si>
  <si>
    <t>Count of §4º (agrupado)</t>
  </si>
  <si>
    <t>4º - tráfico privilegiado (agrupado)</t>
  </si>
  <si>
    <t>Não cabimento / Não informado</t>
  </si>
  <si>
    <t>Count of TotPen (meses)</t>
  </si>
  <si>
    <t>Average of TotPen (meses)2</t>
  </si>
  <si>
    <t>Min of TotPen (meses)2</t>
  </si>
  <si>
    <t>Max of TotPen (meses)2</t>
  </si>
  <si>
    <t>StdDev of TotPen (meses)2</t>
  </si>
  <si>
    <t>Tempo total da pena (meses)</t>
  </si>
  <si>
    <t>* incluindo Absolvição / Desclassificação</t>
  </si>
  <si>
    <t>TotPen (meses)</t>
  </si>
  <si>
    <t>(Multiple Items)</t>
  </si>
  <si>
    <t>* desconsiderando Absolvição / Desclassificação</t>
  </si>
  <si>
    <t>Count of Pena33 (meses)</t>
  </si>
  <si>
    <t>Average of Pena33 (meses)2</t>
  </si>
  <si>
    <t>Min of Pena33 (meses)2</t>
  </si>
  <si>
    <t>Max of Pena33 (meses)2</t>
  </si>
  <si>
    <t>StdDev of Pena33 (meses)2</t>
  </si>
  <si>
    <t>Tempo total da pena pela aplicação de art.33 (meses)</t>
  </si>
  <si>
    <t>* incluindo sem aplicação do Art. 33</t>
  </si>
  <si>
    <t>Pena33 (meses)</t>
  </si>
  <si>
    <t>* excluindo sem aplicação do Art. 33</t>
  </si>
  <si>
    <t>Count of Maconha (g)</t>
  </si>
  <si>
    <t>Average of Maconha (g)2</t>
  </si>
  <si>
    <t>Min of Maconha (g)2</t>
  </si>
  <si>
    <t>Max of Maconha (g)2</t>
  </si>
  <si>
    <t>StdDev of Maconha (g)2</t>
  </si>
  <si>
    <t>* incluindo casos sem apreensão</t>
  </si>
  <si>
    <t>* excluindo casos sem apreensão</t>
  </si>
  <si>
    <t>Count of Cocaína (g)</t>
  </si>
  <si>
    <t>Average of Cocaína (g)2</t>
  </si>
  <si>
    <t>Min of Cocaína (g)2</t>
  </si>
  <si>
    <t>Max of Cocaína (g)2</t>
  </si>
  <si>
    <t>Count of Cocaína (g)2</t>
  </si>
  <si>
    <t>Count of Crack (g)</t>
  </si>
  <si>
    <t>Average of Crack (g)2</t>
  </si>
  <si>
    <t>Min of Crack (g)2</t>
  </si>
  <si>
    <t>Max of Crack (g)2</t>
  </si>
  <si>
    <t>StdDev of Crack (g)2</t>
  </si>
  <si>
    <t>Count of Ecstasy (g)</t>
  </si>
  <si>
    <t>Average of Ecstasy (g)2</t>
  </si>
  <si>
    <t>Min of Ecstasy (g)2</t>
  </si>
  <si>
    <t>Max of Ecstasy (g)2</t>
  </si>
  <si>
    <t>StdDev of Ecstasy (g)2</t>
  </si>
  <si>
    <t>Count of LSD (g)</t>
  </si>
  <si>
    <t>Average of LSD (g)2</t>
  </si>
  <si>
    <t>Min of LSD (g)2</t>
  </si>
  <si>
    <t>Max of LSD (g)2</t>
  </si>
  <si>
    <t>StdDev of LSD (g)2</t>
  </si>
  <si>
    <t>Anabolizantes</t>
  </si>
  <si>
    <t>Anorexígenos</t>
  </si>
  <si>
    <t>Haxixe</t>
  </si>
  <si>
    <t>Skank</t>
  </si>
  <si>
    <t>Lança-perfume</t>
  </si>
  <si>
    <t>Tolueno</t>
  </si>
  <si>
    <r>
      <t xml:space="preserve">1. Título provisório: </t>
    </r>
    <r>
      <rPr>
        <sz val="11"/>
        <color rgb="FF000000"/>
        <rFont val="Calibri"/>
        <family val="2"/>
        <scheme val="minor"/>
      </rPr>
      <t>Gênero e Raça no Sentenciamento de Tráfico de Drogas na cidade de São Paulo.</t>
    </r>
  </si>
  <si>
    <r>
      <t xml:space="preserve">2. Tema de pesquisa: </t>
    </r>
    <r>
      <rPr>
        <sz val="11"/>
        <color rgb="FF000000"/>
        <rFont val="Calibri"/>
        <family val="2"/>
        <scheme val="minor"/>
      </rPr>
      <t>Disparidades no sentenciamento decorrente de fatores extralegais, baseados em estereótipos criminais de gênero e raça, incutidos no imaginário dos/as operadores do sistema de justiça.</t>
    </r>
  </si>
  <si>
    <r>
      <t xml:space="preserve">3. Objetivo: </t>
    </r>
    <r>
      <rPr>
        <sz val="11"/>
        <color rgb="FF000000"/>
        <rFont val="Calibri"/>
        <family val="2"/>
        <scheme val="minor"/>
      </rPr>
      <t>O objetivo é descobrir se gênero e raça são variáveis fortemente correlacionadas com a severidade da sentença dos crimes de tráfico, mesmo controlados os fatores esperados e previstos legalmente.</t>
    </r>
  </si>
  <si>
    <t>4. Questões de pesquisa:</t>
  </si>
  <si>
    <t>(i) Há disparidade de gênero e raça, pensados em grupos etários, (individual e conjuntamente consideradas) nas decisões judiciais de (1) tipo de sentença; (2) aplicação de tráfico privilegiado; (3) substituição da pena; (4) regime inicial de cumprimento da pena; (5) quantidade da pena restritiva de liberdade aplicada para o art. 33; e (6) quantidade da pena restritiva de liberdade total?</t>
  </si>
  <si>
    <t>(ii) Há disparidade de gênero e raça, pensados em grupos etários, (individual e conjuntamente consideradas) nessas decisões judiciais associada à Vara Criminal?</t>
  </si>
  <si>
    <t>(iii) Há disparidade de gênero e raça, pensados em grupos etários, do réu (individual e conjuntamente consideradas) nessas decisões judiciais associada ao juiz sentenciante?</t>
  </si>
  <si>
    <t>(iv) Há essas disparidades nas referidas decisões judiciais quando os fatores legais (quantidade da droga, natureza da droga, variedade, personalidade, conduta, consequências, antecedentes, reincidência, agravantes, atenuantes, aumento, §4º, etc) são levados em consideração?</t>
  </si>
  <si>
    <t xml:space="preserve">5. Hipóteses: </t>
  </si>
  <si>
    <t>i) Os fatores legais serão preponderantes para as decisões de encarceramento e quantidade de pena aplicada.</t>
  </si>
  <si>
    <t>ii) Haverá interação entre gênero e raça tal que mulheres serão menos propensas a ser encarceradas e receberão sentenças menores do que os homens em cada grupo racial. Além disso, as diferenças entre homens e mulheres serão maiores para pessoas negras do que para brancas.</t>
  </si>
  <si>
    <t>iii) Haverá diferenças entre os grupos raciais por gênero tal que homens brancos terão menor probabilidade de ser encarcerados e receberão sentenças menores do que os negros. Isso também será verdade para mulheres, com brancas possuindo menor probabilidade de ser encarceradas e menores sentenças do que as negras.</t>
  </si>
  <si>
    <t>iv) Haverá interação entre idade e sentenciamento, em todos os grupos de raça e gênero, tal que os mais jovens, que não constituem a hipótese de menoridade relativa (até 21 anos), terão maior probabilidade de ser encarcerados e receber maiores penas, sendo esse efeito maior para pessoas negras.</t>
  </si>
  <si>
    <t>v) Mesmo os fatores legais serão analisados de forma distinta a depender da raça, gênero e idade dos/as réus/rés, com construção de figuras jurídicas pretensamente neutras para aumentar a pena de homens jovens negros: tais como dedicação às atividades criminosas, personalidade, habitualidade, quantidade, local conhecido como ponto de tráfico, natureza da droga, entre outras.</t>
  </si>
  <si>
    <t>vi) Determinadas varas ou juízes apresentarão efeitos mais ou menos pronunciados de disparidades de gênero, raça e idade no sentenciamento por tráfico de drogas.</t>
  </si>
  <si>
    <t>ID</t>
  </si>
  <si>
    <t>Processo</t>
  </si>
  <si>
    <t>Processo (cont)</t>
  </si>
  <si>
    <t>DtDisp</t>
  </si>
  <si>
    <t>Juiz</t>
  </si>
  <si>
    <t>Sexo Juiz</t>
  </si>
  <si>
    <t>Nome</t>
  </si>
  <si>
    <t>Nome (cont)</t>
  </si>
  <si>
    <t>Local</t>
  </si>
  <si>
    <t>Sexo</t>
  </si>
  <si>
    <t>DN</t>
  </si>
  <si>
    <t>Cutis</t>
  </si>
  <si>
    <t>Cutis (agrup)</t>
  </si>
  <si>
    <t>Cabelo</t>
  </si>
  <si>
    <t>Objetos</t>
  </si>
  <si>
    <t>Maconha</t>
  </si>
  <si>
    <t>Cocaína</t>
  </si>
  <si>
    <t>Crack</t>
  </si>
  <si>
    <t>Ecstasy</t>
  </si>
  <si>
    <t>LSD</t>
  </si>
  <si>
    <t>Outras</t>
  </si>
  <si>
    <t>DenDrog</t>
  </si>
  <si>
    <t>DenOutros</t>
  </si>
  <si>
    <t>Aspectos</t>
  </si>
  <si>
    <t>Sentença (agrup)</t>
  </si>
  <si>
    <t>ResDrogas</t>
  </si>
  <si>
    <t>ResOutros</t>
  </si>
  <si>
    <t>AvalNegPB</t>
  </si>
  <si>
    <t>PenaBase</t>
  </si>
  <si>
    <t>Agravantes33</t>
  </si>
  <si>
    <t>Agravantes33 (agrup)</t>
  </si>
  <si>
    <t>Atenuantes33</t>
  </si>
  <si>
    <t>Atenuantes33 (agrup)</t>
  </si>
  <si>
    <t>Aumento33</t>
  </si>
  <si>
    <t>Aumento33 (agrup)</t>
  </si>
  <si>
    <t>§4º</t>
  </si>
  <si>
    <t>§4º (agrupado)</t>
  </si>
  <si>
    <t>Pena33</t>
  </si>
  <si>
    <t>PenaDrogas</t>
  </si>
  <si>
    <t>PenaOutros</t>
  </si>
  <si>
    <t>TotPen</t>
  </si>
  <si>
    <t>Regime inicial (agrupado)</t>
  </si>
  <si>
    <t>00316684320178260050</t>
  </si>
  <si>
    <t>08/06/2017</t>
  </si>
  <si>
    <t>Milton Teixeira da Silva</t>
  </si>
  <si>
    <t>Carapinha</t>
  </si>
  <si>
    <t>Bolsa</t>
  </si>
  <si>
    <t>3 pacotes. 1971,3 g</t>
  </si>
  <si>
    <t>Art. 33</t>
  </si>
  <si>
    <t>Preso no momento da sentença</t>
  </si>
  <si>
    <t>Sim. Antecedentes. Natureza. Quantidade</t>
  </si>
  <si>
    <t>8a</t>
  </si>
  <si>
    <t>10a</t>
  </si>
  <si>
    <t>00126324020168260635</t>
  </si>
  <si>
    <t>17/03/2017</t>
  </si>
  <si>
    <t>Gabriel Pereira Araújo</t>
  </si>
  <si>
    <t>Não disponível</t>
  </si>
  <si>
    <t>Nada</t>
  </si>
  <si>
    <t>80 porções. 148,5 g</t>
  </si>
  <si>
    <t>57 porções. 36,6 g</t>
  </si>
  <si>
    <t>7 porções. 1,1 g</t>
  </si>
  <si>
    <t>Haxixe. 37 porções. 9,9 g. Skank. 1 porção. 0,9 g</t>
  </si>
  <si>
    <t>Art. 33. Art. 35</t>
  </si>
  <si>
    <t>Art. 244-B ECA</t>
  </si>
  <si>
    <t>Local de tráfico. Preso no momento da sentença</t>
  </si>
  <si>
    <t>Sim. Natureza. Quantidade. Variedade</t>
  </si>
  <si>
    <t>7a</t>
  </si>
  <si>
    <t>10a 2m 15d</t>
  </si>
  <si>
    <t>00818385320168260050</t>
  </si>
  <si>
    <t>24/01/2017</t>
  </si>
  <si>
    <t>JORGE ELIEL PEREIRA DE CASTRO</t>
  </si>
  <si>
    <t>Estojo. Dinheiro R$ 20,00</t>
  </si>
  <si>
    <t>35 porções. 56 g</t>
  </si>
  <si>
    <t>43 porções. 15,5 g</t>
  </si>
  <si>
    <t>95 porções. 22,6 g</t>
  </si>
  <si>
    <t>Preso no momento da sentença. Denúncia</t>
  </si>
  <si>
    <t>Sim. Conduta. Quantidade</t>
  </si>
  <si>
    <t>6a</t>
  </si>
  <si>
    <t>10a 6m</t>
  </si>
  <si>
    <t>00973992020168260050</t>
  </si>
  <si>
    <t>19/05/2017</t>
  </si>
  <si>
    <t>RODOLFO FEITOSA DE PAULA</t>
  </si>
  <si>
    <t>Sacola. Caderno</t>
  </si>
  <si>
    <t>1639 porções. 2530 g</t>
  </si>
  <si>
    <t>1816 porções. 1980 g</t>
  </si>
  <si>
    <t>3700 porções. 858 g</t>
  </si>
  <si>
    <t>Confissão informal. Preso no momento da sentença. Investigação</t>
  </si>
  <si>
    <t>Sim. Antecedentes. Natureza. Quantidade. Variedade</t>
  </si>
  <si>
    <t>9a 8m 20d</t>
  </si>
  <si>
    <t>10a 9m 19d</t>
  </si>
  <si>
    <t>00055277520178260635</t>
  </si>
  <si>
    <t>12/09/2017</t>
  </si>
  <si>
    <t>CLAUDIO WASHINGTON MENDES DA SILVA</t>
  </si>
  <si>
    <t>Celular. Dinheiro R$ 15000,00</t>
  </si>
  <si>
    <t>65 pacotes. 3334,6 g</t>
  </si>
  <si>
    <t>Art. 333 CP</t>
  </si>
  <si>
    <t>Confissão informal. Preso no momento da sentença</t>
  </si>
  <si>
    <t>Sim. Quantidade</t>
  </si>
  <si>
    <t>11a 2m 12d</t>
  </si>
  <si>
    <t>00269673920178260050</t>
  </si>
  <si>
    <t>11/07/2017</t>
  </si>
  <si>
    <t xml:space="preserve">LUIZ CARLOS FELIX DE SOUZA </t>
  </si>
  <si>
    <t>Veículo. Balança. Papéis</t>
  </si>
  <si>
    <t>1 tijolo. 515,68 g</t>
  </si>
  <si>
    <t>8 porções. 11 g</t>
  </si>
  <si>
    <t>42 porções. 8,5 g</t>
  </si>
  <si>
    <t>Investigação. Preso no momento da sentença</t>
  </si>
  <si>
    <t>12a 6m</t>
  </si>
  <si>
    <t>00970683820168260050</t>
  </si>
  <si>
    <t>08/02/2017</t>
  </si>
  <si>
    <t>MARIA CRISTINA DA SILVA</t>
  </si>
  <si>
    <t>Bolsa. Dinheiro R$ 41,30</t>
  </si>
  <si>
    <t>51 porções. 12,5 g</t>
  </si>
  <si>
    <t>Preso no momento da sentença. Local de tráfico. Atitude suspeita</t>
  </si>
  <si>
    <t>Sim. Antecedentes. Natureza</t>
  </si>
  <si>
    <t>11a 8m</t>
  </si>
  <si>
    <t>15a</t>
  </si>
  <si>
    <t>00554602620178260050</t>
  </si>
  <si>
    <t>05/12/2017</t>
  </si>
  <si>
    <t>JONATHAN HENRIQUE DO NASCIMENTO</t>
  </si>
  <si>
    <t>Dinheiro R$ 55,00</t>
  </si>
  <si>
    <t>Local de tráfico</t>
  </si>
  <si>
    <t>Sim. Variedade</t>
  </si>
  <si>
    <t xml:space="preserve">5a 10m </t>
  </si>
  <si>
    <t>1a 11m 10d</t>
  </si>
  <si>
    <t>00663684520178260050</t>
  </si>
  <si>
    <t>09/10/2017</t>
  </si>
  <si>
    <t>ICARO VITOR PEREIRA DE JESUS</t>
  </si>
  <si>
    <t>Estojo. Celular. Dinheiro R$ 15,00</t>
  </si>
  <si>
    <t>15 porções. 29 g</t>
  </si>
  <si>
    <t>11  porções. 13,2 g</t>
  </si>
  <si>
    <t>Confissão informal. Confissão. Local de tráfico</t>
  </si>
  <si>
    <t>5a</t>
  </si>
  <si>
    <t>00583559120168260050</t>
  </si>
  <si>
    <t>01/03/2017</t>
  </si>
  <si>
    <t xml:space="preserve">THAIS HONDA SILVA </t>
  </si>
  <si>
    <t>Celular</t>
  </si>
  <si>
    <t>7 porções. 2,6 g</t>
  </si>
  <si>
    <t>Local de tráfico. Denúncia anônima</t>
  </si>
  <si>
    <t>00763926920168260050</t>
  </si>
  <si>
    <t>30/05/2017</t>
  </si>
  <si>
    <t>EVERTON GOMES TIMOTEO</t>
  </si>
  <si>
    <t>Celular. Dinheiro R$ 80,00</t>
  </si>
  <si>
    <t>60 porções. 108,2 g</t>
  </si>
  <si>
    <t>78 porções. 63,8 g</t>
  </si>
  <si>
    <t>Lança-perfume. 8 frascos. 44 ml</t>
  </si>
  <si>
    <t>Preso no momento da sentença. Confissão informal</t>
  </si>
  <si>
    <t>01036245620168260050</t>
  </si>
  <si>
    <t>04/08/2017</t>
  </si>
  <si>
    <t>FLÁVIO COUTINHO GOMES</t>
  </si>
  <si>
    <t>Dinheiro R$ 9,00</t>
  </si>
  <si>
    <t>9 porções. 36,1 g</t>
  </si>
  <si>
    <t>9 porções. 6,8 g</t>
  </si>
  <si>
    <t>00292905120168260050</t>
  </si>
  <si>
    <t>MARILENE PINHEIRO DA ROCHA</t>
  </si>
  <si>
    <t>Liso</t>
  </si>
  <si>
    <t>Chinelo</t>
  </si>
  <si>
    <t>1 porção. 25,2 g</t>
  </si>
  <si>
    <t>18 porções. 7 g</t>
  </si>
  <si>
    <t>Revista Vexatória. Confissão informal</t>
  </si>
  <si>
    <t>Parcialmente Procedente</t>
  </si>
  <si>
    <t>00607505620168260050</t>
  </si>
  <si>
    <t>WILLEN ALVES RIBEIRO</t>
  </si>
  <si>
    <t>Dinheiro R$ 39,00</t>
  </si>
  <si>
    <t>19 porções. 24,3 g</t>
  </si>
  <si>
    <t>27 porções. 37,5 g</t>
  </si>
  <si>
    <t>20 porções. 20,5 g</t>
  </si>
  <si>
    <t>Preso no momento da sentença. Local de tráfico</t>
  </si>
  <si>
    <t>00945836520168260050</t>
  </si>
  <si>
    <t>20/03/2017</t>
  </si>
  <si>
    <t xml:space="preserve">MULLER DA SILVA BORGES  </t>
  </si>
  <si>
    <t>Dinheiro R$ 280,00</t>
  </si>
  <si>
    <t>11 porções. 15,5 g</t>
  </si>
  <si>
    <t>71 porções. 45,6 g</t>
  </si>
  <si>
    <t xml:space="preserve">25 porções. 4,3 g </t>
  </si>
  <si>
    <t>Lança-perfume. 5 frascos. 32,5 ml</t>
  </si>
  <si>
    <t>Atitude suspeita. Preso no momento da sentença</t>
  </si>
  <si>
    <t>00493201020168260050</t>
  </si>
  <si>
    <t>03/04/2017</t>
  </si>
  <si>
    <t>WESLEY DA SILVA COELHO</t>
  </si>
  <si>
    <t>520 porções. 1635 g</t>
  </si>
  <si>
    <t>147 porções. 94,1 g</t>
  </si>
  <si>
    <t>496 porções. 215,4 g</t>
  </si>
  <si>
    <t>5a 10m</t>
  </si>
  <si>
    <t>00770379420168260050</t>
  </si>
  <si>
    <t>27/09/2017</t>
  </si>
  <si>
    <t>ERICK SANTOS DE SOUZA</t>
  </si>
  <si>
    <t>Dinheiro R$ 200,00</t>
  </si>
  <si>
    <t>1a 8m</t>
  </si>
  <si>
    <t>00125146420168260635</t>
  </si>
  <si>
    <t>01/08/2017</t>
  </si>
  <si>
    <t>ALYSSON MARQUES DUTRA</t>
  </si>
  <si>
    <t>Caderno</t>
  </si>
  <si>
    <t>1 sacola. 842,4 g</t>
  </si>
  <si>
    <t>Preso no momento da sentença. Atitude suspeita</t>
  </si>
  <si>
    <t>00447582120178260050</t>
  </si>
  <si>
    <t>09/08/2017</t>
  </si>
  <si>
    <t>ISRAEL APARECIDO BALTAZAR</t>
  </si>
  <si>
    <t>Dinheiro R$ 30,00</t>
  </si>
  <si>
    <t>10 porções. 17,6 g</t>
  </si>
  <si>
    <t>00885193920168260050</t>
  </si>
  <si>
    <t xml:space="preserve">GERSON DE JESUS SIMOES </t>
  </si>
  <si>
    <t>Dinheiro R$ 40,00</t>
  </si>
  <si>
    <t>16 porções. 64,3 g</t>
  </si>
  <si>
    <t xml:space="preserve">Confissão informal </t>
  </si>
  <si>
    <t>00316927120178260050</t>
  </si>
  <si>
    <t>17/08/2017</t>
  </si>
  <si>
    <t>DANIEL ALESSANDRO BEZERRA</t>
  </si>
  <si>
    <t>Encaracolado</t>
  </si>
  <si>
    <t>Dinheiro R$ 90,00</t>
  </si>
  <si>
    <t>17 porções. 66,4 g</t>
  </si>
  <si>
    <t>Local de tráfico. Confissão informal</t>
  </si>
  <si>
    <t>00216280220178260050</t>
  </si>
  <si>
    <t>23/05/2017</t>
  </si>
  <si>
    <t>ANTONIO RODRIGUES DE LIMA</t>
  </si>
  <si>
    <t>Coldre. Arma de fogo. Munição. Caderno. Dinheiro R$ 15938,35</t>
  </si>
  <si>
    <t>201 porções. 3 tijolos. 728,2 g (total)</t>
  </si>
  <si>
    <t>Art. 16 L10826</t>
  </si>
  <si>
    <t>Art. 16 L10826 (4 vezes)</t>
  </si>
  <si>
    <t>12a</t>
  </si>
  <si>
    <t>13a 8m</t>
  </si>
  <si>
    <t>00810028020168260050</t>
  </si>
  <si>
    <t>03/08/2017</t>
  </si>
  <si>
    <t xml:space="preserve">FRANCISCO ANDERSON DA SILVA </t>
  </si>
  <si>
    <t>Dinheiro R$ 92,00</t>
  </si>
  <si>
    <t>27 porções. 47,7 g</t>
  </si>
  <si>
    <t>Local de tráfico. Confissão</t>
  </si>
  <si>
    <t>00025180820178260635</t>
  </si>
  <si>
    <t>JUNIOR EDOGHOTU</t>
  </si>
  <si>
    <t>Dinheiro R$ 159,75</t>
  </si>
  <si>
    <t>29 porções. 86,1 g</t>
  </si>
  <si>
    <t>Nacionalidade. Preso no momento da sentença. Local de tráfico</t>
  </si>
  <si>
    <t>00717920520168260050</t>
  </si>
  <si>
    <t>26/05/2017</t>
  </si>
  <si>
    <t>EMERSON  APARECIDO CIPRIANO DE BRITO</t>
  </si>
  <si>
    <t>32 porções. 51,7 g</t>
  </si>
  <si>
    <t>00011202620178260635</t>
  </si>
  <si>
    <t>IAGO FERREIRA LOBO</t>
  </si>
  <si>
    <t>Dinheiro R$ 10,00</t>
  </si>
  <si>
    <t>4 porções. 8,5 g</t>
  </si>
  <si>
    <t>Local de tráfico. Confissão informal. Confissão. Preso no momento da sentença. Denúncia</t>
  </si>
  <si>
    <t>00265875020168260050</t>
  </si>
  <si>
    <t>26/10/2017</t>
  </si>
  <si>
    <t>TIAGO ALVES DA SILVA SANTOS</t>
  </si>
  <si>
    <t>Lata. Celular. Dinheiro R$ 20,00</t>
  </si>
  <si>
    <t>40 g</t>
  </si>
  <si>
    <t>Não há</t>
  </si>
  <si>
    <t>00064847620178260635</t>
  </si>
  <si>
    <t>19/10/2017</t>
  </si>
  <si>
    <t xml:space="preserve">ALEANDRO SANTOS DE MELO </t>
  </si>
  <si>
    <t>Veículo</t>
  </si>
  <si>
    <t>44 porções. 150 g</t>
  </si>
  <si>
    <t>Confissão. Denúncia</t>
  </si>
  <si>
    <t xml:space="preserve">Não </t>
  </si>
  <si>
    <t>GILSON DE SOUZA MARTINS</t>
  </si>
  <si>
    <t>00275320320178260050</t>
  </si>
  <si>
    <t>28/08/2017</t>
  </si>
  <si>
    <t xml:space="preserve">GUSTAVO ALVES </t>
  </si>
  <si>
    <t>Veículo. Dichavador. Balança. Celular. Pote. Dinheiro R$ 462,00</t>
  </si>
  <si>
    <t>44 porções. 2 tijolos. 1034,7 g (total)</t>
  </si>
  <si>
    <t>LARISSA EVELYN PEREIA SIQUEIRA</t>
  </si>
  <si>
    <t>00193936220178260050</t>
  </si>
  <si>
    <t>05/09/2017</t>
  </si>
  <si>
    <t>UELDER SACRAMENTO SANTOS</t>
  </si>
  <si>
    <t>Dinheiro R$ 69,00</t>
  </si>
  <si>
    <t>6 porções. 21,1 g</t>
  </si>
  <si>
    <t>Denúncia</t>
  </si>
  <si>
    <t>00022793820168260635</t>
  </si>
  <si>
    <t>08/05/2017</t>
  </si>
  <si>
    <t>JOHN GWAKZING</t>
  </si>
  <si>
    <t>Dinheiro R$ 70,00</t>
  </si>
  <si>
    <t>8 porções. 18,3 g</t>
  </si>
  <si>
    <t>Nacionalidade. Local de tráfico</t>
  </si>
  <si>
    <t>00129087120168260635</t>
  </si>
  <si>
    <t xml:space="preserve">MAYARA MARCELINO SANTA RITA </t>
  </si>
  <si>
    <t>Bolsa. Celular. Dinheiro R$ 73,00</t>
  </si>
  <si>
    <t>86 porções. 106,1 g</t>
  </si>
  <si>
    <t>00959450520168260050</t>
  </si>
  <si>
    <t>CAIQUE MATIAS DOS SANTOS</t>
  </si>
  <si>
    <t>10 porções. 7,3 g</t>
  </si>
  <si>
    <t>00356275620168260050</t>
  </si>
  <si>
    <t>29/03/2017</t>
  </si>
  <si>
    <t>LUIZ HENRIQUE DE OLIVEIRA ALMEIDA</t>
  </si>
  <si>
    <t>Estojo. Dinheiro R$ 63,00</t>
  </si>
  <si>
    <t>109 porções. 44,3 g</t>
  </si>
  <si>
    <t>Local de tráfico. Confissão informal. Confissão</t>
  </si>
  <si>
    <t>MELISSA FERNANDES OLIVEIRA PEREIRA</t>
  </si>
  <si>
    <t>00118000720168260635</t>
  </si>
  <si>
    <t>03/07/2017</t>
  </si>
  <si>
    <t>DAVID RIBEIRO</t>
  </si>
  <si>
    <t>Dinheiro R$ 33,00</t>
  </si>
  <si>
    <t>18 porções. 44,6 g</t>
  </si>
  <si>
    <t>11 porções. 6,2 g</t>
  </si>
  <si>
    <t>Local de tráfico. Denúncia. Confissão informal. Confissão. Preso no momento da sentença</t>
  </si>
  <si>
    <t>Sim. Antecedentes</t>
  </si>
  <si>
    <t>Não expresso</t>
  </si>
  <si>
    <t>00832380520168260050</t>
  </si>
  <si>
    <t>14/12/2017</t>
  </si>
  <si>
    <t>LUIS FERNANDO SALES SANTOS</t>
  </si>
  <si>
    <t>Celular. Dinheiro R$ 7,00</t>
  </si>
  <si>
    <t>9 porções. 16,7 g</t>
  </si>
  <si>
    <t>11 porções. 8,1 g</t>
  </si>
  <si>
    <t>Confissão. Atitude suspeita. Confissão informal. Local de tráfico. Preso no momento da sentença</t>
  </si>
  <si>
    <t>00181715920178260050</t>
  </si>
  <si>
    <t>26/09/2017</t>
  </si>
  <si>
    <t>JEFFERSON OLIVEIRA LEITE</t>
  </si>
  <si>
    <t>Ondulado</t>
  </si>
  <si>
    <t>5 porções. 6,6 g</t>
  </si>
  <si>
    <t>119 porções. 95,1 g</t>
  </si>
  <si>
    <t>Lança-perfume. 2 frascos. 22 ml</t>
  </si>
  <si>
    <t>Confissão. Local de tráfico</t>
  </si>
  <si>
    <t>Sim. Natureza</t>
  </si>
  <si>
    <t xml:space="preserve">NATALÍCIO GONÇALVES DE AZEVEDO </t>
  </si>
  <si>
    <t>00912876920158260050</t>
  </si>
  <si>
    <t xml:space="preserve">VINICIUS LIMA FERREIRA DA SILVA </t>
  </si>
  <si>
    <t>Dinheiro R$ 130,00</t>
  </si>
  <si>
    <t>12 porções. 9,2 g</t>
  </si>
  <si>
    <t>Atitude suspeita. Confissão informal. Local de tráfico. Preso no momento da sentença</t>
  </si>
  <si>
    <t>00634812520168260050</t>
  </si>
  <si>
    <t>12/04/2017</t>
  </si>
  <si>
    <t>CEZAR LUIZ DE PAULA SILVA</t>
  </si>
  <si>
    <t>Celular. Dinheiro R$ 308,00</t>
  </si>
  <si>
    <t>123 porções. 267,7 g</t>
  </si>
  <si>
    <t>152 porções. 55,2 g</t>
  </si>
  <si>
    <t>00101026320168260635</t>
  </si>
  <si>
    <t>LEONARDO MATHEUS DE CARVALHO</t>
  </si>
  <si>
    <t>Dinheiro R$ 119,00</t>
  </si>
  <si>
    <t>8 porções. 12,4 g</t>
  </si>
  <si>
    <t>17 porções. 4,7 g</t>
  </si>
  <si>
    <t>Denúncia anônima. Local de tráfico. Confissão informal. Preso no momento da sentença</t>
  </si>
  <si>
    <t>01058494920168260050</t>
  </si>
  <si>
    <t>22/08/2017</t>
  </si>
  <si>
    <t>VALTER ALVES SANTOS</t>
  </si>
  <si>
    <t>Dinheiro R$ 15,00</t>
  </si>
  <si>
    <t>26 porções. 56,1 g</t>
  </si>
  <si>
    <t xml:space="preserve">2 porções. 0,7 g </t>
  </si>
  <si>
    <t>Local de tráfico. Confissão informal. Atitude suspeita</t>
  </si>
  <si>
    <t>00174033620178260050</t>
  </si>
  <si>
    <t>26/04/2017</t>
  </si>
  <si>
    <t>IVAN DOS SANTOS FERMINO</t>
  </si>
  <si>
    <t>Sacola. Celular</t>
  </si>
  <si>
    <t>4 porções. 183,9 g</t>
  </si>
  <si>
    <t>2 porções. 198,9 g</t>
  </si>
  <si>
    <t>Preso no momento da sentença.Confissão informal. Confissão</t>
  </si>
  <si>
    <t>Sim. Quantidade. Variedade</t>
  </si>
  <si>
    <t>6a 3m</t>
  </si>
  <si>
    <t>00075442120168260635</t>
  </si>
  <si>
    <t>20/01/2017</t>
  </si>
  <si>
    <t xml:space="preserve">FERNANDO DE SOUZA OLIVEIRA </t>
  </si>
  <si>
    <t>Veículo. Pochete. Celular. Dinheiro R$ 2000,00</t>
  </si>
  <si>
    <t>204 porções. 165 g</t>
  </si>
  <si>
    <t>FELIPE RODRIGO JACO</t>
  </si>
  <si>
    <t>2a</t>
  </si>
  <si>
    <t>3a 8m</t>
  </si>
  <si>
    <t>00048551320168260050</t>
  </si>
  <si>
    <t>CLAUDINEIA ARAUJO DE CARVALHO</t>
  </si>
  <si>
    <t>Dinheiro R$21,20</t>
  </si>
  <si>
    <t>31 porções. 54,3 g</t>
  </si>
  <si>
    <t>23 porções. 12,2 g</t>
  </si>
  <si>
    <t>00317021820178260050</t>
  </si>
  <si>
    <t>31/07/2017</t>
  </si>
  <si>
    <t>IGOR OLIVEIRA DE SOUZA</t>
  </si>
  <si>
    <t>Sacola. Similuco de arma de fogo. Maquina de cartão. Violão. Bateria. Estojo. Celular</t>
  </si>
  <si>
    <t>17 porções. 47 g</t>
  </si>
  <si>
    <t>23 porções. 22 g</t>
  </si>
  <si>
    <t>Art. 180 CP</t>
  </si>
  <si>
    <t>Local de tráfico. Denúncia anônima. Confissão informal</t>
  </si>
  <si>
    <t>1a</t>
  </si>
  <si>
    <t>2a 8m</t>
  </si>
  <si>
    <t>00433509220178260050</t>
  </si>
  <si>
    <t>01/11/2017</t>
  </si>
  <si>
    <t>LUCAS GOMES PEREIRA</t>
  </si>
  <si>
    <t>Caderno. Dinheiro R$ 212,00</t>
  </si>
  <si>
    <t>10 porções. 19,3 g</t>
  </si>
  <si>
    <t>235 porções. 45,4 g</t>
  </si>
  <si>
    <t>Local de tráfico. Confissão informal. Denúncia anônima</t>
  </si>
  <si>
    <t>00067969520168260050</t>
  </si>
  <si>
    <t>05/05/2017</t>
  </si>
  <si>
    <t>VINICIUS FABIANO GARCIA</t>
  </si>
  <si>
    <t>24 porções. 23,2 g</t>
  </si>
  <si>
    <t>Local de tráfico. Confissão. Preso no momento da sentença. Atitude suspeita</t>
  </si>
  <si>
    <t>00084787620168260635</t>
  </si>
  <si>
    <t xml:space="preserve">MATHEUS HENRIQUE DA SILVA </t>
  </si>
  <si>
    <t>4 porções. 8 g</t>
  </si>
  <si>
    <t>26 porções. 8,2 g</t>
  </si>
  <si>
    <t>Local de tráfico. Preso no momento da sentença. Atitude suspeita. Confissão informal</t>
  </si>
  <si>
    <t>00934274220168260050</t>
  </si>
  <si>
    <t>12/07/2017</t>
  </si>
  <si>
    <t xml:space="preserve">GUILHERME HENRIQUE DA SILVA ROCHA </t>
  </si>
  <si>
    <t>Celular. Dinheiro R$ 172,00</t>
  </si>
  <si>
    <t>29 porções. 51,4 g</t>
  </si>
  <si>
    <t>28 porções. 22 g</t>
  </si>
  <si>
    <t>Confissão. Preso no momento da sentença. Atitude suspeita</t>
  </si>
  <si>
    <t>WESLEY MARTINS DE OLIVEIRA</t>
  </si>
  <si>
    <t>00037661820178260050</t>
  </si>
  <si>
    <t>27/06/2017</t>
  </si>
  <si>
    <t>RENAN DA SILVA PRESENTE</t>
  </si>
  <si>
    <t>Estojo. Dinheiro R$ 88,00</t>
  </si>
  <si>
    <t>29 porções. 21,1 g</t>
  </si>
  <si>
    <t>00534677920168260050</t>
  </si>
  <si>
    <t>16/03/2017</t>
  </si>
  <si>
    <t>DANIEL MITA DE OLIVEIRA</t>
  </si>
  <si>
    <t>29 porções. 7,1 g</t>
  </si>
  <si>
    <t>TALITA MITA DE OLIVEIRA</t>
  </si>
  <si>
    <t>00002386420178260635</t>
  </si>
  <si>
    <t>03/05/2017</t>
  </si>
  <si>
    <t>ANDRÉ OLIVEIRA QUEIROS</t>
  </si>
  <si>
    <t>Dinheiro R$ 24,00</t>
  </si>
  <si>
    <t>36 porções. 66,1 g</t>
  </si>
  <si>
    <t>30 porções. 25,1 g</t>
  </si>
  <si>
    <t>Confissão. Travesti</t>
  </si>
  <si>
    <t>00357618320168260050</t>
  </si>
  <si>
    <t>13/09/2017</t>
  </si>
  <si>
    <t>DOUGLAS SANTOS DE CAMARGO</t>
  </si>
  <si>
    <t>Dinheiro R$ 22,00</t>
  </si>
  <si>
    <t>19 porções. 32 g</t>
  </si>
  <si>
    <t>33 porções. 11,5 g</t>
  </si>
  <si>
    <t>Denúncia anônima</t>
  </si>
  <si>
    <t>00857947720168260050</t>
  </si>
  <si>
    <t>12/01/2017</t>
  </si>
  <si>
    <t>WESLEY WILLIAM DA COSTA</t>
  </si>
  <si>
    <t>Dinheiro R$ 32,00</t>
  </si>
  <si>
    <t>34 porções. 19,4 g</t>
  </si>
  <si>
    <t>Confissão. Local de tráfico.  Preso no momento da sentença</t>
  </si>
  <si>
    <t>00114034520168260635</t>
  </si>
  <si>
    <t>16/08/2017</t>
  </si>
  <si>
    <t>DANIEL CURRALO</t>
  </si>
  <si>
    <t>Veículo. Estojo. Dinheiro R$ 22,00</t>
  </si>
  <si>
    <t>37 porções. 42,8 g</t>
  </si>
  <si>
    <t>361 porções. 72,4 g</t>
  </si>
  <si>
    <t>00086086620168260635</t>
  </si>
  <si>
    <t>31/08/2017</t>
  </si>
  <si>
    <t>FILIPE CAMPOS GUIMARÃES</t>
  </si>
  <si>
    <t>Papel. Celular. Dinheiro R$ 1424,00</t>
  </si>
  <si>
    <t>44 porções. 39 g</t>
  </si>
  <si>
    <t>01019001720168260050</t>
  </si>
  <si>
    <t>04/04/2017</t>
  </si>
  <si>
    <t>JOSÉ ALVES DE SOUSA VIANA</t>
  </si>
  <si>
    <t>Prato. Colher. Balança. Celular. Dinheiro R$ 1.276,00</t>
  </si>
  <si>
    <t>51 porções. 261,5 g</t>
  </si>
  <si>
    <t>Preso no momento da sentença. Mandado</t>
  </si>
  <si>
    <t>00684932020168260050</t>
  </si>
  <si>
    <t>27/10/2017</t>
  </si>
  <si>
    <t>ANDERSON CRISTINO VIEIRA DOS SANTOS</t>
  </si>
  <si>
    <t>Pochete. Papel. Dinheiro R$ 26,00</t>
  </si>
  <si>
    <t>56 porções. 118,9 g</t>
  </si>
  <si>
    <t>55 porções. 24,7 g</t>
  </si>
  <si>
    <t>Haxixe. 8 porções. 4,1 g</t>
  </si>
  <si>
    <t>Confissão. Local de tráfico. Confissão informal</t>
  </si>
  <si>
    <t>00709927420168260050</t>
  </si>
  <si>
    <t>11/05/2017</t>
  </si>
  <si>
    <t>MAYLON FERREIRA DE SOUZA</t>
  </si>
  <si>
    <t>Dinheiro R$ 14,00</t>
  </si>
  <si>
    <t>61 porções. 43,4 g</t>
  </si>
  <si>
    <t>00033780920178260635</t>
  </si>
  <si>
    <t>23/08/2017</t>
  </si>
  <si>
    <t>DIEGO SANTANA SODRE</t>
  </si>
  <si>
    <t>Pochete. Isqueiro. Celular. Dinheiro R$ 36,00</t>
  </si>
  <si>
    <t>140 porções. 132,7 g</t>
  </si>
  <si>
    <t>74 porções. 49,7 g</t>
  </si>
  <si>
    <t>Lança-perfume. 21 frascos. 210 ml</t>
  </si>
  <si>
    <t>Preso no momento da sentença. Confissão informal. Confissão</t>
  </si>
  <si>
    <t>01058044520168260050</t>
  </si>
  <si>
    <t>MATEUS HUMBERTO DA SILVA</t>
  </si>
  <si>
    <t>Dinheiro R$ 20,00</t>
  </si>
  <si>
    <t>10 porções. 12,5 g</t>
  </si>
  <si>
    <t>8 porções. 5 g</t>
  </si>
  <si>
    <t>Confissão informal</t>
  </si>
  <si>
    <t>00532989220168260050</t>
  </si>
  <si>
    <t xml:space="preserve">ERLAN DOS SANTOS RIBEIRO </t>
  </si>
  <si>
    <t>Papel. Celular. Dinheiro R$ 49,00</t>
  </si>
  <si>
    <t>20 porções. 29,2 g</t>
  </si>
  <si>
    <t>9 porções. 3,1 g</t>
  </si>
  <si>
    <t>Lança-perfume. 18 frascos. 90 ml</t>
  </si>
  <si>
    <t xml:space="preserve">Denúncia anônima. Confissão informal. Confissão </t>
  </si>
  <si>
    <t>00138767620178260050</t>
  </si>
  <si>
    <t>GUSTAVO DE CARVALHO ANDRADE</t>
  </si>
  <si>
    <t>Veículo. Caixa. Papéis. Celular</t>
  </si>
  <si>
    <t>99 porções. 30,3 g</t>
  </si>
  <si>
    <t xml:space="preserve">MATHEUS ANTÔNIO FERNANDES SILVA </t>
  </si>
  <si>
    <t>00016165520178260635</t>
  </si>
  <si>
    <t>18/04/2017</t>
  </si>
  <si>
    <t>GABRIEL DA SILVA CONCEIÇÃO</t>
  </si>
  <si>
    <t>Dinheiro R$ 425,05</t>
  </si>
  <si>
    <t>79 porções. 68,5 g</t>
  </si>
  <si>
    <t>1 porção. 0,05 g</t>
  </si>
  <si>
    <t>00084502020168260050</t>
  </si>
  <si>
    <t>09/01/2017</t>
  </si>
  <si>
    <t>PEDRO RICARDO MOURA BAUER</t>
  </si>
  <si>
    <t>100 porções. 11,4 g</t>
  </si>
  <si>
    <t>00669178920168260050</t>
  </si>
  <si>
    <t>CLAUDIO CALAZANS BARBOSA</t>
  </si>
  <si>
    <t>Pochete. Dinheiro R$ 20,00</t>
  </si>
  <si>
    <t>39 porções. 147,5 g</t>
  </si>
  <si>
    <t>14 porções. 1,8 g</t>
  </si>
  <si>
    <t>Local de tráfico. Atitude suspeita. Confissão informal. Confissão</t>
  </si>
  <si>
    <t>01070345920158260050</t>
  </si>
  <si>
    <t>15/03/2017</t>
  </si>
  <si>
    <t>LUIZ RAFAEL IGNACZUK FRONZA</t>
  </si>
  <si>
    <t>14 porções. 2,1 g</t>
  </si>
  <si>
    <t>00512150620168260050</t>
  </si>
  <si>
    <t>CRISTIANO EDUARDO PINTO VIEIRA</t>
  </si>
  <si>
    <t>31 porções. 42 g</t>
  </si>
  <si>
    <t>27 porções. 22 g</t>
  </si>
  <si>
    <t>15 porções. 2,5 g</t>
  </si>
  <si>
    <t>Lança-perfume. 3 frascos. 18 ml</t>
  </si>
  <si>
    <t>Atitude suspeita.Confissão informal</t>
  </si>
  <si>
    <t>00820914120168260050</t>
  </si>
  <si>
    <t>24/10/2017</t>
  </si>
  <si>
    <t xml:space="preserve">DALILLA VILAS BOAS MOREIRA </t>
  </si>
  <si>
    <t>Maço de cigarro. Celular. Dinheiro R$ 163,00</t>
  </si>
  <si>
    <t>3 porções. 4,4 g</t>
  </si>
  <si>
    <t>4 porções. 1,5 g</t>
  </si>
  <si>
    <t>16 porções. 3,0 g</t>
  </si>
  <si>
    <t>Local de tráfico. Atitude suspeita. Denúncia. Confissão informal</t>
  </si>
  <si>
    <t>00338648320178260050</t>
  </si>
  <si>
    <t>02/08/2017</t>
  </si>
  <si>
    <t xml:space="preserve">YGOR CAMARA SATELES </t>
  </si>
  <si>
    <t>Sacola</t>
  </si>
  <si>
    <t>22 porções. 67,5 g</t>
  </si>
  <si>
    <t>33 porções. 18,3 g</t>
  </si>
  <si>
    <t>17 porções. 2,4 g</t>
  </si>
  <si>
    <t>Art. 329 CP</t>
  </si>
  <si>
    <t>Sim. Consequências. Natureza</t>
  </si>
  <si>
    <t>00026628820178260050</t>
  </si>
  <si>
    <t>JONATHAN OLIVEIRA DOS SANTOS</t>
  </si>
  <si>
    <t>14 porções. 32 g</t>
  </si>
  <si>
    <t>41 porções. 30,3 g</t>
  </si>
  <si>
    <t>17 porções. 3,7 g</t>
  </si>
  <si>
    <t>Confissão. Local de tráfico.  Preso no momento da sentença. Atitude suspeita</t>
  </si>
  <si>
    <t>00013583920178260540</t>
  </si>
  <si>
    <t>19/09/2017</t>
  </si>
  <si>
    <t>FERNANDO RAMOS DOS SANTOS</t>
  </si>
  <si>
    <t>Dinheiro R$ 157,00</t>
  </si>
  <si>
    <t>34 porções. 58,4 g</t>
  </si>
  <si>
    <t>12 porções. 3 g</t>
  </si>
  <si>
    <t>20 porções. 11 g</t>
  </si>
  <si>
    <t>Local de tráfico. Preso no momento da sentença. Atitude suspeita</t>
  </si>
  <si>
    <t>Sim. Natureza. Quantidade</t>
  </si>
  <si>
    <t>00237701320168260050</t>
  </si>
  <si>
    <t xml:space="preserve">MARCONI DA SILVA </t>
  </si>
  <si>
    <t>15 porções. 17,3 g</t>
  </si>
  <si>
    <t>47 porções. 24,3 g</t>
  </si>
  <si>
    <t>22 porções. 2,5 g</t>
  </si>
  <si>
    <t>Local de tráfico. Atitude suspeita. Confissão informal</t>
  </si>
  <si>
    <t>00135849120178260050</t>
  </si>
  <si>
    <t xml:space="preserve">VALESKA PESSOA TEIXEIRA </t>
  </si>
  <si>
    <t>Celular. Dinheiro R$ 15,00</t>
  </si>
  <si>
    <t>21 porções. 28,2 g</t>
  </si>
  <si>
    <t>23 porções. 6,2 g</t>
  </si>
  <si>
    <t>Confissão informal. Confissão</t>
  </si>
  <si>
    <t>00104228820178260050</t>
  </si>
  <si>
    <t>25/05/2017</t>
  </si>
  <si>
    <t>ROGERIO DOS REIS PALMA</t>
  </si>
  <si>
    <t>Dinheiro R$ 75,00</t>
  </si>
  <si>
    <t>10 porções. 23,5 g</t>
  </si>
  <si>
    <t>25 porções. 17,8 g</t>
  </si>
  <si>
    <t>23 porções. 7 g</t>
  </si>
  <si>
    <t>Confissão informal. Local de tráfico. Atitude suspeita</t>
  </si>
  <si>
    <t>00008224320178260050</t>
  </si>
  <si>
    <t>ANTONIO EVANGELISTA DA SILVA JUNIOR</t>
  </si>
  <si>
    <t>Dinheiro R$ 78,00</t>
  </si>
  <si>
    <t>32 porções. 52 g</t>
  </si>
  <si>
    <t>29 porções. 22,2 g</t>
  </si>
  <si>
    <t>24 porções. 10 g</t>
  </si>
  <si>
    <t>Haxixe. 4 porções. 2 g</t>
  </si>
  <si>
    <t>00755542920168260050</t>
  </si>
  <si>
    <t>17/10/2017</t>
  </si>
  <si>
    <t>JUNIERE CASTRO DA SILVA</t>
  </si>
  <si>
    <t>Pochete. Papéis . Celular. Dinheiro R$ 70,00</t>
  </si>
  <si>
    <t>20 porções. 17,9 g</t>
  </si>
  <si>
    <t>33 porções. 16,6 g</t>
  </si>
  <si>
    <t>27 porções. 3,95 g</t>
  </si>
  <si>
    <t>Divergências nos relatos dos policiais. Local de tráfico. Confissão informal. Preso no momento da sentença</t>
  </si>
  <si>
    <t>00033434920178260635</t>
  </si>
  <si>
    <t>GABRIEL DOS REIS OLIVEIRA</t>
  </si>
  <si>
    <t>Bolsa. Celular. Dinheiro R$ 20,00</t>
  </si>
  <si>
    <t>55 porções. 109,10 g</t>
  </si>
  <si>
    <t>31 porções. 48,1 g</t>
  </si>
  <si>
    <t>30 porções. 4,8 g</t>
  </si>
  <si>
    <t>Confissão informal. Local de tráfico. Preso no momento da sentença</t>
  </si>
  <si>
    <t>00978452320168260050</t>
  </si>
  <si>
    <t>07/02/2017</t>
  </si>
  <si>
    <t>DIEGO DOS SANTOS SOUZA</t>
  </si>
  <si>
    <t>3 porções. 13,5 g</t>
  </si>
  <si>
    <t>33 porções. 5,7 g</t>
  </si>
  <si>
    <t>00607549320168260050</t>
  </si>
  <si>
    <t>21/03/2017</t>
  </si>
  <si>
    <t>ADEMIR LAMEU DA SILVA</t>
  </si>
  <si>
    <t>8 porções. 5,5 g</t>
  </si>
  <si>
    <t>35 porções. 13,6 g</t>
  </si>
  <si>
    <t>00410526420168260050</t>
  </si>
  <si>
    <t>05/06/2017</t>
  </si>
  <si>
    <t>MATHEUS URIAS VIEIRA</t>
  </si>
  <si>
    <t>Dinheiro R$ 7,00</t>
  </si>
  <si>
    <t>39 porções. 17,1 g</t>
  </si>
  <si>
    <t>00954782620168260050</t>
  </si>
  <si>
    <t>22/03/2017</t>
  </si>
  <si>
    <t xml:space="preserve">ERICK SANTANA SOARES RAMOS </t>
  </si>
  <si>
    <t>Bolsa. Dinheiro R$ 20,00</t>
  </si>
  <si>
    <t>318 porções. 549,1 g</t>
  </si>
  <si>
    <t>53 porções. 110 g</t>
  </si>
  <si>
    <t>403 porções. 317 g</t>
  </si>
  <si>
    <t>Lança-perfume. 65 frascos. 2560 ml</t>
  </si>
  <si>
    <t>JOSÉ RINALDO DOS SANTOS</t>
  </si>
  <si>
    <t>00386180520168260050</t>
  </si>
  <si>
    <t>ALEXANDRE MENDES DE PAULO</t>
  </si>
  <si>
    <t>24 porções. 40 g</t>
  </si>
  <si>
    <t>9 porções. 8 g</t>
  </si>
  <si>
    <t>41 porções. 6 g</t>
  </si>
  <si>
    <t xml:space="preserve">Local de tráfico. Atitude suspeita. Confissão informal </t>
  </si>
  <si>
    <t>00306822620168260050</t>
  </si>
  <si>
    <t>06/04/2017</t>
  </si>
  <si>
    <t>WESLEY FERREIRA SOUZA</t>
  </si>
  <si>
    <t>Pochete. Dinheiro R$ 15,00</t>
  </si>
  <si>
    <t>8 porções. 3,1 g</t>
  </si>
  <si>
    <t>48 porções. 9,9 g</t>
  </si>
  <si>
    <t>Confissão informal. Local de tráfico</t>
  </si>
  <si>
    <t>00918044020168260050</t>
  </si>
  <si>
    <t>10/03/2017</t>
  </si>
  <si>
    <t>MARCOS ANTONIO ARAUJO DO NASCIMENTO</t>
  </si>
  <si>
    <t>Porta-moeda. Dinheiro R$ 10,00</t>
  </si>
  <si>
    <t>36 porções. 66,10 g</t>
  </si>
  <si>
    <t>5 porções. 3,5 g</t>
  </si>
  <si>
    <t>49 porções. 6,4 g</t>
  </si>
  <si>
    <t>Confissão. Local de tráfico.  Preso no momento da sentença. Denúncia</t>
  </si>
  <si>
    <t>Sim. Consequências. Natureza. Quantidade</t>
  </si>
  <si>
    <t>00900592520168260050</t>
  </si>
  <si>
    <t>LUIZ OTAVIO RAMOS DE OLIVEIRA JUNIOR</t>
  </si>
  <si>
    <t>4 porções. 12,2 g</t>
  </si>
  <si>
    <t>8 porções. 5,8 g</t>
  </si>
  <si>
    <t>6 porções. 4,2 g</t>
  </si>
  <si>
    <t>00894418020168260050</t>
  </si>
  <si>
    <t>JOSIVAN DA SILVA FELIX NOGUEIRA</t>
  </si>
  <si>
    <t>10 porções. 12 g</t>
  </si>
  <si>
    <t>128 porções. 47,8 g</t>
  </si>
  <si>
    <t>65 porções. 4,1 g</t>
  </si>
  <si>
    <t>Atitude suspeita. Confissão informal. Preso no momento da sentença</t>
  </si>
  <si>
    <t>00295769220178260050</t>
  </si>
  <si>
    <t>05/10/2017</t>
  </si>
  <si>
    <t>EMERSON SILVA SANTOS</t>
  </si>
  <si>
    <t>11 porções. 29,2 g</t>
  </si>
  <si>
    <t>35 porções. 17,8 g</t>
  </si>
  <si>
    <t>8 porções. 1 g</t>
  </si>
  <si>
    <t>Local de tráfico. Atitude suspeita</t>
  </si>
  <si>
    <t>00567796320168260050</t>
  </si>
  <si>
    <t xml:space="preserve">ALAN CARLOS HENGLER DA SILVA </t>
  </si>
  <si>
    <t>26 porções. 20g</t>
  </si>
  <si>
    <t>81 porções. 138 g</t>
  </si>
  <si>
    <t>82 porções. 48 g</t>
  </si>
  <si>
    <t>Denúncia anônima. Confissão informal. Confissão. Preso no momento da sentença</t>
  </si>
  <si>
    <t>TIAGO GUEBARA DA SILVA</t>
  </si>
  <si>
    <t>00410384620178260050</t>
  </si>
  <si>
    <t>30/08/2017</t>
  </si>
  <si>
    <t>ROBSON CHAVES CATARINO</t>
  </si>
  <si>
    <t>Veículo. Celular. Dinheiro R$ 760,00</t>
  </si>
  <si>
    <t>89 porções. 150,1 g</t>
  </si>
  <si>
    <t>600 porções. 334,4 g</t>
  </si>
  <si>
    <t>854 porções. 256,1 g</t>
  </si>
  <si>
    <t>Confissão informal. Confissão. Preso no momento da sentença. Atitude suspeita</t>
  </si>
  <si>
    <t>00102715020168260635</t>
  </si>
  <si>
    <t>JULIO CESAR BATISTA RODRIGUES COSTA</t>
  </si>
  <si>
    <t>Celular. Dinheiro R$ 250, 00</t>
  </si>
  <si>
    <t>35 porções. 57,1 g</t>
  </si>
  <si>
    <t>224 porções. 40,7 g</t>
  </si>
  <si>
    <t>96 porções. 21,1 g</t>
  </si>
  <si>
    <t>Local de tráfico. Confissão informal. Preso no momento da sentença. Atitude suspeita</t>
  </si>
  <si>
    <t>00102127120168260050</t>
  </si>
  <si>
    <t>WESLEY BISPO DIAS</t>
  </si>
  <si>
    <t>Moto. Dinheiro R$ 132,00</t>
  </si>
  <si>
    <t>44 porções. 137,5 g</t>
  </si>
  <si>
    <t>9 comprimidos. 2,7 g</t>
  </si>
  <si>
    <t>Art. 330 CP</t>
  </si>
  <si>
    <t>00060655620178260635</t>
  </si>
  <si>
    <t>16/11/2017</t>
  </si>
  <si>
    <t>KENNETH CHINWENDU EKEH</t>
  </si>
  <si>
    <t>40 porções. 63,8 g</t>
  </si>
  <si>
    <t>Nacionalidade. Local de tráfico. Preso no momento da sentença</t>
  </si>
  <si>
    <t xml:space="preserve">1a 8m </t>
  </si>
  <si>
    <t>00199889520168260050</t>
  </si>
  <si>
    <t>13/03/2017</t>
  </si>
  <si>
    <t>GUILHERME NOVAIS PEREIRA DE OLIVEIRA</t>
  </si>
  <si>
    <t>54 porções. 21,6 g</t>
  </si>
  <si>
    <t>Confissão. Confissão informal</t>
  </si>
  <si>
    <t>00840322620168260050</t>
  </si>
  <si>
    <t>01/12/2017</t>
  </si>
  <si>
    <t>DOUGLAS BEZERRA DA SILVA</t>
  </si>
  <si>
    <t>Dinheiro R$ 150,00</t>
  </si>
  <si>
    <t>9 porções. 5,9 g</t>
  </si>
  <si>
    <t xml:space="preserve">PAULO SANTOS MATIAS DA SILVA </t>
  </si>
  <si>
    <t>22 porções. 3,9 g</t>
  </si>
  <si>
    <t>00646328920178260050</t>
  </si>
  <si>
    <t>VITOR CESAR DE OLIVEIRA ROCHA</t>
  </si>
  <si>
    <t>Bolsa. Papéis. Dinheiro R$ 16,00</t>
  </si>
  <si>
    <t>67 porções. 180 g</t>
  </si>
  <si>
    <t>155 porções. 198 g</t>
  </si>
  <si>
    <t>00121189620168260050</t>
  </si>
  <si>
    <t>22/11/2017</t>
  </si>
  <si>
    <t>RAFAEL FELIPE VICENTE LUIZ</t>
  </si>
  <si>
    <t>Pochete</t>
  </si>
  <si>
    <t>50 porções. 44,5 g</t>
  </si>
  <si>
    <t>00157084720178260050</t>
  </si>
  <si>
    <t>29/06/2017</t>
  </si>
  <si>
    <t>HÉRCULE LACERDA SILVA</t>
  </si>
  <si>
    <t>Rádio transmissor. Dinheiro R$ 84,00</t>
  </si>
  <si>
    <t>64 porções. 142,4 g</t>
  </si>
  <si>
    <t>00061504220178260635</t>
  </si>
  <si>
    <t>10/11/2017</t>
  </si>
  <si>
    <t>LEONARDO BERNARDS DE SANTANA RODELO</t>
  </si>
  <si>
    <t>Estilete. Papéis. Dinheiro R$ 172,00</t>
  </si>
  <si>
    <t>5 porções. 76,1 g</t>
  </si>
  <si>
    <t>00673318720168260050</t>
  </si>
  <si>
    <t>13/07/2017</t>
  </si>
  <si>
    <t>VIVIANE BORGES MORAES</t>
  </si>
  <si>
    <t>Carteira. Dinheiro R$ 15,00</t>
  </si>
  <si>
    <t>11 porções. 27,3 g</t>
  </si>
  <si>
    <t>20 porções. 31,6 g</t>
  </si>
  <si>
    <t>2a 11m</t>
  </si>
  <si>
    <t>00058525020178260635</t>
  </si>
  <si>
    <t>GISELE APARECIDA RIBEIRO</t>
  </si>
  <si>
    <t>Bilhete único. Celular. Dinheiro R$ 62,00</t>
  </si>
  <si>
    <t>14 porções. 20,8 g</t>
  </si>
  <si>
    <t>27 porções. 20,6 g</t>
  </si>
  <si>
    <t>Local de tráfico. Presa no momento da sentença</t>
  </si>
  <si>
    <t>01019426620168260050</t>
  </si>
  <si>
    <t>14/07/2017</t>
  </si>
  <si>
    <t>THAIS DOS SANTOS MIRANDA</t>
  </si>
  <si>
    <t>Dinheiro R$ 262,00</t>
  </si>
  <si>
    <t>36 porções. 28,9 g</t>
  </si>
  <si>
    <t>00689513720168260050</t>
  </si>
  <si>
    <t>30/03/2017</t>
  </si>
  <si>
    <t>Bruno Soares Viana</t>
  </si>
  <si>
    <t>38 porções. 52,4 g</t>
  </si>
  <si>
    <t>47 porções. 56,6 g</t>
  </si>
  <si>
    <t>00636004920178260050</t>
  </si>
  <si>
    <t>JHONATAN DE CAMPOS BELINI</t>
  </si>
  <si>
    <t>30 porções. 35,5 g</t>
  </si>
  <si>
    <t>260 porções. 94,5 g</t>
  </si>
  <si>
    <t>63 porções. 44,7 g</t>
  </si>
  <si>
    <t>00013568420178260050</t>
  </si>
  <si>
    <t>06/09/2017</t>
  </si>
  <si>
    <t>Nelson Jose Da Silva</t>
  </si>
  <si>
    <t>Local de tráfico. Confissão. Atitude suspeita</t>
  </si>
  <si>
    <t>2a 6m</t>
  </si>
  <si>
    <t>00653147820168260050</t>
  </si>
  <si>
    <t>06/03/2017</t>
  </si>
  <si>
    <t>VINICIO GONÇALVES DOS SANTOS</t>
  </si>
  <si>
    <t>Local de tráfico. Atitude suspeita. Preso no momento da sentença. Confissão informal</t>
  </si>
  <si>
    <t>00554022320178260050</t>
  </si>
  <si>
    <t>Mariana da Silva Lima</t>
  </si>
  <si>
    <t>62 tijolos. 80000 g</t>
  </si>
  <si>
    <t>Confissão. Preso no momento da sentença. Interceptação</t>
  </si>
  <si>
    <t>00014822820178260635</t>
  </si>
  <si>
    <t>31/05/2017</t>
  </si>
  <si>
    <t>KHADIJA KARBOUN</t>
  </si>
  <si>
    <t>Mala. Celular. Dinheiro R$ 100,00</t>
  </si>
  <si>
    <t>1 porção. 1489,9 g</t>
  </si>
  <si>
    <t>Nacionalidade. Preso no momento da sentença</t>
  </si>
  <si>
    <t>00310604520178260050</t>
  </si>
  <si>
    <t>MATHEUS FELIPE PEREIRA GAMELEIRA</t>
  </si>
  <si>
    <t>202 porções. 75,1 g</t>
  </si>
  <si>
    <t>01059785420168260050</t>
  </si>
  <si>
    <t>FERNANDO DELGADO DE ALMEIDA</t>
  </si>
  <si>
    <t>Necessaire. Dinheiro R$ 95,00</t>
  </si>
  <si>
    <t>2 porções. 40 g</t>
  </si>
  <si>
    <t>26 porções. 10 g</t>
  </si>
  <si>
    <t>00009211320178260050</t>
  </si>
  <si>
    <t>HUGO FABIANO AUGUSTO DE MACEDO</t>
  </si>
  <si>
    <t>Dinheiro R$ 224,70</t>
  </si>
  <si>
    <t>269 porções. 141,1 g</t>
  </si>
  <si>
    <t>Local de tráfico. Confissão. Preso no momento da sentença</t>
  </si>
  <si>
    <t>00627231220178260050</t>
  </si>
  <si>
    <t>18/09/2017</t>
  </si>
  <si>
    <t>ALCIDES ANDRADE ASSIS</t>
  </si>
  <si>
    <t>50 porções. 23,9 g</t>
  </si>
  <si>
    <t>00036614120178260050</t>
  </si>
  <si>
    <t>24/08/2017</t>
  </si>
  <si>
    <t xml:space="preserve">RAFAEL DA SILVA ALVES </t>
  </si>
  <si>
    <t>14 porções. 43,2 g</t>
  </si>
  <si>
    <t>67 porções. 41 g</t>
  </si>
  <si>
    <t>VICTOR HUGO QUINTILIANO</t>
  </si>
  <si>
    <t>00582822220168260050</t>
  </si>
  <si>
    <t>21/08/2017</t>
  </si>
  <si>
    <t>VICTOR FERREIRA</t>
  </si>
  <si>
    <t>Estojo. Celular</t>
  </si>
  <si>
    <t>92 porções. 21,3 g</t>
  </si>
  <si>
    <t>00039749020178260635</t>
  </si>
  <si>
    <t>WILLIAM DOS REIS DANTAS</t>
  </si>
  <si>
    <t>Arma de fogo. Balança. Embalagens. Dichavador. Celular. Faca. Dinheiro R$ 4995,00</t>
  </si>
  <si>
    <t>4 cigarros. 2 g</t>
  </si>
  <si>
    <t>93 porções. 22,5 g</t>
  </si>
  <si>
    <t>Confissão informal. Denúncia anônima. Preso no momento da sentença</t>
  </si>
  <si>
    <t>3a</t>
  </si>
  <si>
    <t>5a 6m</t>
  </si>
  <si>
    <t>00933258320178260050</t>
  </si>
  <si>
    <t>12/12/2017</t>
  </si>
  <si>
    <t>DANILO DO PRADO CAMPOS</t>
  </si>
  <si>
    <t>Bolsa. Celular. Dinheiro R$ 805,00</t>
  </si>
  <si>
    <t>44 porções. 82 g</t>
  </si>
  <si>
    <t>Confissão. Preso no momento da sentença</t>
  </si>
  <si>
    <t xml:space="preserve">Caio Antonio De Oliveira </t>
  </si>
  <si>
    <t>Pochete. Dinheiro R$ 30,00</t>
  </si>
  <si>
    <t>103 porções. 19,5g</t>
  </si>
  <si>
    <t>118 porções. 82,6 g</t>
  </si>
  <si>
    <t>00458417220178260050</t>
  </si>
  <si>
    <t>24/11/2017</t>
  </si>
  <si>
    <t>JOSE PERGENTINO DORNELAS LEITE JUNIOR</t>
  </si>
  <si>
    <t>25 porções. 41,7 g</t>
  </si>
  <si>
    <t>62 porções. 28,5 g</t>
  </si>
  <si>
    <t>12 porções. 3,1 g</t>
  </si>
  <si>
    <t>00631371020178260050</t>
  </si>
  <si>
    <t>CLAUDIO HENRIQUE SANTOS DO NASCIMENTO</t>
  </si>
  <si>
    <t xml:space="preserve">71 porções. 236,6 g </t>
  </si>
  <si>
    <t>17 porções. 25,8 g</t>
  </si>
  <si>
    <t>17 porções. 5,8 g</t>
  </si>
  <si>
    <t>Lança-perfume. 5 frascos. 85 ml</t>
  </si>
  <si>
    <t>Local de tráfico. Confissão informal. Confissão. Preso no momento da sentença</t>
  </si>
  <si>
    <t>00168481920178260050</t>
  </si>
  <si>
    <t>LUCAS RIBEIRO BUIKA</t>
  </si>
  <si>
    <t>34 porções. 72,6 g</t>
  </si>
  <si>
    <t>76 porções. 42,5 g</t>
  </si>
  <si>
    <t>39 porções. 14,3 g</t>
  </si>
  <si>
    <t>00032552020178260050</t>
  </si>
  <si>
    <t>10/07/2017</t>
  </si>
  <si>
    <t>DOUGLAS DANTAS DE OLIVEIRA</t>
  </si>
  <si>
    <t>7 tijolos. 1938,7 g</t>
  </si>
  <si>
    <t>42 porções. 13,5 g</t>
  </si>
  <si>
    <t>Preso no momento da sentença. Confissão informal. Local de tráfico</t>
  </si>
  <si>
    <t>00770092920168260050</t>
  </si>
  <si>
    <t xml:space="preserve">MURILLO LORENA GALLO </t>
  </si>
  <si>
    <t>Celular. Dinheiro R$ 50,00</t>
  </si>
  <si>
    <t>13 porções. 14 g</t>
  </si>
  <si>
    <t>54 porções. 45,9 g</t>
  </si>
  <si>
    <t>45 porções. 14 g</t>
  </si>
  <si>
    <t>00850378320168260050</t>
  </si>
  <si>
    <t>09/11/2017</t>
  </si>
  <si>
    <t>MARCELO SILVA SANTOS</t>
  </si>
  <si>
    <t>Celular. Dinheiro R$ 25,00</t>
  </si>
  <si>
    <t>39 porções. 91,7 g</t>
  </si>
  <si>
    <t>66 porções. 83 g</t>
  </si>
  <si>
    <t>51 porções. 5,7 g</t>
  </si>
  <si>
    <t>Lança-perfume. 11 frascos. 71,5 ml</t>
  </si>
  <si>
    <t>Atitude suspeita. Confissão. Local de tráfico. Confissão informal. Preso no momento da sentença</t>
  </si>
  <si>
    <t>00097232520168260635</t>
  </si>
  <si>
    <t>27/04/2017</t>
  </si>
  <si>
    <t>GUSTAVO IAN DOS SANTOS</t>
  </si>
  <si>
    <t>Colher. Peneira. Tubo. Invólucro. Papel filme</t>
  </si>
  <si>
    <t>7 porções. 16,8 g</t>
  </si>
  <si>
    <t>53 porções. 18,6 g</t>
  </si>
  <si>
    <t>00858008420168260050</t>
  </si>
  <si>
    <t>02/06/2017</t>
  </si>
  <si>
    <t>JEFFERSON ANTONIO RODRIGUES DOS SANTOS</t>
  </si>
  <si>
    <t>Dinheiro R$ 25,00</t>
  </si>
  <si>
    <t>81 porções. 138,5 g</t>
  </si>
  <si>
    <t>30 porções. 12 g</t>
  </si>
  <si>
    <t>63 porções. 7,7 g</t>
  </si>
  <si>
    <t>Lança-perfume. 93 frascos. 2790 ml</t>
  </si>
  <si>
    <t>Local de tráfico. Confissão informal. Preso no momento da sentença</t>
  </si>
  <si>
    <t>00723105820178260050</t>
  </si>
  <si>
    <t>GABRIEL MATOS DE PAULA</t>
  </si>
  <si>
    <t>Bolsa. Papel de seda. Rádio transmissor. Celular. Faca. Dinheiro R$ 175,25</t>
  </si>
  <si>
    <t>17 porções. 41,5 g</t>
  </si>
  <si>
    <t>66 porções. 30,9 g</t>
  </si>
  <si>
    <t>Lança-perfume. 1 frasco. 12 ml</t>
  </si>
  <si>
    <t>00885912620168260050</t>
  </si>
  <si>
    <t>18/07/2017</t>
  </si>
  <si>
    <t>JACKSON JOSE DE SANTANA</t>
  </si>
  <si>
    <t xml:space="preserve"> 56 porções. 29,4 g</t>
  </si>
  <si>
    <t>90 porções. 12,8 g</t>
  </si>
  <si>
    <t>Confissão. Local de tráfico. Atitude suspeita. Confissão informal</t>
  </si>
  <si>
    <t>00255577720168260050</t>
  </si>
  <si>
    <t xml:space="preserve">CECÍLIA ALENCAR MATOS </t>
  </si>
  <si>
    <t xml:space="preserve">221 porções. 153,4 g </t>
  </si>
  <si>
    <t>5 porções. 0,1 g</t>
  </si>
  <si>
    <t>Preso no momento da sentença. Denúncia anônima. Confissão informal. Confissão</t>
  </si>
  <si>
    <t xml:space="preserve">JEFFERSON SANTOS DA SILVA </t>
  </si>
  <si>
    <t>00840553520178260050</t>
  </si>
  <si>
    <t>JEFFERSON DOUGLAS FLORIANO</t>
  </si>
  <si>
    <t>Pochete. Papéis. Dinheiro R$ 78,00</t>
  </si>
  <si>
    <t>69 porções. 123,3 g</t>
  </si>
  <si>
    <t>80 porções. 42,4 g</t>
  </si>
  <si>
    <t>25 porções. 23,5 g</t>
  </si>
  <si>
    <t>10 comprimidos. 3,7 g</t>
  </si>
  <si>
    <t>8 porções. 0,1 g</t>
  </si>
  <si>
    <t>Confissão. Local de tráfico. Atitude suspeita. Confissão informal. Preso no momento da sentença</t>
  </si>
  <si>
    <t>00618158620168260050</t>
  </si>
  <si>
    <t>09/02/2017</t>
  </si>
  <si>
    <t>Deivid Lima da Silva</t>
  </si>
  <si>
    <t>Dinheiro R$ 16,00</t>
  </si>
  <si>
    <t>21 porções. 9,4 g</t>
  </si>
  <si>
    <t>1 porção. 0,1 g</t>
  </si>
  <si>
    <t>2a 9m</t>
  </si>
  <si>
    <t>0055873-39.2017.8.26.0050</t>
  </si>
  <si>
    <t xml:space="preserve">ANDERSON RICARDO DE PAULA </t>
  </si>
  <si>
    <t>Embalagens. Balança. Fermento em pó. Celular. Faca. Colher. Bacia. Liquidificador</t>
  </si>
  <si>
    <t>1 tijolo. 189,5 g. 50 porções. 81,8 g</t>
  </si>
  <si>
    <t>357 porções. 211,5 g</t>
  </si>
  <si>
    <t>Preso no momento da sentença. Denúncia anônima</t>
  </si>
  <si>
    <t>00058135320178260635</t>
  </si>
  <si>
    <t>GIOVANA FURTADO DE OLIVEIRA</t>
  </si>
  <si>
    <t xml:space="preserve">FRANCISCO APRIGIO DA SILVA </t>
  </si>
  <si>
    <t>Celular. Dinheiro R$ 420,00</t>
  </si>
  <si>
    <t>4 porções. 19,1 g</t>
  </si>
  <si>
    <t>44 porções. 33,2 g</t>
  </si>
  <si>
    <t>4 porções. 1 g</t>
  </si>
  <si>
    <t>Local de tráfico. Atitude suspeita. Confissão informal. Preso no momento da sentença</t>
  </si>
  <si>
    <t>00083959420158260635</t>
  </si>
  <si>
    <t>BEATRIZ KAREN DE MORAIS</t>
  </si>
  <si>
    <t>71 tijolos. 80000 g</t>
  </si>
  <si>
    <t>1 porção. 2500 g</t>
  </si>
  <si>
    <t>457 porções. 382,4 g</t>
  </si>
  <si>
    <t>Art. 33. Art. 34</t>
  </si>
  <si>
    <t>Art. 14 L10826</t>
  </si>
  <si>
    <t>MARIA LUCIA GOMES TAVARES DO NASCIMENTO</t>
  </si>
  <si>
    <t>00663831420178260050</t>
  </si>
  <si>
    <t>07/11/2017</t>
  </si>
  <si>
    <t xml:space="preserve">NATALIA LOURENCO FRANCO </t>
  </si>
  <si>
    <t>Celular. Dinheiro R$ 569,00</t>
  </si>
  <si>
    <t>222 porções. 537,0 g</t>
  </si>
  <si>
    <t>221 porções. 27 g</t>
  </si>
  <si>
    <t>140 porções. 126,6 g</t>
  </si>
  <si>
    <t>Preso no momento da sentença. Ponto de tráfico. Confissão informal. Confissão</t>
  </si>
  <si>
    <t>3a 10m 20d</t>
  </si>
  <si>
    <t>00748207820168260050</t>
  </si>
  <si>
    <t>18/01/2017</t>
  </si>
  <si>
    <t>PAULO SÉRGIO DE JESUS OLIVEIRA</t>
  </si>
  <si>
    <t>Mochila</t>
  </si>
  <si>
    <t>87 porções. 305,3 g</t>
  </si>
  <si>
    <t>398 porções. 109,9 g</t>
  </si>
  <si>
    <t>200 porções. 27 g</t>
  </si>
  <si>
    <t>Lança-perfume. 31 frascos. 155 ml</t>
  </si>
  <si>
    <t>00765883920168260050</t>
  </si>
  <si>
    <t xml:space="preserve">MAIRA DA SILVA MUNIZ </t>
  </si>
  <si>
    <t>Papéis</t>
  </si>
  <si>
    <t>672 porções. 2539,4 g</t>
  </si>
  <si>
    <t>153 porções. 103 g</t>
  </si>
  <si>
    <t xml:space="preserve">Denúncia anônima. Preso no momento da sentença. Confissão informal. Confissão </t>
  </si>
  <si>
    <t>Sim. Circunstâncias. Consequências. Culpabilidade</t>
  </si>
  <si>
    <t>3a 4m</t>
  </si>
  <si>
    <t>00894625620168260050</t>
  </si>
  <si>
    <t>04/09/2017</t>
  </si>
  <si>
    <t>ANDERSON BATISTA CRESPILHO</t>
  </si>
  <si>
    <t>Celular. Dinheiro R$ 21,00</t>
  </si>
  <si>
    <t>17 porções. 51,5 g</t>
  </si>
  <si>
    <t>156 porções. 111 g</t>
  </si>
  <si>
    <t>4a 4m</t>
  </si>
  <si>
    <t>00199439120168260050</t>
  </si>
  <si>
    <t>TIAGO SILVA SOARES</t>
  </si>
  <si>
    <t>25 porções. 5,5 g</t>
  </si>
  <si>
    <t>Local de tráfico. Confissão. Confissão informal</t>
  </si>
  <si>
    <t>00385098820168260050</t>
  </si>
  <si>
    <t>DANILO DA SILVA</t>
  </si>
  <si>
    <t>Munição. Rádio transmissor. Dinheiro R$ 30,00</t>
  </si>
  <si>
    <t>1171 porções. 2651,7 g</t>
  </si>
  <si>
    <t>118 porções. 83,1 g</t>
  </si>
  <si>
    <t>602 porções. 239,4 g</t>
  </si>
  <si>
    <t>Art. 12 L10826</t>
  </si>
  <si>
    <t>3a 6m</t>
  </si>
  <si>
    <t>ITALO HENRIQUE MACEDO</t>
  </si>
  <si>
    <t>JOÃO VICTOR SOUZA MOREIRA</t>
  </si>
  <si>
    <t>00032578720178260050</t>
  </si>
  <si>
    <t>EDIPO JORDI RODRIGUES DE AZEVEDO</t>
  </si>
  <si>
    <t>Mochila. Caderno. Celular. Dinheiro R$ 210,00</t>
  </si>
  <si>
    <t>101 porções. 190 g</t>
  </si>
  <si>
    <t>500 porções. 312,6 g</t>
  </si>
  <si>
    <t>1200 porções. 232,7 g</t>
  </si>
  <si>
    <t>Confissão informal. Preso no momento da sentença. Denúncia anônima</t>
  </si>
  <si>
    <t>4a</t>
  </si>
  <si>
    <t>00243129420178260050</t>
  </si>
  <si>
    <t>20/09/2017</t>
  </si>
  <si>
    <t xml:space="preserve">Ivo Rodrigues de Lima </t>
  </si>
  <si>
    <t>Peneira. Colher. Caixa térmica. Balança. Caderno. Celular. Faca. Bacia</t>
  </si>
  <si>
    <t>4 sacos. 1 tijolo. 842,2 (total)</t>
  </si>
  <si>
    <t>1 saco. 291,7 g</t>
  </si>
  <si>
    <t>160 porções. 9 tijolos. 1961,4 g (total)</t>
  </si>
  <si>
    <t>00056723420178260635</t>
  </si>
  <si>
    <t>10/10/2017</t>
  </si>
  <si>
    <t>JEFFERSON SILVA</t>
  </si>
  <si>
    <t>Celular. Dinheiro R$ 299,00</t>
  </si>
  <si>
    <t>26 porções. 82,3 g</t>
  </si>
  <si>
    <t>353 porções. 170,9 g</t>
  </si>
  <si>
    <t>55 porções. 14,1 g</t>
  </si>
  <si>
    <t>00078508720168260635</t>
  </si>
  <si>
    <t>14/09/2017</t>
  </si>
  <si>
    <t>PAULO BRUNO DANIEL</t>
  </si>
  <si>
    <t>Veículo. Sacola. Balança. Cigarro. Celular</t>
  </si>
  <si>
    <t>3 porções. 1906 g</t>
  </si>
  <si>
    <t>Confissão informal. Denúncia anônima</t>
  </si>
  <si>
    <t>4a 2m</t>
  </si>
  <si>
    <t>00105348220168260635</t>
  </si>
  <si>
    <t>LUCAS SILVA DA COSTA</t>
  </si>
  <si>
    <t>484 porções. 1109,6 g</t>
  </si>
  <si>
    <t>311 porções. 338,8 g</t>
  </si>
  <si>
    <t>42 porções. 15,6 g</t>
  </si>
  <si>
    <t>Lança-perfume. 63 frascos. 630 ml</t>
  </si>
  <si>
    <t>5a 2m</t>
  </si>
  <si>
    <t>00561843020178260050</t>
  </si>
  <si>
    <t>Marcos Vinicius Souza Bressan</t>
  </si>
  <si>
    <t>Celular. Dinheiro R$ 12,50</t>
  </si>
  <si>
    <t>86 porções. 331,9 g</t>
  </si>
  <si>
    <t>118 porções. 57,6 g</t>
  </si>
  <si>
    <t>129 porções. 18,2 g</t>
  </si>
  <si>
    <t>13 comprimidos. 4,6 g</t>
  </si>
  <si>
    <t>26 porções. 10,4 g</t>
  </si>
  <si>
    <t>Haxixe. 30 porções. 19,6 g</t>
  </si>
  <si>
    <t>00583567620168260050</t>
  </si>
  <si>
    <t>THIAGO GOMES DOS SANTOS</t>
  </si>
  <si>
    <t>Dinheiro R$ 56,00</t>
  </si>
  <si>
    <t>71 porções. 124,8 g</t>
  </si>
  <si>
    <t>124 porções. 46,74 g</t>
  </si>
  <si>
    <t>4a 4m 2d</t>
  </si>
  <si>
    <t>1m 10d</t>
  </si>
  <si>
    <t>4a 5m 12d</t>
  </si>
  <si>
    <t>00123820720168260635</t>
  </si>
  <si>
    <t>GERALDO DOS SANTOS ARAUJO FILHO</t>
  </si>
  <si>
    <t>1 porção. 0,7 g</t>
  </si>
  <si>
    <t>0096963-61.2016.8.26.0050</t>
  </si>
  <si>
    <t>Fernando Rodrigues Sevilhano</t>
  </si>
  <si>
    <t>Dinheiro R$ 60,00</t>
  </si>
  <si>
    <t>1 tijolo. 2 vidros. 2372,2 g (total)</t>
  </si>
  <si>
    <t xml:space="preserve">GABRIEL SANCHEZ ORLANDO </t>
  </si>
  <si>
    <t>Veículo. Balança. Celular. Dinheiro R$ 212,00</t>
  </si>
  <si>
    <t xml:space="preserve">1 tijolo. 488,4 g. 2 pés. 149,9 g </t>
  </si>
  <si>
    <t>Confissão informal. Denúncia</t>
  </si>
  <si>
    <t>00004031420178260635</t>
  </si>
  <si>
    <t>DANIEL COSTA DE ALMEIDA</t>
  </si>
  <si>
    <t>Plástico. Placa de veículo. Balança. Dinheiro R$ 665,00</t>
  </si>
  <si>
    <t>1 tijolo. 736,7 g</t>
  </si>
  <si>
    <t>00453921720178260050</t>
  </si>
  <si>
    <t>23/11/2017</t>
  </si>
  <si>
    <t>VINICIUS LIMA BARBOSA</t>
  </si>
  <si>
    <t>1 tijolo. 853,3 g</t>
  </si>
  <si>
    <t>0007839-58.2016.8.26.0635</t>
  </si>
  <si>
    <t>JONATHAN ALVES PAIXÃO</t>
  </si>
  <si>
    <t>Veículo. Mala. Celular. Dinheiro R$ 2404,00</t>
  </si>
  <si>
    <t>16 tijolos. 7816 g</t>
  </si>
  <si>
    <t xml:space="preserve">THIAGO TEIXEIRA DE LIMA </t>
  </si>
  <si>
    <t>00034639220178260635</t>
  </si>
  <si>
    <t>CLEBER LUIZ SANTANA SANTOS</t>
  </si>
  <si>
    <t>Caixa de óculos. Dinheiro R$ 20,00</t>
  </si>
  <si>
    <t>2 porções. 143,2 g</t>
  </si>
  <si>
    <t>00209768220178260050</t>
  </si>
  <si>
    <t>CARLA FATIMA SANTOS LIMA</t>
  </si>
  <si>
    <t>Dinheiro R$ 26,00</t>
  </si>
  <si>
    <t>2 tijolos. 2700 g</t>
  </si>
  <si>
    <t>ERISO LUCAS FERREIRA LEITE</t>
  </si>
  <si>
    <t>Veículo. Dinheiro R$ 230,00</t>
  </si>
  <si>
    <t>Confissão informal. Preso no momento da sentença. Confissão</t>
  </si>
  <si>
    <t>WELLINGTON ALVES DOS SANTOS</t>
  </si>
  <si>
    <t>Dinheiro R$ 91,00</t>
  </si>
  <si>
    <t>00746922420178260050</t>
  </si>
  <si>
    <t>RONALD CHRISTIAN MOREIRA DOS SANTOS</t>
  </si>
  <si>
    <t>Cheque. Balança. Embalagens. Caderno. Celular. Dinheiro R$ 545,00</t>
  </si>
  <si>
    <t>23 tijolos. 31331 g</t>
  </si>
  <si>
    <t>Confissão. Preso no momento da sentença. Denúncia</t>
  </si>
  <si>
    <t>00437106120168260050</t>
  </si>
  <si>
    <t>11/04/2017</t>
  </si>
  <si>
    <t>EDER MICHEL SALVINO</t>
  </si>
  <si>
    <t>Veículo. Chave. Dinheiro R$ 40,00</t>
  </si>
  <si>
    <t>5 porções. 10,5 g</t>
  </si>
  <si>
    <t>00751374220178260050</t>
  </si>
  <si>
    <t>VICTOR CANUTO DOS SANTOS</t>
  </si>
  <si>
    <t>Mochila. Cupom de passagem. Celular. Dinheiro R$ 64,00</t>
  </si>
  <si>
    <t>6 tijolos. 10156 g</t>
  </si>
  <si>
    <t>Atitude suspeita. Confissão informal. Confissão. Preso no momento da sentença</t>
  </si>
  <si>
    <t>6a 8m</t>
  </si>
  <si>
    <t>00872185720168260050</t>
  </si>
  <si>
    <t>DANILO PEREIRA DA SILVA</t>
  </si>
  <si>
    <t>4,5 g</t>
  </si>
  <si>
    <t>10,1 g</t>
  </si>
  <si>
    <t>Denúncia. Confissão informal. Preso no momento da sentença</t>
  </si>
  <si>
    <t>00182053420178260050</t>
  </si>
  <si>
    <t>IGOR LOPES FONTES SILVA</t>
  </si>
  <si>
    <t>Mochila. Celular</t>
  </si>
  <si>
    <t>190 porções. 1832,5 g</t>
  </si>
  <si>
    <t>1003 porções. 187,2 g</t>
  </si>
  <si>
    <t>Lança-perfume. 40 frascos. 160 ml</t>
  </si>
  <si>
    <t>00439978720178260050</t>
  </si>
  <si>
    <t xml:space="preserve">EMERSON DE OLIVEIRA SILVA </t>
  </si>
  <si>
    <t>Veículos. Talão de cheques. Balança. Chave. Embalagens. Celular</t>
  </si>
  <si>
    <t>23 porções. 53 g. 1 tijolo. 56 g</t>
  </si>
  <si>
    <t>140 porções. 74,2 g</t>
  </si>
  <si>
    <t>00757489220178260050</t>
  </si>
  <si>
    <t>11/10/2017</t>
  </si>
  <si>
    <t>Maria do Carmo Pereira de Lima</t>
  </si>
  <si>
    <t xml:space="preserve">Nada </t>
  </si>
  <si>
    <t>13 porções. 71,6 g</t>
  </si>
  <si>
    <t>15 porções. 6 g</t>
  </si>
  <si>
    <t>00118686320168260050</t>
  </si>
  <si>
    <t>BRUNO DE OLIVEIRA CALACA</t>
  </si>
  <si>
    <t>Celular. Dinheiro R$ 64,00</t>
  </si>
  <si>
    <t>13 porções. 18 g</t>
  </si>
  <si>
    <t>16 porções. 1,1 g</t>
  </si>
  <si>
    <t>00042827220168260050</t>
  </si>
  <si>
    <t>MARCOS VINICIUS SOUZA ALEXANDRE</t>
  </si>
  <si>
    <t>12 porções. 13,80 g</t>
  </si>
  <si>
    <t>17 porções. 8,2 g</t>
  </si>
  <si>
    <t>Denúncia anônima. Local de tráfico. Preso no momento da sentença</t>
  </si>
  <si>
    <t>00269908220178260050</t>
  </si>
  <si>
    <t>11/09/2017</t>
  </si>
  <si>
    <t>BRUNO DE MOURA MEIRELES</t>
  </si>
  <si>
    <t>Veículo. Liquidificador. Galão. Balança. Munição. Caderno. Celular. Bule. Faca. Funil. Panela. Embalagens. Dinheiro R$ 16,00</t>
  </si>
  <si>
    <t>1 porção. 0,8 g</t>
  </si>
  <si>
    <t>216 g</t>
  </si>
  <si>
    <t>Lança-perfume. 1 frasco. 50000 ml</t>
  </si>
  <si>
    <t>00092348520168260635</t>
  </si>
  <si>
    <t>ITALO PEREIRA PINHEIRO</t>
  </si>
  <si>
    <t>25 porções. 23,50 g</t>
  </si>
  <si>
    <t>2180 porções. 1061 g</t>
  </si>
  <si>
    <t>MARCELO BARBOSA DA SILVA</t>
  </si>
  <si>
    <t>Rádio transmissor</t>
  </si>
  <si>
    <t>Denúncia anônima. Atitude suspeita. Preso no momento da sentença. Local de tráfico. Confissao informal. Confissão</t>
  </si>
  <si>
    <t>00080229220178260635</t>
  </si>
  <si>
    <t>30/10/2017</t>
  </si>
  <si>
    <t>VANDERSON BEZERRA DE JESUS</t>
  </si>
  <si>
    <t>Caderno. Dinheiro R$ 322,00</t>
  </si>
  <si>
    <t>3 tijolos. 118,6 g</t>
  </si>
  <si>
    <t>236 porções. 82,5 g</t>
  </si>
  <si>
    <t>Preso no momento da sentença. Confissão. Confissão informal</t>
  </si>
  <si>
    <t>00006899820178260050</t>
  </si>
  <si>
    <t>14/03/2017</t>
  </si>
  <si>
    <t>GREGHORY EDWARD CAMPOS DE OLIVEIRA</t>
  </si>
  <si>
    <t>Bolsa. Celular. Dinheiro R$ 46,00</t>
  </si>
  <si>
    <t>9 porções. 12,1 g</t>
  </si>
  <si>
    <t>26 porções. 19,1 g</t>
  </si>
  <si>
    <t>WILLIAN HENRIQUE DIAS MOSTARDI</t>
  </si>
  <si>
    <t>27 porções. 23 g</t>
  </si>
  <si>
    <t>00085592520168260635</t>
  </si>
  <si>
    <t>ANDRIS ZIVERTS</t>
  </si>
  <si>
    <t>Cartão bancário. Cadeado. Celular. Chaves. Dinheiro $100,00. Dinheiro R$ 50,00</t>
  </si>
  <si>
    <t>31 porções. 2464,8 g</t>
  </si>
  <si>
    <t>Nacionalidade. Denúncia anônima. Preso no momento da sentença</t>
  </si>
  <si>
    <t>CHUKWUDI AFUNANYA</t>
  </si>
  <si>
    <t>Contrato de locação. Passaporte. Estilete. Celular. Sacos. Dinheiro R$ 96,00</t>
  </si>
  <si>
    <t>CLEMENT OSITA OKONKWO</t>
  </si>
  <si>
    <t>Celular. Dinheiro $ 300,00</t>
  </si>
  <si>
    <t>Nacionalidade. Denúncia anônima. Preso no momento da sentença. Confissão informal</t>
  </si>
  <si>
    <t>00657925220178260050</t>
  </si>
  <si>
    <t>IRAN DE QUEIROZ</t>
  </si>
  <si>
    <t>Pochete. Dinheiro R$ 47,00</t>
  </si>
  <si>
    <t>33 porções. 19,1 g</t>
  </si>
  <si>
    <t>00716879120178260050</t>
  </si>
  <si>
    <t>MARCOS VINICIUS ROCHA SANTOS</t>
  </si>
  <si>
    <t>Veículo. Celular. Dinheiro R$ 2303,00</t>
  </si>
  <si>
    <t>971 porções. 2003,4 g</t>
  </si>
  <si>
    <t>398 porções. 326,8 g</t>
  </si>
  <si>
    <t>00009228620178260635</t>
  </si>
  <si>
    <t xml:space="preserve">GISLAINE APARECIDA SABOIA </t>
  </si>
  <si>
    <t>43 porções. 42,4 g</t>
  </si>
  <si>
    <t xml:space="preserve">Preso no momento da sentença. Confissão </t>
  </si>
  <si>
    <t>00086724220178260635</t>
  </si>
  <si>
    <t xml:space="preserve"> HELIO MACIEL BALDRAIA</t>
  </si>
  <si>
    <t>50 porções. 74,9 g</t>
  </si>
  <si>
    <t>45 porções. 25,4 g</t>
  </si>
  <si>
    <t>Confissão. Prisão no momento da sentença</t>
  </si>
  <si>
    <t>00894954620168260050</t>
  </si>
  <si>
    <t>21/11/2017</t>
  </si>
  <si>
    <t>VALDEMIR VIANA DOS SANTOS</t>
  </si>
  <si>
    <t>10 porções. 30,3 g</t>
  </si>
  <si>
    <t>5 porções. 2,1 g</t>
  </si>
  <si>
    <t>00113954320178260050</t>
  </si>
  <si>
    <t>20/07/2017</t>
  </si>
  <si>
    <t>EDVALDO DE OLIVEIRA</t>
  </si>
  <si>
    <t>Veículos. Celulares. Papel. Kit higiene</t>
  </si>
  <si>
    <t>50 tijolos. 45962 g</t>
  </si>
  <si>
    <t>Denúncia anônima. Preso no momento da sentença. Confissão</t>
  </si>
  <si>
    <t>00116518320178260050</t>
  </si>
  <si>
    <t>04/07/2017</t>
  </si>
  <si>
    <t>CICERO LEOPOLDINO DA SILVA</t>
  </si>
  <si>
    <t>Papéis. Celular. Dinheiro R$ 628,25</t>
  </si>
  <si>
    <t>51 porções. 39,6 g</t>
  </si>
  <si>
    <t>Local de tráfico. Preso no momento da sentença. Confissão informal</t>
  </si>
  <si>
    <t>0012132-71.2016.8.26.0635</t>
  </si>
  <si>
    <t xml:space="preserve">CAUE LEANDRO DA SILVA CEGARRA LYRA </t>
  </si>
  <si>
    <t>Veículo. Dinheiro R$ 641,80</t>
  </si>
  <si>
    <t>2072,3 g</t>
  </si>
  <si>
    <t>59,8 g</t>
  </si>
  <si>
    <t xml:space="preserve">RENATO SILVEIRA BOTELHO </t>
  </si>
  <si>
    <t>00055826020168260635</t>
  </si>
  <si>
    <t>ELIAS AUGUSTO SEVERIANO DA CONCEIÇAO</t>
  </si>
  <si>
    <t>26 porções. 66,1 g</t>
  </si>
  <si>
    <t>8 porções. 3,2 g</t>
  </si>
  <si>
    <t>00514174620178260050</t>
  </si>
  <si>
    <t>08/11/2017</t>
  </si>
  <si>
    <t>RODRIGO REGIS CORREA</t>
  </si>
  <si>
    <t>Dinheiro R$ 125,25</t>
  </si>
  <si>
    <t>86 porções. 60,4 g</t>
  </si>
  <si>
    <t>00558899020178260050</t>
  </si>
  <si>
    <t>Marcondes Batista de Moraes Junior</t>
  </si>
  <si>
    <t>Celular. Dinheiro R$ 46,00</t>
  </si>
  <si>
    <t>60 porções. 41,6 g</t>
  </si>
  <si>
    <t>87 porções. 99,6 g</t>
  </si>
  <si>
    <t xml:space="preserve">6a </t>
  </si>
  <si>
    <t>00703446020178260050</t>
  </si>
  <si>
    <t>04/10/2017</t>
  </si>
  <si>
    <t>LUCAS KLEBER SILVA SOUZA</t>
  </si>
  <si>
    <t>94 porções. 288,7 g</t>
  </si>
  <si>
    <t>71 porções. 46,5 g</t>
  </si>
  <si>
    <t>107 porções. 26,5 g</t>
  </si>
  <si>
    <t>00173851520178260050</t>
  </si>
  <si>
    <t>VITOR CESARINO DE ALMEIDA</t>
  </si>
  <si>
    <t>15 porções. 17 g</t>
  </si>
  <si>
    <t>11 porções. 2,7 g</t>
  </si>
  <si>
    <t>Confissão. Confissão informal. Local de tráfico. Atitude suspeita. Preso no momento da sentença</t>
  </si>
  <si>
    <t>00772749420178260050</t>
  </si>
  <si>
    <t>RICARDO PORTELA MEDEIROS</t>
  </si>
  <si>
    <t>Papel. Chave. Cheque. Bolsa. Celular. Dinheiro R$ 246,85</t>
  </si>
  <si>
    <t>4 porções. 16 g</t>
  </si>
  <si>
    <t>20 porções. 2,4 g</t>
  </si>
  <si>
    <t>14 porções. 3 g</t>
  </si>
  <si>
    <t>Confissão. Confissão informal. Preso no momento da sentença</t>
  </si>
  <si>
    <t>00344043420178260050</t>
  </si>
  <si>
    <t>KAIQUE OLIVEIRA DOS SANTOS</t>
  </si>
  <si>
    <t>Estojo. Dinheiro R$ 315,00</t>
  </si>
  <si>
    <t>23 porções. 24,3 g</t>
  </si>
  <si>
    <t>116 porções. 67,8 g</t>
  </si>
  <si>
    <t>01040169320168260050</t>
  </si>
  <si>
    <t>ADRIANO PROFESSOR DOS SANTOS</t>
  </si>
  <si>
    <t>Bolsa. Cachimbo. Dinheiro R$ 59,85</t>
  </si>
  <si>
    <t>18 porções. 43,9 g</t>
  </si>
  <si>
    <t>18 porções. 2,7 g</t>
  </si>
  <si>
    <t>00728504320168260050</t>
  </si>
  <si>
    <t>26/01/2017</t>
  </si>
  <si>
    <t>FELIPE SENA FERREIRA DOS SANTOS</t>
  </si>
  <si>
    <t>Dinheiro R$ 12,00</t>
  </si>
  <si>
    <t>30 porções. 56 g</t>
  </si>
  <si>
    <t>41 porções. 42,8 g</t>
  </si>
  <si>
    <t>18 porções. 6,3 g</t>
  </si>
  <si>
    <t>00557602220168260050</t>
  </si>
  <si>
    <t>ALEXANDRE SANTANA CONCEICAO</t>
  </si>
  <si>
    <t>Cigarro</t>
  </si>
  <si>
    <t>19 potções. 3,8 g</t>
  </si>
  <si>
    <t>Denáncia anônima. Atitude suspeita. Preso no momento da sentença. Confissão informal</t>
  </si>
  <si>
    <t>Sim. Antecedentes. Conduta. Personalidade</t>
  </si>
  <si>
    <t>00582683820168260050</t>
  </si>
  <si>
    <t>01/06/2017</t>
  </si>
  <si>
    <t>BEATRIZ RODRIGUES DA CONCEIÇÃO</t>
  </si>
  <si>
    <t>29 porções. 4,7 g</t>
  </si>
  <si>
    <t>00116214820178260050</t>
  </si>
  <si>
    <t>25/08/2017</t>
  </si>
  <si>
    <t>STIVEN MARQUES</t>
  </si>
  <si>
    <t>Veículo. Celular. Dinheiro R$ 115,00</t>
  </si>
  <si>
    <t>14 porções. 40,3 g</t>
  </si>
  <si>
    <t>12 porções. 5,1 g</t>
  </si>
  <si>
    <t>3 porções. 0,6 g</t>
  </si>
  <si>
    <t>Confissão informal. Local de tráfico. Preso no momento da sentença. Atitude suspeita</t>
  </si>
  <si>
    <t>00134257620168260635</t>
  </si>
  <si>
    <t>27/03/2017</t>
  </si>
  <si>
    <t>MAYCON GABRIEL ALVES DA COSTA</t>
  </si>
  <si>
    <t>4 tijolos. 106 g</t>
  </si>
  <si>
    <t>85 porções. 167 g</t>
  </si>
  <si>
    <t>304 porções. 154 g</t>
  </si>
  <si>
    <t>JOELITON NUNES DE MORAES</t>
  </si>
  <si>
    <t>Arma de fogo. Munições. Dinheiro R$ 930,65</t>
  </si>
  <si>
    <t>00007210620178260050</t>
  </si>
  <si>
    <t>BRUNO MANOEL DA SILVA PEREIRA</t>
  </si>
  <si>
    <t>114 porções. 195g</t>
  </si>
  <si>
    <t>13 porções. 5,5 g</t>
  </si>
  <si>
    <t>32 porções. 6,4 g</t>
  </si>
  <si>
    <t>00940995020168260050</t>
  </si>
  <si>
    <t>JORDAN GIGEK DAMAS</t>
  </si>
  <si>
    <t>1 tijolo. 996,7 g</t>
  </si>
  <si>
    <t>216 porções. 143,5 g</t>
  </si>
  <si>
    <t>392 porções. 56,1 g</t>
  </si>
  <si>
    <t>00110475020168260635</t>
  </si>
  <si>
    <t>CRISTIANO DE JESUS SANTOS</t>
  </si>
  <si>
    <t>Celular. Dinheiro R$ 92,00</t>
  </si>
  <si>
    <t>14 porções. 7 g</t>
  </si>
  <si>
    <t>44 porções. 15,8 g</t>
  </si>
  <si>
    <t>DEIVID ADAN DE SOUZA LEMA</t>
  </si>
  <si>
    <t>Confissão. Local de tráfico. Preso no momento da sentença</t>
  </si>
  <si>
    <t>DANILO DANTAS RODRIGUES</t>
  </si>
  <si>
    <t>Automóvel. Liquidificador. Televisor. Balança. Papéis. Embalagens. Celular. Cartuchos. Dinheiro R$ 589,00</t>
  </si>
  <si>
    <t>00709222320178260050</t>
  </si>
  <si>
    <t>EVERTON LUIS PEREIRA</t>
  </si>
  <si>
    <t>Estojo. Dinheiro R$ 90,00</t>
  </si>
  <si>
    <t>11 porções. 64,7 g</t>
  </si>
  <si>
    <t>66 porções. 10,6 g</t>
  </si>
  <si>
    <t>49 porções. 15,3 g</t>
  </si>
  <si>
    <t>00473220720168260050</t>
  </si>
  <si>
    <t>09/05/2017</t>
  </si>
  <si>
    <t>ISRAEL VIEIRA DOS SANTOS</t>
  </si>
  <si>
    <t>Pochete. Dinheiro R$ 45,00</t>
  </si>
  <si>
    <t>41 porções. 66,3 g</t>
  </si>
  <si>
    <t>18 porções. 17,8 g</t>
  </si>
  <si>
    <t>54 porções. 11,7 g</t>
  </si>
  <si>
    <t>00001512020178260050</t>
  </si>
  <si>
    <t>GILVAN LIMA LOPES</t>
  </si>
  <si>
    <t>Munições. Celular. Pote. Dinheiro R$ 563,00</t>
  </si>
  <si>
    <t>1 tijolo. 275,4 g. 1 porção. 2,7 g</t>
  </si>
  <si>
    <t>3 porções. 2,3 g</t>
  </si>
  <si>
    <t>6 porções. 0,8 g</t>
  </si>
  <si>
    <t>Denúncia anônima. Local de tráfico. Confissão informal</t>
  </si>
  <si>
    <t>00168577820178260050</t>
  </si>
  <si>
    <t xml:space="preserve"> FELIPE SOUZA LIMA</t>
  </si>
  <si>
    <t>4 porções. 19,6 g</t>
  </si>
  <si>
    <t>28 porções. 28,2 g</t>
  </si>
  <si>
    <t>67 porções. 14,1 g</t>
  </si>
  <si>
    <t>Atitude suspeita. Local de tráfico. Confissão informal</t>
  </si>
  <si>
    <t>Sim. Natureza. Variedade</t>
  </si>
  <si>
    <t>00969965120168260050</t>
  </si>
  <si>
    <t>VANESSA DIAS MOREIRA NASCIMENTO</t>
  </si>
  <si>
    <t>Dinheiro R$ 45,00</t>
  </si>
  <si>
    <t>47 porções. 70,9 g</t>
  </si>
  <si>
    <t>70 porções. 32,7 g</t>
  </si>
  <si>
    <t>68 porções. 10,9 g</t>
  </si>
  <si>
    <t>Confissão. Denúncia anônima</t>
  </si>
  <si>
    <t>00905702320168260050</t>
  </si>
  <si>
    <t>23/03/2017</t>
  </si>
  <si>
    <t>KARINA ALVES NORONHA</t>
  </si>
  <si>
    <t>Sacola. Brinquedo. Balança. Dinheiro R$ 70,00</t>
  </si>
  <si>
    <t>79 porções. 60 g</t>
  </si>
  <si>
    <t>Investigação. Local de tráfico</t>
  </si>
  <si>
    <t>00850022620168260050</t>
  </si>
  <si>
    <t xml:space="preserve">Henrique dos Santos </t>
  </si>
  <si>
    <t>Dinheiro R$ 370,00</t>
  </si>
  <si>
    <t>20 porções. 34,2 g</t>
  </si>
  <si>
    <t>66 porções. 4,1 g</t>
  </si>
  <si>
    <t>80 porções. 2,3 g</t>
  </si>
  <si>
    <t>00067039820178260050</t>
  </si>
  <si>
    <t>DANILO RAMOS DOS SANTOS</t>
  </si>
  <si>
    <t>Veículo. Dinheiro R$ 260,00</t>
  </si>
  <si>
    <t>147 porções. 68,3 g</t>
  </si>
  <si>
    <t>92 porções. 18,5 g</t>
  </si>
  <si>
    <t>Denúncia. Confissão informal</t>
  </si>
  <si>
    <t>00440645220178260050</t>
  </si>
  <si>
    <t>19/07/2017</t>
  </si>
  <si>
    <t>JULIO CESAR DA SILVA DONATO</t>
  </si>
  <si>
    <t>Dinheiro R$ 64,00</t>
  </si>
  <si>
    <t>23 porções. 21 g</t>
  </si>
  <si>
    <t>10 comprimidos. 3,2 g</t>
  </si>
  <si>
    <t>Atitude suspeita. Confissão informal</t>
  </si>
  <si>
    <t>00305108420168260050</t>
  </si>
  <si>
    <t>RAPHAEL FRANCISCO DOS SANTOS</t>
  </si>
  <si>
    <t>Dinheiro R$ 175,00</t>
  </si>
  <si>
    <t>18 comprimidos. 5,3 g</t>
  </si>
  <si>
    <t>Sim. Circunstâncias. Quantidade</t>
  </si>
  <si>
    <t>00095758620178260050</t>
  </si>
  <si>
    <t>Wellington Henrique Miranda Viana</t>
  </si>
  <si>
    <t>Mochila. Caderno. Celular. Dinheiro R$ 75,00</t>
  </si>
  <si>
    <t>184 porções. 569 g</t>
  </si>
  <si>
    <t>379 porções. 328,4 g</t>
  </si>
  <si>
    <t>98 porções. 15,3 g</t>
  </si>
  <si>
    <t>19 comprimidos. 5,3 g</t>
  </si>
  <si>
    <t>27 porções. 0,5 g</t>
  </si>
  <si>
    <t>Lança-perfume. 58 frascos. 580 ml. Haxixe. 66 porções. 34,8 g</t>
  </si>
  <si>
    <t>Confissão informal. Local de tráfico. Confissão. Preso no momento da sentença</t>
  </si>
  <si>
    <t>00808737520168260050</t>
  </si>
  <si>
    <t>06/10/2017</t>
  </si>
  <si>
    <t>FILIPE LIRA DE FREITAS DA SILVA</t>
  </si>
  <si>
    <t>22 porções. 6,4 g</t>
  </si>
  <si>
    <t xml:space="preserve">5a </t>
  </si>
  <si>
    <t>00296221820168260050</t>
  </si>
  <si>
    <t>25/09/2017</t>
  </si>
  <si>
    <t>LEONARDO OLIVEIRA DA SILVA</t>
  </si>
  <si>
    <t>Caderno. Estojo. Dinheiro R$ 240,00</t>
  </si>
  <si>
    <t>13 porções. 26,2 g</t>
  </si>
  <si>
    <t>9 porções. 8,3 g</t>
  </si>
  <si>
    <t>3 porções. 2,4 g</t>
  </si>
  <si>
    <t>00001815520178260050</t>
  </si>
  <si>
    <t xml:space="preserve">ANDERSON BARBOSA RODRIGUES </t>
  </si>
  <si>
    <t>Simulacro de arma de fogo. Dinheiro R$ 40,00</t>
  </si>
  <si>
    <t xml:space="preserve"> 2 tijolos. 48,5 g</t>
  </si>
  <si>
    <t>00823763420168260050</t>
  </si>
  <si>
    <t>16/05/2017</t>
  </si>
  <si>
    <t>JEFFERSON DE OLIVEIRA NOLASCO DA SILVA</t>
  </si>
  <si>
    <t>Dinheiro R$ 5,00</t>
  </si>
  <si>
    <t>16 porções. 46,1 g</t>
  </si>
  <si>
    <t>Preso no momento da sentença. Denúncia anônima. Confissão informal</t>
  </si>
  <si>
    <t>00113131220178260050</t>
  </si>
  <si>
    <t>03/10/2017</t>
  </si>
  <si>
    <t>DAX PEREIRA DE OLIVEIRA</t>
  </si>
  <si>
    <t>Veículo. Celular. Dinheiro R$ 82,00</t>
  </si>
  <si>
    <t>3 tijolos. 1654,6 g</t>
  </si>
  <si>
    <t>00674167320168260050</t>
  </si>
  <si>
    <t>07/08/2017</t>
  </si>
  <si>
    <t xml:space="preserve">DANIEL PEREIRA SILVA </t>
  </si>
  <si>
    <t>Veículo. Papéis. Celular</t>
  </si>
  <si>
    <t>357 tijolos. 209300 g</t>
  </si>
  <si>
    <t>Preso no momento da sentença. Confissão informal. Denúncia</t>
  </si>
  <si>
    <t>LUCAS FERNANDO SALES CUSTODIO</t>
  </si>
  <si>
    <t>00104984020168260635</t>
  </si>
  <si>
    <t>ANDRÉ RODRIGUES SOARES SILVA</t>
  </si>
  <si>
    <t>Pochete. Bicicleta</t>
  </si>
  <si>
    <t>58 porções. 136,5 g</t>
  </si>
  <si>
    <t>00586916120178260050</t>
  </si>
  <si>
    <t>CLAUDIO CORREA FERNANDES</t>
  </si>
  <si>
    <t>Veículo. Celular. Dinheiro R$ 300,00</t>
  </si>
  <si>
    <t>101 porções. 75,6 g</t>
  </si>
  <si>
    <t>00040626520168260635</t>
  </si>
  <si>
    <t>RONALDO JANUÁRIO DO NASCIMENTO</t>
  </si>
  <si>
    <t>3 porções. 5,8 g</t>
  </si>
  <si>
    <t>14 porções. 17,9 g</t>
  </si>
  <si>
    <t>00905616120168260050</t>
  </si>
  <si>
    <t>EDSON COSTA DE FRANCA</t>
  </si>
  <si>
    <t>22 porções. 3,7 g</t>
  </si>
  <si>
    <t>Local de tráfico. Atitude suspeita. Preso no momento da sentença</t>
  </si>
  <si>
    <t>00229939120178260050</t>
  </si>
  <si>
    <t>MARIA ROZA DA SILVA SANTOS</t>
  </si>
  <si>
    <t>26 porções. 11,3 g</t>
  </si>
  <si>
    <t>00109046120168260635</t>
  </si>
  <si>
    <t xml:space="preserve">ANTONIO RODRIGUES </t>
  </si>
  <si>
    <t>Sacola. Caderno. Celular. Dinheiro R$ 6216,00</t>
  </si>
  <si>
    <t>78 porções. 111,8 g</t>
  </si>
  <si>
    <t>266 porções. 194,6 g</t>
  </si>
  <si>
    <t xml:space="preserve">DANILO LIMA DA SILVA </t>
  </si>
  <si>
    <t xml:space="preserve">ANDRE ROBERTO VIDAL DOS SANTOS </t>
  </si>
  <si>
    <t>Porta-moeda</t>
  </si>
  <si>
    <t>27 porções. 22,4 g</t>
  </si>
  <si>
    <t>00840756020168260050</t>
  </si>
  <si>
    <t>20/06/2017</t>
  </si>
  <si>
    <t>WELLINGTON CAVALCANTI DOS SANTOS</t>
  </si>
  <si>
    <t>25 porções. 38,7 g</t>
  </si>
  <si>
    <t>27 porções. 9,7 g</t>
  </si>
  <si>
    <t>00129026420168260635</t>
  </si>
  <si>
    <t>ALEXANDRE DE PAULA SILVA</t>
  </si>
  <si>
    <t>29 porções. 6,6 g</t>
  </si>
  <si>
    <t>2m</t>
  </si>
  <si>
    <t>00592589220178260050</t>
  </si>
  <si>
    <t>DIEGO MARCELINO DOS SANTOS</t>
  </si>
  <si>
    <t>Veículo. Celular. Dinheiro R$ 1759,00</t>
  </si>
  <si>
    <t>3 tabletes. 575,5 g. 4 tijolos. 717,3 g</t>
  </si>
  <si>
    <t>3 porções. 938,1 g</t>
  </si>
  <si>
    <t>00262554920178260050</t>
  </si>
  <si>
    <t>FABIO ANTONIO BITTENCOURT OLIVEIRA</t>
  </si>
  <si>
    <t>4 porções. 6,7 g</t>
  </si>
  <si>
    <t>37 porções. 23,1 g</t>
  </si>
  <si>
    <t>00069800820178260635</t>
  </si>
  <si>
    <t>31/10/2017</t>
  </si>
  <si>
    <t>DANIEL ERIC SAAVEDRA CASTILLO</t>
  </si>
  <si>
    <t>Mochila. Liquidificador. Prato. Martelo. Balança. Embalagens. Caderno. Fita adesiva. Faca. Pote. Saco</t>
  </si>
  <si>
    <t>135 porções. 255,8 g. 1 saco. 60,2 g</t>
  </si>
  <si>
    <t xml:space="preserve">4 sacos. 463,5 g </t>
  </si>
  <si>
    <t>Nacionalidade. Local de tráfico. Atitude suspeita. Confissão. Preso no momento da sentença</t>
  </si>
  <si>
    <t>00405985020178260050</t>
  </si>
  <si>
    <t>07/12/2017</t>
  </si>
  <si>
    <t>DIEGO ALBINO RODRIGUES DA SILVA</t>
  </si>
  <si>
    <t>1 porção. 2,5 g</t>
  </si>
  <si>
    <t>50 porções. 37,8 g</t>
  </si>
  <si>
    <t>00010042920178260050</t>
  </si>
  <si>
    <t>CARLOS HENRIQUE GOMES</t>
  </si>
  <si>
    <t>Veículo. Embalagens. Celular. Dinheiro R$ 57,00</t>
  </si>
  <si>
    <t>29 porções. 145,5 g</t>
  </si>
  <si>
    <t>52 porções. 26,1 g</t>
  </si>
  <si>
    <t>00005711620178260635</t>
  </si>
  <si>
    <t>RONALDO AMARANTE DA SILVA</t>
  </si>
  <si>
    <t>Papel. Rádio transmissor. Dinheiro R$ 34,00</t>
  </si>
  <si>
    <t>55 porções. 26,5 g</t>
  </si>
  <si>
    <t>WESLEY HONDA DE SOUZA</t>
  </si>
  <si>
    <t>00036839020178260635</t>
  </si>
  <si>
    <t>JOSE LUIS SANTOS VIEIRA</t>
  </si>
  <si>
    <t>Celular. Dinheiro R$ 160,00</t>
  </si>
  <si>
    <t>11 porções. 24,4 g</t>
  </si>
  <si>
    <t>8 porções. 1,3 g</t>
  </si>
  <si>
    <t>Preso no momento da sentença. Local de tráfico. Confissão informal</t>
  </si>
  <si>
    <t>00496541020178260050</t>
  </si>
  <si>
    <t>23/10/2017</t>
  </si>
  <si>
    <t>LEANDRO REGINALDO FERREIRA</t>
  </si>
  <si>
    <t>Pochete. Papéis. Celular. Dinheiro R$ 52,35</t>
  </si>
  <si>
    <t>72 porções. 121,6 g</t>
  </si>
  <si>
    <t>89 porções. 27,9 g</t>
  </si>
  <si>
    <t>00775150520168260050</t>
  </si>
  <si>
    <t>23/02/2017</t>
  </si>
  <si>
    <t>RICHARD SOARES VILLELA</t>
  </si>
  <si>
    <t>Bolsa. Dinheiro R$ 24,00</t>
  </si>
  <si>
    <t>94 porções. 16,8 g</t>
  </si>
  <si>
    <t>00289215720168260050</t>
  </si>
  <si>
    <t>16/01/2017</t>
  </si>
  <si>
    <t xml:space="preserve">ADEMILTON SILVA DOS SANTOS </t>
  </si>
  <si>
    <t>Celular. Dinheiro R$ 10,00</t>
  </si>
  <si>
    <t>18 porções. 31,4 g</t>
  </si>
  <si>
    <t>10 porções. 2,5 g</t>
  </si>
  <si>
    <t>00998392320158260050</t>
  </si>
  <si>
    <t>06/02/2017</t>
  </si>
  <si>
    <t>TYAGO ROCHA PIRES</t>
  </si>
  <si>
    <t>Pochete. Celular. Dinheiro R$ 141,75</t>
  </si>
  <si>
    <t>36 porções. 26,2 g</t>
  </si>
  <si>
    <t>131 porções. 53 g</t>
  </si>
  <si>
    <t>00135537120178260050</t>
  </si>
  <si>
    <t>MARCOS VINICIUS DE MENEZES</t>
  </si>
  <si>
    <t>Saco</t>
  </si>
  <si>
    <t>140 porções. 177,2 g</t>
  </si>
  <si>
    <t>25 porções. 25,7 g</t>
  </si>
  <si>
    <t>00629036220168260050</t>
  </si>
  <si>
    <t>CARLOS SAMMUEL SAMMEQUE TSANDE BARBOZA</t>
  </si>
  <si>
    <t>Celular. Bloco de anotações. Dinheiro R$ 1000,00</t>
  </si>
  <si>
    <t>60 porções. 20,3 g</t>
  </si>
  <si>
    <t>194 porções. 34,9 g</t>
  </si>
  <si>
    <t>MICHAEL NISE DE ALMEIDA</t>
  </si>
  <si>
    <t>10 porções. 21,4 g</t>
  </si>
  <si>
    <t>5 porções. 1,5 g</t>
  </si>
  <si>
    <t>20 porções. 5,1 g</t>
  </si>
  <si>
    <t>Local de tráfico. Atitude suspeita. Denúncia. Confissão informal. Preso no momento da sentença</t>
  </si>
  <si>
    <t>00073810720178260635</t>
  </si>
  <si>
    <t>13/12/2017</t>
  </si>
  <si>
    <t>LEANDRO XAVIER DA SILVA</t>
  </si>
  <si>
    <t>Celular. Dinheiro R$ 89,00</t>
  </si>
  <si>
    <t>40 porções. 103,7 g</t>
  </si>
  <si>
    <t>42 porções. 22,2 g</t>
  </si>
  <si>
    <t>24 porções. 8,7 g</t>
  </si>
  <si>
    <t>00647982420178260050</t>
  </si>
  <si>
    <t>20/10/2017</t>
  </si>
  <si>
    <t>VALNEI BISPO DE BRITO</t>
  </si>
  <si>
    <t>29 porções. 7,8 g</t>
  </si>
  <si>
    <t xml:space="preserve">ANDERSON DE SOUZA SILVA </t>
  </si>
  <si>
    <t>01061474120168260050</t>
  </si>
  <si>
    <t>DOUGLAS SCHIAVONE</t>
  </si>
  <si>
    <t>Bolsa. Celular. Dinheiro R$ 26,00</t>
  </si>
  <si>
    <t>5 porções. 47,4 g</t>
  </si>
  <si>
    <t>38 porções. 5,6 g</t>
  </si>
  <si>
    <t>Local de tráfico. Confissão informal. Atitude suspeita. Preso no momento da sentença</t>
  </si>
  <si>
    <t>FABIO VINICIUS MANTOVANI MELO</t>
  </si>
  <si>
    <t>Mochila. Balança. Saco. Fita adesiva. Caderno. Celular. Dinheiro R$ 200,00</t>
  </si>
  <si>
    <t>9a 4m</t>
  </si>
  <si>
    <t>00129952720168260635</t>
  </si>
  <si>
    <t>JAVAN DA SILVA DE OLIVEIRA</t>
  </si>
  <si>
    <t>16 porções. 14,7 g</t>
  </si>
  <si>
    <t>13 porções. 6,2 g</t>
  </si>
  <si>
    <t>51 porções. 14,5 g</t>
  </si>
  <si>
    <t>00107158320168260635</t>
  </si>
  <si>
    <t>WELLINGTON DE PAULA JORGE</t>
  </si>
  <si>
    <t>Papéis. Dinheiro R$ 44,00</t>
  </si>
  <si>
    <t>10 porções. 17,7 g</t>
  </si>
  <si>
    <t>11 porções. 10,4 g</t>
  </si>
  <si>
    <t>56 porções. 49,7 g</t>
  </si>
  <si>
    <t>Denúncia anônima. Preso no momento da sentença. Confissao informal</t>
  </si>
  <si>
    <t>00654480820168260050</t>
  </si>
  <si>
    <t>KEVIN MARTINS PALMEIRA DA SILVA</t>
  </si>
  <si>
    <t>Pochete. Celular. Dinheiro R$ 27,00</t>
  </si>
  <si>
    <t>65 porções. 135,7 g</t>
  </si>
  <si>
    <t>113 porções. 112,8 g</t>
  </si>
  <si>
    <t>46 porções. 17,5 g</t>
  </si>
  <si>
    <t>2 comprimidos. 0,4 g</t>
  </si>
  <si>
    <t>Denúncia. Local de tráfico. Confissão informal. Preso no momento da sentença</t>
  </si>
  <si>
    <t>00067463520178260050</t>
  </si>
  <si>
    <t>29/09/2017</t>
  </si>
  <si>
    <t>LEANDRO OLIVEIRA DO NASCIMENTO</t>
  </si>
  <si>
    <t>53 porções. 66,7 g</t>
  </si>
  <si>
    <t>6 porções. 5,5 g</t>
  </si>
  <si>
    <t>40 porções. 12,4 g</t>
  </si>
  <si>
    <t>5a 3m</t>
  </si>
  <si>
    <t>00942199320168260050</t>
  </si>
  <si>
    <t>MICHAEL JACKSON SOUZA</t>
  </si>
  <si>
    <t>31 porções. 132 g</t>
  </si>
  <si>
    <t>42 porções. 27,5 g</t>
  </si>
  <si>
    <t>46 porções. 11,5 g</t>
  </si>
  <si>
    <t>Denúncia anônima. Preso no momento da sentença</t>
  </si>
  <si>
    <t>00557109320168260050</t>
  </si>
  <si>
    <t>RAIMUNDO DE JESUS MARTINS MAIA</t>
  </si>
  <si>
    <t>Pochete. Dinheiro R$ 1204,50</t>
  </si>
  <si>
    <t>25 porções. 13,8 g</t>
  </si>
  <si>
    <t>50 porções. 50 g</t>
  </si>
  <si>
    <t>86 porções. 59,5 g</t>
  </si>
  <si>
    <t>Denúncia anônima. Local de tráfico</t>
  </si>
  <si>
    <t>00493140320168260050</t>
  </si>
  <si>
    <t>MARCOS PAULO DIAS VICENTE</t>
  </si>
  <si>
    <t>2900,5g</t>
  </si>
  <si>
    <t>00028472020178260635</t>
  </si>
  <si>
    <t>DOUGLAS CARDOSO DA SILVA</t>
  </si>
  <si>
    <t>Estojo. CD player. Celular. Dinheiro R$ 1200,00</t>
  </si>
  <si>
    <t>26 porções. 5,6 g</t>
  </si>
  <si>
    <t>00100584420168260635</t>
  </si>
  <si>
    <t>EDER PIMENTEL DE CASTRO OLIVEIRA</t>
  </si>
  <si>
    <t>Mochila. Caderno. Celular</t>
  </si>
  <si>
    <t>10 porções. 23,1g</t>
  </si>
  <si>
    <t>685 porções. 503,5 g</t>
  </si>
  <si>
    <t>193 porções. 95,6 g</t>
  </si>
  <si>
    <t>Lança-perfume. 23 frascos. 276 ml</t>
  </si>
  <si>
    <t>Preso no momento da sentença. Local de tráfico. Confissão</t>
  </si>
  <si>
    <t>00521553420178260050</t>
  </si>
  <si>
    <t>MARINETE FIGUEIREDO DA SILVA</t>
  </si>
  <si>
    <t>Dinheiro R$ 190,00</t>
  </si>
  <si>
    <t>7 porções. 14,5 g</t>
  </si>
  <si>
    <t>6 porções. 1,6 g</t>
  </si>
  <si>
    <t>38 porções. 9,7 g</t>
  </si>
  <si>
    <t>00657223520178260050</t>
  </si>
  <si>
    <t xml:space="preserve">EDUARDO LUIZ SILVA </t>
  </si>
  <si>
    <t>2 tijolos. 1625,9 g</t>
  </si>
  <si>
    <t xml:space="preserve">LUCAS SEVERINO DE SOUZA </t>
  </si>
  <si>
    <t>00102911620178260050</t>
  </si>
  <si>
    <t>CHARLIE XAVIER SANTOS MATOS</t>
  </si>
  <si>
    <t>Estojo. Celular. Dinheiro R$ 35,00</t>
  </si>
  <si>
    <t>241 porções. 264,9 g</t>
  </si>
  <si>
    <t>Sim. Consequências. Quantidade</t>
  </si>
  <si>
    <t>00134127720168260635</t>
  </si>
  <si>
    <t>02/03/2017</t>
  </si>
  <si>
    <t>Emerson Mateus Borges</t>
  </si>
  <si>
    <t>Bijuterias</t>
  </si>
  <si>
    <t>2 tijolos. 800,5 g</t>
  </si>
  <si>
    <t>1 porção. 13,3 g</t>
  </si>
  <si>
    <t>00339470220178260050</t>
  </si>
  <si>
    <t>EDUARDO MAURICIO DE ALMEIDA</t>
  </si>
  <si>
    <t>153 porções. 45,1 g</t>
  </si>
  <si>
    <t>00698682220178260050</t>
  </si>
  <si>
    <t xml:space="preserve">JONATHAN CARDOSO </t>
  </si>
  <si>
    <t>Dinheiro R$ 17,50</t>
  </si>
  <si>
    <t>13 porções. 39,3 g</t>
  </si>
  <si>
    <t>42 porções. 27,4 g</t>
  </si>
  <si>
    <t>Lança-perfume. 4  frascos. 260 ml</t>
  </si>
  <si>
    <t>00093592820178260050</t>
  </si>
  <si>
    <t>29/05/2017</t>
  </si>
  <si>
    <t>KENETY ANDERSON MARCONDES DE ALEMIDA</t>
  </si>
  <si>
    <t>Dinheiro R$ 446,00</t>
  </si>
  <si>
    <t>1509 porções. 1841,9 g</t>
  </si>
  <si>
    <t>4216 porções. 2883 g</t>
  </si>
  <si>
    <t>00062777720178260635</t>
  </si>
  <si>
    <t>JHONATHAN BARBOSA DE SOUZA</t>
  </si>
  <si>
    <t>Dinheiro R$ 28,00</t>
  </si>
  <si>
    <t>28 porções. 99,7 g</t>
  </si>
  <si>
    <t>24 porções. 14,6 g</t>
  </si>
  <si>
    <t>Lança-perfume. 4 frascos. 68 ml</t>
  </si>
  <si>
    <t>Preso no momento da sentença. Confissão. Local de tráfico. Confissão informal. Atitude suspeita</t>
  </si>
  <si>
    <t>MAICON MARIO DA CUNHA</t>
  </si>
  <si>
    <t>17 porções. 20,9 g</t>
  </si>
  <si>
    <t>15 porções. 3,0 g</t>
  </si>
  <si>
    <t>00082518620168260635</t>
  </si>
  <si>
    <t>11/01/2017</t>
  </si>
  <si>
    <t>WILLIAM HENRIQUE BRUNO</t>
  </si>
  <si>
    <t>Papel</t>
  </si>
  <si>
    <t>37 porções. 18,7 g</t>
  </si>
  <si>
    <t>24 porções. 5,3 g</t>
  </si>
  <si>
    <t>Lança-perfume. 4 frascos. 24 ml</t>
  </si>
  <si>
    <t>DIOGO DE ALMEIDA</t>
  </si>
  <si>
    <t>36 porções. 512,8 g</t>
  </si>
  <si>
    <t>Investigação. Preso no momento da sentença. Confissão informal. Local de tráfico</t>
  </si>
  <si>
    <t>00065092620168260635</t>
  </si>
  <si>
    <t xml:space="preserve">GUILHERME HENRIQUE TEOFILO DA SILVA </t>
  </si>
  <si>
    <t>Sacola. Dinheiro R$ 85,00</t>
  </si>
  <si>
    <t>102,3 g</t>
  </si>
  <si>
    <t>26,1 g</t>
  </si>
  <si>
    <t>6,4 g</t>
  </si>
  <si>
    <t>Lança-perfume. 8 frascos. 136 ml</t>
  </si>
  <si>
    <t>Local de tráfico. Denúncia anônima. Preso no momento da sentença. Confissão informal</t>
  </si>
  <si>
    <t>00215812820178260050</t>
  </si>
  <si>
    <t>ELIOMAR SANTOS DE AQUINO JUNIOR</t>
  </si>
  <si>
    <t>37 porções. 65,3 g</t>
  </si>
  <si>
    <t>100 porções. 73,6 g</t>
  </si>
  <si>
    <t>65 porções. 29 g</t>
  </si>
  <si>
    <t>00549813320178260050</t>
  </si>
  <si>
    <t>RONALDO APARECIDO DA SILVA BATISTA</t>
  </si>
  <si>
    <t>5 porções. 9,5 g</t>
  </si>
  <si>
    <t>16 porções. 13,5 g</t>
  </si>
  <si>
    <t>Atitude suspeita. Confissão informal. Local de tráfico</t>
  </si>
  <si>
    <t>00011600820178260635</t>
  </si>
  <si>
    <t>GLÁUCIA BEATRIZ LOYOLA MOREIRA</t>
  </si>
  <si>
    <t>Veículo. Mala. Celular. Passagens. Roupa de cama</t>
  </si>
  <si>
    <t>14 tijolos. 10700 g</t>
  </si>
  <si>
    <t>Confissão. Preso no momento da sentença. Denúncia anônima</t>
  </si>
  <si>
    <t>6a 2m 20d</t>
  </si>
  <si>
    <t>00198188920178260050</t>
  </si>
  <si>
    <t>06/06/2017</t>
  </si>
  <si>
    <t>ELENIDIO MESSIAS DE JESUS</t>
  </si>
  <si>
    <t>Calvície total</t>
  </si>
  <si>
    <t>600 porções. 811,6 g</t>
  </si>
  <si>
    <t>550 porções. 233,5 g</t>
  </si>
  <si>
    <t>2800 porções. 604,6 g</t>
  </si>
  <si>
    <t>Lança-perfume. 200 frascos. 1600 ml</t>
  </si>
  <si>
    <t>00480002220168260050</t>
  </si>
  <si>
    <t>07/04/2017</t>
  </si>
  <si>
    <t>JUDITE MACHIANE</t>
  </si>
  <si>
    <t>Documentos. Ferramentas. Notebook. Estile. Necessaire. Itens de papelaria. Bicarbonato de sódio. Celular. Tecido. Chaves. Dinheiro R$443,00. Dinheiro U$ 200,00</t>
  </si>
  <si>
    <t>20 porções. 3609,2 g</t>
  </si>
  <si>
    <t>Nacionalidade. Confissão. Preso no momento da sentença. Denúncia anônima</t>
  </si>
  <si>
    <t>6a 5m 23d</t>
  </si>
  <si>
    <t>00120876720168260635</t>
  </si>
  <si>
    <t>MARCUS VINICIUS GOMES DE SOUZA</t>
  </si>
  <si>
    <t>Mochila. Moto. Cartuchos. Papéis</t>
  </si>
  <si>
    <t>97,3 g</t>
  </si>
  <si>
    <t>1150,2 g</t>
  </si>
  <si>
    <t>170,6 g</t>
  </si>
  <si>
    <t>Art. 16 L10826. Art. 244-B ECA. Art. 329 CP</t>
  </si>
  <si>
    <t>Art. 16 L10826. Art. 329 CP</t>
  </si>
  <si>
    <t>6a 6m</t>
  </si>
  <si>
    <t>4a 3m</t>
  </si>
  <si>
    <t>10a 9m</t>
  </si>
  <si>
    <t>00727014720168260050</t>
  </si>
  <si>
    <t>02/10/2017</t>
  </si>
  <si>
    <t>REINALDO MOURA PERES DA SILVA</t>
  </si>
  <si>
    <t>Veículo. Papéis. Celular. Dinheiro R$ 80,00</t>
  </si>
  <si>
    <t>20 tijolos. 19488 g</t>
  </si>
  <si>
    <t>5a 7m 15d</t>
  </si>
  <si>
    <t>6a 6m 22d</t>
  </si>
  <si>
    <t>RINGLE DURVAL GLERIA</t>
  </si>
  <si>
    <t>10a 8m</t>
  </si>
  <si>
    <t>GILVAN SOARES</t>
  </si>
  <si>
    <t>Sim. Antecedentes. Quantidade</t>
  </si>
  <si>
    <t>LUZIMAR DA SILVA PEREIRA</t>
  </si>
  <si>
    <t>00954737220148260050</t>
  </si>
  <si>
    <t>Wellington Alves dos Santos de Paulo</t>
  </si>
  <si>
    <t>Dinheiro R$ 47,00</t>
  </si>
  <si>
    <t>131 porções. 379,4 g</t>
  </si>
  <si>
    <t>116 porções. 44,6 g</t>
  </si>
  <si>
    <t>00941826620168260050</t>
  </si>
  <si>
    <t xml:space="preserve">AMANDINE MAGALIE CORALIE DIEDRICH </t>
  </si>
  <si>
    <t>Passaporte. Embalagens de suco. Embalagem de salgadinho. Celular. Dinheiro R$12,00</t>
  </si>
  <si>
    <t>154 porções. 1802 g</t>
  </si>
  <si>
    <t>Preso no momento da sentença. Confissão. Confissão Informal. Nacionalidade</t>
  </si>
  <si>
    <t>Sim. Circunstâncias. Natureza. Quantidade</t>
  </si>
  <si>
    <t>9a 8m</t>
  </si>
  <si>
    <t>CHRIS DAVIS</t>
  </si>
  <si>
    <t>Embalagem de suco. Embalagem de salgadinho. Celular. Dinheiro $20 Euros</t>
  </si>
  <si>
    <t>00112958820178260050</t>
  </si>
  <si>
    <t>Lucas Bueno da Silva</t>
  </si>
  <si>
    <t>26 porções. 4,8 g</t>
  </si>
  <si>
    <t>00275510920178260050</t>
  </si>
  <si>
    <t>REINALDO TEIXEIRA LEME</t>
  </si>
  <si>
    <t>1 tijolo. 1031,2 g</t>
  </si>
  <si>
    <t>00039612820168260635</t>
  </si>
  <si>
    <t>CAIO DA SILVA BARROS</t>
  </si>
  <si>
    <t>Pochete. Dinheiro R$ 35,00</t>
  </si>
  <si>
    <t>20 porções. 23,3 g</t>
  </si>
  <si>
    <t>25 porções. 27,6 g</t>
  </si>
  <si>
    <t>00042996520178260635</t>
  </si>
  <si>
    <t>28/06/2017</t>
  </si>
  <si>
    <t>ANDRE KRISTMAN FARIA</t>
  </si>
  <si>
    <t>8 tijolos. 674,4 g</t>
  </si>
  <si>
    <t>29 comprimidos. 8,7 g</t>
  </si>
  <si>
    <t>Haxixe. 2 porções. 22,1 g</t>
  </si>
  <si>
    <t>00300315720178260050</t>
  </si>
  <si>
    <t>Diogo dos Santos</t>
  </si>
  <si>
    <t>Celular. Dinheiro R$ 42,00</t>
  </si>
  <si>
    <t>10 porções. 5 g</t>
  </si>
  <si>
    <t>10 porções. 1,9 g</t>
  </si>
  <si>
    <t>6a 9m</t>
  </si>
  <si>
    <t>00006491920178260050</t>
  </si>
  <si>
    <t>08/03/2017</t>
  </si>
  <si>
    <t>JOHNNY BARBOSA DE ARAUJO</t>
  </si>
  <si>
    <t>146,1 g</t>
  </si>
  <si>
    <t>Local de tráfico. Preso no momento da sentença. Confissão informal. Atitude suspeita</t>
  </si>
  <si>
    <t>6a 9m 20d</t>
  </si>
  <si>
    <t>00125207120168260635</t>
  </si>
  <si>
    <t>RONALDO DO NASCIMENTO</t>
  </si>
  <si>
    <t>Automóvel. Mochila. Sacos. Embalagens. Papéis. Dinheiro R$ 308,00</t>
  </si>
  <si>
    <t>15 porções. 15 g</t>
  </si>
  <si>
    <t xml:space="preserve">Sim. Antecedentes </t>
  </si>
  <si>
    <t>4a 1m</t>
  </si>
  <si>
    <t>10a 10m 20d</t>
  </si>
  <si>
    <t>00338968820178260050</t>
  </si>
  <si>
    <t>MARCOS VINICIUS FARIAS DA SILVA</t>
  </si>
  <si>
    <t>Pochete. Dinheiro R$ 128,10</t>
  </si>
  <si>
    <t>14 porções. 26,2 g</t>
  </si>
  <si>
    <t>159 porções. 70,5 g</t>
  </si>
  <si>
    <t>00487303320168260050</t>
  </si>
  <si>
    <t xml:space="preserve">MARCELO SILVA PORCARI </t>
  </si>
  <si>
    <t>Veículo. Celular. Caderno. Dinheiro R$ 55000,00</t>
  </si>
  <si>
    <t>2 porções. 2,6 g</t>
  </si>
  <si>
    <t>222 porções. 73,3 g</t>
  </si>
  <si>
    <t>00634950920168260050</t>
  </si>
  <si>
    <t>HARRISON DIEGO DOS SANTOS</t>
  </si>
  <si>
    <t>10 porções. 0,9 g</t>
  </si>
  <si>
    <t>296 porções. 61,7 g</t>
  </si>
  <si>
    <t>00384024420168260050</t>
  </si>
  <si>
    <t>MICHEL MOTTA FELIPE</t>
  </si>
  <si>
    <t>Celular. Dinheiro R$ 40,00</t>
  </si>
  <si>
    <t>3 porções. 1,5 g</t>
  </si>
  <si>
    <t>00689253920168260050</t>
  </si>
  <si>
    <t>ALAN KAIC QUEIROZ BARBOSA</t>
  </si>
  <si>
    <t>Celular. Dinheiro R$ 184,00</t>
  </si>
  <si>
    <t>42 porções. 19,5 g</t>
  </si>
  <si>
    <t>00120487020168260635</t>
  </si>
  <si>
    <t>BRUNO HENRIQUE DA SILVA OLIVEIRA</t>
  </si>
  <si>
    <t>104 porções. 275 g</t>
  </si>
  <si>
    <t>82 porções. 61,6 g</t>
  </si>
  <si>
    <t>Local de tráfico. Preso no momento da sentença. Denúncia</t>
  </si>
  <si>
    <t>0013747-96.2016.8.26.0635</t>
  </si>
  <si>
    <t xml:space="preserve">SILVANIL CAMPANHA VIEIRA </t>
  </si>
  <si>
    <t>Cachimbo. R$ 10,00</t>
  </si>
  <si>
    <t>1 porção. 0,2 g</t>
  </si>
  <si>
    <t>01059208520158260050</t>
  </si>
  <si>
    <t>13/01/2017</t>
  </si>
  <si>
    <t>WAGNER ROBERTO SOARES</t>
  </si>
  <si>
    <t>Pochete. Dinheiro R$ 54,00</t>
  </si>
  <si>
    <t>21 porções. 7,2 g</t>
  </si>
  <si>
    <t>100 porções. 21,1 g</t>
  </si>
  <si>
    <t>Sim. Antecedentes. Variedade</t>
  </si>
  <si>
    <t>00078932420168260635</t>
  </si>
  <si>
    <t>JUAREZ SANTOS DA SILVA</t>
  </si>
  <si>
    <t>100 porções. 54 g</t>
  </si>
  <si>
    <t>Sim. Antecedentes. Personalidade. Quantidade</t>
  </si>
  <si>
    <t>00748268520168260050</t>
  </si>
  <si>
    <t>04/05/2017</t>
  </si>
  <si>
    <t>WELLINGTON RODRIGUES DOS SANTOS</t>
  </si>
  <si>
    <t>102 porções. 189,4 g</t>
  </si>
  <si>
    <t>8 porções. 5,4 g</t>
  </si>
  <si>
    <t>244 porções. 50,6 g</t>
  </si>
  <si>
    <t>00126531620168260635</t>
  </si>
  <si>
    <t>BRUNO RODRIGUES DE ANDRADE LIMA</t>
  </si>
  <si>
    <t>Embalagem de cigarro</t>
  </si>
  <si>
    <t>22 porções. 16,3 g</t>
  </si>
  <si>
    <t>25 porções. 3,9 g</t>
  </si>
  <si>
    <t xml:space="preserve">ROGÉRIO JOSÉ MACEDO </t>
  </si>
  <si>
    <t>00836278720168260050</t>
  </si>
  <si>
    <t>MARCOS PEREIRA VIEIRA</t>
  </si>
  <si>
    <t>Caderno. Estojo. Dinheiro R$ 62,00</t>
  </si>
  <si>
    <t>39 porções. 88,2 g</t>
  </si>
  <si>
    <t>30 porções. 8,2 g</t>
  </si>
  <si>
    <t>43 porções. 13,3 g</t>
  </si>
  <si>
    <t>00025536520178260635</t>
  </si>
  <si>
    <t>13/06/2017</t>
  </si>
  <si>
    <t>SUELI MESSIAS DOS SANTOS</t>
  </si>
  <si>
    <t>78 porções. 125,5 g</t>
  </si>
  <si>
    <t>34 porções. 29,5 g</t>
  </si>
  <si>
    <t>48 porções. 11,3 g</t>
  </si>
  <si>
    <t>Preso no momento da sentença. Confissão informal. Confissão. Atitude suspeita</t>
  </si>
  <si>
    <t>Sim. Culpabilidade. Quantidade</t>
  </si>
  <si>
    <t>0004434-23.2016.8.26.0050</t>
  </si>
  <si>
    <t xml:space="preserve">JAILSON ANDRE DA SILVA </t>
  </si>
  <si>
    <t>Pochete. Papéis. Dinheiro R$ 60,00</t>
  </si>
  <si>
    <t>61 porções. 67 g</t>
  </si>
  <si>
    <t>54 porções. 10 g</t>
  </si>
  <si>
    <t>81 porções. 17 g</t>
  </si>
  <si>
    <t>00496350420178260050</t>
  </si>
  <si>
    <t>RENAN DARCISO DA SILVA</t>
  </si>
  <si>
    <t>1352 porções. 531,1 g</t>
  </si>
  <si>
    <t>Art. 307 CP</t>
  </si>
  <si>
    <t>00254101720178260050</t>
  </si>
  <si>
    <t>FRANCELINO NETO GOMES DA SILVA</t>
  </si>
  <si>
    <t>Dinheiro R$ 66,00</t>
  </si>
  <si>
    <t>2 porções. 3,2 g</t>
  </si>
  <si>
    <t>2 porções. 0,3 g</t>
  </si>
  <si>
    <t>00959728520168260050</t>
  </si>
  <si>
    <t>RENATO DA SILVA GOMES</t>
  </si>
  <si>
    <t>20 porções. 35,8 g</t>
  </si>
  <si>
    <t>259 porções. 158,8 g</t>
  </si>
  <si>
    <t>00399350420178260050</t>
  </si>
  <si>
    <t>ROSENILDO FERREIRA LINS</t>
  </si>
  <si>
    <t>Bolsa. Sacola. Dinheiro R$ 259,00</t>
  </si>
  <si>
    <t>117 porções. 226,4 g</t>
  </si>
  <si>
    <t>320 porções. 111,5 g</t>
  </si>
  <si>
    <t xml:space="preserve">MARCOS ALMEIDA DE OLIVEIRA </t>
  </si>
  <si>
    <t>00708608020178260050</t>
  </si>
  <si>
    <t>ALBERTO DANTAS DE OLIVEIRA</t>
  </si>
  <si>
    <t>Calvície parcial</t>
  </si>
  <si>
    <t>5 porções. 1,8 g. 1 saco. 1170,4 g</t>
  </si>
  <si>
    <t>00009965220178260050</t>
  </si>
  <si>
    <t>DIEGO PHELIPE DE OLIVEIRA</t>
  </si>
  <si>
    <t>99 porções. 263 g</t>
  </si>
  <si>
    <t>66 porções. 64,6 g</t>
  </si>
  <si>
    <t>00969766020168260050</t>
  </si>
  <si>
    <t>JAILTON SOUZA SANTOS</t>
  </si>
  <si>
    <t>927 porções. 756,4 g</t>
  </si>
  <si>
    <t>00354375920178260050</t>
  </si>
  <si>
    <t>DOUGLAS ALEXANDRE GUILHERME</t>
  </si>
  <si>
    <t>Bolsa. Balança. Caderno</t>
  </si>
  <si>
    <t>40 porções. 1 tijolo. 680,40 g (total)</t>
  </si>
  <si>
    <t>1 tijolo. 780,9 g</t>
  </si>
  <si>
    <t>00693867420178260050</t>
  </si>
  <si>
    <t>LUCAS GOMES DA SILVA</t>
  </si>
  <si>
    <t>Bolsa. Celular</t>
  </si>
  <si>
    <t>7 porções. 13,3 g</t>
  </si>
  <si>
    <t>47 porções. 22,2 g</t>
  </si>
  <si>
    <t>30 porções. 5,5 g</t>
  </si>
  <si>
    <t>Sim. Personalidade. Quantidade</t>
  </si>
  <si>
    <t>00505687420178260050</t>
  </si>
  <si>
    <t>LEONE SILVA DE OLIVEIRA</t>
  </si>
  <si>
    <t>Celular. Dinheiro R$ 75,00</t>
  </si>
  <si>
    <t>70 porções. 72,4 g</t>
  </si>
  <si>
    <t>75 porções. 43,3 g</t>
  </si>
  <si>
    <t>32 porções. 4,4 g</t>
  </si>
  <si>
    <t>00127987220168260635</t>
  </si>
  <si>
    <t>ANDRE LUIZ BARBOSA COTA</t>
  </si>
  <si>
    <t>Papéis. Dinheiro R$ 651,00</t>
  </si>
  <si>
    <t>85 porções. 88,4 g</t>
  </si>
  <si>
    <t>31 porções. 14,86 g</t>
  </si>
  <si>
    <t>32 porções. 6,8 g</t>
  </si>
  <si>
    <t>Atitude suspeita. Local de tráfico</t>
  </si>
  <si>
    <t>ANANIAS GUEDES CANDIDO</t>
  </si>
  <si>
    <t>40 porções. 215,2 g</t>
  </si>
  <si>
    <t>161 porções. 88 g</t>
  </si>
  <si>
    <t>60 porções. 23,3 g</t>
  </si>
  <si>
    <t>Sim. Personalidade. Variedade</t>
  </si>
  <si>
    <t xml:space="preserve">Paulo Henrique Magalde Teixeira </t>
  </si>
  <si>
    <t>Pochete. Papéis</t>
  </si>
  <si>
    <t>7a 3m 15d</t>
  </si>
  <si>
    <t>00132837220168260635</t>
  </si>
  <si>
    <t>17/07/2017</t>
  </si>
  <si>
    <t xml:space="preserve">ALBERTO DIEGO DOS REMEDIOS </t>
  </si>
  <si>
    <t>Bolsa. Chave. Papel filme. Papel alumínio. Dinheiro R$ 102,00</t>
  </si>
  <si>
    <t>10 tijolos. 9903 g</t>
  </si>
  <si>
    <t>7a 6m</t>
  </si>
  <si>
    <t>JAIRO ALVES DA SILVA</t>
  </si>
  <si>
    <t>00085755120178260050</t>
  </si>
  <si>
    <t>08/08/2017</t>
  </si>
  <si>
    <t>Ricardo Gomes dos Santos</t>
  </si>
  <si>
    <t>Bolsa. Dinheiro R$ 25,0</t>
  </si>
  <si>
    <t>49 porções. 260,9 g</t>
  </si>
  <si>
    <t>135 porções. 84,4 g</t>
  </si>
  <si>
    <t>71 porções. 25,6 g</t>
  </si>
  <si>
    <t>00033288920178260050</t>
  </si>
  <si>
    <t>15/05/2017</t>
  </si>
  <si>
    <t>ANDRE LUIS SOUSA NOVAES</t>
  </si>
  <si>
    <t>4750 porções. 11293 g</t>
  </si>
  <si>
    <t>2298 porções. 2051 g</t>
  </si>
  <si>
    <t>896 porções. 273,67 g</t>
  </si>
  <si>
    <t>00058845520178260635</t>
  </si>
  <si>
    <t>AILA DA SILVA PENA</t>
  </si>
  <si>
    <t>Liquidificador. Prensa. Explosivo. Forno. Munição. Farmacêuticos. Potes. Arma de fogo. Dinheiro R$ 382,00</t>
  </si>
  <si>
    <t>7 sacos. 1 tijolo. 3000 g (total)</t>
  </si>
  <si>
    <t>401 comprimidos. 246,3 g</t>
  </si>
  <si>
    <t>13 porções. 0,2 g</t>
  </si>
  <si>
    <t>Anabolizantes. Anorexígenos</t>
  </si>
  <si>
    <t>Art. 33. Art. 34. Art. 35</t>
  </si>
  <si>
    <t>Art. 12 L10826. Art. 16 L10826. Art. 273, § 1º-B CP</t>
  </si>
  <si>
    <t>Art. 16 L10826 (2 vezes). Art. 273, § 1º-B CP</t>
  </si>
  <si>
    <t>17a 6m</t>
  </si>
  <si>
    <t>31a</t>
  </si>
  <si>
    <t>DANIEL DE CARVALHO DA SILVA</t>
  </si>
  <si>
    <t xml:space="preserve">GABRIEL BARBOSA BEZERRA </t>
  </si>
  <si>
    <t>Confissão informal. Preso no momento da sentença. Atitude suspeita</t>
  </si>
  <si>
    <t>PETER LOUID OKEKE</t>
  </si>
  <si>
    <t>Nacionalidade. Preso no momento da sentença. Denúncia anônima</t>
  </si>
  <si>
    <t>7a 9m 10d</t>
  </si>
  <si>
    <t>EMERSON DOS SANTOS BERNARDINO</t>
  </si>
  <si>
    <t>00101769220178260050</t>
  </si>
  <si>
    <t>KADRI GUNDUZ</t>
  </si>
  <si>
    <t>Veículo. Extrato. Passaporte. Envelope. Celular. Dinheiro U$ 2270,00. Dinheiro R$ 60,00</t>
  </si>
  <si>
    <t>14 blocos. 14016,6 g</t>
  </si>
  <si>
    <t>Nacionalidade. Preso no momento da sentença. Denúncia</t>
  </si>
  <si>
    <t>CAROLINE DIAS DA SILVA</t>
  </si>
  <si>
    <t>Sim. Personalidade</t>
  </si>
  <si>
    <t>8a  4m 24d</t>
  </si>
  <si>
    <t>00017317020178260540</t>
  </si>
  <si>
    <t>18/12/2017</t>
  </si>
  <si>
    <t>19 tijolos. 17349,6 g</t>
  </si>
  <si>
    <t>8a 2m</t>
  </si>
  <si>
    <t>00821035520168260050</t>
  </si>
  <si>
    <t>03/02/2017</t>
  </si>
  <si>
    <t>Marcio Prada Lins</t>
  </si>
  <si>
    <t>Sacos</t>
  </si>
  <si>
    <t>241 porções. 72,3 g</t>
  </si>
  <si>
    <t>Art. 129 CP. Art. 329 CP. Art. 331 CP</t>
  </si>
  <si>
    <t>1a 0m 25d</t>
  </si>
  <si>
    <t>9a 2m 25d</t>
  </si>
  <si>
    <t>00533107220178260050</t>
  </si>
  <si>
    <t>RONALD ROGER GRIFO</t>
  </si>
  <si>
    <t>Estojo. Dinheiro R$ 17,00</t>
  </si>
  <si>
    <t>60 porções. 116,1 g</t>
  </si>
  <si>
    <t>14 porções. 7,7 g</t>
  </si>
  <si>
    <t>100 porções. 12,6 g</t>
  </si>
  <si>
    <t>00036702820168260635</t>
  </si>
  <si>
    <t>16/02/2017</t>
  </si>
  <si>
    <t>LINCON DIAS DE OLIVEIRA</t>
  </si>
  <si>
    <t>Veículo. Celular. Dinheiro R$ 1571,80</t>
  </si>
  <si>
    <t>2 tijolos. 864,3 g</t>
  </si>
  <si>
    <t>Confissão informal. Atitude suspeita</t>
  </si>
  <si>
    <t>8a 4m</t>
  </si>
  <si>
    <t>00552870220178260050</t>
  </si>
  <si>
    <t xml:space="preserve">ERIK LUCAS SANTOS NOGUEIRA DE OLIVEIRA </t>
  </si>
  <si>
    <t>Veículo. Caixas de sabão em pó. Celular</t>
  </si>
  <si>
    <t>20 tijolos. 21500 g</t>
  </si>
  <si>
    <t>8a 6m</t>
  </si>
  <si>
    <t xml:space="preserve">EVERTON CARLOS PIMENTEL </t>
  </si>
  <si>
    <t>9a 0m 26d</t>
  </si>
  <si>
    <t>00037817520178260635</t>
  </si>
  <si>
    <t>IGOR BATISTA MENDONÇA DA SILVA MAIRONE</t>
  </si>
  <si>
    <t>Balança. Munições. Dinheiro R$ 98,00</t>
  </si>
  <si>
    <t>115 porções. 16 tijolos. 14402 g (total)</t>
  </si>
  <si>
    <t>1450 porções. 300,5 g</t>
  </si>
  <si>
    <t>16a</t>
  </si>
  <si>
    <t>00803713920168260050</t>
  </si>
  <si>
    <t>WALDINEY FARIAS DA COSTA</t>
  </si>
  <si>
    <t>Arma de fogo. Munição. Carregador de arma de fogo. Colete. Bolsa. Caixa de munição. Embalagens. Frascos. Caderno</t>
  </si>
  <si>
    <t>203 porções. 445,9 g. 9 tijolos. 8523,7 g</t>
  </si>
  <si>
    <t>239 porções. 220,7 g. 1 saco. 1151,7 g</t>
  </si>
  <si>
    <t>Denúncia anônima. Confissão informal. Preso no momento da sentença</t>
  </si>
  <si>
    <t>15a 6m 20d</t>
  </si>
  <si>
    <t xml:space="preserve">CLAUDEMIR BISPO </t>
  </si>
  <si>
    <t xml:space="preserve">MATEUS DA SILVA CAVALCANTE </t>
  </si>
  <si>
    <t>PAMELA TAVARES DE LIMA</t>
  </si>
  <si>
    <t>Celular. Dinheiro R$ 257,05</t>
  </si>
  <si>
    <t>RONALDO FERNANDES SANTANA</t>
  </si>
  <si>
    <t>00729872520168260050</t>
  </si>
  <si>
    <t>CLÁUDIO AUGUSTO DE CARVALHO JUNIOR</t>
  </si>
  <si>
    <t>Balança. Celular</t>
  </si>
  <si>
    <t>1 planta. 26,1 g</t>
  </si>
  <si>
    <t>Mandado</t>
  </si>
  <si>
    <t>Art. 28</t>
  </si>
  <si>
    <t>00033628920168260635</t>
  </si>
  <si>
    <t>MARIO LIVRAMENTO JUNIOR</t>
  </si>
  <si>
    <t>10 porções. 15,3 g</t>
  </si>
  <si>
    <t>00006794520178260635</t>
  </si>
  <si>
    <t>11/08/2017</t>
  </si>
  <si>
    <t>ADRIANO RODRIGUES DE LIMA</t>
  </si>
  <si>
    <t>Veículo. Caixa. Dinheiro R$ 13000,00</t>
  </si>
  <si>
    <t>11 porções. 33,2 g</t>
  </si>
  <si>
    <t>00900047420168260050</t>
  </si>
  <si>
    <t>10/04/2017</t>
  </si>
  <si>
    <t>RODRIGO ANDRÉ MARTINS</t>
  </si>
  <si>
    <t>Celular. Dinheiro R$ 30,00</t>
  </si>
  <si>
    <t>13 porções. 23,9 g</t>
  </si>
  <si>
    <t>Atitude suspeita</t>
  </si>
  <si>
    <t>00098168520168260635</t>
  </si>
  <si>
    <t>ERICK RODRIGO FERREIRA</t>
  </si>
  <si>
    <t>Celular. Moto. Papéis. Dinheiro R$ 975,00</t>
  </si>
  <si>
    <t>19 porções. 100,3 g</t>
  </si>
  <si>
    <t>Preso no momento da sentença. Divergências nos relatos dos policiais</t>
  </si>
  <si>
    <t>00567207520168260050</t>
  </si>
  <si>
    <t xml:space="preserve">Renan Cavalcante Emidio </t>
  </si>
  <si>
    <t>Celular. Dinheiro R$ 547,50</t>
  </si>
  <si>
    <t>24 porções. 47,2 g</t>
  </si>
  <si>
    <t>Rodrigo Tiago da Silva Penha</t>
  </si>
  <si>
    <t>00475801720168260050</t>
  </si>
  <si>
    <t>31/01/2017</t>
  </si>
  <si>
    <t>VITOR HENRIQUE EVARISTO DE MELO</t>
  </si>
  <si>
    <t>Estojo. Dinheiro R$50,00</t>
  </si>
  <si>
    <t>35 porções. 68 g</t>
  </si>
  <si>
    <t>Divergências nos relatos dos policiais. Atitude suspeita</t>
  </si>
  <si>
    <t>00118650220168260635</t>
  </si>
  <si>
    <t>AUGUINE EMEKA OKEIFUFE</t>
  </si>
  <si>
    <t>Dinheiro R$ 252,00</t>
  </si>
  <si>
    <t>9 porções. 17,8 g</t>
  </si>
  <si>
    <t>Nacionalidade. Denúncia. Atitude suspeita. Preso no momento da sentença</t>
  </si>
  <si>
    <t>MARCELO RODRIGUES DIANA</t>
  </si>
  <si>
    <t>1 porção. 0,6 g</t>
  </si>
  <si>
    <t xml:space="preserve">0030299-48.2016.8.26.0050 </t>
  </si>
  <si>
    <t xml:space="preserve">ANUNCIATO MARCELINO DE OLIVEIRA NETO </t>
  </si>
  <si>
    <t>Veículo. Celular</t>
  </si>
  <si>
    <t>1 tijolo. 931,2 g</t>
  </si>
  <si>
    <t>00461275020178260050</t>
  </si>
  <si>
    <t>RAFAEL SANTANA NUNES BEZERRA</t>
  </si>
  <si>
    <t>Arma de fogo. Cartuchos. Capacete. Celular</t>
  </si>
  <si>
    <t>103 porções. 46,2 g</t>
  </si>
  <si>
    <t>00443229620168260050</t>
  </si>
  <si>
    <t>20/04/2017</t>
  </si>
  <si>
    <t>ALLAN BONGESTAB DVORKIN</t>
  </si>
  <si>
    <t>Celular. Dinheiro R$ 90,00</t>
  </si>
  <si>
    <t>11 porções. 26,5 g</t>
  </si>
  <si>
    <t>00142794520178260050</t>
  </si>
  <si>
    <t>JOÃO VICTOR DA SILVA</t>
  </si>
  <si>
    <t>Arma de fogo. Veículo. Porta garrafas. Bolsa. Cinzeiro. Tesoura. Saco. Balança. Celular. Dinheiro R$ 1390,00</t>
  </si>
  <si>
    <t>2 porção. 60 g. 1 cigarro. 1,5 g</t>
  </si>
  <si>
    <t>12 porções. 8,8 g</t>
  </si>
  <si>
    <t>00820585120168260050</t>
  </si>
  <si>
    <t xml:space="preserve">LUCAS OLIVEIRA DOS SANTOS </t>
  </si>
  <si>
    <t>10 porções. 13,5 g</t>
  </si>
  <si>
    <t>12 porções. 9,1 g</t>
  </si>
  <si>
    <t>00341619020178260050</t>
  </si>
  <si>
    <t xml:space="preserve">EVERTON DA SILVA OLIVEIRA </t>
  </si>
  <si>
    <t>Celular. Dinheiro R$ 135,00</t>
  </si>
  <si>
    <t xml:space="preserve">3 porções. 4,3 g </t>
  </si>
  <si>
    <t>13 porções. 11,8 g</t>
  </si>
  <si>
    <t>LARISSA ALVES TORRES</t>
  </si>
  <si>
    <t>Celular. Dinheiro R$ 45,00</t>
  </si>
  <si>
    <t>01006793320158260050</t>
  </si>
  <si>
    <t>ERIC RICARDO DA SILVA</t>
  </si>
  <si>
    <t>1 porção. 1 g</t>
  </si>
  <si>
    <t>135 porções. 135 g</t>
  </si>
  <si>
    <t>Divergências nos relatos dos policiais</t>
  </si>
  <si>
    <t>00034933020178260635</t>
  </si>
  <si>
    <t>PEDRO PEREIRA DA CUNHA DOS SANTOS</t>
  </si>
  <si>
    <t>2 porções. 3,3 g</t>
  </si>
  <si>
    <t>15 porções. 13,6 g</t>
  </si>
  <si>
    <t>Denúncia anônima. Local de tráfico. Atitude suspeita. Divergências nos relatos dos policiais. Preso no momento da sentença</t>
  </si>
  <si>
    <t>00471676720178260050</t>
  </si>
  <si>
    <t>HIGO HONORATO REIS</t>
  </si>
  <si>
    <t>Mochila. Dinheiro R$ 1060,00</t>
  </si>
  <si>
    <t>1 porção. 0,9 g</t>
  </si>
  <si>
    <t>17 porções. 15,5 g</t>
  </si>
  <si>
    <t>Tolueno. 32 porções. 317,9 g</t>
  </si>
  <si>
    <t>00069541920178260050</t>
  </si>
  <si>
    <t>28/09/2017</t>
  </si>
  <si>
    <t>THIAGO CERQUEIRA SANTOS</t>
  </si>
  <si>
    <t>Munições. Celular. Dinheiro R$ 50,00</t>
  </si>
  <si>
    <t>15 porções. 26,5 g</t>
  </si>
  <si>
    <t>18 porções. 10,8 g</t>
  </si>
  <si>
    <t>Denúncia anônima. Confissão informal</t>
  </si>
  <si>
    <t>00317369020178260050</t>
  </si>
  <si>
    <t>GUSTAVO RODRIGUES PATRICIO</t>
  </si>
  <si>
    <t>Pochete. Dinheiro R$ 62,70</t>
  </si>
  <si>
    <t>24 porções. 50,4 g</t>
  </si>
  <si>
    <t>181 porções. 100,4 g</t>
  </si>
  <si>
    <t>Preso no momento da sentença. Confissão informal. Divergências nos relatos dos policiais</t>
  </si>
  <si>
    <t>00025095520178260050</t>
  </si>
  <si>
    <t>JONNATAN CORREIA CARDOSO</t>
  </si>
  <si>
    <t>19 porções. 8,6 g</t>
  </si>
  <si>
    <t>00159686120168260050</t>
  </si>
  <si>
    <t>06/07/2017</t>
  </si>
  <si>
    <t>RELIGHTON GOMES DOS SANTOS</t>
  </si>
  <si>
    <t>21 porções. 14,2 g</t>
  </si>
  <si>
    <t>0031554-41.2016.8.26.0050</t>
  </si>
  <si>
    <t>Klaus dos Santos Souza</t>
  </si>
  <si>
    <t>Dinheiro R$ 100,00</t>
  </si>
  <si>
    <t>21 porções. 5,8 g</t>
  </si>
  <si>
    <t>00828861320178260050</t>
  </si>
  <si>
    <t>BRUNO DOS SANTOS SILVA</t>
  </si>
  <si>
    <t>22 sacos. 11,1 g</t>
  </si>
  <si>
    <t>Atitude suspeita. Local de tráfico. Denúncia. Preso no momento da sentença</t>
  </si>
  <si>
    <t>00043395620178260050</t>
  </si>
  <si>
    <t>VICTOR CARLOS FEITOSA</t>
  </si>
  <si>
    <t>Dinheiro R$ 34,00</t>
  </si>
  <si>
    <t>24 porções. 19,6 g</t>
  </si>
  <si>
    <t>00173591720178260050</t>
  </si>
  <si>
    <t>23/06/2017</t>
  </si>
  <si>
    <t>EVANDRO OLIVEIRA SEZENANDO</t>
  </si>
  <si>
    <t>Necessaire. Celular. Dinheiro R$ 282,50</t>
  </si>
  <si>
    <t>23 porções. 52,7 g</t>
  </si>
  <si>
    <t>28 porções. 19,8 g</t>
  </si>
  <si>
    <t>Local de tráfico. Preso no momento da sentença. Divergências nos relatos dos policiais</t>
  </si>
  <si>
    <t>00039379720168260635</t>
  </si>
  <si>
    <t>10/01/2017</t>
  </si>
  <si>
    <t>MYCHELLE CYPRIANO LOPES</t>
  </si>
  <si>
    <t>Bolsa. Sacola. Celular. Dinheiro R$ 260,00</t>
  </si>
  <si>
    <t>25 porções. 37 g</t>
  </si>
  <si>
    <t>39 porções. 11,5 g</t>
  </si>
  <si>
    <t>00085284820158260050</t>
  </si>
  <si>
    <t>XIUYU HUANG</t>
  </si>
  <si>
    <t>Mochila. Dinheiro R$ 17369,00</t>
  </si>
  <si>
    <t>1 porção. 69,7 g</t>
  </si>
  <si>
    <t>4 porções. 18,7 g</t>
  </si>
  <si>
    <t>Nacionalidade</t>
  </si>
  <si>
    <t>00735788420168260050</t>
  </si>
  <si>
    <t>LUCAS AGNALDO MOREIRA</t>
  </si>
  <si>
    <t>Necessaire</t>
  </si>
  <si>
    <t>10 porções. 15,1 g</t>
  </si>
  <si>
    <t>50 porções. 21,5 g</t>
  </si>
  <si>
    <t>CAIO MADASCHI DA SILVA</t>
  </si>
  <si>
    <t>ISRAEL LUCIANO ROCHA</t>
  </si>
  <si>
    <t xml:space="preserve">RAFAEL APARECIDO FERNANDES </t>
  </si>
  <si>
    <t>SANDRO APARECIDO GODOY</t>
  </si>
  <si>
    <t>00295465720178260050</t>
  </si>
  <si>
    <t>JOAO PEDRO CABRERA  PAVANI</t>
  </si>
  <si>
    <t>6 porções. 6,5 g</t>
  </si>
  <si>
    <t>Haxixe. 5 porções. 3,2 g</t>
  </si>
  <si>
    <t>Local de tráfico. Atitude suspeita. Divergências nos relatos dos policiais</t>
  </si>
  <si>
    <t>00370435920168260050</t>
  </si>
  <si>
    <t>18/10/2017</t>
  </si>
  <si>
    <t xml:space="preserve">BARBARA THAMARIS GALVAO DE BARROS </t>
  </si>
  <si>
    <t>Dinheiro R$ 324,60</t>
  </si>
  <si>
    <t>7 porções. 15,40 g</t>
  </si>
  <si>
    <t>DANIELA APARECIDA FERREIRA</t>
  </si>
  <si>
    <t>00020452220178260635</t>
  </si>
  <si>
    <t>ZEQUIAS SOUZA DOS SANTOS</t>
  </si>
  <si>
    <t>Celular. Dinheiro R$ 157,00</t>
  </si>
  <si>
    <t>2 porções. 2,8 g</t>
  </si>
  <si>
    <t>7 porções. 5,6 g</t>
  </si>
  <si>
    <t>01009336920168260050</t>
  </si>
  <si>
    <t>PATRICIA AIRES DOS SANTOS</t>
  </si>
  <si>
    <t>00977404620168260050</t>
  </si>
  <si>
    <t>MATEUS ALEXANDRE JESUS SOUZA</t>
  </si>
  <si>
    <t>Bolsa. Mala. Crachá. Controle remoto. Televisor. Câmera digital. Computador. Monitor de vídeo. Kit máquina fotográfica. Celular</t>
  </si>
  <si>
    <t>2 tabletes. 96,8 g</t>
  </si>
  <si>
    <t>8 porções. 4054 g</t>
  </si>
  <si>
    <t xml:space="preserve">Denúncia. Preso no momento da sentença </t>
  </si>
  <si>
    <t>00065627020178260635</t>
  </si>
  <si>
    <t>JORLEI FERNANDO DOS SANTOS SILVA</t>
  </si>
  <si>
    <t>Celular. Dinheiro R$ 20,00</t>
  </si>
  <si>
    <t>Art. 308 CP</t>
  </si>
  <si>
    <t>4m</t>
  </si>
  <si>
    <t>00077742920178260635</t>
  </si>
  <si>
    <t>14/11/2017</t>
  </si>
  <si>
    <t>JOUBERT SANTOS MACHADO</t>
  </si>
  <si>
    <t>89 porções. 67,1 g</t>
  </si>
  <si>
    <t>00335192020178260050</t>
  </si>
  <si>
    <t>29/11/2017</t>
  </si>
  <si>
    <t>JONY LUCAS DA SILVA</t>
  </si>
  <si>
    <t>7 porções. 13,2 g</t>
  </si>
  <si>
    <t>9 porções. 1,9 g</t>
  </si>
  <si>
    <t>00617829620168260050</t>
  </si>
  <si>
    <t>KAIQUE BAPTISTA DE CARVALHO PEREIRA</t>
  </si>
  <si>
    <t>Necessaire. Dinheiro R$ 120,00</t>
  </si>
  <si>
    <t>9 porções. 4,8 g</t>
  </si>
  <si>
    <t xml:space="preserve">Marcelo Gomes de Sousa </t>
  </si>
  <si>
    <t>EVERALDO SOUSA FONTES</t>
  </si>
  <si>
    <t>Não disponível. 41 anos (TJ)</t>
  </si>
  <si>
    <t>00704156220178260050</t>
  </si>
  <si>
    <t>THIAGO CAMPOS DE OLIVEIRA</t>
  </si>
  <si>
    <t>Celular. Faca. Dinheiro R$ 30,00</t>
  </si>
  <si>
    <t>16 porções. 22,5 g</t>
  </si>
  <si>
    <t>31 porções. 20,3 g</t>
  </si>
  <si>
    <t>19 porções. 2,2 g</t>
  </si>
  <si>
    <t>00068964120168260635</t>
  </si>
  <si>
    <t>FRANCISCO FERREIRA DE SOUZA</t>
  </si>
  <si>
    <t>Dinheiro R$ 21,00</t>
  </si>
  <si>
    <t>22 porções. 48,2 g. 2 plantas. 3,7 g</t>
  </si>
  <si>
    <t>15 porções. 7,9 g</t>
  </si>
  <si>
    <t xml:space="preserve">Local de tráfico. Atitude suspeita. Divergências nos relatos dos policiais </t>
  </si>
  <si>
    <t>00976541220158260050</t>
  </si>
  <si>
    <t>JOHNNY GOMES DOS SANTOS</t>
  </si>
  <si>
    <t>Papel. Dinheiro R$ 35,00</t>
  </si>
  <si>
    <t>32 porções. 57,1 g</t>
  </si>
  <si>
    <t>16 porções. 13,7 g</t>
  </si>
  <si>
    <t>23 porções. 3,3 g</t>
  </si>
  <si>
    <t xml:space="preserve">00043707620178260050 </t>
  </si>
  <si>
    <t xml:space="preserve">OMIR TOME NETO </t>
  </si>
  <si>
    <t>20 porções. 17,6 g</t>
  </si>
  <si>
    <t>21 porções. 15,2 g</t>
  </si>
  <si>
    <t>3 porções. 3,7 g</t>
  </si>
  <si>
    <t>00004526420178260050</t>
  </si>
  <si>
    <t>DANIEL DE FRANÇA SOUSA PEREIRA</t>
  </si>
  <si>
    <t>Celular. Dinheiro R$ 70,00</t>
  </si>
  <si>
    <t>2 porções. 1,8 g</t>
  </si>
  <si>
    <t>11 porções. 10 g</t>
  </si>
  <si>
    <t>36 porções. 4 g</t>
  </si>
  <si>
    <t>Divergências nos relatos dos policiais. Preso no momento da sentença. Atitude suspeita</t>
  </si>
  <si>
    <t>00695256020168260050</t>
  </si>
  <si>
    <t>ÁUREA MIRIAM PEREIRA FERRAZ</t>
  </si>
  <si>
    <t>4 porções. 0,4 g</t>
  </si>
  <si>
    <t>00836708720178260050</t>
  </si>
  <si>
    <t>17/11/2017</t>
  </si>
  <si>
    <t>GREGORY BELTRAO NOVAES BARBOSA</t>
  </si>
  <si>
    <t>35 porções. 127,5 g</t>
  </si>
  <si>
    <t>35 porções. 17,7 g</t>
  </si>
  <si>
    <t>54 porções. 17,6 g</t>
  </si>
  <si>
    <t>Lança-perfume. 1 frasco. 10 ml. Haxixe. 3 porções. 1,1 g</t>
  </si>
  <si>
    <t>00486564220178260050</t>
  </si>
  <si>
    <t xml:space="preserve">VINICIUS MOREIRA MANGIACAVALLI </t>
  </si>
  <si>
    <t>8 porções. 86,4 g</t>
  </si>
  <si>
    <t>7 porções. 1,2 g</t>
  </si>
  <si>
    <t>00021893020168260635</t>
  </si>
  <si>
    <t>GUILHERME JOSÉ SALGADO DE OLIVEIRA</t>
  </si>
  <si>
    <t>Pochete. Celular</t>
  </si>
  <si>
    <t>14 porções. 14,9 g</t>
  </si>
  <si>
    <t>16 porções. 8 g</t>
  </si>
  <si>
    <t>Lança-perfume. 1 frasco. 8 ml</t>
  </si>
  <si>
    <t>Divergências nos relatos dos policiais. Confissão informal</t>
  </si>
  <si>
    <t>00402434020178260050</t>
  </si>
  <si>
    <t>CRISTIANO RODRIGUES</t>
  </si>
  <si>
    <t>15 porções. 27,4 g</t>
  </si>
  <si>
    <t>8 porções. 1,8 g</t>
  </si>
  <si>
    <t>01040446120168260050</t>
  </si>
  <si>
    <t>BRUNO OLIVEIRA SOUZA</t>
  </si>
  <si>
    <t>Papéis. Bateria de rádio. Celular. Dinheiro R$ 40,00</t>
  </si>
  <si>
    <t>6 porções. 20,2 g</t>
  </si>
  <si>
    <t>85 porções. 63,3 g</t>
  </si>
  <si>
    <t>10 comprimidos. 11,9 g</t>
  </si>
  <si>
    <t>00037549220178260635</t>
  </si>
  <si>
    <t>01/09/2017</t>
  </si>
  <si>
    <t>MARCELO GERMANDO DE ANDRADE</t>
  </si>
  <si>
    <t>26 porções. 24,2 g</t>
  </si>
  <si>
    <t>120 porções. 25,3 g</t>
  </si>
  <si>
    <t>41 porções. 8,8 g</t>
  </si>
  <si>
    <t>40 comprimidos. 12,2 g</t>
  </si>
  <si>
    <t>NUM_PROCESSO</t>
  </si>
  <si>
    <t>NME_FORO</t>
  </si>
  <si>
    <t>NME_VARA</t>
  </si>
  <si>
    <t>NME_REU</t>
  </si>
  <si>
    <t>IDADE_REU</t>
  </si>
  <si>
    <t>TPO_GENERO</t>
  </si>
  <si>
    <t>DSC_COR</t>
  </si>
  <si>
    <t>00003703320178260050</t>
  </si>
  <si>
    <t>Foro Central Criminal Barra Funda</t>
  </si>
  <si>
    <t>PATRICK DE CAMPOS SAPRAGONES CANO</t>
  </si>
  <si>
    <t>M</t>
  </si>
  <si>
    <t>Pardo</t>
  </si>
  <si>
    <t>00006579320178260050</t>
  </si>
  <si>
    <t>ALEXANDRE RODRIGUES</t>
  </si>
  <si>
    <t>Branco</t>
  </si>
  <si>
    <t>00007825220178260635</t>
  </si>
  <si>
    <t>ADRIANO ROGERIO RIBEIRO</t>
  </si>
  <si>
    <t>Preto</t>
  </si>
  <si>
    <t>00009201920178260635</t>
  </si>
  <si>
    <t>DILEIA OLIVEIRA DA SILVA</t>
  </si>
  <si>
    <t>F</t>
  </si>
  <si>
    <t>LUIZ FELIPE DE MIRANDA SANTOS</t>
  </si>
  <si>
    <t>00011299420178260050</t>
  </si>
  <si>
    <t>FERNANDO RIBEIRO CREMASCO</t>
  </si>
  <si>
    <t>JURANDIR JEREMIAS</t>
  </si>
  <si>
    <t>00011470920178260635</t>
  </si>
  <si>
    <t>MAURICIO DA SILVA MORAIS (Matrícula SAP 354340-2)</t>
  </si>
  <si>
    <t>ROBSON LUIZ DOS SANTOS</t>
  </si>
  <si>
    <t>00011647920168260635</t>
  </si>
  <si>
    <t>VAGNER FELIX DO NASCIMENTO</t>
  </si>
  <si>
    <t>NULL</t>
  </si>
  <si>
    <t>KAIQUE HUMBERTO DA SILVA</t>
  </si>
  <si>
    <t>00012632420178260050</t>
  </si>
  <si>
    <t>JOSE BEZERRA DA SILVA</t>
  </si>
  <si>
    <t>00028350620178260635</t>
  </si>
  <si>
    <t>BRUNA SANTOS SILVA</t>
  </si>
  <si>
    <t>00029319820158260050</t>
  </si>
  <si>
    <t>ITALO DE OLIVEIRA</t>
  </si>
  <si>
    <t>FABRICIO DE SOUZA ALVES</t>
  </si>
  <si>
    <t>00029592320168260635</t>
  </si>
  <si>
    <t>JOSEMAR JOSE DOS SANTOS</t>
  </si>
  <si>
    <t>00035774020178260050</t>
  </si>
  <si>
    <t>WINICIUS SANTOS MATOS SOARES</t>
  </si>
  <si>
    <t>00041925520168260635</t>
  </si>
  <si>
    <t>LUCAS DE SOUZA LEANDRO</t>
  </si>
  <si>
    <t>00043707620178260050</t>
  </si>
  <si>
    <t>RAFAEL SILVA DE ALMEIDA</t>
  </si>
  <si>
    <t>00044342320168260050</t>
  </si>
  <si>
    <t>JAILSON ANDRE DA SILVA</t>
  </si>
  <si>
    <t>00051957920158260635</t>
  </si>
  <si>
    <t>RUBENS APARECIDO LEITE RODRIGUES</t>
  </si>
  <si>
    <t>00055632920178260050</t>
  </si>
  <si>
    <t>PAULO PEREIRA SANTANA</t>
  </si>
  <si>
    <t>ANTONIO GOMES CAMACHO FILHO</t>
  </si>
  <si>
    <t>00058398520168260635</t>
  </si>
  <si>
    <t>RENATO LOPES DOS SANTOS</t>
  </si>
  <si>
    <t>00058897720178260635</t>
  </si>
  <si>
    <t>RONILDO JOSE PADOIM</t>
  </si>
  <si>
    <t>EDSON DOMINGUES DA SILVA JUNIOR</t>
  </si>
  <si>
    <t>00067758520178260050</t>
  </si>
  <si>
    <t>JAIR CARLOS DE MOURA JUNIOR</t>
  </si>
  <si>
    <t>00073621020178260050</t>
  </si>
  <si>
    <t>WELBER DOS SANTOS COSTA</t>
  </si>
  <si>
    <t>ALEXANDRE ALVES DOS SANTOS MAIA</t>
  </si>
  <si>
    <t>00074581620178260635</t>
  </si>
  <si>
    <t>WILLES RENATO DOS SANTOS SILVA</t>
  </si>
  <si>
    <t>00078395820168260635</t>
  </si>
  <si>
    <t>THIAGO TEIXEIRA DE LIMA</t>
  </si>
  <si>
    <t>JONATAN ALVES PAIXAO</t>
  </si>
  <si>
    <t>00081270620168260635</t>
  </si>
  <si>
    <t>KARINA APARECIDA DE OLIVEIRA</t>
  </si>
  <si>
    <t>JOSEMAR APARECIDO DE SOUZA SENNE</t>
  </si>
  <si>
    <t>00084804620168260635</t>
  </si>
  <si>
    <t>CHRISTIAN MARINHO CHAGAS</t>
  </si>
  <si>
    <t>00091473220168260635</t>
  </si>
  <si>
    <t>SERGIO CARDOSO DE SA</t>
  </si>
  <si>
    <t>EDNALDO LUIZ DA SILVA</t>
  </si>
  <si>
    <t>00092763720168260635</t>
  </si>
  <si>
    <t>VINICIUS COUTINHO DE SOUZA</t>
  </si>
  <si>
    <t>00109132320168260635</t>
  </si>
  <si>
    <t>KAIQUE SANTOS DE JESUS</t>
  </si>
  <si>
    <t>00111358820168260635</t>
  </si>
  <si>
    <t>ANDERSON MARCIANO GUARESMA</t>
  </si>
  <si>
    <t>00119964920178260050</t>
  </si>
  <si>
    <t>MAICON EMANOEL BARBOSA ARAUJO</t>
  </si>
  <si>
    <t>00120582620168260050</t>
  </si>
  <si>
    <t>ROBERTO DE SOUZA CORREIA</t>
  </si>
  <si>
    <t>00121327120168260635</t>
  </si>
  <si>
    <t>CAUE LEANDRO DA SILVA CEGARRA LYRA</t>
  </si>
  <si>
    <t>00122703820168260635</t>
  </si>
  <si>
    <t>ADALBERTO SANTOS VICENTE</t>
  </si>
  <si>
    <t>00123828420148260050</t>
  </si>
  <si>
    <t>ANA CLAUDIA VERISSIMO</t>
  </si>
  <si>
    <t>00124453220168260635</t>
  </si>
  <si>
    <t>VILSON DA COSTA CLAUDINO</t>
  </si>
  <si>
    <t>00130695620178260050</t>
  </si>
  <si>
    <t>PAULO MENDES FILHO</t>
  </si>
  <si>
    <t>00133235420168260635</t>
  </si>
  <si>
    <t>CLEVERSON PEREIRA DOS SANTOS</t>
  </si>
  <si>
    <t>00137479620168260635</t>
  </si>
  <si>
    <t>SILVANIL CAMPANHA VIEIRA</t>
  </si>
  <si>
    <t>00150124520168260050</t>
  </si>
  <si>
    <t>ODAIR JOSE COSTA SANTANA</t>
  </si>
  <si>
    <t>00156937820178260050</t>
  </si>
  <si>
    <t>VICTOR DO NASCIMENTO TAGLIACOLLI</t>
  </si>
  <si>
    <t>00160237520178260050</t>
  </si>
  <si>
    <t>LUIZ DIAS DE OLIVEIRA</t>
  </si>
  <si>
    <t>00226970620168260050</t>
  </si>
  <si>
    <t>RAFAEL DOS SANTOS VITOR</t>
  </si>
  <si>
    <t>JULIANO GOMES MARTINS</t>
  </si>
  <si>
    <t>DAYANE LAVOR LIMA</t>
  </si>
  <si>
    <t>MICHEL CARDOSO DA SILVA</t>
  </si>
  <si>
    <t>00241769720178260050</t>
  </si>
  <si>
    <t>WELLINGTON WILLIAN FELIPE DE PAULA</t>
  </si>
  <si>
    <t>00242972820178260050</t>
  </si>
  <si>
    <t>ACLEDSON SANTIAGO DE ALMEIDA</t>
  </si>
  <si>
    <t>00260139020178260050</t>
  </si>
  <si>
    <t>RONALDO GOMES DA SILVA</t>
  </si>
  <si>
    <t>00302994820168260050</t>
  </si>
  <si>
    <t>ANUNCIATO MARCELINO DE OLIVEIRA NETO</t>
  </si>
  <si>
    <t>00315544120168260050</t>
  </si>
  <si>
    <t>klaus dos santos souza</t>
  </si>
  <si>
    <t>00330614720108260050</t>
  </si>
  <si>
    <t>SONIA APARECIDA ROSSI</t>
  </si>
  <si>
    <t>Sidney da Silva Moreira</t>
  </si>
  <si>
    <t>RENATO ALEXANDRE JUNIOR</t>
  </si>
  <si>
    <t>VANDO FRANCISCO SCALEZE</t>
  </si>
  <si>
    <t>EDNEY FERREIRA MARQUES</t>
  </si>
  <si>
    <t>FERNANDO OLIVEIRA DAS NEVES</t>
  </si>
  <si>
    <t>RODRIGO UBIRAJARA DE GOUVEA</t>
  </si>
  <si>
    <t>CLEBER PILLA DOS SANTOS</t>
  </si>
  <si>
    <t>RAFAEL CHAVES FRIAS</t>
  </si>
  <si>
    <t>00382047020178260050</t>
  </si>
  <si>
    <t>CICERO DOS SANTOS SILVA</t>
  </si>
  <si>
    <t>00385660920168260050</t>
  </si>
  <si>
    <t>MARCOS PEDROSO DOS SANTOS</t>
  </si>
  <si>
    <t>00403765820128260050</t>
  </si>
  <si>
    <t>JAILTON DOS SANTOS SOARES</t>
  </si>
  <si>
    <t>00405254920158260050</t>
  </si>
  <si>
    <t>TIAGO FERREIRA ALVES</t>
  </si>
  <si>
    <t>00427942720168260050</t>
  </si>
  <si>
    <t>anderson carlos gomes da silva</t>
  </si>
  <si>
    <t>rodrigo cordeiro da silva</t>
  </si>
  <si>
    <t>00433092820178260050</t>
  </si>
  <si>
    <t>LUCIANO JOSE DA SILVA SANTOS</t>
  </si>
  <si>
    <t>00455414720168260050</t>
  </si>
  <si>
    <t>CIRO DA ROCHA NUNES DOS SANTOS</t>
  </si>
  <si>
    <t>00460013420168260050</t>
  </si>
  <si>
    <t>DONVANE SANTOS RIBEIRO</t>
  </si>
  <si>
    <t>00471633020178260050</t>
  </si>
  <si>
    <t>LEONARDO CARDOSO VIEIRA</t>
  </si>
  <si>
    <t>TATIANE BECKER DOS SANTOS</t>
  </si>
  <si>
    <t>00484791520168260050</t>
  </si>
  <si>
    <t>daniel gomes de souza</t>
  </si>
  <si>
    <t>00529703120178260050</t>
  </si>
  <si>
    <t>JOHNATAN PEREIRA DA SILVA</t>
  </si>
  <si>
    <t>00567086120168260050</t>
  </si>
  <si>
    <t>MAGNO MARTINHO DA SILVA</t>
  </si>
  <si>
    <t>00582761520168260050</t>
  </si>
  <si>
    <t>CAIO VINICIUS DE ALMEIDA SANTOS</t>
  </si>
  <si>
    <t>00585296620178260050</t>
  </si>
  <si>
    <t>ALDEM HENRIQUE FREIRE LUDUVICO</t>
  </si>
  <si>
    <t>00585845120168260050</t>
  </si>
  <si>
    <t>LUIZ PAULO SANTOS</t>
  </si>
  <si>
    <t>00592329420178260050</t>
  </si>
  <si>
    <t>HIDEKI ANTONIO DA SILVA</t>
  </si>
  <si>
    <t>00592987920148260050</t>
  </si>
  <si>
    <t>ROBERT OLIVEIRA DE JESUS</t>
  </si>
  <si>
    <t>00598429620168260050</t>
  </si>
  <si>
    <t>VICTOR HUGO AMARAL</t>
  </si>
  <si>
    <t>00626718420158260050</t>
  </si>
  <si>
    <t>GEORGE SILVA DO NASCIMENTO</t>
  </si>
  <si>
    <t>00657044820168260050</t>
  </si>
  <si>
    <t>GABRIEL CAETANO GUIMARAES ANDRADE</t>
  </si>
  <si>
    <t>00680105320178260050</t>
  </si>
  <si>
    <t>LEONARDO VINICIUS MONTEIRO DE MELO</t>
  </si>
  <si>
    <t>IGOR DA SILVA ANDRADE</t>
  </si>
  <si>
    <t>00702046020168260050</t>
  </si>
  <si>
    <t>RICARDO SATIRO DA SILVA</t>
  </si>
  <si>
    <t>SILVIO PUERTA</t>
  </si>
  <si>
    <t>00709052120168260050</t>
  </si>
  <si>
    <t>JOÃO BANDEIRA DA SILVA  ROLIM</t>
  </si>
  <si>
    <t>00769799120168260050</t>
  </si>
  <si>
    <t>MARCOS MORENO DE ALMEIDA</t>
  </si>
  <si>
    <t>00776078020168260050</t>
  </si>
  <si>
    <t>PAULO HENRIQUE FERREIRA FERNANDES</t>
  </si>
  <si>
    <t>00780970520168260050</t>
  </si>
  <si>
    <t>GABRIEL JOSE DA SILVA</t>
  </si>
  <si>
    <t>00790645020168260050</t>
  </si>
  <si>
    <t>LUCAS SOUZA ROQUE</t>
  </si>
  <si>
    <t>00817631420168260050</t>
  </si>
  <si>
    <t>FABIO JOSE DA SILVA</t>
  </si>
  <si>
    <t>00840357820168260050</t>
  </si>
  <si>
    <t>ROSE APARECIDA ALVES</t>
  </si>
  <si>
    <t>00859990920168260050</t>
  </si>
  <si>
    <t>DARCIO FRANCISCO DOS SANTOS</t>
  </si>
  <si>
    <t>00871215720168260050</t>
  </si>
  <si>
    <t>LUCAS REZENDE VIANA</t>
  </si>
  <si>
    <t>00889308220168260050</t>
  </si>
  <si>
    <t>WESLLEY MOREIRA DOS SANTOS</t>
  </si>
  <si>
    <t>00895032320168260050</t>
  </si>
  <si>
    <t>LUIZ CARLOS LEITE JUNIOR</t>
  </si>
  <si>
    <t>00900489320168260050</t>
  </si>
  <si>
    <t>WENDELL SANTOS NASCIMENTO (Matrícula SAP 522703-8)</t>
  </si>
  <si>
    <t>00904828220168260050</t>
  </si>
  <si>
    <t>RANDSON GUEDES COSTA</t>
  </si>
  <si>
    <t>00928904620168260050</t>
  </si>
  <si>
    <t>DAVID AMAECHI AGUSIONU</t>
  </si>
  <si>
    <t>00933962220168260050</t>
  </si>
  <si>
    <t>FERNANDO ROCHA DE LIMA</t>
  </si>
  <si>
    <t>00945723620168260050</t>
  </si>
  <si>
    <t>00969636120168260050</t>
  </si>
  <si>
    <t>GABRIEL SANCHEZ ORLANDO</t>
  </si>
  <si>
    <t>FERNANDO RODRIGUES SEVILHANO</t>
  </si>
  <si>
    <t>01011103320168260050</t>
  </si>
  <si>
    <t>HIAGO SOUZA DE FRANCA</t>
  </si>
  <si>
    <t>01012532220168260050</t>
  </si>
  <si>
    <t>DIEGO HENRIQUE MARTINS</t>
  </si>
  <si>
    <t>01018863320168260050</t>
  </si>
  <si>
    <t>WILTON BRUNO SILVA DE ASSIS</t>
  </si>
  <si>
    <t>01036176420168260050</t>
  </si>
  <si>
    <t>JOHNNY SOARES SANTIAGO</t>
  </si>
  <si>
    <t>JEFERSON DE SOUSA SANTOS</t>
  </si>
  <si>
    <t>01040800620168260050</t>
  </si>
  <si>
    <t>LUIZ HENRIQUE GOMES DE GODOY</t>
  </si>
  <si>
    <t>00001434320178260050</t>
  </si>
  <si>
    <t>DEIVID MARQUES RAMOS</t>
  </si>
  <si>
    <t>00003963120178260050</t>
  </si>
  <si>
    <t>LEANDRO RAMOS DOS SANTOS</t>
  </si>
  <si>
    <t>00008803720178260635</t>
  </si>
  <si>
    <t>FELIPE AMARAL DE OLIVEIRA</t>
  </si>
  <si>
    <t>00011878820178260635</t>
  </si>
  <si>
    <t>CLOVIS WEVERTON DOS SANTOS TELES</t>
  </si>
  <si>
    <t>00013619720178260635</t>
  </si>
  <si>
    <t>LUCAS RENAN SOUZA SILVA</t>
  </si>
  <si>
    <t>00015862020178260635</t>
  </si>
  <si>
    <t>JULIO CEZAR MARIANO DA SILVA</t>
  </si>
  <si>
    <t>00019733520178260635</t>
  </si>
  <si>
    <t>HELIO ALFEU DE OLIVEIRA SCALQUETTE</t>
  </si>
  <si>
    <t>LEONARDO DA SILVA ATILIO</t>
  </si>
  <si>
    <t>00020482020168260050</t>
  </si>
  <si>
    <t>TIAGO WILSON MARTINS DOS SANTOS</t>
  </si>
  <si>
    <t>00022626520178260635</t>
  </si>
  <si>
    <t>FRANCISCO CELSO RIBEIRO FILHO</t>
  </si>
  <si>
    <t>00023247620158260635</t>
  </si>
  <si>
    <t>KAIO WINICIUS DOS SANTOS</t>
  </si>
  <si>
    <t>PATRICK VANDIE PEREIRA</t>
  </si>
  <si>
    <t>00024964720178260635</t>
  </si>
  <si>
    <t>PAULO HENRIQUE VIEIRA SILVA</t>
  </si>
  <si>
    <t>00027719320178260635</t>
  </si>
  <si>
    <t>JORGE WILLIAM CANDIDO DOS SANTOS</t>
  </si>
  <si>
    <t>00032095620168260635</t>
  </si>
  <si>
    <t>MICAELLI CAMBUI DA SILVA</t>
  </si>
  <si>
    <t>00032854620178260635</t>
  </si>
  <si>
    <t>ROBERTO JESUS DOS SANTOS</t>
  </si>
  <si>
    <t>00035323620178260050</t>
  </si>
  <si>
    <t>MARCEL APARECIDO PEREIRA</t>
  </si>
  <si>
    <t>00045502020168260635</t>
  </si>
  <si>
    <t>LUCAS VINICIUS DA SILVA</t>
  </si>
  <si>
    <t>DIEGO SAMUEL CORTIS FARAVELLI</t>
  </si>
  <si>
    <t>00049867620168260635</t>
  </si>
  <si>
    <t>MAXWELL DA SILVA MEDEIROS</t>
  </si>
  <si>
    <t>00053497220168260050</t>
  </si>
  <si>
    <t>IVAN FAGUNDES DOS SANTOS</t>
  </si>
  <si>
    <t>00055806520178260050</t>
  </si>
  <si>
    <t>JULIO CESAR COSTA DOS SANTOS</t>
  </si>
  <si>
    <t>CLAUDIO MARCOS QUEIROZ DA SILVA</t>
  </si>
  <si>
    <t>00057211220168260635</t>
  </si>
  <si>
    <t>FABIO CLARINDO DA SILVA</t>
  </si>
  <si>
    <t>00059272620168260635</t>
  </si>
  <si>
    <t>MARITZA VERONICA PAULINA</t>
  </si>
  <si>
    <t>00063162020168260050</t>
  </si>
  <si>
    <t>ANDERSON DE JESUS GOUVEIA</t>
  </si>
  <si>
    <t>MARCOS DOS SANTOS FERREIRA LOBESTEN</t>
  </si>
  <si>
    <t>00065067120168260635</t>
  </si>
  <si>
    <t>JOSE CLAUDINO DE OLIVEIRA</t>
  </si>
  <si>
    <t>00077382120168260635</t>
  </si>
  <si>
    <t>LUIS GUILHERME DA CONCEIÇÃO</t>
  </si>
  <si>
    <t>00083558720168260050</t>
  </si>
  <si>
    <t>DANTE LIBANORE FILHO</t>
  </si>
  <si>
    <t>00086961620168260050</t>
  </si>
  <si>
    <t>JAINE DA SILVA SOUZA</t>
  </si>
  <si>
    <t>ALESSANDRO FILGUEIRAS LIU DOS SANTOS</t>
  </si>
  <si>
    <t>00096237020168260635</t>
  </si>
  <si>
    <t>LAMARCK SOUZA DE ARAUJO</t>
  </si>
  <si>
    <t>00101606620168260635</t>
  </si>
  <si>
    <t>VICTOR DA SILVA COSTA</t>
  </si>
  <si>
    <t>00105616520168260635</t>
  </si>
  <si>
    <t>BRUNO TEODORO DE SOUZA</t>
  </si>
  <si>
    <t>00107738620168260635</t>
  </si>
  <si>
    <t>JOSE LUIS SANCHEZ MONTERO</t>
  </si>
  <si>
    <t>00116710220168260635</t>
  </si>
  <si>
    <t>TIAGO FAUSTINO PLAZA</t>
  </si>
  <si>
    <t>00117992220168260635</t>
  </si>
  <si>
    <t>FABIO FERREIRA NUNES</t>
  </si>
  <si>
    <t>ANGELO BOAVENTURA DELMONDES</t>
  </si>
  <si>
    <t>00121543220168260635</t>
  </si>
  <si>
    <t>ROBERT CESAR DA SILVA</t>
  </si>
  <si>
    <t>00124055020168260635</t>
  </si>
  <si>
    <t>WANDERLEI DA SILVA PRADO</t>
  </si>
  <si>
    <t>00131873220178260050</t>
  </si>
  <si>
    <t>ALISSON FERREIRA DE LIMA</t>
  </si>
  <si>
    <t>ALBERTO DIEGO DOS REMEDIOS PEREIRA</t>
  </si>
  <si>
    <t>00135895020168260050</t>
  </si>
  <si>
    <t>MOISES HENRIQUE RIBEIRO DA CUNHA</t>
  </si>
  <si>
    <t>00139263020168260635</t>
  </si>
  <si>
    <t>FAGNER CLAUDISETE ALEIXO</t>
  </si>
  <si>
    <t>00139489720168260050</t>
  </si>
  <si>
    <t>MARLON SULLYVAN SILVA</t>
  </si>
  <si>
    <t>00184732520168260050</t>
  </si>
  <si>
    <t>GUILHERME ROCHA FONSECA</t>
  </si>
  <si>
    <t>00200235520168260050</t>
  </si>
  <si>
    <t>MARCOS VINICIUS DA SILVA MATOS</t>
  </si>
  <si>
    <t>00247034920178260050</t>
  </si>
  <si>
    <t>ADELSON ARGOLO TAVARES JUNIOR</t>
  </si>
  <si>
    <t>00261995020168260050</t>
  </si>
  <si>
    <t>JUCELIO FELIPE DOS SANTOS</t>
  </si>
  <si>
    <t>00269458320148260050</t>
  </si>
  <si>
    <t>IAGO MESSIAS AMARO</t>
  </si>
  <si>
    <t>00281201020178260050</t>
  </si>
  <si>
    <t>ANDRE VITOR FRANCA CONCEICAO</t>
  </si>
  <si>
    <t>00301461520168260050</t>
  </si>
  <si>
    <t>MAURICIO AMARO DO NASCIMENTO</t>
  </si>
  <si>
    <t>00305532120168260050</t>
  </si>
  <si>
    <t>FELIPE DE LIMA DA SILVA</t>
  </si>
  <si>
    <t>00310928420168260050</t>
  </si>
  <si>
    <t>ALMIRO DA SILVA JUNIOR</t>
  </si>
  <si>
    <t>00333218020178260050</t>
  </si>
  <si>
    <t>MAYSON KEVIN CORREIA</t>
  </si>
  <si>
    <t>00342071620168260050</t>
  </si>
  <si>
    <t>ULLY DA COSTA SILVA</t>
  </si>
  <si>
    <t>00356422520168260050</t>
  </si>
  <si>
    <t>WANDERSON GUILHERME VICENTE</t>
  </si>
  <si>
    <t>00384743120168260050</t>
  </si>
  <si>
    <t>WAGNER BATISTA SIQUEIRA</t>
  </si>
  <si>
    <t>00394244020168260050</t>
  </si>
  <si>
    <t>ANDERSON BERNARDO FELIZARDO</t>
  </si>
  <si>
    <t>MARIO SERGIO DA SILVA CERQUEIRA</t>
  </si>
  <si>
    <t>00401377820178260050</t>
  </si>
  <si>
    <t>RAFAEL VINICIO SOUZA DOS SANTOS</t>
  </si>
  <si>
    <t>00416533620178260050</t>
  </si>
  <si>
    <t>DIEGO DE ALMEIDA SANTOS</t>
  </si>
  <si>
    <t>00428020420168260050</t>
  </si>
  <si>
    <t>00455224120168260050</t>
  </si>
  <si>
    <t>JANIO DO NASCIMENTO BARROSO</t>
  </si>
  <si>
    <t>00477863120168260050</t>
  </si>
  <si>
    <t>JOSEMAR DOS SANTOS</t>
  </si>
  <si>
    <t>00487762220168260050</t>
  </si>
  <si>
    <t>MARCOS EDUARDO ATHAYDE DA ROCHA</t>
  </si>
  <si>
    <t>00513268720168260050</t>
  </si>
  <si>
    <t>EVERTON DE JESUS CAVALCANTE ONOFRE</t>
  </si>
  <si>
    <t>00513724220178260050</t>
  </si>
  <si>
    <t>HELOISA MICHELE FRANCISCA DOS SANTOS</t>
  </si>
  <si>
    <t>00521882420178260050</t>
  </si>
  <si>
    <t>RENAN DOS SANTOS MINAS</t>
  </si>
  <si>
    <t>00522061620158260050</t>
  </si>
  <si>
    <t>ANDERSON BARBOSA DOS SANTOS</t>
  </si>
  <si>
    <t>MARCOS ANTONIO GONCALVES DOS SANTOS</t>
  </si>
  <si>
    <t>00532926120118260050</t>
  </si>
  <si>
    <t>ANDRE RICARDO CARDOSO SANTANA</t>
  </si>
  <si>
    <t>00534374420168260050</t>
  </si>
  <si>
    <t>ARNALDO ALVES CARDOSO</t>
  </si>
  <si>
    <t>00539637920148260050</t>
  </si>
  <si>
    <t>Jefferson Ribeiro da Silva</t>
  </si>
  <si>
    <t>00550596120168260050</t>
  </si>
  <si>
    <t>BRUNO APARECIDO MORAIS DE SA</t>
  </si>
  <si>
    <t>00557204020168260050</t>
  </si>
  <si>
    <t>ERIK BATISTA FARIA</t>
  </si>
  <si>
    <t>00570122620178260050</t>
  </si>
  <si>
    <t>PAULO ROBERTO PROMECIA</t>
  </si>
  <si>
    <t>00585264820168260050</t>
  </si>
  <si>
    <t>DOUGLAS NASCIMENTO LABOREDO</t>
  </si>
  <si>
    <t>00602577920168260050</t>
  </si>
  <si>
    <t>RIOSO VILLARROEL VEIZAGA</t>
  </si>
  <si>
    <t>00608068920168260050</t>
  </si>
  <si>
    <t>BRUNO ROSSATO DE SOUZA</t>
  </si>
  <si>
    <t>00617932820168260050</t>
  </si>
  <si>
    <t>THIAGO APARECIDO DA SILVA</t>
  </si>
  <si>
    <t>00633781820168260050</t>
  </si>
  <si>
    <t>EMERSON LUIZ DA SILVA PEREIRA</t>
  </si>
  <si>
    <t>00649259320168260050</t>
  </si>
  <si>
    <t>WYGOR GREGORIO DA SILVA</t>
  </si>
  <si>
    <t>00653814320168260050</t>
  </si>
  <si>
    <t>ELIANE RODRIGUES PEREIRA DA SILVA (ou ELIANE RODRIGES MAIA)</t>
  </si>
  <si>
    <t>00675073220178260050</t>
  </si>
  <si>
    <t>MAIRA DE ALMEIDA SILVA</t>
  </si>
  <si>
    <t>00680989120178260050</t>
  </si>
  <si>
    <t>RODRIGO PEREIRA DA ROCHA</t>
  </si>
  <si>
    <t>00690353820168260050</t>
  </si>
  <si>
    <t>DOUGLAS GREGORIO BATISTA</t>
  </si>
  <si>
    <t>00695974720168260050</t>
  </si>
  <si>
    <t>RIVALDO GABRIEL RAMOS DA SILVA</t>
  </si>
  <si>
    <t>00701413520168260050</t>
  </si>
  <si>
    <t>CASSIO MENDES DE MATOS</t>
  </si>
  <si>
    <t>00709823020168260050</t>
  </si>
  <si>
    <t>MATHEUS SILVA PERUCCHI</t>
  </si>
  <si>
    <t>ADRIANO DE SOUZA OLIVEIRA</t>
  </si>
  <si>
    <t>ALISSON VERA VALDEVINO</t>
  </si>
  <si>
    <t>00714872120168260050</t>
  </si>
  <si>
    <t>EDMAR GONCALVES DE OLIVEIRA</t>
  </si>
  <si>
    <t>00735770220168260050</t>
  </si>
  <si>
    <t>RENATO PEREIRA DOS SANTOS</t>
  </si>
  <si>
    <t>00740456320168260050</t>
  </si>
  <si>
    <t>DAVID CUNHA DA MOTA</t>
  </si>
  <si>
    <t>00748017220168260050</t>
  </si>
  <si>
    <t>ERASMO DOS SANTOS CANDIDO</t>
  </si>
  <si>
    <t>JACKSON ROBERTO SANTOS GONCALVES</t>
  </si>
  <si>
    <t>00751914220168260050</t>
  </si>
  <si>
    <t>JACKSON FARIAS CEUTA JUNIOR</t>
  </si>
  <si>
    <t>00795538720168260050</t>
  </si>
  <si>
    <t>WILSON ESTEVAO DA SILVA</t>
  </si>
  <si>
    <t>00814912020168260050</t>
  </si>
  <si>
    <t>WELINTON PATRICIO DE SOUZA</t>
  </si>
  <si>
    <t>00818220220168260050</t>
  </si>
  <si>
    <t>EDSON DAMASCENO TEIXEIRA</t>
  </si>
  <si>
    <t>00836157320168260050</t>
  </si>
  <si>
    <t>FRANCISCO WAGNER LINS DA SILVA</t>
  </si>
  <si>
    <t>00920304520168260050</t>
  </si>
  <si>
    <t>SABRYNA DYONETI PEREIRA BARRA</t>
  </si>
  <si>
    <t>00974287020168260050</t>
  </si>
  <si>
    <t>JOSE HILLES RONALDO DA SILVA ARAUJO</t>
  </si>
  <si>
    <t>00994370520168260050</t>
  </si>
  <si>
    <t>BRUNO DE SIQUEIRA HENRIQUE</t>
  </si>
  <si>
    <t>Amarelo</t>
  </si>
  <si>
    <t>01014220920168260050</t>
  </si>
  <si>
    <t>RAFAEL FERREIRA</t>
  </si>
  <si>
    <t>00004872420178260050</t>
  </si>
  <si>
    <t>JOSE WELLINGTON DO NASCIMENTO FERREIRA</t>
  </si>
  <si>
    <t>00007521720178260635</t>
  </si>
  <si>
    <t>LUIZ GUILHERME MATEUS ARAUJO DOS SANTOS</t>
  </si>
  <si>
    <t>00007635520178260050</t>
  </si>
  <si>
    <t>THIAGO AMORIM CARTAXO</t>
  </si>
  <si>
    <t>00013949620178260050</t>
  </si>
  <si>
    <t>MARIVAM DA SILVA</t>
  </si>
  <si>
    <t>00015792820178260635</t>
  </si>
  <si>
    <t>MATHEUS CARDOSO</t>
  </si>
  <si>
    <t>00022678720178260635</t>
  </si>
  <si>
    <t>GUILHERME DAS NEVES</t>
  </si>
  <si>
    <t>00026838920168260635</t>
  </si>
  <si>
    <t>MILENA DE PAULA DIAS</t>
  </si>
  <si>
    <t>00042746120178260050</t>
  </si>
  <si>
    <t>ADIMILSON BASILIO LOPES</t>
  </si>
  <si>
    <t>00048595020168260050</t>
  </si>
  <si>
    <t>CLEBER BASTOS BARRETO</t>
  </si>
  <si>
    <t>00055249120158260635</t>
  </si>
  <si>
    <t>Antony Ricardo Madeira dos Santos</t>
  </si>
  <si>
    <t>Victor Vicente Aleixo Silva</t>
  </si>
  <si>
    <t>Cleyton Gomes Orrico</t>
  </si>
  <si>
    <t>Bruno Rodrigo Silva de Lemos</t>
  </si>
  <si>
    <t>Reginaldo Souza dos Santos</t>
  </si>
  <si>
    <t>Luciano Emerson da Silva Nascimento</t>
  </si>
  <si>
    <t>Israel da Silva Dias</t>
  </si>
  <si>
    <t>00056996520138260050</t>
  </si>
  <si>
    <t>WILSON MISAEL DE JESUS CARDOSO SANTOS</t>
  </si>
  <si>
    <t>00067532720178260050</t>
  </si>
  <si>
    <t>CLOVIS DOS SANTOS FILHO</t>
  </si>
  <si>
    <t>00073551820178260050</t>
  </si>
  <si>
    <t>FABIO BATISTA DE LIMA</t>
  </si>
  <si>
    <t>00078059220168260050</t>
  </si>
  <si>
    <t>WASHINGTON MIRANDA MOREIRA</t>
  </si>
  <si>
    <t>00078906920168260635</t>
  </si>
  <si>
    <t>DANIEL ROCHA PEREIRA PINTO</t>
  </si>
  <si>
    <t>00092556120168260635</t>
  </si>
  <si>
    <t>ALEX GABRIEL COELHO DE ARAUJO</t>
  </si>
  <si>
    <t>00097475320168260635</t>
  </si>
  <si>
    <t>TELMA APARECIDA DA SILVA RIBEIRO</t>
  </si>
  <si>
    <t>00098514520168260635</t>
  </si>
  <si>
    <t>BRUNO FERREIRA SANTOS</t>
  </si>
  <si>
    <t>AYRTON MATEUS MENDONÇA DA SILVA</t>
  </si>
  <si>
    <t>00104607120158260050</t>
  </si>
  <si>
    <t>NALBERT IAGO VIEIRA AZEVEDO</t>
  </si>
  <si>
    <t>00106829320168260635</t>
  </si>
  <si>
    <t>RICARDO SILVA DE PAULA</t>
  </si>
  <si>
    <t>00113212320168260050</t>
  </si>
  <si>
    <t>GUILHERME DE LIMA</t>
  </si>
  <si>
    <t>00115699120138260050</t>
  </si>
  <si>
    <t>RALPH MARTON WEIRICH</t>
  </si>
  <si>
    <t>Douglas Antonio Bernardino</t>
  </si>
  <si>
    <t>00117411920168260635</t>
  </si>
  <si>
    <t>ALEX SANDRO AGUIAR DA SILVA</t>
  </si>
  <si>
    <t>00141299820168260050</t>
  </si>
  <si>
    <t>ADRIANO PEREIRA</t>
  </si>
  <si>
    <t>00142750820178260050</t>
  </si>
  <si>
    <t>ADRIANO THIAGO DA SILVA</t>
  </si>
  <si>
    <t>00157052920168260050</t>
  </si>
  <si>
    <t>GABRIEL MARCAL VIRGILIO</t>
  </si>
  <si>
    <t>00168456420178260050</t>
  </si>
  <si>
    <t>DANILO ALMEIDA SANTOS</t>
  </si>
  <si>
    <t>00224486020138260050</t>
  </si>
  <si>
    <t>RODRIGO AGILSON DOS SANTOS SILVA</t>
  </si>
  <si>
    <t>00295511620168260050</t>
  </si>
  <si>
    <t>VITOR VAGNER DOS SANTOS SILVA</t>
  </si>
  <si>
    <t>00306935520168260050</t>
  </si>
  <si>
    <t>CAIO BARBOSA INACIO</t>
  </si>
  <si>
    <t>00342132320168260050</t>
  </si>
  <si>
    <t>AILTON ALVES DOS SANTOS</t>
  </si>
  <si>
    <t>00358689320178260050</t>
  </si>
  <si>
    <t>THIAGO DA SILVA RIBEIRO</t>
  </si>
  <si>
    <t>00388805220168260050</t>
  </si>
  <si>
    <t>ANA ALINE CARDOSO TOSO</t>
  </si>
  <si>
    <t>JADE DE SOUZA MENDES</t>
  </si>
  <si>
    <t>00421282620168260050</t>
  </si>
  <si>
    <t>ALESSANDRO DE OLIVEIRA SOARES</t>
  </si>
  <si>
    <t>00429752820168260050</t>
  </si>
  <si>
    <t>FELIPE SANTOS ACIOLE</t>
  </si>
  <si>
    <t>00438864020168260050</t>
  </si>
  <si>
    <t>ALDEMIR DE OLIVEIRA</t>
  </si>
  <si>
    <t>00455080420098260050</t>
  </si>
  <si>
    <t>Diego Ribeiro da Silva</t>
  </si>
  <si>
    <t>Fernando Pereira Lacerda</t>
  </si>
  <si>
    <t>00467979320148260050</t>
  </si>
  <si>
    <t>CLEVTOM CARVALHO DA SILVA</t>
  </si>
  <si>
    <t>00475741020168260050</t>
  </si>
  <si>
    <t>VERISSIMO OLIVEIRA DE SOUZA FILHO</t>
  </si>
  <si>
    <t>00529801220168260050</t>
  </si>
  <si>
    <t>DENISE RODRIGUES DE ARAUJO</t>
  </si>
  <si>
    <t>00562443720168260050</t>
  </si>
  <si>
    <t>CARLOS ALBERTO MALANZUK</t>
  </si>
  <si>
    <t>00567700420168260050</t>
  </si>
  <si>
    <t>ANDERSON ALBERTO DE OLIVEIRA</t>
  </si>
  <si>
    <t>00573653720158260050</t>
  </si>
  <si>
    <t>PAULO ROBERTO KIILER</t>
  </si>
  <si>
    <t>00579038120168260050</t>
  </si>
  <si>
    <t>MAURICIO VIEIRA DE MACEDO</t>
  </si>
  <si>
    <t>00582952120168260050</t>
  </si>
  <si>
    <t>RUTEMBERG DA SILVA</t>
  </si>
  <si>
    <t>00603946120168260050</t>
  </si>
  <si>
    <t>ANTONIO GERALDO DE SOUZA</t>
  </si>
  <si>
    <t>00643687220178260050</t>
  </si>
  <si>
    <t>BRUNA TOMAZ DA CONCEICAO</t>
  </si>
  <si>
    <t>00648384520138260050</t>
  </si>
  <si>
    <t>JONATAN BRANDÃO MELO</t>
  </si>
  <si>
    <t>00667402820168260050</t>
  </si>
  <si>
    <t>TIAGO GUEDES CAVALCANTE GIGLIO</t>
  </si>
  <si>
    <t>00751472320168260050</t>
  </si>
  <si>
    <t>MARCIO MORAES JUNIOR</t>
  </si>
  <si>
    <t>00755941120168260050</t>
  </si>
  <si>
    <t>ELIVELTON DE OLIVEIRA ELOY</t>
  </si>
  <si>
    <t>00774423320168260050</t>
  </si>
  <si>
    <t>DANIEL PEREIRA DOS SANTOS</t>
  </si>
  <si>
    <t>00795478020168260050</t>
  </si>
  <si>
    <t>JHONATAN DANTAS ALVES DE LUNA</t>
  </si>
  <si>
    <t>JHONATAN BARBOSA DA SILVA</t>
  </si>
  <si>
    <t>00803194320168260050</t>
  </si>
  <si>
    <t>VALDEMIR LOBO FILHO</t>
  </si>
  <si>
    <t>00808260420168260050</t>
  </si>
  <si>
    <t>DENIS MAXIMO DA SILVA</t>
  </si>
  <si>
    <t>RENATO DE PAULA</t>
  </si>
  <si>
    <t>00815114520158260050</t>
  </si>
  <si>
    <t>DIOU DE OLIVEIRA MIRANDA</t>
  </si>
  <si>
    <t>LEANDRO DOS SANTOS</t>
  </si>
  <si>
    <t>00821234620168260050</t>
  </si>
  <si>
    <t>ROGERIO MOREIRA JUNIOR</t>
  </si>
  <si>
    <t>EVANDRO SOUZA DA SILVA</t>
  </si>
  <si>
    <t>00837349720178260050</t>
  </si>
  <si>
    <t>CARLOS EDUARDO MARTINS</t>
  </si>
  <si>
    <t>00844861120138260050</t>
  </si>
  <si>
    <t>LUAN DE JESUS VIANA</t>
  </si>
  <si>
    <t>00883253920168260050</t>
  </si>
  <si>
    <t>MURILO TERRAS DE ALMEIDA</t>
  </si>
  <si>
    <t>00886528120168260050</t>
  </si>
  <si>
    <t>ALEF LUIZ DOS SANTOS</t>
  </si>
  <si>
    <t>00899882320168260050</t>
  </si>
  <si>
    <t>ANTONIO CARLOS PEREIRA SANTOS</t>
  </si>
  <si>
    <t>PAULO ALVES</t>
  </si>
  <si>
    <t>JORGE COCA PAZ</t>
  </si>
  <si>
    <t>FABIO ALEIXO DA SILVA</t>
  </si>
  <si>
    <t>WILLY ALBERTO CRESPO PAZ</t>
  </si>
  <si>
    <t>ANTONIO FRANCISCO LOPES DE MEDEIROS</t>
  </si>
  <si>
    <t>00907203820158260050</t>
  </si>
  <si>
    <t>JONATHAN COSTA DIAS</t>
  </si>
  <si>
    <t>00916026320168260050</t>
  </si>
  <si>
    <t>DIEGO SANTOS LEMES DE SOUZA</t>
  </si>
  <si>
    <t>GETULIO NASCIMENTO BARROS</t>
  </si>
  <si>
    <t>00919629520168260050</t>
  </si>
  <si>
    <t>ANGELO FARIA DE OLIVEIRA</t>
  </si>
  <si>
    <t>00924435820168260050</t>
  </si>
  <si>
    <t>MARCOS GUILHERME NUNES CAMPOS</t>
  </si>
  <si>
    <t>00926907320158260050</t>
  </si>
  <si>
    <t>MATEUS DOMINGOS DA SILVA</t>
  </si>
  <si>
    <t>00930772020178260050</t>
  </si>
  <si>
    <t>SAMUEL MESSIAS DA SILVA LINS</t>
  </si>
  <si>
    <t>00931173620168260050</t>
  </si>
  <si>
    <t>MARCOS ROBERTO SOARES SANTIAGO</t>
  </si>
  <si>
    <t>00942302520168260050</t>
  </si>
  <si>
    <t>WILLIAN DE JESUS NASCIMENTO</t>
  </si>
  <si>
    <t>00962932320168260050</t>
  </si>
  <si>
    <t>MARCOS PAULO FIDELIS</t>
  </si>
  <si>
    <t>00977932720168260050</t>
  </si>
  <si>
    <t>BRUNO BATISTA DA SILVA</t>
  </si>
  <si>
    <t>00981914220148260050</t>
  </si>
  <si>
    <t>EMERSON JUNIOR BARBOSA DE ALMEIDA</t>
  </si>
  <si>
    <t>CARLOS EDUARDO DE SOUZA</t>
  </si>
  <si>
    <t>00988460920178260050</t>
  </si>
  <si>
    <t>MAXWELL SABINO</t>
  </si>
  <si>
    <t>00993946820168260050</t>
  </si>
  <si>
    <t>RODNEY DO NASCIMENTO LEITE</t>
  </si>
  <si>
    <t>01000207320058260050</t>
  </si>
  <si>
    <t>Antonio Carlos Pinheiro</t>
  </si>
  <si>
    <t>Luis Choqueira Vargas</t>
  </si>
  <si>
    <t>Juan Carlos Talamas</t>
  </si>
  <si>
    <t>José Antonio Cucolo</t>
  </si>
  <si>
    <t>Marcelo Arcanjo dos Santos</t>
  </si>
  <si>
    <t>01008652220168260050</t>
  </si>
  <si>
    <t>LEANDRO RODRIGUES DOS SANTOS PIRES</t>
  </si>
  <si>
    <t>01169952920128260050</t>
  </si>
  <si>
    <t>DOUGLAS TEODORO DAVATZ</t>
  </si>
  <si>
    <t>00005443320178260635</t>
  </si>
  <si>
    <t>WILSON RODRIGUES DOS SANTOS</t>
  </si>
  <si>
    <t>00006561120178260050</t>
  </si>
  <si>
    <t>ISAQUE SILVA COELHO</t>
  </si>
  <si>
    <t>00007002120178260635</t>
  </si>
  <si>
    <t>RENAN LUIS DA SILVA</t>
  </si>
  <si>
    <t>BRUNO ROMANO MARQUES</t>
  </si>
  <si>
    <t>00012120420178260635</t>
  </si>
  <si>
    <t>CLAYTON SOUZA SOARES</t>
  </si>
  <si>
    <t>00016433820178260635</t>
  </si>
  <si>
    <t>ÁLVARO PINTO JUNIOR</t>
  </si>
  <si>
    <t>BRUNO MARCELINO TRINCI</t>
  </si>
  <si>
    <t>ALEXANDRE TITO AMÂNCIO</t>
  </si>
  <si>
    <t>00034777620178260635</t>
  </si>
  <si>
    <t>MARCIO ANTONIO TEODORO</t>
  </si>
  <si>
    <t>GRACIETE LOPES DE SOUSA</t>
  </si>
  <si>
    <t>00041965820178260635</t>
  </si>
  <si>
    <t>VINICIUS BATISTA DOS SANTOS</t>
  </si>
  <si>
    <t>00042685420178260050</t>
  </si>
  <si>
    <t>GUILHERME ROBERTO DOS SANTOS NASCIMENTO</t>
  </si>
  <si>
    <t>00045607320168260050</t>
  </si>
  <si>
    <t>SHIRLEY BORGES</t>
  </si>
  <si>
    <t>00055497020168260635</t>
  </si>
  <si>
    <t>CARLOS RICARDO FERREIRA</t>
  </si>
  <si>
    <t>00058273720178260635</t>
  </si>
  <si>
    <t>DIEGO FERNANDES RODRIGUES BRAGA</t>
  </si>
  <si>
    <t>00062015320178260635</t>
  </si>
  <si>
    <t>CAIQUE ALMEIDA CHAVES</t>
  </si>
  <si>
    <t>00069008720168260050</t>
  </si>
  <si>
    <t>AMAURY SILVA DE SOUSA</t>
  </si>
  <si>
    <t>00072280820168260635</t>
  </si>
  <si>
    <t>FILIPE CAMPOS GUIMARAES</t>
  </si>
  <si>
    <t>00078967620168260635</t>
  </si>
  <si>
    <t>LIGIA SANCHES MORO</t>
  </si>
  <si>
    <t>ALEX CESAR MACIEL</t>
  </si>
  <si>
    <t>00084501120168260635</t>
  </si>
  <si>
    <t>REGINALDO FLORÊNCIO DA COSTA</t>
  </si>
  <si>
    <t>00089610920168260635</t>
  </si>
  <si>
    <t>FERNANDO SOARES DA SILVA</t>
  </si>
  <si>
    <t>FRANCISCO GONÇALVES DE SOUZA FILHO</t>
  </si>
  <si>
    <t>00099837720178260050</t>
  </si>
  <si>
    <t>VITOR VIANA NASCIMENTO</t>
  </si>
  <si>
    <t>00100393820168260635</t>
  </si>
  <si>
    <t>JULIO CESAR GOIS DA SILVA</t>
  </si>
  <si>
    <t>00109712620168260635</t>
  </si>
  <si>
    <t>FRANCIELE SILVA DOS SANTOS</t>
  </si>
  <si>
    <t>00110329119968260050</t>
  </si>
  <si>
    <t>ROGERIO DA SILVA</t>
  </si>
  <si>
    <t>PAULO JOSE DA SILVA</t>
  </si>
  <si>
    <t>00119551020168260635</t>
  </si>
  <si>
    <t>ROBSON DE MOURA SILVA</t>
  </si>
  <si>
    <t>00120937420168260635</t>
  </si>
  <si>
    <t>LEANDRO MARTINS DOS SANTOS</t>
  </si>
  <si>
    <t>00124072020168260635</t>
  </si>
  <si>
    <t>RHAONY ANTONY DAMIÃO</t>
  </si>
  <si>
    <t>00126359220168260635</t>
  </si>
  <si>
    <t>DIEGO HENRIQUE CARLOS DA SILVA</t>
  </si>
  <si>
    <t>00127009620168260050</t>
  </si>
  <si>
    <t>CLEBER CRISTIANO CORREA</t>
  </si>
  <si>
    <t>00134283120168260635</t>
  </si>
  <si>
    <t>ANTONIO OSMAR ALVES DA SILVA</t>
  </si>
  <si>
    <t>00136498620178260050</t>
  </si>
  <si>
    <t>DARIO OLIVEIRA SILVA JUNIOR</t>
  </si>
  <si>
    <t>00148089820168260050</t>
  </si>
  <si>
    <t>GABRIEL PITTA RIBEIRO</t>
  </si>
  <si>
    <t>00186225020188260050</t>
  </si>
  <si>
    <t>JUCELI PORTO FEITOZA</t>
  </si>
  <si>
    <t>00197053820178260050</t>
  </si>
  <si>
    <t>GUILHERME NASCIMENTO DIOGO DE LIMA</t>
  </si>
  <si>
    <t>00208994420158260050</t>
  </si>
  <si>
    <t>YAGO WIRTHMANN STORNIOLI</t>
  </si>
  <si>
    <t>00220285020168260050</t>
  </si>
  <si>
    <t>WILKER CAMARGO FERREIRA</t>
  </si>
  <si>
    <t>00259653420178260050</t>
  </si>
  <si>
    <t>ARLEY SANTOS VEIGA</t>
  </si>
  <si>
    <t>00300150620178260050</t>
  </si>
  <si>
    <t>JONATHAN PEREIRA DA SILVA</t>
  </si>
  <si>
    <t>00311777020168260050</t>
  </si>
  <si>
    <t>LUIS CARLOS NOGUEIRA MACHADO</t>
  </si>
  <si>
    <t>00325971320168260050</t>
  </si>
  <si>
    <t>ANIZIO ICARO LIMA VIEIRA</t>
  </si>
  <si>
    <t>00339513920178260050</t>
  </si>
  <si>
    <t>JHONATAN LUIZ LIMA DE OLIVEIRA</t>
  </si>
  <si>
    <t>00343705920178260050</t>
  </si>
  <si>
    <t>EDUARDO AURELIANO DA SILVA</t>
  </si>
  <si>
    <t>MATHEUS HENRIQUE DA SILVA</t>
  </si>
  <si>
    <t>00382107720178260050</t>
  </si>
  <si>
    <t>AIRON APARECIDO FERREIRA CARLOS</t>
  </si>
  <si>
    <t>00383821920178260050</t>
  </si>
  <si>
    <t>ANDRÉ JULIANO CHIARELLI</t>
  </si>
  <si>
    <t>00399108820178260050</t>
  </si>
  <si>
    <t>LEONARDO HENRIQUE CAMPOS MEDEIROS</t>
  </si>
  <si>
    <t>00409129320178260050</t>
  </si>
  <si>
    <t>PAULO RICARDO DA SILVA MACEDO</t>
  </si>
  <si>
    <t>00415425220178260050</t>
  </si>
  <si>
    <t>JHONATA ALEXANDRE FEITOZA DA SILVA</t>
  </si>
  <si>
    <t>00457034220168260050</t>
  </si>
  <si>
    <t>MANOEL CAETANO DE ANDRADE</t>
  </si>
  <si>
    <t>MARIA DAS GRACAS BATISTA DOS SANTOS ANDRADE</t>
  </si>
  <si>
    <t>00476027520168260050</t>
  </si>
  <si>
    <t>MIKE FRANCIS FERREIRA DA SILVA</t>
  </si>
  <si>
    <t>00500017720168260050</t>
  </si>
  <si>
    <t>EDUARDO SILVA RODRIGUES</t>
  </si>
  <si>
    <t>GUILHERME HENRIQUE MENDES DA SILVA</t>
  </si>
  <si>
    <t>00521310620178260050</t>
  </si>
  <si>
    <t>FABIO CAMPOS SOUZA</t>
  </si>
  <si>
    <t>00549683420178260050</t>
  </si>
  <si>
    <t>REGINALDO TAVARES JUNIOR</t>
  </si>
  <si>
    <t>00551193420168260050</t>
  </si>
  <si>
    <t>JONHATY DA SILVA</t>
  </si>
  <si>
    <t>00553919120178260050</t>
  </si>
  <si>
    <t>IVAN JULIO DO NASCIMENTO FIALHO</t>
  </si>
  <si>
    <t>00567163820168260050</t>
  </si>
  <si>
    <t>JONATHAN DAVID DO NASCIMENTO</t>
  </si>
  <si>
    <t>00598256020168260050</t>
  </si>
  <si>
    <t>ALEXANDRE FIGUEIREDO DE ANDRADE</t>
  </si>
  <si>
    <t>00604846920168260050</t>
  </si>
  <si>
    <t>CRISTIANO RODRIGUES PEDROSO</t>
  </si>
  <si>
    <t>00618175620168260050</t>
  </si>
  <si>
    <t>FLAVIO ALVES DE SOUZA</t>
  </si>
  <si>
    <t>00637523420168260050</t>
  </si>
  <si>
    <t>ROBSON DE AMORIM BEZERRA</t>
  </si>
  <si>
    <t>LINCOLN GARCIA DA SILVA</t>
  </si>
  <si>
    <t>HUGO HIPÓLITO DOS SANTOS</t>
  </si>
  <si>
    <t>00644677620168260050</t>
  </si>
  <si>
    <t>LUIZ HENRIQUE DE CAMPOS</t>
  </si>
  <si>
    <t>00680867720178260050</t>
  </si>
  <si>
    <t>ANTONIO CICERO DE OLIVEIRA</t>
  </si>
  <si>
    <t>00681104220168260050</t>
  </si>
  <si>
    <t>DANILO ALVES SERRÃO</t>
  </si>
  <si>
    <t>00702739220168260050</t>
  </si>
  <si>
    <t>ARNALDO DOS SANTOS</t>
  </si>
  <si>
    <t>00713954320168260050</t>
  </si>
  <si>
    <t>JOÃO VICTOR SANTOS MOREIRA</t>
  </si>
  <si>
    <t>WENDELL MEIRELLES DOS SANTOS</t>
  </si>
  <si>
    <t>BRUNO OLIVEIRA GIMENEZ MONTEIRO</t>
  </si>
  <si>
    <t>JOHNNY HENRIQUE DE ARAUJO SILVA</t>
  </si>
  <si>
    <t>HUGO DE SOUZA TEIXEIRA</t>
  </si>
  <si>
    <t>JOÃO RICARDO SANTOS SALVADOR</t>
  </si>
  <si>
    <t>00717834320168260050</t>
  </si>
  <si>
    <t>RAUL GOMES DOS REIS</t>
  </si>
  <si>
    <t>00790749420168260050</t>
  </si>
  <si>
    <t>ADRIANO SILVA BRITO</t>
  </si>
  <si>
    <t>00810105720168260050</t>
  </si>
  <si>
    <t>DEIVID ANJOS DA CRUZ</t>
  </si>
  <si>
    <t>00829591920168260050</t>
  </si>
  <si>
    <t>JOÃO MANOEL DO NASCIMENTO JUNIOR</t>
  </si>
  <si>
    <t>00836191320168260050</t>
  </si>
  <si>
    <t>ISRAEL SALOMÃO DOS SANTOS MENDONÇA</t>
  </si>
  <si>
    <t>00841344820168260050</t>
  </si>
  <si>
    <t>TARSO NEP FERREIRA</t>
  </si>
  <si>
    <t>00858285220168260050</t>
  </si>
  <si>
    <t>EDERSON PEREIRA ESMERALDO</t>
  </si>
  <si>
    <t>00874385520168260050</t>
  </si>
  <si>
    <t>CELSO RICARDO PEREIRA MILIANO</t>
  </si>
  <si>
    <t>00890234520168260050</t>
  </si>
  <si>
    <t>INACIO JHONATAN DA SILVA MEDEIROS</t>
  </si>
  <si>
    <t>00900202820168260050</t>
  </si>
  <si>
    <t>YURI FERREIRA DE GOES</t>
  </si>
  <si>
    <t>GUILHERME HENRIQUE DA SILVA ROCHA</t>
  </si>
  <si>
    <t>00952080220168260050</t>
  </si>
  <si>
    <t>OLIVER ALVARO FERREIRA</t>
  </si>
  <si>
    <t>00955163820168260050</t>
  </si>
  <si>
    <t>ALEX DE OLIVEIRA DA SILVA</t>
  </si>
  <si>
    <t>00971142720168260050</t>
  </si>
  <si>
    <t>SONIA CASTANHEIRA</t>
  </si>
  <si>
    <t>KALLYANE TAYNARA SILVA</t>
  </si>
  <si>
    <t>MICHEL LUCAS LEITAO DE OLIVEIRA</t>
  </si>
  <si>
    <t>01047279820168260050</t>
  </si>
  <si>
    <t>AMILTON DA SILVA SOARES</t>
  </si>
  <si>
    <t>01058451220168260050</t>
  </si>
  <si>
    <t>ROBSON APARECIDO DA SILVA DOS SANTOS</t>
  </si>
  <si>
    <t>ANDERSON BARBOSA RODRIGUES</t>
  </si>
  <si>
    <t>00002853820178260635</t>
  </si>
  <si>
    <t>SHEILA MARIA BONFIM DO NASCIMENTO</t>
  </si>
  <si>
    <t>00004084520178260050</t>
  </si>
  <si>
    <t>MATHEUS CAPELETTI DE ASSIS</t>
  </si>
  <si>
    <t>00009912120178260635</t>
  </si>
  <si>
    <t>IFEANYI DAMIAN</t>
  </si>
  <si>
    <t>00011471820178260050</t>
  </si>
  <si>
    <t>ELAN FRANCA DE ANDRADE</t>
  </si>
  <si>
    <t>00014961220178260635</t>
  </si>
  <si>
    <t>SERGIO PEREIRA DE JESUS</t>
  </si>
  <si>
    <t>00022106920178260635</t>
  </si>
  <si>
    <t>LUCAS MAGALHÃES DE CARVALHO</t>
  </si>
  <si>
    <t>00025337420178260635</t>
  </si>
  <si>
    <t>FELIPE QUEIROZ SOARES</t>
  </si>
  <si>
    <t>00027640420178260635</t>
  </si>
  <si>
    <t>ERIC MUZETTI PERIC</t>
  </si>
  <si>
    <t>00028264420178260635</t>
  </si>
  <si>
    <t>EMEKA CHRISTIAN OKOYE</t>
  </si>
  <si>
    <t>00030447220178260635</t>
  </si>
  <si>
    <t>EVAIR FERREIRA DE SOUZA</t>
  </si>
  <si>
    <t>00032387220178260635</t>
  </si>
  <si>
    <t>ALYSSON DOS SANTOS RIBEIRO</t>
  </si>
  <si>
    <t>00032872520178260050</t>
  </si>
  <si>
    <t>KHALID SHABAN MIZUNGU</t>
  </si>
  <si>
    <t>00033807620178260635</t>
  </si>
  <si>
    <t>IRAN RODRIGUES DE OLIVEIRA</t>
  </si>
  <si>
    <t>00035298120178260050</t>
  </si>
  <si>
    <t>CAIQUE NOVAIS SAO PEDRO</t>
  </si>
  <si>
    <t>00036535520178260635</t>
  </si>
  <si>
    <t>FABRICIO HENRIQUE DONATO FONTOURA</t>
  </si>
  <si>
    <t>JULIANA DA SILVA GONÇALVES</t>
  </si>
  <si>
    <t>THULIO AMUI SCANDAR</t>
  </si>
  <si>
    <t>NOEL BOMFIM LUZ</t>
  </si>
  <si>
    <t>00037523420178260050</t>
  </si>
  <si>
    <t>JOSE DE AQUINO PINHEIRO NETO</t>
  </si>
  <si>
    <t>00038002720168260050</t>
  </si>
  <si>
    <t>ALMIR SANTANA DA SILVA</t>
  </si>
  <si>
    <t>00040199420178260635</t>
  </si>
  <si>
    <t>ALEXANDRE  NASCIMENTO NAZARETH</t>
  </si>
  <si>
    <t>00042832320178260050</t>
  </si>
  <si>
    <t>RAFAEL BRITO SANTOS</t>
  </si>
  <si>
    <t>LUCAS THADEU PEREIRA VILELA</t>
  </si>
  <si>
    <t>JACKSON MATHIAS RODRIGUES</t>
  </si>
  <si>
    <t>00043456320178260050</t>
  </si>
  <si>
    <t>ELISANDRA DE ASSIS LIMA SOUZA</t>
  </si>
  <si>
    <t>ADRIANO NOVAES SANTANA DE PINA</t>
  </si>
  <si>
    <t>00046527620158260635</t>
  </si>
  <si>
    <t>SHEILA THANDIWE MSELEKU</t>
  </si>
  <si>
    <t>00047880520178260635</t>
  </si>
  <si>
    <t>JONNATHAN DA SILVA SANTOS</t>
  </si>
  <si>
    <t>BRUNO DE JESUS LAURINDO</t>
  </si>
  <si>
    <t>ALANA DA SILVA SANTOS</t>
  </si>
  <si>
    <t>00049024120178260635</t>
  </si>
  <si>
    <t>WELLINGTON CORREA RIBEIRO</t>
  </si>
  <si>
    <t>00053251020178260050</t>
  </si>
  <si>
    <t>BRUNO SANTOS GONCALVES</t>
  </si>
  <si>
    <t>00059584620168260635</t>
  </si>
  <si>
    <t>RAFAEL SANTOS CAVALCANTE</t>
  </si>
  <si>
    <t>00061634120178260635</t>
  </si>
  <si>
    <t>THIAGO FREITAS DE SOUZA</t>
  </si>
  <si>
    <t>DHIEGO FERREIRA DE SOUSA</t>
  </si>
  <si>
    <t>00065834620178260635</t>
  </si>
  <si>
    <t>CARLOS EDUARDO DA SILVA SANTOS</t>
  </si>
  <si>
    <t>00070372620178260635</t>
  </si>
  <si>
    <t>EDVALDO DA SILVA ALVES</t>
  </si>
  <si>
    <t>00073958820178260635</t>
  </si>
  <si>
    <t>TIAGO BONIFACIO DE BEZERRA</t>
  </si>
  <si>
    <t>00074824420178260635</t>
  </si>
  <si>
    <t>LUCAS RODRIGUES</t>
  </si>
  <si>
    <t>00076643020178260635</t>
  </si>
  <si>
    <t>RENATO MARTINS SILVA</t>
  </si>
  <si>
    <t>00078964220178260635</t>
  </si>
  <si>
    <t>BRUNO DE JESUS</t>
  </si>
  <si>
    <t>00085677420178260050</t>
  </si>
  <si>
    <t>EDUARDO HENRIQUE MOREIRA</t>
  </si>
  <si>
    <t>00085709319988260050</t>
  </si>
  <si>
    <t>WILSON ALVES DA SILVA</t>
  </si>
  <si>
    <t>HELIO MACIEL BALDRAIA</t>
  </si>
  <si>
    <t>00093341520178260050</t>
  </si>
  <si>
    <t>RONIELE ALVES CUNHA</t>
  </si>
  <si>
    <t>00095489420178260635</t>
  </si>
  <si>
    <t>ALEXSANDRO SILVA DE SOUZA</t>
  </si>
  <si>
    <t>00100279620178260050</t>
  </si>
  <si>
    <t>LUANA OLIVEIRA DE JESUS</t>
  </si>
  <si>
    <t>ANA KAROLINA FERREIRA MARTINS</t>
  </si>
  <si>
    <t>00102472220168260635</t>
  </si>
  <si>
    <t>William Santos Mendes</t>
  </si>
  <si>
    <t>00108420620118260050</t>
  </si>
  <si>
    <t>Débora Maria Ponciano</t>
  </si>
  <si>
    <t>Bruno Alexandre Lima</t>
  </si>
  <si>
    <t>Daniel Ferreira Belarmino</t>
  </si>
  <si>
    <t>Ihury Santos de Jesus</t>
  </si>
  <si>
    <t>00110596420168260635</t>
  </si>
  <si>
    <t>PEDRO HENRIQUE RODRIGUES DE LIMA</t>
  </si>
  <si>
    <t>ALESSANDRA DA SILVA PEREIRA</t>
  </si>
  <si>
    <t>00112906620178260050</t>
  </si>
  <si>
    <t>MIKE JONATHAN DOS SANTOS</t>
  </si>
  <si>
    <t>00114727720168260635</t>
  </si>
  <si>
    <t>LUCAS PEREIRA DOS SANTOS</t>
  </si>
  <si>
    <t>00119360420168260635</t>
  </si>
  <si>
    <t>JOAO VICTOR MATIAS VELOSO</t>
  </si>
  <si>
    <t>00120824520168260635</t>
  </si>
  <si>
    <t>RODRIGO DE PAIVA SOARES</t>
  </si>
  <si>
    <t>00123977320168260635</t>
  </si>
  <si>
    <t>IVO APARECIDO SILVA</t>
  </si>
  <si>
    <t>KLEBER TIM DE RESENDE PROSPERO</t>
  </si>
  <si>
    <t>00131477520168260635</t>
  </si>
  <si>
    <t>MAICON HONORIO DA SILVA</t>
  </si>
  <si>
    <t>00135614820178260050</t>
  </si>
  <si>
    <t>LEONARDO DOS SANTOS</t>
  </si>
  <si>
    <t>00139306720168260635</t>
  </si>
  <si>
    <t>THIAGO DE LIMA BARBOSA</t>
  </si>
  <si>
    <t>00139359820168260050</t>
  </si>
  <si>
    <t>SIDNEI CARVALHO PERDIGAO</t>
  </si>
  <si>
    <t>00140447820178260050</t>
  </si>
  <si>
    <t>GILMAR FERNANDES DA GAMA</t>
  </si>
  <si>
    <t>00144319320178260050</t>
  </si>
  <si>
    <t>RODRIGO PEREIRA DOS SANTOS</t>
  </si>
  <si>
    <t>00165598620178260050</t>
  </si>
  <si>
    <t>NATALIA LARISSA DE SANTANA SOUZA</t>
  </si>
  <si>
    <t>00167913520168260050</t>
  </si>
  <si>
    <t>WELLINGTON ASSIS DOS SANTOS</t>
  </si>
  <si>
    <t>00197478720178260050</t>
  </si>
  <si>
    <t>DENILSON PENA MENDES</t>
  </si>
  <si>
    <t>00209100520178260050</t>
  </si>
  <si>
    <t>MICHEL OLIVEIRA GALDINO</t>
  </si>
  <si>
    <t>00210772220178260050</t>
  </si>
  <si>
    <t>DENIS WILLIAM FERREIRA DE SOUZA</t>
  </si>
  <si>
    <t>00221251620178260050</t>
  </si>
  <si>
    <t>ELIZANDRA VANESSA DA SILVA</t>
  </si>
  <si>
    <t>00232078220178260050</t>
  </si>
  <si>
    <t>JOSE IGLAILTON ARAUJO DE SOUSA</t>
  </si>
  <si>
    <t>00242358520178260050</t>
  </si>
  <si>
    <t>DANILO DE OLIVEIRA ARAUJO</t>
  </si>
  <si>
    <t>00242618320178260050</t>
  </si>
  <si>
    <t>WILSON GOMES FIRMINO DA SILVA</t>
  </si>
  <si>
    <t>00249884220178260050</t>
  </si>
  <si>
    <t>EDUARDO FRANCISCO MEDEIROS DO PRADO</t>
  </si>
  <si>
    <t>00253841920178260050</t>
  </si>
  <si>
    <t>CRISTHIANO CARLOS SIZENANDO DAS MERCES</t>
  </si>
  <si>
    <t>CLAUDIO ELIVELTON BLONDET TEIXEIRA</t>
  </si>
  <si>
    <t>RODRIGO MARQUES BARBOSA</t>
  </si>
  <si>
    <t>00270920720178260050</t>
  </si>
  <si>
    <t>ANA PAULA DE OLIVEIRA SOBRAL</t>
  </si>
  <si>
    <t>FLAVIA MARINA PINHEIRO DA SILVA</t>
  </si>
  <si>
    <t>JOAO SILVA DE OLIVEIRA</t>
  </si>
  <si>
    <t>00276264820178260050</t>
  </si>
  <si>
    <t>EDIVANIO DAMIAO DA SILVA</t>
  </si>
  <si>
    <t>00311115620178260050</t>
  </si>
  <si>
    <t>FRANCISCO RENE DE CARVALHO</t>
  </si>
  <si>
    <t>00314207720178260050</t>
  </si>
  <si>
    <t>JOSE PAULO DA SILVA</t>
  </si>
  <si>
    <t>00317030320178260050</t>
  </si>
  <si>
    <t>00319439420148260050</t>
  </si>
  <si>
    <t>JONATHAN PRUDENTE DO CARMO</t>
  </si>
  <si>
    <t>00334031420178260050</t>
  </si>
  <si>
    <t>ALISSON WILKER SOUZA MENDES</t>
  </si>
  <si>
    <t>00338855920178260050</t>
  </si>
  <si>
    <t>WAGNER DE PAULA SILVA</t>
  </si>
  <si>
    <t>00339704520178260050</t>
  </si>
  <si>
    <t>MARCELO ANDRE</t>
  </si>
  <si>
    <t>00344441620178260050</t>
  </si>
  <si>
    <t>WASHINGTON GONÇALVES SILVA</t>
  </si>
  <si>
    <t>00354237520178260050</t>
  </si>
  <si>
    <t>DOUGLAS JONAS DE MORAES BARROS</t>
  </si>
  <si>
    <t>00358957620178260050</t>
  </si>
  <si>
    <t>LUIS ALFREDO RIBEIRO JORDAO</t>
  </si>
  <si>
    <t>00366353420178260050</t>
  </si>
  <si>
    <t>BRUNO ALMEIDA DE LIMA</t>
  </si>
  <si>
    <t>MIGUEL PINTO DE OLIVEIRA</t>
  </si>
  <si>
    <t>00381796720118260050</t>
  </si>
  <si>
    <t>CLAUDIO SILVA NOGUEIRA CAMPOS</t>
  </si>
  <si>
    <t>00383886020168260050</t>
  </si>
  <si>
    <t>RICARDO PEREIRA RIBEIRO</t>
  </si>
  <si>
    <t>00398926720178260050</t>
  </si>
  <si>
    <t>VALDECI SABINO PINHEIRO</t>
  </si>
  <si>
    <t>00406590820178260050</t>
  </si>
  <si>
    <t>VINICIUS QUEIROZ NASCIMENTO</t>
  </si>
  <si>
    <t>00410445320178260050</t>
  </si>
  <si>
    <t>PETERSON ALGARVE LAUREANO</t>
  </si>
  <si>
    <t>LEANDRO RIBEIRO SOARES</t>
  </si>
  <si>
    <t>00412766520178260050</t>
  </si>
  <si>
    <t>WILLIAN AMARAL DA SILVA</t>
  </si>
  <si>
    <t>RAFAEL BENEDITO DOS SANTOS</t>
  </si>
  <si>
    <t>00418837820178260050</t>
  </si>
  <si>
    <t>ROGERIO E SOUZA</t>
  </si>
  <si>
    <t>00446907120178260050</t>
  </si>
  <si>
    <t>CLAUDEMIR MORAES DE ALMEIDA</t>
  </si>
  <si>
    <t>00449140920178260050</t>
  </si>
  <si>
    <t>JONATHAN TEODOSIO LINO DA SILVA</t>
  </si>
  <si>
    <t>00461560320178260050</t>
  </si>
  <si>
    <t>LUANA ALVES DE ARAUJO</t>
  </si>
  <si>
    <t>00471408420178260050</t>
  </si>
  <si>
    <t>AUGUSTO BARROS DA SILVA</t>
  </si>
  <si>
    <t>00472112320168260050</t>
  </si>
  <si>
    <t>ERINALDO PAULINO DA SILVA</t>
  </si>
  <si>
    <t>LUANA LAYANE SERAFIM SILVA</t>
  </si>
  <si>
    <t>00486520520178260050</t>
  </si>
  <si>
    <t>NADSON ALVES RODRIGUES</t>
  </si>
  <si>
    <t>00502430220178260050</t>
  </si>
  <si>
    <t>JEFFERSON BATISTA DOS SANTOS</t>
  </si>
  <si>
    <t>00514356720178260050</t>
  </si>
  <si>
    <t>CARLOS INACIO DA SILVA</t>
  </si>
  <si>
    <t>00521042320178260050</t>
  </si>
  <si>
    <t>ALEXANDRE MARIANO DOS SANTOS</t>
  </si>
  <si>
    <t>DEIVID SANTANA DA SILVA</t>
  </si>
  <si>
    <t>00522798520158260050</t>
  </si>
  <si>
    <t>YGOR DE JESUS SOARES</t>
  </si>
  <si>
    <t>00524368720178260050</t>
  </si>
  <si>
    <t>GUILHERME CARVALHO ROMERA</t>
  </si>
  <si>
    <t>00533055020178260050</t>
  </si>
  <si>
    <t>MARCELO JESUS DA SILVA</t>
  </si>
  <si>
    <t>00535081220178260050</t>
  </si>
  <si>
    <t>RAFAEL ERICK BARBOSA SILVA</t>
  </si>
  <si>
    <t>00549086120178260050</t>
  </si>
  <si>
    <t>WESLEY HENRIQUE NOGUEIRA DE ASSIS</t>
  </si>
  <si>
    <t>00558413420178260050</t>
  </si>
  <si>
    <t>FELIPE ELIAS GIUNTINI</t>
  </si>
  <si>
    <t>00581607220178260050</t>
  </si>
  <si>
    <t>ALEXANDRE APARECIDO ALVES</t>
  </si>
  <si>
    <t>00584185320158260050</t>
  </si>
  <si>
    <t>MARLON PEREIRA</t>
  </si>
  <si>
    <t>00585212620168260050</t>
  </si>
  <si>
    <t>STANLLEY PAES PENAS</t>
  </si>
  <si>
    <t>00598607420038260050</t>
  </si>
  <si>
    <t>Carolina Cristina Palácio</t>
  </si>
  <si>
    <t>Robson Freire</t>
  </si>
  <si>
    <t>Oswaldo Rodrigo Machado</t>
  </si>
  <si>
    <t>00600808120178260050</t>
  </si>
  <si>
    <t>ALESSANDRO MOREIRA RODRIGUES DE ABREU</t>
  </si>
  <si>
    <t>00607009320178260050</t>
  </si>
  <si>
    <t>GEAN CARLOS ALVES DE OLIVEIRA</t>
  </si>
  <si>
    <t>00610525120178260050</t>
  </si>
  <si>
    <t>ROBERTH ABREU CARDOSO DA SILVA</t>
  </si>
  <si>
    <t>00632099420178260050</t>
  </si>
  <si>
    <t>DIEGO ALMEIDA PEREIRA</t>
  </si>
  <si>
    <t>00635719620178260050</t>
  </si>
  <si>
    <t>MARY JANE DA CONCEICAO DE ANDRADE</t>
  </si>
  <si>
    <t>00646042420178260050</t>
  </si>
  <si>
    <t>JORGE DE FREITAS NETO</t>
  </si>
  <si>
    <t>00650182220178260050</t>
  </si>
  <si>
    <t>FERNANDO DOS SANTOS FIALHO</t>
  </si>
  <si>
    <t>LUCAS SEVERINO DE SOUSA</t>
  </si>
  <si>
    <t>EDUARDO LUIZ DA SILVA</t>
  </si>
  <si>
    <t>NATALIA LOURENCO FRANCO</t>
  </si>
  <si>
    <t>00668733620178260050</t>
  </si>
  <si>
    <t>GABRIEL DO AMARAL BARROS PADILHA</t>
  </si>
  <si>
    <t>00680520520178260050</t>
  </si>
  <si>
    <t>WEBERTH SALOMAO RIBEIRO VASCONCELOS BATISTA</t>
  </si>
  <si>
    <t>00685469820168260050</t>
  </si>
  <si>
    <t>JONATHAN DA SILVA</t>
  </si>
  <si>
    <t>00689883020178260050</t>
  </si>
  <si>
    <t>CAIO CESAR DOS SANTOS</t>
  </si>
  <si>
    <t>00697487620178260050</t>
  </si>
  <si>
    <t>EDSON ANDRADE DOS SANTOS FILHO</t>
  </si>
  <si>
    <t>JONATHAN CARDOSO</t>
  </si>
  <si>
    <t>00701162220168260050</t>
  </si>
  <si>
    <t>LEONARDO EVANGELISTA DOS SANTOS</t>
  </si>
  <si>
    <t>00719217320178260050</t>
  </si>
  <si>
    <t>KLEISSON SOARES CAVALCANTE</t>
  </si>
  <si>
    <t>00723475620158260050</t>
  </si>
  <si>
    <t>EDWIN FERNANDO MARTINS BERESOSKI.</t>
  </si>
  <si>
    <t>00743077620178260050</t>
  </si>
  <si>
    <t>RENE CLAUDIO DE SOUZA NETO</t>
  </si>
  <si>
    <t>00747320620178260050</t>
  </si>
  <si>
    <t>EVANIEL DA COSTA E SILVA</t>
  </si>
  <si>
    <t>00772368220178260050</t>
  </si>
  <si>
    <t>WESLEY DE OLIVEIRA SOARES</t>
  </si>
  <si>
    <t>00779305120178260050</t>
  </si>
  <si>
    <t>RITA DE CASSIA SILVA</t>
  </si>
  <si>
    <t>00779706720168260050</t>
  </si>
  <si>
    <t>DANILO LOPES SOARES DE AZEVEDO</t>
  </si>
  <si>
    <t>00813307320178260050</t>
  </si>
  <si>
    <t>MATHEUS DE ALMEIDA PRADO LITVIN</t>
  </si>
  <si>
    <t>00817204320178260050</t>
  </si>
  <si>
    <t>DENILSON FERREIRA DA SILVA</t>
  </si>
  <si>
    <t>00817334220178260050</t>
  </si>
  <si>
    <t>JERFERSON URAQUITAN DA SILVA</t>
  </si>
  <si>
    <t>00818056320168260050</t>
  </si>
  <si>
    <t>BRUNO DE SOUZA FERREIRA</t>
  </si>
  <si>
    <t>00829271420168260050</t>
  </si>
  <si>
    <t>LUIZ FERNANDO FRIZZA JUSTINO</t>
  </si>
  <si>
    <t>00835617320178260050</t>
  </si>
  <si>
    <t>EDUARDO PADOVAN</t>
  </si>
  <si>
    <t>ALEF ALMEIDA LEITE DE PAULA</t>
  </si>
  <si>
    <t>Danillo Galdino da Silva</t>
  </si>
  <si>
    <t>KAIKE ANDRADE SANTOS</t>
  </si>
  <si>
    <t>PAMELA MARIA DA SILVA</t>
  </si>
  <si>
    <t>00837270820178260050</t>
  </si>
  <si>
    <t>WESLEY FERREIRA LAURENCO</t>
  </si>
  <si>
    <t>00854185720178260050</t>
  </si>
  <si>
    <t>TIAGO MANOEL DA SILVA</t>
  </si>
  <si>
    <t>00870972920168260050</t>
  </si>
  <si>
    <t>REINALDO DOS SANTOS SOARES</t>
  </si>
  <si>
    <t>00872884020178260050</t>
  </si>
  <si>
    <t>PAULO HENRIQUE SOARES DE OLIVEIRA</t>
  </si>
  <si>
    <t>CAINAN PEREIRA</t>
  </si>
  <si>
    <t>00883201720168260050</t>
  </si>
  <si>
    <t>LAZARO DOS SANTOS GOMES</t>
  </si>
  <si>
    <t>00892668620168260050</t>
  </si>
  <si>
    <t>WILLIANS GOMES DE JESUS</t>
  </si>
  <si>
    <t>00900584020168260050</t>
  </si>
  <si>
    <t>ROBSON RODRIGUES DE ANDRADE</t>
  </si>
  <si>
    <t>00905044320168260050</t>
  </si>
  <si>
    <t>JOSE FERNANDO DOS SANTOS</t>
  </si>
  <si>
    <t>HIGOR SANTANA XAVIER</t>
  </si>
  <si>
    <t>00915177720168260050</t>
  </si>
  <si>
    <t>FELIPE AQUINO ALGARVE</t>
  </si>
  <si>
    <t>00919776420168260050</t>
  </si>
  <si>
    <t>JOSIANE DA SILVA</t>
  </si>
  <si>
    <t>00930409020178260050</t>
  </si>
  <si>
    <t>SIDNEI DOS SANTOS</t>
  </si>
  <si>
    <t>00939485020178260050</t>
  </si>
  <si>
    <t>LUCIANO GIMENES LOPES GOMES</t>
  </si>
  <si>
    <t>00942363220168260050</t>
  </si>
  <si>
    <t>IVANILDO MOREIRA DE JESUS</t>
  </si>
  <si>
    <t>00946919420168260050</t>
  </si>
  <si>
    <t>RICARDO NUNES VIEIRA</t>
  </si>
  <si>
    <t>00954661220168260050</t>
  </si>
  <si>
    <t>ALLAN DIAS NASCIMENTO</t>
  </si>
  <si>
    <t>00960504520178260050</t>
  </si>
  <si>
    <t>WELBER LIMA SANTIAGO DO PRADO</t>
  </si>
  <si>
    <t>00962993020168260050</t>
  </si>
  <si>
    <t>JOSE BORBOLETA DA SILVA</t>
  </si>
  <si>
    <t>00969878920168260050</t>
  </si>
  <si>
    <t>LUCAS JACOBINO DA SILVA</t>
  </si>
  <si>
    <t>00973420220168260050</t>
  </si>
  <si>
    <t>REINALDO AZEVEDO FELIPE</t>
  </si>
  <si>
    <t>00983057320178260050</t>
  </si>
  <si>
    <t>CESAR AUGUSTO SOARES DE PUGAS</t>
  </si>
  <si>
    <t>00990672620168260050</t>
  </si>
  <si>
    <t>DIEGO NOROES DE LIMA</t>
  </si>
  <si>
    <t>00994128920168260050</t>
  </si>
  <si>
    <t>BRUNO VELEHOV DE CARVALHO</t>
  </si>
  <si>
    <t>00995233920178260050</t>
  </si>
  <si>
    <t>DANIEL CARLOS DOS SANTOS</t>
  </si>
  <si>
    <t>00995465320158260050</t>
  </si>
  <si>
    <t>NATALIA SILVA NASCIMENTO</t>
  </si>
  <si>
    <t>01011649620168260050</t>
  </si>
  <si>
    <t>MIRELLA APARECIDA ALVES DA SILVA DE OLIVEIRA</t>
  </si>
  <si>
    <t>01019711920168260050</t>
  </si>
  <si>
    <t>LUCAS ALVES DE OLIVEIRA</t>
  </si>
  <si>
    <t>01036046520168260050</t>
  </si>
  <si>
    <t>FELIPE DIOGO DE RAMOS MACEDO</t>
  </si>
  <si>
    <t>DANIEL ABADE DOS SANTOS NETO</t>
  </si>
  <si>
    <t>LEONARDO DIAS FUNGARI</t>
  </si>
  <si>
    <t>01040117120168260050</t>
  </si>
  <si>
    <t>JEFFERSON BRASILINO</t>
  </si>
  <si>
    <t>01059248820168260050</t>
  </si>
  <si>
    <t>MARCOS VINICIUS DA SILVA BRITO</t>
  </si>
  <si>
    <t>00001887220168260635</t>
  </si>
  <si>
    <t>MAGNO CARDOSO OLIVEIRA</t>
  </si>
  <si>
    <t>ROBISON FELIPE LIMA PEREIRA</t>
  </si>
  <si>
    <t>00004188020178260635</t>
  </si>
  <si>
    <t>HERICK CRUZ DAMASCENO</t>
  </si>
  <si>
    <t>GUSTAVO MENDES DA COSTA NUNES</t>
  </si>
  <si>
    <t>00005799020178260635</t>
  </si>
  <si>
    <t>REVERSON LIMA DA SILVA</t>
  </si>
  <si>
    <t>00007574820178260050</t>
  </si>
  <si>
    <t>KELLY DA SILVA PEREIRA</t>
  </si>
  <si>
    <t>00008284120178260635</t>
  </si>
  <si>
    <t>JEFFERSON DE OLIVEIRA DA SILVA</t>
  </si>
  <si>
    <t>00009757620178260050</t>
  </si>
  <si>
    <t>DENIS WILLIAN DE SOUZA CRUZ</t>
  </si>
  <si>
    <t>00009938820178260635</t>
  </si>
  <si>
    <t>CHIBUIKE VICTOR EZECHUKWU</t>
  </si>
  <si>
    <t>AZUBUITE OHADOMA</t>
  </si>
  <si>
    <t>00011592320178260635</t>
  </si>
  <si>
    <t>AILTON ALVES DA SILVA</t>
  </si>
  <si>
    <t>00011662420178260050</t>
  </si>
  <si>
    <t>RONALDO XAVIER DO NASCIMENTO</t>
  </si>
  <si>
    <t>JUAN GONÇALVES SILVA</t>
  </si>
  <si>
    <t>00013827320178260635</t>
  </si>
  <si>
    <t>ADONIAS MATOS PEREIRA DOS SANTOS</t>
  </si>
  <si>
    <t>00016486020178260635</t>
  </si>
  <si>
    <t>RONIERE MACEDO DA SILVA</t>
  </si>
  <si>
    <t>00019011920158260635</t>
  </si>
  <si>
    <t>JACQUELINE ALVES DE LIMA</t>
  </si>
  <si>
    <t>MILTON DO PRADO ALMEIDA</t>
  </si>
  <si>
    <t>00024844220178260050</t>
  </si>
  <si>
    <t>SEVERINO MIGUEL MARTINS FILHO</t>
  </si>
  <si>
    <t>00025492820178260635</t>
  </si>
  <si>
    <t>JOÃO PAULO DAMACENO</t>
  </si>
  <si>
    <t>00029537920178260635</t>
  </si>
  <si>
    <t>VANDERLUCIO ALVES DIAS</t>
  </si>
  <si>
    <t>00030290620178260635</t>
  </si>
  <si>
    <t>GABRIEL SANTOS DE OLIVEIRA</t>
  </si>
  <si>
    <t>00033651020178260635</t>
  </si>
  <si>
    <t>DOUGLAS SOARES PIMENTA</t>
  </si>
  <si>
    <t>00035418620178260635</t>
  </si>
  <si>
    <t>FREDNEY AUGUSTO SEVERIANO</t>
  </si>
  <si>
    <t>00037488520178260635</t>
  </si>
  <si>
    <t>FELIPE CARRICO CORREA</t>
  </si>
  <si>
    <t>EDER ROQUE SOUZA MASETTO</t>
  </si>
  <si>
    <t>00038649120178260635</t>
  </si>
  <si>
    <t>HENRIQUE RODRIGUES FARIA</t>
  </si>
  <si>
    <t>00043179520178260050</t>
  </si>
  <si>
    <t>IGOR FRANCISCO DE JESUS</t>
  </si>
  <si>
    <t>00044381720178260635</t>
  </si>
  <si>
    <t>LUCAS VINICIUS SOUZA PEREIRA</t>
  </si>
  <si>
    <t>00048972820178260050</t>
  </si>
  <si>
    <t>DJAIR ALMEIDA RIBEIRO</t>
  </si>
  <si>
    <t>00052237620178260635</t>
  </si>
  <si>
    <t>BRUNO DIAS RIBEIRO</t>
  </si>
  <si>
    <t>00054670520178260635</t>
  </si>
  <si>
    <t>PATRICK SANTOS LEVY</t>
  </si>
  <si>
    <t>00063521920178260635</t>
  </si>
  <si>
    <t>EDUARDO REIS DE LIMA JUNIOR</t>
  </si>
  <si>
    <t>ALEANDRO SANTOS DE MELO</t>
  </si>
  <si>
    <t>00068878820168260050</t>
  </si>
  <si>
    <t>ALEXANDRE GOMES DA SILVA</t>
  </si>
  <si>
    <t>00070659120178260635</t>
  </si>
  <si>
    <t>WAGNER BATISTA DE OLIVEIRA</t>
  </si>
  <si>
    <t>00076349220178260635</t>
  </si>
  <si>
    <t>MARCIA APARECIDA DE ARAUJO SANTOS</t>
  </si>
  <si>
    <t>BRENDO DA SILVA SANTOS</t>
  </si>
  <si>
    <t>00077253620138260050</t>
  </si>
  <si>
    <t>JUELSON BRAGANÇA DO NASCIMENTO SILVA</t>
  </si>
  <si>
    <t>RICARDO GOMES DOS SANTOS</t>
  </si>
  <si>
    <t>00088571720168260635</t>
  </si>
  <si>
    <t>ROSANGELA FERNANDES DE JESUS</t>
  </si>
  <si>
    <t>THATIANE BARBOSA DA SILVA</t>
  </si>
  <si>
    <t>00089819720168260635</t>
  </si>
  <si>
    <t>ALLAN VINICIUS VICTORIO FERNANDES TAVERNA</t>
  </si>
  <si>
    <t>00093255320178260050</t>
  </si>
  <si>
    <t>MAICON REZENDE PIRES</t>
  </si>
  <si>
    <t>00093526120168260635</t>
  </si>
  <si>
    <t>RAFAEL BATISTA DE OLIVEIRA</t>
  </si>
  <si>
    <t>00094479120168260635</t>
  </si>
  <si>
    <t>ALISON KAYNA PEREIRA RIBEIRO</t>
  </si>
  <si>
    <t>PALOMA DOS SANTOS CANDIDO</t>
  </si>
  <si>
    <t>00101121020168260635</t>
  </si>
  <si>
    <t>SILVIO JOSE VASCONCELOS</t>
  </si>
  <si>
    <t>00102773220178260050</t>
  </si>
  <si>
    <t>WELLINGTON PEREIRA DA SILVA</t>
  </si>
  <si>
    <t>00108266720168260635</t>
  </si>
  <si>
    <t>FABRICIO SANTOS DE JESUS</t>
  </si>
  <si>
    <t>00110552720168260635</t>
  </si>
  <si>
    <t>CAIO VINICIUS GONÇALVES</t>
  </si>
  <si>
    <t>RAFAEL AUGUSTO DE MORAIS</t>
  </si>
  <si>
    <t>00114112220168260635</t>
  </si>
  <si>
    <t>WEBER PEREIRA DA SILVA</t>
  </si>
  <si>
    <t>00116849820168260635</t>
  </si>
  <si>
    <t>RICARDO RODRIGUES DA SILVA</t>
  </si>
  <si>
    <t>00120573220168260635</t>
  </si>
  <si>
    <t>DJAVAN SANTOS LIMA</t>
  </si>
  <si>
    <t>00122159620168260050</t>
  </si>
  <si>
    <t>FRANCIELE TAIS DA SILVA</t>
  </si>
  <si>
    <t>00127025720168260635</t>
  </si>
  <si>
    <t>MARCELO DOS SANTOS BERNARDO</t>
  </si>
  <si>
    <t>DAVI DIONELLO DE OLIVEIRA RAMOS</t>
  </si>
  <si>
    <t>00130869220178260050</t>
  </si>
  <si>
    <t>EVELYN KATIA AGOSTINHO</t>
  </si>
  <si>
    <t>00132897920168260635</t>
  </si>
  <si>
    <t>DIEGO FIRMINO DOS SANTOS</t>
  </si>
  <si>
    <t>WANDER AVILA RAMOS</t>
  </si>
  <si>
    <t>00134871920168260635</t>
  </si>
  <si>
    <t>MARCELO BARBOSA DE MIRANDA</t>
  </si>
  <si>
    <t>00140439320178260050</t>
  </si>
  <si>
    <t>KLEYTON SANTOS DE OLIVEIRA</t>
  </si>
  <si>
    <t>00143703820178260050</t>
  </si>
  <si>
    <t>ALEX SILVA RIBEIRO COSTA</t>
  </si>
  <si>
    <t>00152469020178260050</t>
  </si>
  <si>
    <t>MAX LEANDRO DE ALMEIDA</t>
  </si>
  <si>
    <t>00164969520168260050</t>
  </si>
  <si>
    <t>BRUNO RIBEIRO DE CASTRO</t>
  </si>
  <si>
    <t>LEANDRO FONTANELLIS DA SILVA</t>
  </si>
  <si>
    <t>00181204820178260050</t>
  </si>
  <si>
    <t>MILTON CARLOS DA SILVA JUNIOR</t>
  </si>
  <si>
    <t>00194022420178260050</t>
  </si>
  <si>
    <t>FRANCISCO SANDERSON JONAS DO NASCIMENTO</t>
  </si>
  <si>
    <t>00204606220178260050</t>
  </si>
  <si>
    <t>CLAUDEMIRO GONCALVES</t>
  </si>
  <si>
    <t>ANDRE ANSELMO ALVES DOS SANTOS</t>
  </si>
  <si>
    <t>00209135720178260050</t>
  </si>
  <si>
    <t>MARCELO MARQUES</t>
  </si>
  <si>
    <t>ANDERSON ROBERTO OLIVEIRA DOS SANTOS</t>
  </si>
  <si>
    <t>DANIELA GARCIA DE PAULA</t>
  </si>
  <si>
    <t>00221867120178260050</t>
  </si>
  <si>
    <t>MIGUEL CONCEICAO SANTOS</t>
  </si>
  <si>
    <t>00241495120168260050</t>
  </si>
  <si>
    <t>JOAO EDUARDO FONTANA</t>
  </si>
  <si>
    <t>00250369820178260050</t>
  </si>
  <si>
    <t>ROBSON DE ALMEIDA FERNANDES</t>
  </si>
  <si>
    <t>00261238920178260050</t>
  </si>
  <si>
    <t>00263545320168260050</t>
  </si>
  <si>
    <t>FLÁVIO SALES DOS SANTOS</t>
  </si>
  <si>
    <t>LUCAS NASCIMENTO DE LIMA</t>
  </si>
  <si>
    <t>ADEMILTON SILVA DOS SANTOS</t>
  </si>
  <si>
    <t>00323405120178260050</t>
  </si>
  <si>
    <t>JOAO CARDOSO DA SILVA NETO</t>
  </si>
  <si>
    <t>00340949120188260050</t>
  </si>
  <si>
    <t>PETER ADJEI  APPIAH</t>
  </si>
  <si>
    <t>WALTER GIOVANNI ZAMORA URREGO</t>
  </si>
  <si>
    <t>00344510820178260050</t>
  </si>
  <si>
    <t>MARCELO SANTOS DE SOUZA</t>
  </si>
  <si>
    <t>00377257720178260050</t>
  </si>
  <si>
    <t>Patrick Tochukwu Okolo</t>
  </si>
  <si>
    <t>00383069220178260050</t>
  </si>
  <si>
    <t>DIOGO DOS SANTOS ARAUJO</t>
  </si>
  <si>
    <t>00386328620168260050</t>
  </si>
  <si>
    <t>CLEITON GOMES AMELIO</t>
  </si>
  <si>
    <t>00398849020178260050</t>
  </si>
  <si>
    <t>TESSIO DE ANDRADE</t>
  </si>
  <si>
    <t>00406114920178260050</t>
  </si>
  <si>
    <t>VANDERLON ALMEIDA ROCHA JUNIOR</t>
  </si>
  <si>
    <t>00425402020178260050</t>
  </si>
  <si>
    <t>JUAREZ DOS SANTOS MACHADO</t>
  </si>
  <si>
    <t>00437929220168260050</t>
  </si>
  <si>
    <t>EDNILSON OLIVEIRA E SILVA</t>
  </si>
  <si>
    <t>00446360820178260050</t>
  </si>
  <si>
    <t>RENAN SANTOS DE OLIVEIRA</t>
  </si>
  <si>
    <t>DIEGO MARTINS DE ANDRADE BALBINO</t>
  </si>
  <si>
    <t>00467842620168260050</t>
  </si>
  <si>
    <t>JOSE DE SOUSA PEREIRA</t>
  </si>
  <si>
    <t>00475192520178260050</t>
  </si>
  <si>
    <t>ERNANDE DE SOUSA OLIVEIRA</t>
  </si>
  <si>
    <t>00478235820168260050</t>
  </si>
  <si>
    <t>PHELLIPE GOMES DO PRADO DIAS</t>
  </si>
  <si>
    <t>TASIANO MATOS DOS SANTOS</t>
  </si>
  <si>
    <t>00522116720178260050</t>
  </si>
  <si>
    <t>RAFAEL FERNANDES DE SOUZA</t>
  </si>
  <si>
    <t>00533756720178260050</t>
  </si>
  <si>
    <t>THIAGO RODRIGUES</t>
  </si>
  <si>
    <t>00537085320168260050</t>
  </si>
  <si>
    <t>GUSTAVO HOELZ BAZZON</t>
  </si>
  <si>
    <t>MARCONDES BATISTA DE MORAES JUNIOR</t>
  </si>
  <si>
    <t>00572062620178260050</t>
  </si>
  <si>
    <t>MAURICIO ANGELO DOS SANTOS BONFIM</t>
  </si>
  <si>
    <t>00586145220178260050</t>
  </si>
  <si>
    <t>FELIPE DE MATOS CERQUEIRA</t>
  </si>
  <si>
    <t>00630842920178260050</t>
  </si>
  <si>
    <t>NICOLAS RODRIGUES DA CRUZ</t>
  </si>
  <si>
    <t>JULIO ANACLETO DE CASTILHO</t>
  </si>
  <si>
    <t>00634093820168260050</t>
  </si>
  <si>
    <t>GABRIEL AGOSTINHO FERRO</t>
  </si>
  <si>
    <t>00637587520158260050</t>
  </si>
  <si>
    <t>PAULO SILAS GOMES DE SOUZA</t>
  </si>
  <si>
    <t>DIEGO DA SILVA</t>
  </si>
  <si>
    <t>00657899720178260050</t>
  </si>
  <si>
    <t>TARCISIO SOARES DO NASCIMENTO</t>
  </si>
  <si>
    <t>00668092620178260050</t>
  </si>
  <si>
    <t>DIEGO ALVES DOS SANTOS</t>
  </si>
  <si>
    <t>00671530720178260050</t>
  </si>
  <si>
    <t>WANDERSON SCHINEIDER OLIVEIRA</t>
  </si>
  <si>
    <t>00688580620188260050</t>
  </si>
  <si>
    <t>DAVI SILVA MELO</t>
  </si>
  <si>
    <t>00711710820168260050</t>
  </si>
  <si>
    <t>JORGE ENRIQUE ESCOBAR DOMINGUEZ</t>
  </si>
  <si>
    <t>00715074620158260050</t>
  </si>
  <si>
    <t>RENAN SALES BISPO DA SILVA</t>
  </si>
  <si>
    <t>00722975920178260050</t>
  </si>
  <si>
    <t>MICHAEL RAFAEL BUENO DE SANT ANA</t>
  </si>
  <si>
    <t>00725228420148260050</t>
  </si>
  <si>
    <t>MARCIO APARECIDO ROCHA DOS REIS</t>
  </si>
  <si>
    <t>VINICIUS EDUARDO DE SANTANA</t>
  </si>
  <si>
    <t>VERONICA FERNANDES JERONIMO</t>
  </si>
  <si>
    <t>REINALDO DE MOURA PERES DA SILVA</t>
  </si>
  <si>
    <t>CLAUDEMIR BISPO</t>
  </si>
  <si>
    <t>MARIA DO CARMO PEREIRA LIMA</t>
  </si>
  <si>
    <t>00765087520168260050</t>
  </si>
  <si>
    <t>ROGERIO APARECIDO MARTINS MONTEIRO</t>
  </si>
  <si>
    <t>SAMUEL DOUGLAS DA SILVA COSTA</t>
  </si>
  <si>
    <t>MARCIA APARECIDA DE OLIVEIRA</t>
  </si>
  <si>
    <t>BRUNO MOREIRA CORREA</t>
  </si>
  <si>
    <t>BRUNO PASQUALI NETO</t>
  </si>
  <si>
    <t>00780563820168260050</t>
  </si>
  <si>
    <t>ALESSANDRO LAUREANO DA SILVA</t>
  </si>
  <si>
    <t>00783228820178260050</t>
  </si>
  <si>
    <t>LEANDRO DE OLIVEIRA COSTA</t>
  </si>
  <si>
    <t>00788640920178260050</t>
  </si>
  <si>
    <t>JOAO BATISTA CAGE DOS SANTOS JUNIOR</t>
  </si>
  <si>
    <t>MARCELO GONCALVES OLIVEIRA</t>
  </si>
  <si>
    <t>00809135720168260050</t>
  </si>
  <si>
    <t>PABLO RAIONE CARDOSO LOBATO</t>
  </si>
  <si>
    <t>00812395120158260050</t>
  </si>
  <si>
    <t>JOAO GUILHERME BRANDAO MARTINS FERREIRA</t>
  </si>
  <si>
    <t>00822265320168260050</t>
  </si>
  <si>
    <t>RENATO SANTOS ROQUE</t>
  </si>
  <si>
    <t>00832193320158260050</t>
  </si>
  <si>
    <t>DANIEL EUSTAQUIO DOS SANTOS</t>
  </si>
  <si>
    <t>00849970420168260050</t>
  </si>
  <si>
    <t>TYAGO MEDEIROS DA SILVA</t>
  </si>
  <si>
    <t>00850663620168260050</t>
  </si>
  <si>
    <t>ERICELMA LISBOA DOS REIS ALVES</t>
  </si>
  <si>
    <t>00875719720168260050</t>
  </si>
  <si>
    <t>RENILDA ALVES DOS SANTOS</t>
  </si>
  <si>
    <t>00888753420168260050</t>
  </si>
  <si>
    <t>ELTON ALVES FERREIRA</t>
  </si>
  <si>
    <t>00894166720168260050</t>
  </si>
  <si>
    <t>ALISON ROBERTO DA SILVA VIANA</t>
  </si>
  <si>
    <t>00920884820168260050</t>
  </si>
  <si>
    <t>ALEXSANDRO SABINO CORREIA</t>
  </si>
  <si>
    <t>00936121720158260050</t>
  </si>
  <si>
    <t>GRACIANO DA CUNHA PESSOA</t>
  </si>
  <si>
    <t>00954809320168260050</t>
  </si>
  <si>
    <t>DIONE PEREIRA DA CRUZ</t>
  </si>
  <si>
    <t>FABIANO GUIMARAES NEVES</t>
  </si>
  <si>
    <t>00969722320168260050</t>
  </si>
  <si>
    <t>RENATO LIMA DA SILVA</t>
  </si>
  <si>
    <t>00974494620168260050</t>
  </si>
  <si>
    <t>HEBERT SANTOS DA SILVA</t>
  </si>
  <si>
    <t>00985598520138260050</t>
  </si>
  <si>
    <t>JACQUELINE DOS SANTOS SILVA</t>
  </si>
  <si>
    <t>01011830520168260050</t>
  </si>
  <si>
    <t>01077326520158260050</t>
  </si>
  <si>
    <t>EVERALDO LOPES PIRES</t>
  </si>
  <si>
    <t>01077831320148260050</t>
  </si>
  <si>
    <t>ALEX LIMA</t>
  </si>
  <si>
    <t>VICTOR HUGO DOS SANTOS</t>
  </si>
  <si>
    <t>RICARDO BATISTA DA SILVA</t>
  </si>
  <si>
    <t>00004661020158260635</t>
  </si>
  <si>
    <t>ELISANGELA DA SILVA</t>
  </si>
  <si>
    <t>THOMAS LOPES TORRES</t>
  </si>
  <si>
    <t>00011713720178260635</t>
  </si>
  <si>
    <t>DEIVID NOGUEIRA DE LIMA</t>
  </si>
  <si>
    <t>00021266820178260635</t>
  </si>
  <si>
    <t>CRISTIANO ROSA NORMANDIA</t>
  </si>
  <si>
    <t>00022127320168260635</t>
  </si>
  <si>
    <t>CLAUDEMIR ANTONIO NEVES</t>
  </si>
  <si>
    <t>00031997520178260635</t>
  </si>
  <si>
    <t>GABRIEL BATISTA DOS SANTOS</t>
  </si>
  <si>
    <t>00035652620178260050</t>
  </si>
  <si>
    <t>FILIPI SILVA</t>
  </si>
  <si>
    <t>MATHEUS HENRIQUE TAVARES</t>
  </si>
  <si>
    <t>00041697520178260635</t>
  </si>
  <si>
    <t>RENATA MENDES DA SILVA</t>
  </si>
  <si>
    <t>00047806220168260635</t>
  </si>
  <si>
    <t>ANDRE PACIFICO DE OLIVEIRA</t>
  </si>
  <si>
    <t>00048179820168260050</t>
  </si>
  <si>
    <t>ANDRE FRANCISCO DE OLIVEIRA</t>
  </si>
  <si>
    <t>00051779620178260050</t>
  </si>
  <si>
    <t>INACIO PEREIRA DE BRITO JUNIOR</t>
  </si>
  <si>
    <t>00051972420168260050</t>
  </si>
  <si>
    <t>EMERSON NASCIMENTO VIEIRA</t>
  </si>
  <si>
    <t>00063367420178260050</t>
  </si>
  <si>
    <t>JOEL CRUZ ASSUMPCAO</t>
  </si>
  <si>
    <t>00064187620158260050</t>
  </si>
  <si>
    <t>VALDIZA BARBOSA FERREIRA</t>
  </si>
  <si>
    <t>00073681720178260050</t>
  </si>
  <si>
    <t>CAIO CESAR CAVALCANTE</t>
  </si>
  <si>
    <t>00076868820178260635</t>
  </si>
  <si>
    <t>WALLACE JOSÉ DIAMANTINO BORGES</t>
  </si>
  <si>
    <t>00078756620178260635</t>
  </si>
  <si>
    <t>00081428620138260050</t>
  </si>
  <si>
    <t>ORIAS PEREIRA CRUZ</t>
  </si>
  <si>
    <t>00098523020168260635</t>
  </si>
  <si>
    <t>LEONARDO BRITO BOMFIM</t>
  </si>
  <si>
    <t>00099297320158260635</t>
  </si>
  <si>
    <t>EMOKPAZ OSAMUDIAMENZ RAIMUND</t>
  </si>
  <si>
    <t>MATTHEW  IHEANACHO ONUOHA</t>
  </si>
  <si>
    <t>00101283620178260050</t>
  </si>
  <si>
    <t>MARCOS VINICIUS SANTOS SALES</t>
  </si>
  <si>
    <t>00103410420158260635</t>
  </si>
  <si>
    <t>EDSON DA SILVA</t>
  </si>
  <si>
    <t>00116043720168260635</t>
  </si>
  <si>
    <t>MAXWEL AMORIM RIBEIRO</t>
  </si>
  <si>
    <t>00118763120168260635</t>
  </si>
  <si>
    <t>GUILHERME DANIEL NASCIMENTO OLIVEIRA</t>
  </si>
  <si>
    <t>00120501520178260050</t>
  </si>
  <si>
    <t>ROGERIO ARAUJO VENTURA</t>
  </si>
  <si>
    <t>DAIANA RIBEIRO DA SILVA</t>
  </si>
  <si>
    <t>CAROLINE ROCHA SANTOS</t>
  </si>
  <si>
    <t>00122739020168260635</t>
  </si>
  <si>
    <t>WELTON TELIS DE OLIVEIRA</t>
  </si>
  <si>
    <t>00131373120168260635</t>
  </si>
  <si>
    <t>RAY VICTOR BATISTA RODRIGUES</t>
  </si>
  <si>
    <t>00136319020168260635</t>
  </si>
  <si>
    <t>JONES SOARES BATISTA</t>
  </si>
  <si>
    <t>00140303120168260050</t>
  </si>
  <si>
    <t>ELIAS SILVA ORTOLANI</t>
  </si>
  <si>
    <t>00145912120178260050</t>
  </si>
  <si>
    <t>ROBERTO DE CARVALHO PINHEIRO</t>
  </si>
  <si>
    <t>00173340420178260050</t>
  </si>
  <si>
    <t>RENAN HENRIQUE RIBEIRO SANTOS</t>
  </si>
  <si>
    <t>EMERSON GIACOMINNI SANTOS</t>
  </si>
  <si>
    <t>00181499820178260050</t>
  </si>
  <si>
    <t>VANESSA OLIVEIRA DA SILVA</t>
  </si>
  <si>
    <t>RAELSON PINHEIRO SOARES</t>
  </si>
  <si>
    <t>00189207620178260050</t>
  </si>
  <si>
    <t>FELIPE GOMES RODRIGUES DA SILVA</t>
  </si>
  <si>
    <t>VICENTE AUGUSTO MENDES TAVARES</t>
  </si>
  <si>
    <t>00194049120178260050</t>
  </si>
  <si>
    <t>FLAVIO CORREIA LEITE</t>
  </si>
  <si>
    <t>SAMUEL MORAES LEITE</t>
  </si>
  <si>
    <t>00206367520168260050</t>
  </si>
  <si>
    <t>00215873520178260050</t>
  </si>
  <si>
    <t>SERGIO DE JESUS</t>
  </si>
  <si>
    <t>00228552720178260050</t>
  </si>
  <si>
    <t>EDSON CABRAL DA SILVA</t>
  </si>
  <si>
    <t>00243276320178260050</t>
  </si>
  <si>
    <t>FELIPE DE PETTA</t>
  </si>
  <si>
    <t>00255196520168260050</t>
  </si>
  <si>
    <t>WANDERLEI CORREA ROTA</t>
  </si>
  <si>
    <t>00266109320168260050</t>
  </si>
  <si>
    <t>CICERO BATISTA PEREIRA</t>
  </si>
  <si>
    <t>00268802020168260050</t>
  </si>
  <si>
    <t>CINTIA VIEIRA PEIXOTO</t>
  </si>
  <si>
    <t>00275676020178260050</t>
  </si>
  <si>
    <t>TALITA SILVA BATISTA</t>
  </si>
  <si>
    <t>00282969620118260050</t>
  </si>
  <si>
    <t>Lucileide Ribeiro do Vale</t>
  </si>
  <si>
    <t>00316632120178260050</t>
  </si>
  <si>
    <t>HELTON LUIZ DE AZEVEDO</t>
  </si>
  <si>
    <t>CARLOS AZEVEDO FILHO</t>
  </si>
  <si>
    <t>00334291220178260050</t>
  </si>
  <si>
    <t>JACKSON FERREIRA DA ANUNCIACAO DO CARMO</t>
  </si>
  <si>
    <t>00383602920158260050</t>
  </si>
  <si>
    <t>RAFAEL DOS SANTOS SILVA</t>
  </si>
  <si>
    <t>00451829720168260050</t>
  </si>
  <si>
    <t>GILBERTO CARLOS DA SILVA</t>
  </si>
  <si>
    <t>00452025420178260050</t>
  </si>
  <si>
    <t>MARCIO APARECIDO PESSOA</t>
  </si>
  <si>
    <t>PETER LOUIS OKEKE</t>
  </si>
  <si>
    <t>00481642120158260050</t>
  </si>
  <si>
    <t>ANDERSON VIANA DE ALMEIDA</t>
  </si>
  <si>
    <t>00484766020168260050</t>
  </si>
  <si>
    <t>WILSON SANTOS RIBEIRO DO NASCIMENTO</t>
  </si>
  <si>
    <t>00495788320178260050</t>
  </si>
  <si>
    <t>IGOR ROSSAFA CONCEICAO</t>
  </si>
  <si>
    <t>00500906620178260050</t>
  </si>
  <si>
    <t>ROSANA RIBEIRO DA SILVA</t>
  </si>
  <si>
    <t>LILIANE APARECIDA DE SA</t>
  </si>
  <si>
    <t>00524117920148260050</t>
  </si>
  <si>
    <t>ALINE CRISTINA ROGERIO</t>
  </si>
  <si>
    <t>00534642720168260050</t>
  </si>
  <si>
    <t>EDUARDO RODRIGUES DA SILVA</t>
  </si>
  <si>
    <t>00537561220168260050</t>
  </si>
  <si>
    <t>FERNANDO ANTONIO DE OLIVEIRA</t>
  </si>
  <si>
    <t>ERIK LUCAS SANTOS NOGUEIRA DE OLIVEIRA</t>
  </si>
  <si>
    <t>LEANDRO MIRANTE DA PAIXÃO</t>
  </si>
  <si>
    <t>00553685820118260050</t>
  </si>
  <si>
    <t>Nilton Isaac Pedro Soares Almeida</t>
  </si>
  <si>
    <t>00582589120168260050</t>
  </si>
  <si>
    <t>LUIS CARLOS VILELA COSTA</t>
  </si>
  <si>
    <t>00597274120178260050</t>
  </si>
  <si>
    <t>EDMILSON DA SILVA</t>
  </si>
  <si>
    <t>00602785520168260050</t>
  </si>
  <si>
    <t>PATRICK NORBERTO MAGALHAES DOS SANTOS</t>
  </si>
  <si>
    <t>00610282320178260050</t>
  </si>
  <si>
    <t>PAULO CESAR CLEMENTINO</t>
  </si>
  <si>
    <t>00631068720178260050</t>
  </si>
  <si>
    <t>MARIVALDO FRANCA MOREIRA</t>
  </si>
  <si>
    <t>00637942020158260050</t>
  </si>
  <si>
    <t>WESLEY CARVALHO DE SOUZA SANTOS</t>
  </si>
  <si>
    <t>00644760420178260050</t>
  </si>
  <si>
    <t>GLEDSON DANILO DE OLIVEIRA PASSOS</t>
  </si>
  <si>
    <t>00646268220178260050</t>
  </si>
  <si>
    <t>TIAGO SILVA DE VASCONCELOS</t>
  </si>
  <si>
    <t>00657215020178260050</t>
  </si>
  <si>
    <t>ALTAIR JOSE DE ALMEIDA</t>
  </si>
  <si>
    <t>00673457120168260050</t>
  </si>
  <si>
    <t>IMER JACSON CUBA BERNARDES</t>
  </si>
  <si>
    <t>00677521920128260050</t>
  </si>
  <si>
    <t>CAIO VINICIUS MARQUES</t>
  </si>
  <si>
    <t>00689453020168260050</t>
  </si>
  <si>
    <t>LUIS GUSTAVO DE CASTRO MARCELINO</t>
  </si>
  <si>
    <t>00690198420168260050</t>
  </si>
  <si>
    <t>RICARDO BARBOZA</t>
  </si>
  <si>
    <t>00694516920178260050</t>
  </si>
  <si>
    <t>THOMAZ JHEFERSON RODRIGUES DE ARAUJO</t>
  </si>
  <si>
    <t>00695897020168260050</t>
  </si>
  <si>
    <t>GUILHERME DE SOUZA MACHADO</t>
  </si>
  <si>
    <t>00708417420178260050</t>
  </si>
  <si>
    <t>ISRAEL SILVA MENDONCA</t>
  </si>
  <si>
    <t>00722741620178260050</t>
  </si>
  <si>
    <t>CLEBER DA SILVA ARANHA</t>
  </si>
  <si>
    <t>00731726320168260050</t>
  </si>
  <si>
    <t>EZEQUIEL TEODORO PERIN</t>
  </si>
  <si>
    <t>DIORDNES DIEMIS ESTEVAM</t>
  </si>
  <si>
    <t>00742600520178260050</t>
  </si>
  <si>
    <t>KAUAN DA SILVA SOARES</t>
  </si>
  <si>
    <t>00748614520168260050</t>
  </si>
  <si>
    <t>VINICIUS HONORATO DA SILVA</t>
  </si>
  <si>
    <t>00776112020168260050</t>
  </si>
  <si>
    <t>MAYARA ROBERTA PAULINO DA SILVA</t>
  </si>
  <si>
    <t>FELIX ANTONIO DA SILVA</t>
  </si>
  <si>
    <t>00800451120188260050</t>
  </si>
  <si>
    <t>ABDALLAH EDDY THABIT WADAU</t>
  </si>
  <si>
    <t>00808936620168260050</t>
  </si>
  <si>
    <t>EDUARDO SANTANA</t>
  </si>
  <si>
    <t>00825677920168260050</t>
  </si>
  <si>
    <t>MARCELO SEGOVIA DE LA TORRE</t>
  </si>
  <si>
    <t>00832098620158260050</t>
  </si>
  <si>
    <t>JOSIANE APARECIDA RIBEIRO RODRIGUES</t>
  </si>
  <si>
    <t>00836953720168260050</t>
  </si>
  <si>
    <t>PAULO HENRIQUE DA SILVA MOTTA</t>
  </si>
  <si>
    <t>00841292620168260050</t>
  </si>
  <si>
    <t>EDMILSON CAETANO  DOS SANTOS</t>
  </si>
  <si>
    <t>00859982420168260050</t>
  </si>
  <si>
    <t>GUSTAVO LAGE GAETA</t>
  </si>
  <si>
    <t>00882483020168260050</t>
  </si>
  <si>
    <t>DIEGO OLIVEIRA DOS SANTOS</t>
  </si>
  <si>
    <t>00890104620168260050</t>
  </si>
  <si>
    <t>TATIANA BARRETO PROFETA</t>
  </si>
  <si>
    <t>00927423520168260050</t>
  </si>
  <si>
    <t>PABLO RODRIGO PACHECO</t>
  </si>
  <si>
    <t>00941177120168260050</t>
  </si>
  <si>
    <t>BRUNO PEREIRA DOS SANTOS</t>
  </si>
  <si>
    <t>00994532720148260050</t>
  </si>
  <si>
    <t>MARCIO DOS SANTOS CAMARGO</t>
  </si>
  <si>
    <t>FRANKLY DOS SANTOS FERNANDES</t>
  </si>
  <si>
    <t>01040417220178260050</t>
  </si>
  <si>
    <t>TIAGO GABRIEL SOUZA</t>
  </si>
  <si>
    <t>01061794620168260050</t>
  </si>
  <si>
    <t>GILBERTO FELIX DA SILVA JUNIOR</t>
  </si>
  <si>
    <t>01068293020158260050</t>
  </si>
  <si>
    <t>ANDERSON CARLOS DE OLIVEIRA</t>
  </si>
  <si>
    <t>01090268920148260050</t>
  </si>
  <si>
    <t>WILLIAN DE PAULA SILVA</t>
  </si>
  <si>
    <t>00001953920178260050</t>
  </si>
  <si>
    <t>ROSANA FRANCISCA DA SILVA</t>
  </si>
  <si>
    <t>00012882820178260635</t>
  </si>
  <si>
    <t>RAMON DE JESUS ALMEIDA</t>
  </si>
  <si>
    <t>00013065820178260050</t>
  </si>
  <si>
    <t>DAVISON  DIEGO COSTA</t>
  </si>
  <si>
    <t>00023076920178260635</t>
  </si>
  <si>
    <t>GILBERTO VIEIRA DOS SANTOS FILHO</t>
  </si>
  <si>
    <t>WESLEY CARLOS ANDRADE DE SANTANA</t>
  </si>
  <si>
    <t>VITOR HENRIQUE DE SOUZA CESARIO</t>
  </si>
  <si>
    <t>00023617820168260050</t>
  </si>
  <si>
    <t>JORGE LUIZ COUTINHO DOS SANTOS</t>
  </si>
  <si>
    <t>JHESIGA FRANCA UGOLINI</t>
  </si>
  <si>
    <t>00026437320178260635</t>
  </si>
  <si>
    <t>PAULO HENRIQUE DOS SANTOS BARROS</t>
  </si>
  <si>
    <t>PAULO HENRIQUE SANTANA DE AZEVEDO</t>
  </si>
  <si>
    <t>00027269820178260050</t>
  </si>
  <si>
    <t>LUCAS QUARESMA MOTA</t>
  </si>
  <si>
    <t>00032087120168260635</t>
  </si>
  <si>
    <t>THIAGO MARIANO ABAD</t>
  </si>
  <si>
    <t>00037326820168260635</t>
  </si>
  <si>
    <t>DIEGO RODRIGUES CATANHA</t>
  </si>
  <si>
    <t>00039708720168260635</t>
  </si>
  <si>
    <t>ROBSON BISPO CAVALCANTE</t>
  </si>
  <si>
    <t>00043083620178260050</t>
  </si>
  <si>
    <t>LUCAS RIBEIRO DA SILVA</t>
  </si>
  <si>
    <t>00044489520168260635</t>
  </si>
  <si>
    <t>ROBERTO PAES GUTIERREZ</t>
  </si>
  <si>
    <t>00045251620168260050</t>
  </si>
  <si>
    <t>ANTONIO CARLOS RIBEIRO LIMA</t>
  </si>
  <si>
    <t>00047580420168260635</t>
  </si>
  <si>
    <t>ALEX  SANDRO MARTINES DAS GRACAS</t>
  </si>
  <si>
    <t>00051703220168260635</t>
  </si>
  <si>
    <t>JOAO JOSE LISBOA DA SILVA</t>
  </si>
  <si>
    <t>00054422620168260635</t>
  </si>
  <si>
    <t>DAVID LOPES DA SILVA</t>
  </si>
  <si>
    <t>00058536920168260635</t>
  </si>
  <si>
    <t>DANILO CESAR CASTRO DA SILVA</t>
  </si>
  <si>
    <t>MARLON GOMES DA SILVA</t>
  </si>
  <si>
    <t>BRUNO CEZAR DOS SANTOS LIMA</t>
  </si>
  <si>
    <t>00060753720168260635</t>
  </si>
  <si>
    <t>JOSE ROBERTO ROSA DOS SANTOS</t>
  </si>
  <si>
    <t>00060880220178260635</t>
  </si>
  <si>
    <t>ROBERTO ALVES DOS SANTOS</t>
  </si>
  <si>
    <t>00064302220178260050</t>
  </si>
  <si>
    <t>CASSIMIRO XAVIER DA SILVA</t>
  </si>
  <si>
    <t>GUILHERME HENRIQUE TEOFILO DA SILVA</t>
  </si>
  <si>
    <t>00068635120168260635</t>
  </si>
  <si>
    <t>CAIO FERREIRA DA COSTA</t>
  </si>
  <si>
    <t>00070470720168260635</t>
  </si>
  <si>
    <t>CARLOS ANTONIO RIBEIRO DE OLIVEIRA</t>
  </si>
  <si>
    <t>00090538420168260635</t>
  </si>
  <si>
    <t>ERIVALDO JUSTINO DO NASCIMENTO</t>
  </si>
  <si>
    <t>00099658120168260635</t>
  </si>
  <si>
    <t>ISRRAYNER SILVA SANTOS</t>
  </si>
  <si>
    <t>00101121920168260050</t>
  </si>
  <si>
    <t>LUCAS REIS DA SILVA</t>
  </si>
  <si>
    <t>00106988120158260635</t>
  </si>
  <si>
    <t>TIAGO DA SILVA BERNARDINO</t>
  </si>
  <si>
    <t>00111159720168260635</t>
  </si>
  <si>
    <t>BRUNO BRUSCHI SEMIDAMORI</t>
  </si>
  <si>
    <t>00113558620168260635</t>
  </si>
  <si>
    <t>JOSE THIAGO DE ARAUJO BARBOSA</t>
  </si>
  <si>
    <t>00113763720178260050</t>
  </si>
  <si>
    <t>RICARDO PAULO DA SILVA</t>
  </si>
  <si>
    <t>00117447120168260635</t>
  </si>
  <si>
    <t>MARCELO DA CONCEIÇAO SOUZA</t>
  </si>
  <si>
    <t>00118997420168260635</t>
  </si>
  <si>
    <t>OMOTEHINSE SOJI LEVI</t>
  </si>
  <si>
    <t>DANIEL NDUBUISI UZOLGWE</t>
  </si>
  <si>
    <t>IFEANYI CHARLES ENYOGHASI</t>
  </si>
  <si>
    <t>IHEDIGBO EMMA EMELIKE</t>
  </si>
  <si>
    <t>00124080520168260635</t>
  </si>
  <si>
    <t>LEONARDO ROCHA DE OLIVEIRA PEREIRA</t>
  </si>
  <si>
    <t>00124756720168260635</t>
  </si>
  <si>
    <t>EWERTON CLAYTON VIEIRA DA SILVA</t>
  </si>
  <si>
    <t>00128039420168260635</t>
  </si>
  <si>
    <t>PEDRO CAIQUE OLIVEIRA DOS SANTOS</t>
  </si>
  <si>
    <t>00131000420168260635</t>
  </si>
  <si>
    <t>DEIVID LIMA DE OLIVEIRA</t>
  </si>
  <si>
    <t>00136102620168260050</t>
  </si>
  <si>
    <t>CHRISTIAN FURTADO MARIANO</t>
  </si>
  <si>
    <t>00142813620158260001</t>
  </si>
  <si>
    <t>JEFERSON WILLIAN TAKAGI</t>
  </si>
  <si>
    <t>00169149620178260050</t>
  </si>
  <si>
    <t>HILTON DE JESUS SANTOS</t>
  </si>
  <si>
    <t>ALEXANDRE DA SILVA SANTOS</t>
  </si>
  <si>
    <t>00175105620128260050</t>
  </si>
  <si>
    <t>Fernanda Cruz de Aguiar</t>
  </si>
  <si>
    <t>00181456120178260050</t>
  </si>
  <si>
    <t>FABIO LUIS CAMARGO</t>
  </si>
  <si>
    <t>ERALDO SOUSA MARTINS</t>
  </si>
  <si>
    <t>00189553620178260050</t>
  </si>
  <si>
    <t>JAIME FERREIRA DE SOUSA</t>
  </si>
  <si>
    <t>MARIA DO CARMO GONÇALVES DA SILVA</t>
  </si>
  <si>
    <t>00192085820168260050</t>
  </si>
  <si>
    <t>ODINES MATHEUS ROCHA FERREIRA</t>
  </si>
  <si>
    <t>00197747020178260050</t>
  </si>
  <si>
    <t>FABIO LOPES LEMOS</t>
  </si>
  <si>
    <t>00215954620168260050</t>
  </si>
  <si>
    <t>JONATHAN MARCOS MESSIAS CARVALHO</t>
  </si>
  <si>
    <t>00229768920168260050</t>
  </si>
  <si>
    <t>VINICIUS ALVES VIEIRA</t>
  </si>
  <si>
    <t>00231731020178260050</t>
  </si>
  <si>
    <t>KELVIN GUSTAVO DE MORAIS</t>
  </si>
  <si>
    <t>00257067320168260050</t>
  </si>
  <si>
    <t>ALEXSANDRO HENRIQUE DE SOUZA</t>
  </si>
  <si>
    <t>JEAN RODRIGUES DOS SANTOS</t>
  </si>
  <si>
    <t>00262280320168260050</t>
  </si>
  <si>
    <t>TIAGO TEIXEIRA MIRANDA</t>
  </si>
  <si>
    <t>ÉDIPO FERREIRA SILVA</t>
  </si>
  <si>
    <t>00262818120168260050</t>
  </si>
  <si>
    <t>GLEDSON PENHA GOMES</t>
  </si>
  <si>
    <t>00266091120168260050</t>
  </si>
  <si>
    <t>VANDERSON RICARDO DOS REIS</t>
  </si>
  <si>
    <t>00269874020118260050</t>
  </si>
  <si>
    <t>Thiago Tadeu Bertolini Fernandes</t>
  </si>
  <si>
    <t>00283704320178260050</t>
  </si>
  <si>
    <t>WELINGTON LOURENCO FAGUNDES</t>
  </si>
  <si>
    <t>00295327320178260050</t>
  </si>
  <si>
    <t>MARCOS PAULO FIGUEIRA</t>
  </si>
  <si>
    <t>ANDERSON KALBAITZ GERONIMO</t>
  </si>
  <si>
    <t>00300393420178260050</t>
  </si>
  <si>
    <t>WEVERTON LUIS GONCALVES DE OLIVEIRA</t>
  </si>
  <si>
    <t>00305454420168260050</t>
  </si>
  <si>
    <t>ITAMAR PEREIRA DOS SANTOS</t>
  </si>
  <si>
    <t>00330377220178260050</t>
  </si>
  <si>
    <t>ALAN DOS SANTOS RODRIGUES DA SILVA</t>
  </si>
  <si>
    <t>00337793420168260050</t>
  </si>
  <si>
    <t>ERICO SILVA DE SOUSA</t>
  </si>
  <si>
    <t>00339055020178260050</t>
  </si>
  <si>
    <t>00374275620158260050</t>
  </si>
  <si>
    <t>GUILHERME DANTAS GOMES</t>
  </si>
  <si>
    <t>00378455720168260050</t>
  </si>
  <si>
    <t>MAICON ARAGAO</t>
  </si>
  <si>
    <t>00379595920178260050</t>
  </si>
  <si>
    <t>KAIO LINEKER AMORIM DE FIGUEIREDO</t>
  </si>
  <si>
    <t>00384012520178260050</t>
  </si>
  <si>
    <t>ELIEDSON JUSTINO DOS SANTOS</t>
  </si>
  <si>
    <t>00402013020138260050</t>
  </si>
  <si>
    <t>JOHN LENNEON DE SOUZA</t>
  </si>
  <si>
    <t>00420633620138260050</t>
  </si>
  <si>
    <t>EDUARDO DE OLIVEIRA ASSIS STRAIOTO</t>
  </si>
  <si>
    <t>00432111420158260050</t>
  </si>
  <si>
    <t>ALESSIO VIEIRA DE SANTANA</t>
  </si>
  <si>
    <t>00447929320178260050</t>
  </si>
  <si>
    <t>RIVALDO ANSELMO DE SOUZA</t>
  </si>
  <si>
    <t>00451639120168260050</t>
  </si>
  <si>
    <t>VINICIUS DE SOUZA ROMERO RODRIGUES</t>
  </si>
  <si>
    <t>00473325120168260050</t>
  </si>
  <si>
    <t>ERICK JOHNNY DE OLIVEIRA</t>
  </si>
  <si>
    <t>00474846520178260050</t>
  </si>
  <si>
    <t>ONILDO CHAVES DOS SANTOS FILHO</t>
  </si>
  <si>
    <t>00476668520168260050</t>
  </si>
  <si>
    <t>FERNANDO MATOS</t>
  </si>
  <si>
    <t>00479725420168260050</t>
  </si>
  <si>
    <t>RODOLFO SIMOES DE ALMEIDA</t>
  </si>
  <si>
    <t>00486218220178260050</t>
  </si>
  <si>
    <t>GENIVAL FERNANDES DA SILVA</t>
  </si>
  <si>
    <t>00488784420168260050</t>
  </si>
  <si>
    <t>WILSON DANILO DA SILVA</t>
  </si>
  <si>
    <t>00521357720168260050</t>
  </si>
  <si>
    <t>MAURICIO PEREIRA</t>
  </si>
  <si>
    <t>00521752520178260050</t>
  </si>
  <si>
    <t>SUELI RIBEIRO FARIAS</t>
  </si>
  <si>
    <t>00533421920138260050</t>
  </si>
  <si>
    <t>GUILHERME LUIZ LOMBE</t>
  </si>
  <si>
    <t>KARINA VASQUEZ SILVA</t>
  </si>
  <si>
    <t>00537198220168260050</t>
  </si>
  <si>
    <t>ALEXSANDRO APARECIDO EMIDIO DA SILVA</t>
  </si>
  <si>
    <t>MURILO DA SILVA SANTOS</t>
  </si>
  <si>
    <t>BRUNO BEZERRA FERREIRA</t>
  </si>
  <si>
    <t>00554551420118260050</t>
  </si>
  <si>
    <t>Diego da Silva</t>
  </si>
  <si>
    <t>00560186620158260050</t>
  </si>
  <si>
    <t>LUCIANA SANTANA BONFIM SILVA</t>
  </si>
  <si>
    <t>00566826320168260050</t>
  </si>
  <si>
    <t>MISSAEL ALFREDO ALBINO SCHUFFNER</t>
  </si>
  <si>
    <t>REGIS RAMOS</t>
  </si>
  <si>
    <t>00584128020148260050</t>
  </si>
  <si>
    <t>RODRIGO EXPEDITO DOS SANTOS</t>
  </si>
  <si>
    <t>00593492220168260050</t>
  </si>
  <si>
    <t>MIKAEL SANTOS DA SILVA</t>
  </si>
  <si>
    <t>00598021720168260050</t>
  </si>
  <si>
    <t>ARCHIMINO DE SA E LYRA NETO</t>
  </si>
  <si>
    <t>00601403520098260050</t>
  </si>
  <si>
    <t>Adriano Martins Miranda Oliveira</t>
  </si>
  <si>
    <t>00607159620168260050</t>
  </si>
  <si>
    <t>DOUGLAS WILLIAM BUENO DO PRADO</t>
  </si>
  <si>
    <t>00612996620168260050</t>
  </si>
  <si>
    <t>LUCAS DE ALMEIDA BIANCHI</t>
  </si>
  <si>
    <t>BARBARA DE ANDRADE ASSIS</t>
  </si>
  <si>
    <t>00622229220168260050</t>
  </si>
  <si>
    <t>EVANDRO DOS SANTOS CARVALHO</t>
  </si>
  <si>
    <t>MARCOS VINICIUS DE JESUS</t>
  </si>
  <si>
    <t>KAYKE DE SOUSA</t>
  </si>
  <si>
    <t>MAYCON DOUGLAS DOS SANTOS</t>
  </si>
  <si>
    <t>WILLIAN RIBEIRO DE SANTANA</t>
  </si>
  <si>
    <t>00623857220168260050</t>
  </si>
  <si>
    <t>JOZENILDO MONTEIRO DA SILVA</t>
  </si>
  <si>
    <t>CICERO PEREIRA LIMA</t>
  </si>
  <si>
    <t>JOSELINA MARIA MONTEIRO LIMA</t>
  </si>
  <si>
    <t>MARTIM ANIBAL FLEITAS MATIAUDA</t>
  </si>
  <si>
    <t>CRISTIAN ARIEL LEDESMA ENCINA</t>
  </si>
  <si>
    <t>00634977620168260050</t>
  </si>
  <si>
    <t>NATHALIA DA SILVA MOREIRA</t>
  </si>
  <si>
    <t>00669212920168260050</t>
  </si>
  <si>
    <t>FELIPE CAVALCANTE DOS SANTOS</t>
  </si>
  <si>
    <t>00675558820178260050</t>
  </si>
  <si>
    <t>ICARO HENRIQUE MACEDO DA SILVA SOUSA</t>
  </si>
  <si>
    <t>00685551720038260050</t>
  </si>
  <si>
    <t>Alessandra Regina da Silva</t>
  </si>
  <si>
    <t>Marcel Fraioli de Freitas</t>
  </si>
  <si>
    <t>Aparecido Donizete Oliveira Lima</t>
  </si>
  <si>
    <t>Ademilton Souza dos Santos</t>
  </si>
  <si>
    <t>Alexandre Roberto Monteiro do Prado</t>
  </si>
  <si>
    <t>00689306120168260050</t>
  </si>
  <si>
    <t>RICARDO SOARES DIAS MATOS</t>
  </si>
  <si>
    <t>00694935520168260050</t>
  </si>
  <si>
    <t>ROBSON GILVANI DA SILVA JUNIOR</t>
  </si>
  <si>
    <t>00700036820168260050</t>
  </si>
  <si>
    <t>WILLIAM DA CUNHA RIBEIRO</t>
  </si>
  <si>
    <t>00717652220168260050</t>
  </si>
  <si>
    <t>IVAN RICARDO MARCELINO</t>
  </si>
  <si>
    <t>00731787020168260050</t>
  </si>
  <si>
    <t>WESLLEY DA COSTA OLIVEIRA</t>
  </si>
  <si>
    <t>ROSILENE DANTAS NUNES ROCHA</t>
  </si>
  <si>
    <t>00736930820168260050</t>
  </si>
  <si>
    <t>GABRIEL BORGES TRINDADE</t>
  </si>
  <si>
    <t>00756481120158260050</t>
  </si>
  <si>
    <t>THIAGO RODRIGO COLOGNESI</t>
  </si>
  <si>
    <t>00770145120168260050</t>
  </si>
  <si>
    <t>RAMOM DA SILVA</t>
  </si>
  <si>
    <t>00775708720158260050</t>
  </si>
  <si>
    <t>GABRIEL RODRIGUES DE SOUZA</t>
  </si>
  <si>
    <t>00781074920168260050</t>
  </si>
  <si>
    <t>LUCAS BRAGA DA SILVA</t>
  </si>
  <si>
    <t>00782628620158260050</t>
  </si>
  <si>
    <t>CARLOS CAIQUE REIS</t>
  </si>
  <si>
    <t>00790328420128260050</t>
  </si>
  <si>
    <t>JANAINA DOS SANTOS PESSOA</t>
  </si>
  <si>
    <t>00790844120168260050</t>
  </si>
  <si>
    <t>SOSTENES FELINTRO DA SILVA</t>
  </si>
  <si>
    <t>00793599720108260050</t>
  </si>
  <si>
    <t>Clóvis de Souza</t>
  </si>
  <si>
    <t>00803627720168260050</t>
  </si>
  <si>
    <t>DOUGLAS BATISTA MARQUES</t>
  </si>
  <si>
    <t>00809923620168260050</t>
  </si>
  <si>
    <t>BRENO ROGERIO BARBOZA ZACARELLI</t>
  </si>
  <si>
    <t>00815571020108260050</t>
  </si>
  <si>
    <t>Silas Camilo de Souza Cardoso</t>
  </si>
  <si>
    <t>SULLIVAN CAMILO DE SOUZA CARDOSO</t>
  </si>
  <si>
    <t>APARECIDO HENRIQUE COSTA DE LIMA</t>
  </si>
  <si>
    <t>HENRIQUE CRISTIANO SILVA DE LIMA</t>
  </si>
  <si>
    <t>00815743620168260050</t>
  </si>
  <si>
    <t>00820740520168260050</t>
  </si>
  <si>
    <t>ROBSON SANTANA DE MELO</t>
  </si>
  <si>
    <t>00829768920158260050</t>
  </si>
  <si>
    <t>ORSIVAN LOPES DE OLIVEIRA</t>
  </si>
  <si>
    <t>00854465920168260050</t>
  </si>
  <si>
    <t>JAILSON DE JESUS MENDES</t>
  </si>
  <si>
    <t>00866123420138260050</t>
  </si>
  <si>
    <t>RENATO MENDES DA SILVA</t>
  </si>
  <si>
    <t>00871310420168260050</t>
  </si>
  <si>
    <t>MARCELO RIBEIRO</t>
  </si>
  <si>
    <t>00882491520168260050</t>
  </si>
  <si>
    <t>JORDAN LUCAS BIANCHINI DA SILVA</t>
  </si>
  <si>
    <t>00885445220168260050</t>
  </si>
  <si>
    <t>ANDERSON VIDAL DA SILVA</t>
  </si>
  <si>
    <t>00894313620168260050</t>
  </si>
  <si>
    <t>LUIZ CARLOS ALVES DO NASCIMENTO</t>
  </si>
  <si>
    <t>00899649220168260050</t>
  </si>
  <si>
    <t>ALAN NASCIMENTO DA SILVA</t>
  </si>
  <si>
    <t>00900376420168260050</t>
  </si>
  <si>
    <t>SIDIMAR PEREIRA SOARES</t>
  </si>
  <si>
    <t>00904118020168260050</t>
  </si>
  <si>
    <t>FABIO DE ARAUJO BEZERRA</t>
  </si>
  <si>
    <t>00920503620168260050</t>
  </si>
  <si>
    <t>GILSON APARECIDO DE OLIVEIRA</t>
  </si>
  <si>
    <t>SAMUEL ANTONIO BARBOSA</t>
  </si>
  <si>
    <t>ISRAEL APARECIDO BARBOSA</t>
  </si>
  <si>
    <t>DANIEL ANTONIO BARBOSA</t>
  </si>
  <si>
    <t>00942152720148260050</t>
  </si>
  <si>
    <t>RUBENS DOS SANTOS SILVA GOMES</t>
  </si>
  <si>
    <t>00956872920158260050</t>
  </si>
  <si>
    <t>ORIYOMI DARWOOD</t>
  </si>
  <si>
    <t>00975196320168260050</t>
  </si>
  <si>
    <t>SOCRATES RODRIGO VIEIRA</t>
  </si>
  <si>
    <t>CESAR CLINTON COSTA DOMINGUES</t>
  </si>
  <si>
    <t>00983618220128260050</t>
  </si>
  <si>
    <t>LINCON GONÇALVES DUVIQUE</t>
  </si>
  <si>
    <t>00997639620158260050</t>
  </si>
  <si>
    <t>RENATO NOVELLI COUTO</t>
  </si>
  <si>
    <t>01009423120168260050</t>
  </si>
  <si>
    <t>JOSE JULIO PASSOS MELO</t>
  </si>
  <si>
    <t>01030260520168260050</t>
  </si>
  <si>
    <t>DEIVID SANTOS DA SILVA</t>
  </si>
  <si>
    <t>01037154920168260050</t>
  </si>
  <si>
    <t>FRANK ROGES DOS SANTOS</t>
  </si>
  <si>
    <t>01049017820148260050</t>
  </si>
  <si>
    <t>LEONARDO DIEGO DA SILVA MELO</t>
  </si>
  <si>
    <t>01050192020158260050</t>
  </si>
  <si>
    <t>DENIS WILLIAM DE OLIVEIRA</t>
  </si>
  <si>
    <t>01053913220168260050</t>
  </si>
  <si>
    <t>MICHEL BORGES DOS SANTOS</t>
  </si>
  <si>
    <t>01058036020168260050</t>
  </si>
  <si>
    <t>ELIEL GOMES DA COSTA JUNIOR</t>
  </si>
  <si>
    <t>01078062220158260050</t>
  </si>
  <si>
    <t>DANIEL SHIBA FERREIRA</t>
  </si>
  <si>
    <t>00001321420178260050</t>
  </si>
  <si>
    <t>RODRIGO MATEUS</t>
  </si>
  <si>
    <t>00006388720178260050</t>
  </si>
  <si>
    <t>WITALO ROBERTO DA SILVA</t>
  </si>
  <si>
    <t>00007487720178260635</t>
  </si>
  <si>
    <t>LUCAS LUCHETTA</t>
  </si>
  <si>
    <t>LUCAS DE ASSIS SOUZA</t>
  </si>
  <si>
    <t>00008847420178260635</t>
  </si>
  <si>
    <t>MARCO ANTONIO MOREIRA DE SOUZA</t>
  </si>
  <si>
    <t>00009428620178260050</t>
  </si>
  <si>
    <t>PATRICK SILVA DOS SANTOS</t>
  </si>
  <si>
    <t>00010277220178260050</t>
  </si>
  <si>
    <t>00011566820178260635</t>
  </si>
  <si>
    <t>CRISTIANO DOS SANTOS LIMA</t>
  </si>
  <si>
    <t>00014345420128260050</t>
  </si>
  <si>
    <t>JUAN CARLOS PARRELA</t>
  </si>
  <si>
    <t>00016795120158260635</t>
  </si>
  <si>
    <t>ROQUE DE OLIVEIRA SANTOS</t>
  </si>
  <si>
    <t>00019222420178260635</t>
  </si>
  <si>
    <t>CLAYTON SOUSA MENDES</t>
  </si>
  <si>
    <t>00022230520168260635</t>
  </si>
  <si>
    <t>EDER SILVA SANTOS</t>
  </si>
  <si>
    <t>00022452920178260635</t>
  </si>
  <si>
    <t>MARCOS SOUZA DE LIMA</t>
  </si>
  <si>
    <t>00024333120178260050</t>
  </si>
  <si>
    <t>EDUARDO SOARES FRAGA</t>
  </si>
  <si>
    <t>00027631920178260635</t>
  </si>
  <si>
    <t>RAFAELA CAROLINA DE SOUZA</t>
  </si>
  <si>
    <t>00029632620178260635</t>
  </si>
  <si>
    <t>AMARILDO GARCIA DE MOURA</t>
  </si>
  <si>
    <t>00032881020178260050</t>
  </si>
  <si>
    <t>LEONARDO SILVA PEREIRA</t>
  </si>
  <si>
    <t>00033417920178260635</t>
  </si>
  <si>
    <t>JODEDSON ARAUJO ANDRADE</t>
  </si>
  <si>
    <t>00036466320178260635</t>
  </si>
  <si>
    <t>LENNON THAYLISON FLORENCIO FERMINO</t>
  </si>
  <si>
    <t>RAFAEL SILVA ALVES</t>
  </si>
  <si>
    <t>00043211120128260050</t>
  </si>
  <si>
    <t>SANDRO JOSE ALVES SIQUEIRA</t>
  </si>
  <si>
    <t>00043646920178260050</t>
  </si>
  <si>
    <t>UCHENNA CRISTOPHER NWOKEALISI</t>
  </si>
  <si>
    <t>00050791420178260050</t>
  </si>
  <si>
    <t>LUCAS ANDRADE DA SILVA</t>
  </si>
  <si>
    <t>00053224620178260635</t>
  </si>
  <si>
    <t>MARCO ANTONIO RODRIGUES DA COSTA</t>
  </si>
  <si>
    <t>00053886020168260635</t>
  </si>
  <si>
    <t>FELIPPE AUGUSTO DE ARAUJO</t>
  </si>
  <si>
    <t>00054749420178260635</t>
  </si>
  <si>
    <t>BRUNO ROSA DOMINGUES</t>
  </si>
  <si>
    <t>ITALO ROSA MAIA</t>
  </si>
  <si>
    <t>00057725720158260635</t>
  </si>
  <si>
    <t>HELIO DE DEUS ALMEIDA</t>
  </si>
  <si>
    <t>00062170720178260635</t>
  </si>
  <si>
    <t>EVERTON FIGUEREDO</t>
  </si>
  <si>
    <t>MARCOS ANTONIO SANTOS  DO NASCIMENTO</t>
  </si>
  <si>
    <t>00064258820178260635</t>
  </si>
  <si>
    <t>THIAGO PEREIRA DA CUNHA</t>
  </si>
  <si>
    <t>00066606420178260050</t>
  </si>
  <si>
    <t>00070962320178260050</t>
  </si>
  <si>
    <t>CAMILA SILVA POLICARPO</t>
  </si>
  <si>
    <t>00073802220178260635</t>
  </si>
  <si>
    <t>GUSTAVO CLEBER DE OLIVEIRA CRUZ SANTOS</t>
  </si>
  <si>
    <t>00086510320168260635</t>
  </si>
  <si>
    <t>WELINGTON ANTONIO GOMES CARVALHO</t>
  </si>
  <si>
    <t>DIEGO ALVES RODRIGUES</t>
  </si>
  <si>
    <t>00087859320178260635</t>
  </si>
  <si>
    <t>LUAN RODRIGO DE LUNA</t>
  </si>
  <si>
    <t>00090659820168260635</t>
  </si>
  <si>
    <t>ISAAC GONÇALVES DE BARROS</t>
  </si>
  <si>
    <t>00090855520178260635</t>
  </si>
  <si>
    <t>JHON LENON SOUZA SANTOS</t>
  </si>
  <si>
    <t>LUIZ CARLOS CONCEIÇÃO DA SILVA</t>
  </si>
  <si>
    <t>00092539120168260635</t>
  </si>
  <si>
    <t>FERNANDO FERNANDES DO NASCIMENTO</t>
  </si>
  <si>
    <t>00095056920178260050</t>
  </si>
  <si>
    <t>THIAGO DA SILVA FERREIRA</t>
  </si>
  <si>
    <t>00096112220178260635</t>
  </si>
  <si>
    <t>LEANDRO SILVA DE MORAIS</t>
  </si>
  <si>
    <t>00098679620168260635</t>
  </si>
  <si>
    <t>MATEUS TIAGO DOS SANTOS</t>
  </si>
  <si>
    <t>00108612720168260635</t>
  </si>
  <si>
    <t>LUAN CARLOS MENDONÇA DOS SANTOS</t>
  </si>
  <si>
    <t>00111618620168260635</t>
  </si>
  <si>
    <t>JEFERSON DA SILVA ARAUJO</t>
  </si>
  <si>
    <t>00112228720158260050</t>
  </si>
  <si>
    <t>ROBERTO BARBOSA DA SILVA JUNIOR</t>
  </si>
  <si>
    <t>00114155920168260635</t>
  </si>
  <si>
    <t>HUMBERTO ANTONIO DE ALMEIDA SILVA</t>
  </si>
  <si>
    <t>MANOEL SERGIO DA SILVA BEZERRA</t>
  </si>
  <si>
    <t>00116422420178260050</t>
  </si>
  <si>
    <t>GIOVANI MARTINS SOUZA</t>
  </si>
  <si>
    <t>00117394920168260635</t>
  </si>
  <si>
    <t>RODOLFO JOSE DOS SANTOS</t>
  </si>
  <si>
    <t>00119361320168260050</t>
  </si>
  <si>
    <t>GUSTAVO HENRIQUE GOMES DE JESUS</t>
  </si>
  <si>
    <t>DOUGLAS VALDONIS SILVA DO NASCIMENTO</t>
  </si>
  <si>
    <t>00119453820178260050</t>
  </si>
  <si>
    <t>EDNILSON ALMEIDA SANTOS</t>
  </si>
  <si>
    <t>00123128720168260635</t>
  </si>
  <si>
    <t>CARLOS ANDRE OLIVEIRA PINTO</t>
  </si>
  <si>
    <t>00124474520158260050</t>
  </si>
  <si>
    <t>WESLEY DOS SANTOS SOUZA</t>
  </si>
  <si>
    <t>00126478120178260050</t>
  </si>
  <si>
    <t>LUANA BARROS DA SILVA</t>
  </si>
  <si>
    <t>00126730720168260635</t>
  </si>
  <si>
    <t>ADAUTO NERI DAS VIRGENS</t>
  </si>
  <si>
    <t>00128636720168260635</t>
  </si>
  <si>
    <t>WILLIAM DA SILVA VIEIRA</t>
  </si>
  <si>
    <t>00147592320178260050</t>
  </si>
  <si>
    <t>ALEXANDRE MARCELO BORGES</t>
  </si>
  <si>
    <t>00152027120178260050</t>
  </si>
  <si>
    <t>RAFAEL DA SILVA MENDES</t>
  </si>
  <si>
    <t>00164925820168260050</t>
  </si>
  <si>
    <t>DANILA FERREIRA DE ALMEIDA</t>
  </si>
  <si>
    <t>00165113020178260050</t>
  </si>
  <si>
    <t>TALYSON ALVES DE MELO</t>
  </si>
  <si>
    <t>00207781620158260050</t>
  </si>
  <si>
    <t>ALEXANDRE DE OLIVEIRA CRISPIM PEREIRA</t>
  </si>
  <si>
    <t>00221373020178260050</t>
  </si>
  <si>
    <t>DANILO RODRIGUES DE SOUSA</t>
  </si>
  <si>
    <t>00231913120178260050</t>
  </si>
  <si>
    <t>MARCIO ANTONIO TEIXEIRA DE MORAES</t>
  </si>
  <si>
    <t>WILLIAN ANCELMO DA COSTA</t>
  </si>
  <si>
    <t>00235728320108260050</t>
  </si>
  <si>
    <t>Henrique Tadeu Affonso da Silva Junior</t>
  </si>
  <si>
    <t>00242436220178260050</t>
  </si>
  <si>
    <t>RICHARD ANDRADE NASCIMENTO</t>
  </si>
  <si>
    <t>00245269020148260050</t>
  </si>
  <si>
    <t>CAIQUE ALVES</t>
  </si>
  <si>
    <t>00246662220178260050</t>
  </si>
  <si>
    <t>ADRIANO CRISTO DOS SANTOS</t>
  </si>
  <si>
    <t>ALLAN ALEXANDRE DA COSTA</t>
  </si>
  <si>
    <t>00250135520178260050</t>
  </si>
  <si>
    <t>ADAO VIEIRA DE MATOS NETO</t>
  </si>
  <si>
    <t>00278522420158260050</t>
  </si>
  <si>
    <t>JULIO CESAR SOUSA DE OLIVEIRA</t>
  </si>
  <si>
    <t>00305279620118260050</t>
  </si>
  <si>
    <t>Antonio Rodrigues dos Santos Teixeira</t>
  </si>
  <si>
    <t>Outro</t>
  </si>
  <si>
    <t>00320317420108260050</t>
  </si>
  <si>
    <t>Raylson Assunção da Mata</t>
  </si>
  <si>
    <t>Douglas Vicente de Jesus Silva</t>
  </si>
  <si>
    <t>00330646520118260050</t>
  </si>
  <si>
    <t>Hugo Ferreira Gomes</t>
  </si>
  <si>
    <t>Danilo de Jesus Andrade</t>
  </si>
  <si>
    <t>00333174320178260050</t>
  </si>
  <si>
    <t>DANIEL BORGES GOMES</t>
  </si>
  <si>
    <t>00335391120178260050</t>
  </si>
  <si>
    <t>MARCOS PAULO CALIXTO DOS SANTOS</t>
  </si>
  <si>
    <t>00344121120178260050</t>
  </si>
  <si>
    <t>JAIR CYRILO JUNIOR</t>
  </si>
  <si>
    <t>00355886420138260050</t>
  </si>
  <si>
    <t>ALEX ALBINO DA SILVA</t>
  </si>
  <si>
    <t>00366709120178260050</t>
  </si>
  <si>
    <t>LUCAS COELHO DE LIMA</t>
  </si>
  <si>
    <t>00374299420138260050</t>
  </si>
  <si>
    <t>JACKSON DA SILVA</t>
  </si>
  <si>
    <t>00382332320178260050</t>
  </si>
  <si>
    <t>THIAGO ALVES DOS REIS</t>
  </si>
  <si>
    <t>00391235920178260050</t>
  </si>
  <si>
    <t>FERNANDO RUAS DE OLIVEIRA</t>
  </si>
  <si>
    <t>00406270320178260050</t>
  </si>
  <si>
    <t>IVAN MACEDO TEIXEIRA</t>
  </si>
  <si>
    <t>00412246920178260050</t>
  </si>
  <si>
    <t>KAUE DA SILVA RODRIGUES</t>
  </si>
  <si>
    <t>00421903720148260050</t>
  </si>
  <si>
    <t>NECMI HAMITOGLU</t>
  </si>
  <si>
    <t>00427588220168260050</t>
  </si>
  <si>
    <t>THIAGO FELIPE DA SILVA</t>
  </si>
  <si>
    <t>00446742020178260050</t>
  </si>
  <si>
    <t>LUAN CARDOSO MARINHO</t>
  </si>
  <si>
    <t>00454510520178260050</t>
  </si>
  <si>
    <t>CLAUDINEI BAZILIO DOS SANTOS</t>
  </si>
  <si>
    <t>00461352720178260050</t>
  </si>
  <si>
    <t>PAULO FILIPE BORGES MARTINS TEIXEIRA</t>
  </si>
  <si>
    <t>00482701220178260050</t>
  </si>
  <si>
    <t>VINICIUS SEVERIANO FERREIRA</t>
  </si>
  <si>
    <t>00485862520178260050</t>
  </si>
  <si>
    <t>JOSE AUGUSTO BISPO DOS SANTOS</t>
  </si>
  <si>
    <t>00492021020118260050</t>
  </si>
  <si>
    <t>Marcelo Melo Costa</t>
  </si>
  <si>
    <t>00527079620178260050</t>
  </si>
  <si>
    <t>ADILIO CARDOSO DOS SANTOS</t>
  </si>
  <si>
    <t>KLEYTON AMOS LEANDRO MARQUES</t>
  </si>
  <si>
    <t>00530052520168260050</t>
  </si>
  <si>
    <t>REGINA GOMES DA SILVA</t>
  </si>
  <si>
    <t>00534317120158260050</t>
  </si>
  <si>
    <t>ALEXANDRE PACIFICO DA SILVA</t>
  </si>
  <si>
    <t>00551716420158260050</t>
  </si>
  <si>
    <t>VANESSA CAMPOS DE CARVALHO</t>
  </si>
  <si>
    <t>00554594120178260050</t>
  </si>
  <si>
    <t>CLEYTON MUNIZ DA SILVA</t>
  </si>
  <si>
    <t>00558318720178260050</t>
  </si>
  <si>
    <t>ANGELA CRISTINA DA COSTA ALVES</t>
  </si>
  <si>
    <t>MICHELE PINHO</t>
  </si>
  <si>
    <t>00571915720178260050</t>
  </si>
  <si>
    <t>LINIKER CAIQUE DOS SANTOS SODRE</t>
  </si>
  <si>
    <t>JONATAN CALIXTO LACERDA DE FREITAS</t>
  </si>
  <si>
    <t>00586639320178260050</t>
  </si>
  <si>
    <t>DOUGLAS DA SILVA QUILES</t>
  </si>
  <si>
    <t>00614197520178260050</t>
  </si>
  <si>
    <t>WESLEY JOSE PEREIRA</t>
  </si>
  <si>
    <t>00627405820118260050</t>
  </si>
  <si>
    <t>Ricardo Julião Ribeiro</t>
  </si>
  <si>
    <t>00629027720168260050</t>
  </si>
  <si>
    <t>EDER FERNANDO FERREIRA LIMA</t>
  </si>
  <si>
    <t>00630399320158260050</t>
  </si>
  <si>
    <t>JOVENAL MENDES PEREIRA</t>
  </si>
  <si>
    <t>00631085720178260050</t>
  </si>
  <si>
    <t>BRUNO DIAS DA SILVA</t>
  </si>
  <si>
    <t>00657500320178260050</t>
  </si>
  <si>
    <t>PEDRO BOVE DA COSTA BOUCINHAS</t>
  </si>
  <si>
    <t>00661444420168260050</t>
  </si>
  <si>
    <t>FABIO GONÇALVES FERNANDES</t>
  </si>
  <si>
    <t>00689236920168260050</t>
  </si>
  <si>
    <t>WELLINGTON DIAS DE SOUZA</t>
  </si>
  <si>
    <t>00695126120168260050</t>
  </si>
  <si>
    <t>LUIZ FELIPE PRIVADO RIBEIRO</t>
  </si>
  <si>
    <t>00697582320178260050</t>
  </si>
  <si>
    <t>PEDRO HENRIQUE SCHINEIDER ARAUJO</t>
  </si>
  <si>
    <t>GERCINO NUNES BEZERRA</t>
  </si>
  <si>
    <t>00709335220178260050</t>
  </si>
  <si>
    <t>ELIODORIO DE JESUS MEIRA</t>
  </si>
  <si>
    <t>00716774720178260050</t>
  </si>
  <si>
    <t>YAGO MEDEIROS CARDOSO</t>
  </si>
  <si>
    <t>00718480420178260050</t>
  </si>
  <si>
    <t>LEANDRO SILVA NUNES</t>
  </si>
  <si>
    <t>00755222420168260050</t>
  </si>
  <si>
    <t>WILTON SANCHES BATISTA</t>
  </si>
  <si>
    <t>WESLLEY GONCALVES DOS SANTOS</t>
  </si>
  <si>
    <t>YGOR RODRIGUES BATISTA</t>
  </si>
  <si>
    <t>ELTON EDUARDO DE PAULA</t>
  </si>
  <si>
    <t>ANDRE ROBERTO VIDAL DOS SANTOS</t>
  </si>
  <si>
    <t>00771995520178260050</t>
  </si>
  <si>
    <t>FERNANDO DOS SANTOS SILVA</t>
  </si>
  <si>
    <t>00774718320168260050</t>
  </si>
  <si>
    <t>ALEXANDRE BATISTA SOBRAL</t>
  </si>
  <si>
    <t>00790515120168260050</t>
  </si>
  <si>
    <t>CAUE DA SILVA ANTUNES</t>
  </si>
  <si>
    <t>00803401920168260050</t>
  </si>
  <si>
    <t>MAGNO CAMILO DE SOUZA</t>
  </si>
  <si>
    <t>00809793720168260050</t>
  </si>
  <si>
    <t>ELISANGELA VITORINO SENE DE OLIVEIRA</t>
  </si>
  <si>
    <t>00818705820168260050</t>
  </si>
  <si>
    <t>WELLINGTON ALVES SANTOS</t>
  </si>
  <si>
    <t>00824912620148260050</t>
  </si>
  <si>
    <t>WILLIANS CORREA PEREIRA</t>
  </si>
  <si>
    <t>00850127020168260050</t>
  </si>
  <si>
    <t>00853850920138260050</t>
  </si>
  <si>
    <t>MAURICIO ANEZ ROJAS</t>
  </si>
  <si>
    <t>00854731320148260050</t>
  </si>
  <si>
    <t>CAIO HENRIQUE MARTINS MARIA</t>
  </si>
  <si>
    <t>00874798520178260050</t>
  </si>
  <si>
    <t>ANTONIO ALISON PASTURINO SALES</t>
  </si>
  <si>
    <t>BRUNO APARECIDO SILVA</t>
  </si>
  <si>
    <t>00900454120168260050</t>
  </si>
  <si>
    <t>EZEQUIAS RODRIGUES DA COSTA</t>
  </si>
  <si>
    <t>MATEUS DA SILVA CAVALCANTE</t>
  </si>
  <si>
    <t>00916768820148260050</t>
  </si>
  <si>
    <t>DIEGO AMANCIO DE SOUZA</t>
  </si>
  <si>
    <t>KEYTSON CASSIANO DA SILVA DE FREITAS</t>
  </si>
  <si>
    <t>00920061720168260050</t>
  </si>
  <si>
    <t>FRANCISCO MARCIO FELISMINO DE LIMA</t>
  </si>
  <si>
    <t>00930882020158260050</t>
  </si>
  <si>
    <t>RENAN GARCEZ DE SOUZA</t>
  </si>
  <si>
    <t>00942207820168260050</t>
  </si>
  <si>
    <t>LEANDRO DIAS FELICISSIMO</t>
  </si>
  <si>
    <t>00945773420118260050</t>
  </si>
  <si>
    <t>OSMAR RODRIGUES DE LIMA</t>
  </si>
  <si>
    <t>00946867220168260050</t>
  </si>
  <si>
    <t>ANTONIO ROBERTO SILVA DE SOUSA JUNIOR</t>
  </si>
  <si>
    <t>00950687020138260050</t>
  </si>
  <si>
    <t>FELIPE DA SILVA ARAUJO</t>
  </si>
  <si>
    <t>00955138320168260050</t>
  </si>
  <si>
    <t>ISRAEL DE SOUZA ARAUJO</t>
  </si>
  <si>
    <t>00959900920168260050</t>
  </si>
  <si>
    <t>EVERTON PISELLI DO NASCIMENTO</t>
  </si>
  <si>
    <t>00970285620168260050</t>
  </si>
  <si>
    <t>CLAYTON  ROBERTO JANUARIO DE PAULA</t>
  </si>
  <si>
    <t>00973646020168260050</t>
  </si>
  <si>
    <t>NATAL RODRIGUES</t>
  </si>
  <si>
    <t>00986772720148260050</t>
  </si>
  <si>
    <t>LUIZ MIGUEL FLORENTINO BARBOZA</t>
  </si>
  <si>
    <t>00998366820158260050</t>
  </si>
  <si>
    <t>TABATA PUGLIERI DA SILVA</t>
  </si>
  <si>
    <t>01003788620158260050</t>
  </si>
  <si>
    <t>JULIMAR SANTANA MACIEL JUNIOR</t>
  </si>
  <si>
    <t>01007949320118260050</t>
  </si>
  <si>
    <t>FLAVIO CARNEIRO DA SILVA</t>
  </si>
  <si>
    <t>01011614420168260050</t>
  </si>
  <si>
    <t>ALEXANDRE DO CARMO SILVA</t>
  </si>
  <si>
    <t>Orlando Gabriel dos Santos</t>
  </si>
  <si>
    <t>01014758720168260050</t>
  </si>
  <si>
    <t>LUCAS DOS SANTOS MORAES</t>
  </si>
  <si>
    <t>01019495820168260050</t>
  </si>
  <si>
    <t>JONAS DA SILVA RAIMUNDO</t>
  </si>
  <si>
    <t>01023948620108260050</t>
  </si>
  <si>
    <t>Jose Aparecido de Lima</t>
  </si>
  <si>
    <t>01028509420148260050</t>
  </si>
  <si>
    <t>HIGOR HENRIQUE GEREMIAS</t>
  </si>
  <si>
    <t>01030182820168260050</t>
  </si>
  <si>
    <t>RAFAEL OTTO LAPA</t>
  </si>
  <si>
    <t>01036011320168260050</t>
  </si>
  <si>
    <t>GABRIEL COSTA  BARBOSA DE ALMEIDA</t>
  </si>
  <si>
    <t>01040255520168260050</t>
  </si>
  <si>
    <t>RENAN RODRIGUES DOS SANTOS</t>
  </si>
  <si>
    <t>01050552820168260050</t>
  </si>
  <si>
    <t>01058235120168260050</t>
  </si>
  <si>
    <t>FERNANDO APARECIDO DOS SANTOS</t>
  </si>
  <si>
    <t>01074742620138260050</t>
  </si>
  <si>
    <t>LUIZ EDUARDO REIS LEONARDO</t>
  </si>
  <si>
    <t>01082768720148260050</t>
  </si>
  <si>
    <t>CHRISTIAN VIANA DE OLIVEIRA</t>
  </si>
  <si>
    <t>01105217120148260050</t>
  </si>
  <si>
    <t>EMERSON ALVES PEREIRA</t>
  </si>
  <si>
    <t>00003218520148260635</t>
  </si>
  <si>
    <t>JHONES HENRIQUE SOUZA SANTOS</t>
  </si>
  <si>
    <t>00003850220178260050</t>
  </si>
  <si>
    <t>FERNANDO FERREIRA SANTOS</t>
  </si>
  <si>
    <t>00004464820178260635</t>
  </si>
  <si>
    <t>WILLIAN SILVA RODRIGUES.</t>
  </si>
  <si>
    <t>00005686120178260635</t>
  </si>
  <si>
    <t>EDILBERTO CHAVIER DOS SANTOS JUNIOR..</t>
  </si>
  <si>
    <t>00006733820178260635</t>
  </si>
  <si>
    <t>DIEGO COSTA LIMA</t>
  </si>
  <si>
    <t>00008969720178260050</t>
  </si>
  <si>
    <t>ADEMIR DE OLIVEIRA JUNIOR..</t>
  </si>
  <si>
    <t>00009557620178260635</t>
  </si>
  <si>
    <t>REGINALDO RODRIGUES SOARES</t>
  </si>
  <si>
    <t>00009661720178260050</t>
  </si>
  <si>
    <t>EVERSON DOS SANTOS OLIVEIRA BRITO</t>
  </si>
  <si>
    <t>00010253020168260635</t>
  </si>
  <si>
    <t>GUSTAVO HENRIQUE SOUZA DE MELO</t>
  </si>
  <si>
    <t>00012779620178260635</t>
  </si>
  <si>
    <t>THAINA NERI DA SILVA</t>
  </si>
  <si>
    <t>00013411820178260050</t>
  </si>
  <si>
    <t>DAVID SANTOS MEDEIROS.</t>
  </si>
  <si>
    <t>00015187920178260050</t>
  </si>
  <si>
    <t>ORLANDO DOS SANTOS SOARES FILHO</t>
  </si>
  <si>
    <t>RODOLFO NOGUEIRA DA SILVA</t>
  </si>
  <si>
    <t>NAUAN ANTONIO FRANCELINO</t>
  </si>
  <si>
    <t>00015221920178260050</t>
  </si>
  <si>
    <t>Celia de Fatima Franco Gomes Cardoso</t>
  </si>
  <si>
    <t>00020219120178260635</t>
  </si>
  <si>
    <t>RAFAEL MOREIRA GOMES DE MORAES</t>
  </si>
  <si>
    <t>ANA PAULA CUSTÓDIO.</t>
  </si>
  <si>
    <t>00021172520148260405</t>
  </si>
  <si>
    <t>LEANDRO DE ASSIS DA SILVA</t>
  </si>
  <si>
    <t>00032959020178260635</t>
  </si>
  <si>
    <t>MATHEUS ALVES SANTOS.</t>
  </si>
  <si>
    <t>CLEBER LUIZ SANTANA SANTOS.</t>
  </si>
  <si>
    <t>00035586820168260050</t>
  </si>
  <si>
    <t>ALEX JUNIO FRANKLIN DOS SANTOS</t>
  </si>
  <si>
    <t>00039811920168260635</t>
  </si>
  <si>
    <t>ADRIANO ALVES BARBOSA</t>
  </si>
  <si>
    <t>00040618020168260635</t>
  </si>
  <si>
    <t>CARLA MIRANDA</t>
  </si>
  <si>
    <t>00042858120178260635</t>
  </si>
  <si>
    <t>RODRIGO ANDRADE DE JESUS</t>
  </si>
  <si>
    <t>00043290320178260635</t>
  </si>
  <si>
    <t>ALEF MUNIZ DE JESUS</t>
  </si>
  <si>
    <t>00054211620178260635</t>
  </si>
  <si>
    <t>ALESSANDRO AUGUSTO DE LIMA</t>
  </si>
  <si>
    <t>ANDREZA TAINARA CARDOSO CAMILO</t>
  </si>
  <si>
    <t>00054948520178260635</t>
  </si>
  <si>
    <t>AMILSON PEREIRA DE BARROS</t>
  </si>
  <si>
    <t>00064166320168260635</t>
  </si>
  <si>
    <t>MARCO AURELIO GENTIL DOS SANTOS</t>
  </si>
  <si>
    <t>00064431220178260635</t>
  </si>
  <si>
    <t>RAFAEL DO NASCIMENTO CONCEIÇÃO</t>
  </si>
  <si>
    <t>00065851620178260635</t>
  </si>
  <si>
    <t>MARCOS ANTONIO RODRIGUES DE FREITAS</t>
  </si>
  <si>
    <t>RODRIGO AMANCIO DE OLIVEIRA</t>
  </si>
  <si>
    <t>00066651420168260635</t>
  </si>
  <si>
    <t>RODRIGO FERREIRA DE SOUSA</t>
  </si>
  <si>
    <t>00068488220168260635</t>
  </si>
  <si>
    <t>CARLOS DIOGO DOS SANTOS SILVA</t>
  </si>
  <si>
    <t>00073404020178260635</t>
  </si>
  <si>
    <t>ERIVELTON MATHEUS BESERRA BARROS</t>
  </si>
  <si>
    <t>00077008120178260050</t>
  </si>
  <si>
    <t>EISAEL BRODOWSKI DOS REIS.</t>
  </si>
  <si>
    <t>00078510920158260635</t>
  </si>
  <si>
    <t>MAXWELL MOREIRA FRANCO</t>
  </si>
  <si>
    <t>00083635520168260635</t>
  </si>
  <si>
    <t>RODRIGO ROSA PETRY</t>
  </si>
  <si>
    <t>PEDRO BOLZANI NETO</t>
  </si>
  <si>
    <t>BRUNA DE MACEDO SOUZA</t>
  </si>
  <si>
    <t>00086857520168260635</t>
  </si>
  <si>
    <t>Luiz Fernando Silva de Queiroz</t>
  </si>
  <si>
    <t>00092157920168260635</t>
  </si>
  <si>
    <t>CAIO GONÇALVES MIRANDA OLTRAMARI</t>
  </si>
  <si>
    <t>00093696320178260635</t>
  </si>
  <si>
    <t>GILBERTO DOS SANTOS CANDIDO SOUZA</t>
  </si>
  <si>
    <t>00097752120168260635</t>
  </si>
  <si>
    <t>RAQUEL PAULO</t>
  </si>
  <si>
    <t>00099519720168260635</t>
  </si>
  <si>
    <t>RICARDO JOSE DE MELO</t>
  </si>
  <si>
    <t>00101948420158260050</t>
  </si>
  <si>
    <t>WILLIAN TOLEDO OLIVEIRA DE ALMEIDA</t>
  </si>
  <si>
    <t>00102922620168260635</t>
  </si>
  <si>
    <t>CARLOS EDUARDO EMERENCIANO.</t>
  </si>
  <si>
    <t>ALEX DE SOUZA NUNES.</t>
  </si>
  <si>
    <t>00109814520178260050</t>
  </si>
  <si>
    <t>ROGERIO DE ALCANTARA LIMA</t>
  </si>
  <si>
    <t>00113315820168260635</t>
  </si>
  <si>
    <t>VITOR BARBOSA LEITE DOS SANTOS.</t>
  </si>
  <si>
    <t>00117897520168260635</t>
  </si>
  <si>
    <t>ALMIR FERREIRA DE FRANCA JUNIOR</t>
  </si>
  <si>
    <t>00120476020178260050</t>
  </si>
  <si>
    <t>ANGELICA RODRIGUES DE SOUSA.</t>
  </si>
  <si>
    <t>00120633920168260635</t>
  </si>
  <si>
    <t>JOAO ROBERTO BATISTA DA SILVA</t>
  </si>
  <si>
    <t>00130057120168260635</t>
  </si>
  <si>
    <t>CLEFSON JUNIOR DE MORAES SILVA</t>
  </si>
  <si>
    <t>00130955420178260050</t>
  </si>
  <si>
    <t>TIAGO NOBREGA SILVA</t>
  </si>
  <si>
    <t>00133122520168260635</t>
  </si>
  <si>
    <t>Francisco Alcione Alves</t>
  </si>
  <si>
    <t>00136197620168260635</t>
  </si>
  <si>
    <t>CLEYTON LEITE FERNANDES</t>
  </si>
  <si>
    <t>RODRIGO MONTEIRO PAULINO</t>
  </si>
  <si>
    <t>CAMILA LEITE FERNANDES</t>
  </si>
  <si>
    <t>00136368720178260050</t>
  </si>
  <si>
    <t>PAULO ADRIANO DOS SANTOS</t>
  </si>
  <si>
    <t>JOAO VICTOR DA SILVA</t>
  </si>
  <si>
    <t>00150358820168260050</t>
  </si>
  <si>
    <t>MARCOS PIRES DE GODOY</t>
  </si>
  <si>
    <t>JOAO PAULO PIRES DE GODOY</t>
  </si>
  <si>
    <t>00152774720168260050</t>
  </si>
  <si>
    <t>BRUNO GUSTAVO BORBA DA SILVA</t>
  </si>
  <si>
    <t>RENATO SILVEIRA BOTELHO</t>
  </si>
  <si>
    <t>HERCULE LACERDA SILVA</t>
  </si>
  <si>
    <t>00174138020178260050</t>
  </si>
  <si>
    <t>MIRAILDE ALVES BRITO.</t>
  </si>
  <si>
    <t>00190933720168260050</t>
  </si>
  <si>
    <t>RAFAEL JOSE COSTA.</t>
  </si>
  <si>
    <t>00204510320178260050</t>
  </si>
  <si>
    <t>CLAUDEMIR LEITE SANTOS.</t>
  </si>
  <si>
    <t>00210703020178260050</t>
  </si>
  <si>
    <t>RUAN DA SILVA ROCHA</t>
  </si>
  <si>
    <t>00254515220158260050</t>
  </si>
  <si>
    <t>JULIO CEZAR DA SILVA URIAS</t>
  </si>
  <si>
    <t>00276273320178260050</t>
  </si>
  <si>
    <t>FELIPE ARTUR DE PAULA COSTA</t>
  </si>
  <si>
    <t>00290254920168260050</t>
  </si>
  <si>
    <t>EVERTON SILVA CHAVES</t>
  </si>
  <si>
    <t>BIANCA DA SILVA ARAUJO</t>
  </si>
  <si>
    <t>VINICIUS FELLIPE OLIVEIRA RODRIGUES</t>
  </si>
  <si>
    <t>FERNANDO CARDOSO TORRES</t>
  </si>
  <si>
    <t>JOSE VANDEVILSON DE SOUZA</t>
  </si>
  <si>
    <t>00300462620178260050</t>
  </si>
  <si>
    <t>KLEBER CORDOVA BARBATO</t>
  </si>
  <si>
    <t>00310240320178260050</t>
  </si>
  <si>
    <t>JOSIAS  BARRETO FERREIRA DOS SANTOS.</t>
  </si>
  <si>
    <t>00316788720178260050</t>
  </si>
  <si>
    <t>JOAO JEFFERSON MACHADO</t>
  </si>
  <si>
    <t>00334161320178260050</t>
  </si>
  <si>
    <t>LEANDRO NUNES DE SOUSA.</t>
  </si>
  <si>
    <t>00343584520178260050</t>
  </si>
  <si>
    <t>JESSICA CRISTINA DE CARVALHO MARTINS</t>
  </si>
  <si>
    <t>00366486720168260050</t>
  </si>
  <si>
    <t>IVAN FELIS DOS SANTOS</t>
  </si>
  <si>
    <t>00370245320168260050</t>
  </si>
  <si>
    <t>SIDNEI ALVES</t>
  </si>
  <si>
    <t>00390620420178260050</t>
  </si>
  <si>
    <t>EMANOEL FERNANDES DIAS</t>
  </si>
  <si>
    <t>EDERSON CRISLEN DAS DORES SILVA</t>
  </si>
  <si>
    <t>00399930720178260050</t>
  </si>
  <si>
    <t>SHIRLEY APARECIDA DE SOUZA</t>
  </si>
  <si>
    <t>LUIZ FELIPE MARTINS DA SILVA</t>
  </si>
  <si>
    <t>DOUGLAS WILLIAM DA SILVA FERREIRA</t>
  </si>
  <si>
    <t>00405968020178260050</t>
  </si>
  <si>
    <t>SANDRO NUNES DA SILVA SANTOS.</t>
  </si>
  <si>
    <t>00409389120178260050</t>
  </si>
  <si>
    <t>FELIPE MACEDO DOS SANTOS</t>
  </si>
  <si>
    <t>00411865720178260050</t>
  </si>
  <si>
    <t>LUIZ EDUARDO DE LIMA DOS SANTOS</t>
  </si>
  <si>
    <t>00412059720168260050</t>
  </si>
  <si>
    <t>EDMILSON ROBERTO MORAL</t>
  </si>
  <si>
    <t>00427276220168260050</t>
  </si>
  <si>
    <t>AUREA MIRIAM PEREIRA FERRAZ</t>
  </si>
  <si>
    <t>00430263920168260050</t>
  </si>
  <si>
    <t>MATHEUS CHIMENES</t>
  </si>
  <si>
    <t>00433769020178260050</t>
  </si>
  <si>
    <t>ELISSANDRA MOREIRA DA SILVA</t>
  </si>
  <si>
    <t>00445977920158260050</t>
  </si>
  <si>
    <t>EDUARDO OLIVEIRA PEREIRA</t>
  </si>
  <si>
    <t>00459188120178260050</t>
  </si>
  <si>
    <t>WESLEY OLIVEIRA DOMINGUES DA SILVA</t>
  </si>
  <si>
    <t>00472923520178260050</t>
  </si>
  <si>
    <t>GILDECY MESSIAS SANTOS</t>
  </si>
  <si>
    <t>JESSICA CRISTINA  GONÇALVES PRADO</t>
  </si>
  <si>
    <t>00480322720168260050</t>
  </si>
  <si>
    <t>ASTRID AJDINI</t>
  </si>
  <si>
    <t>00509478320158260050</t>
  </si>
  <si>
    <t>JOSEPH ONU NWANI</t>
  </si>
  <si>
    <t>00516317120168260050</t>
  </si>
  <si>
    <t>FERNANDO WILLIAN VIEIRA DO CARMO</t>
  </si>
  <si>
    <t>00534841820168260050</t>
  </si>
  <si>
    <t>OSMAR CERQUEIRA DA SILVA</t>
  </si>
  <si>
    <t>00559675520158260050</t>
  </si>
  <si>
    <t>ELUAN MENEZES DE OLIVEIRA</t>
  </si>
  <si>
    <t>00571872020178260050</t>
  </si>
  <si>
    <t>JEFERSON OLIVEIRA DE MORAIS</t>
  </si>
  <si>
    <t>ANDERSON FERREIRA DO NASCIMENTO</t>
  </si>
  <si>
    <t>00582724120178260050</t>
  </si>
  <si>
    <t>LAIANE PEREIRA DOS SANTOS</t>
  </si>
  <si>
    <t>00592545520178260050</t>
  </si>
  <si>
    <t>DOUGLAS LOPES DE CAMPOS</t>
  </si>
  <si>
    <t>KLEBER FERREIRA SANTOS</t>
  </si>
  <si>
    <t>00607956020168260050</t>
  </si>
  <si>
    <t>JOYCE JAQUELINE MACHADO DE OLIVEIRA</t>
  </si>
  <si>
    <t>00612944420168260050</t>
  </si>
  <si>
    <t>JESSICA OLIVEIRA DIAS VIANA</t>
  </si>
  <si>
    <t>00617209020158260050</t>
  </si>
  <si>
    <t>JOSE MARCOS SANTOS DA SILVA</t>
  </si>
  <si>
    <t>00635147820178260050</t>
  </si>
  <si>
    <t>JONAS MATEUS DA CONCEICAO</t>
  </si>
  <si>
    <t>00646172320178260050</t>
  </si>
  <si>
    <t>RODRIGO MARTINS DOS SANTOS</t>
  </si>
  <si>
    <t>00660612820168260050</t>
  </si>
  <si>
    <t>WILLIAM MOREIRA NIZA</t>
  </si>
  <si>
    <t>00667469820178260050</t>
  </si>
  <si>
    <t>EMERSON JUNIO GOMES FERREIRA</t>
  </si>
  <si>
    <t>00669342820168260050</t>
  </si>
  <si>
    <t>WELITON ARLEN DE SOUSA PORTELA</t>
  </si>
  <si>
    <t>RAFAEL RODRIGUES AVANZO</t>
  </si>
  <si>
    <t>00685942320178260050</t>
  </si>
  <si>
    <t>CLAYTON DOS SANTOS</t>
  </si>
  <si>
    <t>00694525420178260050</t>
  </si>
  <si>
    <t>FRANCISCO HELIO ALVES DE SOUZA</t>
  </si>
  <si>
    <t>00698361720178260050</t>
  </si>
  <si>
    <t>PABLO FELIPE DE LIMA VICENTE</t>
  </si>
  <si>
    <t>DOUGLAS DE BRITO COELHO</t>
  </si>
  <si>
    <t>FABRICIO SANTOS CARDOSO</t>
  </si>
  <si>
    <t>00702582620168260050</t>
  </si>
  <si>
    <t>JOSE EDILANDRO RODRIGUES</t>
  </si>
  <si>
    <t>00708390720178260050</t>
  </si>
  <si>
    <t>FLAVIO PEREIRA DA SILVA</t>
  </si>
  <si>
    <t>00723304920178260050</t>
  </si>
  <si>
    <t>VANESSA MARIA PECHIN</t>
  </si>
  <si>
    <t>ROGERIO DE SOUZA SILVA</t>
  </si>
  <si>
    <t>00739876020168260050</t>
  </si>
  <si>
    <t>HELON DE JESUS AMANCIO DE OLIVEIRA</t>
  </si>
  <si>
    <t>00748813620168260050</t>
  </si>
  <si>
    <t>DAVID LEITE ANICETO</t>
  </si>
  <si>
    <t>00755802720168260050</t>
  </si>
  <si>
    <t>GABRIEL BATISTA DOS SANTOS.</t>
  </si>
  <si>
    <t>00757774520178260050</t>
  </si>
  <si>
    <t>MATHEUS TACONELLI FRANCA</t>
  </si>
  <si>
    <t>00766273620168260050</t>
  </si>
  <si>
    <t>MARTHA LETICIA DE MEIRELES ANIZEU</t>
  </si>
  <si>
    <t>ROBER GUERRA OCHOA</t>
  </si>
  <si>
    <t>MICHAEL KONONENKO</t>
  </si>
  <si>
    <t>DEIVID ADAN SOUZA LEMA</t>
  </si>
  <si>
    <t>00780454320158260050</t>
  </si>
  <si>
    <t>JOSE ROBERTO DA SILVA LIMA</t>
  </si>
  <si>
    <t>00786029320168260050</t>
  </si>
  <si>
    <t>RODRIGO MORAES BARROS</t>
  </si>
  <si>
    <t>00794634520178260050</t>
  </si>
  <si>
    <t>MATEUS CARLOS RODRIGUES DA SILVA</t>
  </si>
  <si>
    <t>VAGNER LUCIO CABRAL DA SILVA</t>
  </si>
  <si>
    <t>00809248620168260050</t>
  </si>
  <si>
    <t>ARIEL VIEIRA SANTOS</t>
  </si>
  <si>
    <t>00815094120168260050</t>
  </si>
  <si>
    <t>VANILDO GOMES DA SILVA</t>
  </si>
  <si>
    <t>00817160620178260050</t>
  </si>
  <si>
    <t>ANDERSON CARDOSO DE SANTANA</t>
  </si>
  <si>
    <t>00820801220168260050</t>
  </si>
  <si>
    <t>JORGE GABRIEL ALEXANDRINO DE OLIVEIRA</t>
  </si>
  <si>
    <t>00824421420168260050</t>
  </si>
  <si>
    <t>PEDRO HENRIQUE SOUSA FERNANDES</t>
  </si>
  <si>
    <t>00828385420178260050</t>
  </si>
  <si>
    <t>ANDREA LEONCIO FERREIRA</t>
  </si>
  <si>
    <t>00832510420168260050</t>
  </si>
  <si>
    <t>JIHAD EL MOKDAD</t>
  </si>
  <si>
    <t>00839993620168260050</t>
  </si>
  <si>
    <t>RAFAEL CALIXTO DA SILVA</t>
  </si>
  <si>
    <t>00850594420168260050</t>
  </si>
  <si>
    <t>EVALDO KENNEDY SANTOS DA VILA</t>
  </si>
  <si>
    <t>00865782020178260050</t>
  </si>
  <si>
    <t>GILSON ALVES DA COSTA</t>
  </si>
  <si>
    <t>00871068820168260050</t>
  </si>
  <si>
    <t>ALEXSANDRO RONDELI</t>
  </si>
  <si>
    <t>ANTONIO MARCOS MUNIZ MAIA</t>
  </si>
  <si>
    <t>00894328420178260050</t>
  </si>
  <si>
    <t>SHOWN ANTHONY PANDOZZI</t>
  </si>
  <si>
    <t>00899873820168260050</t>
  </si>
  <si>
    <t>WELLINGTON SOUZA FARIA</t>
  </si>
  <si>
    <t>00918356520138260050</t>
  </si>
  <si>
    <t>JUAN CASTILLO CARRANZA</t>
  </si>
  <si>
    <t>00919793420168260050</t>
  </si>
  <si>
    <t>LUCAS LIMA DOS SANTOS</t>
  </si>
  <si>
    <t>00927605620168260050</t>
  </si>
  <si>
    <t>VITOR GONÇALVES PEREIRA</t>
  </si>
  <si>
    <t>00934810820168260050</t>
  </si>
  <si>
    <t>GUILHERME MORAES AZEVEDO</t>
  </si>
  <si>
    <t>01009431620168260050</t>
  </si>
  <si>
    <t>PAULO HENRIQUE ALEIXO DE SOUZA</t>
  </si>
  <si>
    <t>01040922020168260050</t>
  </si>
  <si>
    <t>MARIO HENRIQUE DA SILVA BEZERRA</t>
  </si>
  <si>
    <t>ICARO ADAMO DOS SANTOS</t>
  </si>
  <si>
    <t>01049790420168260050</t>
  </si>
  <si>
    <t>MATHEUS GOMES SENA</t>
  </si>
  <si>
    <t>01069887020158260050</t>
  </si>
  <si>
    <t>LEONARDO DOS PASSOS MOREIRA</t>
  </si>
  <si>
    <t>01077066720158260050</t>
  </si>
  <si>
    <t>VALDIR MANOEL DA SILVA</t>
  </si>
  <si>
    <t>00006266420178260635</t>
  </si>
  <si>
    <t>MICHAEL OLIVIERA DOS SANTOS</t>
  </si>
  <si>
    <t>00009249020168260635</t>
  </si>
  <si>
    <t>CICERO RICARDO DA SILVA</t>
  </si>
  <si>
    <t>00022358220178260635</t>
  </si>
  <si>
    <t>LUCAS SANTOS PEREIRA</t>
  </si>
  <si>
    <t>00030432420168260635</t>
  </si>
  <si>
    <t>ZELISCLENIO DE SOUZA TELES</t>
  </si>
  <si>
    <t>00066640920148260050</t>
  </si>
  <si>
    <t>ROBSON HENRIQUE PEIXOTO</t>
  </si>
  <si>
    <t>00068589220178260635</t>
  </si>
  <si>
    <t>ELI EVERTON MATHEUS</t>
  </si>
  <si>
    <t>00082818720178260635</t>
  </si>
  <si>
    <t>ELIAS SOARES DE ALMEIDA</t>
  </si>
  <si>
    <t>00096079120178260050</t>
  </si>
  <si>
    <t>AGUINALDO LUIS HONORATO</t>
  </si>
  <si>
    <t>00099329120168260635</t>
  </si>
  <si>
    <t>ELISEU XAVIER DE ALMEIDA</t>
  </si>
  <si>
    <t>00105685720168260635</t>
  </si>
  <si>
    <t>ALMIR FERRO DOS SANTOS</t>
  </si>
  <si>
    <t>00115377220168260635</t>
  </si>
  <si>
    <t>HERNALDO DA CRUZ AIRES</t>
  </si>
  <si>
    <t>00118182820168260635</t>
  </si>
  <si>
    <t>CLINTON MATOS MENDONÇA</t>
  </si>
  <si>
    <t>GABRIEL FAUSTINO SANTOS</t>
  </si>
  <si>
    <t>IVANBERTO CARDOSO DE SOUZA</t>
  </si>
  <si>
    <t>UEMERSON SOUZA DOS SANTOS</t>
  </si>
  <si>
    <t>00118409520168260050</t>
  </si>
  <si>
    <t>BRUNO ZEITLER ROQUE DA SILVA</t>
  </si>
  <si>
    <t>VINICIUS RIBEIRO MASCHIO</t>
  </si>
  <si>
    <t>00124947320168260635</t>
  </si>
  <si>
    <t>ANTONIO CARLOS SANTANA</t>
  </si>
  <si>
    <t>00132826220178260050</t>
  </si>
  <si>
    <t>ALEXSANDER SOUZA ROCHA</t>
  </si>
  <si>
    <t>00143695320178260050</t>
  </si>
  <si>
    <t>JAILTON DA SILVA</t>
  </si>
  <si>
    <t>00156727820128260050</t>
  </si>
  <si>
    <t>MAURICIO ILDEFONSO SANTOS</t>
  </si>
  <si>
    <t>00194586220148260050</t>
  </si>
  <si>
    <t>HENRIQUE DA CRUZ</t>
  </si>
  <si>
    <t>IVO RODRIGUES DE LIMA</t>
  </si>
  <si>
    <t>MARCELO  GOMES DE SOUSA</t>
  </si>
  <si>
    <t>00261610420178260050</t>
  </si>
  <si>
    <t>RICARDO ROGERIO FELICIO</t>
  </si>
  <si>
    <t>00293726320088260050</t>
  </si>
  <si>
    <t>Fabiana Souza Queiroz</t>
  </si>
  <si>
    <t>Negro</t>
  </si>
  <si>
    <t>Antonio Marcos dos Santos</t>
  </si>
  <si>
    <t>Irineu Alves Rodrigues Filho</t>
  </si>
  <si>
    <t>00305462920168260050</t>
  </si>
  <si>
    <t>BRUNO SALLES CAMPOS</t>
  </si>
  <si>
    <t>JULIO FONSECA DA SILVA NETO</t>
  </si>
  <si>
    <t>00310223320178260050</t>
  </si>
  <si>
    <t>CLEBERSON SODRE DE ALMEIDA</t>
  </si>
  <si>
    <t>00316746520088260050</t>
  </si>
  <si>
    <t>Thais Coutinho Sant Ana</t>
  </si>
  <si>
    <t>00358544620168260050</t>
  </si>
  <si>
    <t>JOABSON GUIMARAES LIMA</t>
  </si>
  <si>
    <t>00436255120118260050</t>
  </si>
  <si>
    <t>Clecio Gomes Chaves</t>
  </si>
  <si>
    <t>Lucas de Jesus Sousa</t>
  </si>
  <si>
    <t>Leonardo Felix da Silva</t>
  </si>
  <si>
    <t>Michael Silva de Oliveira</t>
  </si>
  <si>
    <t>00448128420178260050</t>
  </si>
  <si>
    <t>PORTILLO SAUCEDO EVEN MILNER</t>
  </si>
  <si>
    <t>CRISTHIAN RODOLFO BRITEZ MORAN</t>
  </si>
  <si>
    <t>TIAGO PINHEIRO DO NASCIMENTO (mat. 10659993)</t>
  </si>
  <si>
    <t>00461899020178260050</t>
  </si>
  <si>
    <t>RENATO ILDEFONSO DE OLIVEIRA</t>
  </si>
  <si>
    <t>CLEITON FELICIANO DE MELO DA SILVA</t>
  </si>
  <si>
    <t>00479600620178260050</t>
  </si>
  <si>
    <t>VICTOR HUGO SILVA LIMA</t>
  </si>
  <si>
    <t>00487554620168260050</t>
  </si>
  <si>
    <t>THIAGO RODRIGUES CASTANHO</t>
  </si>
  <si>
    <t>00538419520168260050</t>
  </si>
  <si>
    <t>00540390620148260050</t>
  </si>
  <si>
    <t>RENATO ROSARIO DE OLIVEIRA</t>
  </si>
  <si>
    <t>EVANGELISTA PEREIRA DOS SANTOS</t>
  </si>
  <si>
    <t>SERGIO RODRIGUES DOS SANTOS</t>
  </si>
  <si>
    <t>00553641120178260050</t>
  </si>
  <si>
    <t>EDVALDO BATISTA SANTOS</t>
  </si>
  <si>
    <t>00620034520178260050</t>
  </si>
  <si>
    <t>ERICA CAVALCANTI MARTINS</t>
  </si>
  <si>
    <t>ELEUZINA CAMPOS CAVALCANTI</t>
  </si>
  <si>
    <t>00623870820178260050</t>
  </si>
  <si>
    <t>JOAB GILENO DOS SANTOS</t>
  </si>
  <si>
    <t>00631986520178260050</t>
  </si>
  <si>
    <t>WALLACE FELIPE BATISTA</t>
  </si>
  <si>
    <t>00680633420178260050</t>
  </si>
  <si>
    <t>EMERSON WILLIAN DA SILVA</t>
  </si>
  <si>
    <t>00719182120178260050</t>
  </si>
  <si>
    <t>LUCIANO ARISTIDES DOS SANTOS</t>
  </si>
  <si>
    <t>00736564420178260050</t>
  </si>
  <si>
    <t>ALESSANDRO DA SILVA</t>
  </si>
  <si>
    <t>00746524220178260050</t>
  </si>
  <si>
    <t>DAVID DE MESQUITA SOUSA</t>
  </si>
  <si>
    <t>00747295120178260050</t>
  </si>
  <si>
    <t>SANDRO MORETTI DOS SANTOS SIMOES JUNIOR</t>
  </si>
  <si>
    <t>ANTONIO CARLOS MOURA SANTOS</t>
  </si>
  <si>
    <t>00770006720168260050</t>
  </si>
  <si>
    <t>SIDNEI APARECIDO SEVERIANO</t>
  </si>
  <si>
    <t>00783136320168260050</t>
  </si>
  <si>
    <t>WESLEY ROBERTO DOS SANTOS</t>
  </si>
  <si>
    <t>00797894420138260050</t>
  </si>
  <si>
    <t>RICARDO JOSE COUTINHO</t>
  </si>
  <si>
    <t>00809759720168260050</t>
  </si>
  <si>
    <t>GIVALDO ALMEIDA SILVA</t>
  </si>
  <si>
    <t>00832920520158260050</t>
  </si>
  <si>
    <t>UMBERTO APARECIDO MAZZEO JUNIOR</t>
  </si>
  <si>
    <t>FELIPE AUGUSTO DA SILVA VALENTIM</t>
  </si>
  <si>
    <t>PAULO FERREIRA DA SILVA JUNIOR</t>
  </si>
  <si>
    <t>HENRIQUE DOS SANTOS</t>
  </si>
  <si>
    <t>00887494720178260050</t>
  </si>
  <si>
    <t>RODOLFO APARECIDO DE ALMEIDA</t>
  </si>
  <si>
    <t>00888005820178260050</t>
  </si>
  <si>
    <t>FABIO FERREIRA MARIA</t>
  </si>
  <si>
    <t>00894330620168260050</t>
  </si>
  <si>
    <t>LUIS HENRIQUE BARROS PACHECO</t>
  </si>
  <si>
    <t>00894841720168260050</t>
  </si>
  <si>
    <t>RUBENS AMORIM BEZERRA MAIA</t>
  </si>
  <si>
    <t>00916329820168260050</t>
  </si>
  <si>
    <t>MARCELO REGOLIN</t>
  </si>
  <si>
    <t>00970753020168260050</t>
  </si>
  <si>
    <t>CARLOS DE OLIVEIRA LIMA</t>
  </si>
  <si>
    <t>01013754520108260050</t>
  </si>
  <si>
    <t>Diego de Oliveira Lopes Rabelo</t>
  </si>
  <si>
    <t>00000290720178260050</t>
  </si>
  <si>
    <t>RUDSON MATHEUS NOBREGA SILVA</t>
  </si>
  <si>
    <t>ARIEL PEREIRA CUNHA</t>
  </si>
  <si>
    <t>00001824020178260050</t>
  </si>
  <si>
    <t>UENDERSON XAVIER DE OLIVEIRA</t>
  </si>
  <si>
    <t>00001892320178260635</t>
  </si>
  <si>
    <t>WAGNER MARQUES CORNELIO</t>
  </si>
  <si>
    <t>00002127520178260050</t>
  </si>
  <si>
    <t>ERICK OLIVEIRA BARRETO</t>
  </si>
  <si>
    <t>00003710920178260635</t>
  </si>
  <si>
    <t>PERCIO ULISSES DA SILVA</t>
  </si>
  <si>
    <t>00005885220178260635</t>
  </si>
  <si>
    <t>LEONARDO DA SILVA IZIDORIO</t>
  </si>
  <si>
    <t>00006820920178260050</t>
  </si>
  <si>
    <t>ALEF FERREIRA DA SILVA</t>
  </si>
  <si>
    <t>00007602820168260635</t>
  </si>
  <si>
    <t>HUMBERTO PAFUME OSHIKA JUNIOR</t>
  </si>
  <si>
    <t>00009055020178260635</t>
  </si>
  <si>
    <t>RODRIGO PUELKER RENZULLI</t>
  </si>
  <si>
    <t>00010163420178260635</t>
  </si>
  <si>
    <t>JOSE CARLOS DOS SANTOS</t>
  </si>
  <si>
    <t>00010510320178260050</t>
  </si>
  <si>
    <t>FELIPE DIMAS DA CONCEICAO</t>
  </si>
  <si>
    <t>00011775320178260050</t>
  </si>
  <si>
    <t>ROBERT HENRIQUE DE PAULA SANTOS</t>
  </si>
  <si>
    <t>00012017220178260635</t>
  </si>
  <si>
    <t>CARLOS EDUARDO CONCEIÇÃO ROCHA</t>
  </si>
  <si>
    <t>00021840820168260635</t>
  </si>
  <si>
    <t>JOHNNY FERNANDO LOPES SALES</t>
  </si>
  <si>
    <t>00022488120178260635</t>
  </si>
  <si>
    <t>JOSE WALLACE LIMA DO O</t>
  </si>
  <si>
    <t>00025573920168260635</t>
  </si>
  <si>
    <t>DANILA SILVA VAZ</t>
  </si>
  <si>
    <t>00026246720178260635</t>
  </si>
  <si>
    <t>JOAO VITOR NEPOMUCENO RIBEIRO</t>
  </si>
  <si>
    <t>00029701820178260635</t>
  </si>
  <si>
    <t>JAIME SILVA DOS SANTOS</t>
  </si>
  <si>
    <t>00032412720178260635</t>
  </si>
  <si>
    <t>JOAO VITOR DE OLIVEIRA</t>
  </si>
  <si>
    <t>00033219720178260050</t>
  </si>
  <si>
    <t>LUIZ RODRIGO ALCANTARA VIEIRA DE SOUSA</t>
  </si>
  <si>
    <t>00036366220168260050</t>
  </si>
  <si>
    <t>00038605420178260635</t>
  </si>
  <si>
    <t>VANELSON RAMOS TEIXEIRA</t>
  </si>
  <si>
    <t>00042566520168260635</t>
  </si>
  <si>
    <t>JONATHAN DE SOUZA SANTANA</t>
  </si>
  <si>
    <t>00043152820178260050</t>
  </si>
  <si>
    <t>ANDRE LUIZ DE OLIVEIRA</t>
  </si>
  <si>
    <t>00043542520178260050</t>
  </si>
  <si>
    <t>CAUE DANTAS</t>
  </si>
  <si>
    <t>00048318220168260050</t>
  </si>
  <si>
    <t>BRUNO FERNANDO DE SOUZA</t>
  </si>
  <si>
    <t>00055269020178260635</t>
  </si>
  <si>
    <t>HENRIQUE DOS SANTOS RODRIGUES</t>
  </si>
  <si>
    <t>00066614920178260050</t>
  </si>
  <si>
    <t>MARCUS VINICIUS FERREIRA DA SILVA</t>
  </si>
  <si>
    <t>FERNANDO DE SOUZA OLIVEIRA</t>
  </si>
  <si>
    <t>00081418720168260635</t>
  </si>
  <si>
    <t>CLAUDEMIR MOREIRA DA SILVA</t>
  </si>
  <si>
    <t>00093829620168260635</t>
  </si>
  <si>
    <t>MICHEL MARQUES DE OLIVEIRA</t>
  </si>
  <si>
    <t>00094929520168260635</t>
  </si>
  <si>
    <t>BRUNO GANDHI SOUZA SANTOS</t>
  </si>
  <si>
    <t>00097648920168260635</t>
  </si>
  <si>
    <t>ALAN FRANCISCO ANDRADE DE OLIVEIRA</t>
  </si>
  <si>
    <t>00101266620178260050</t>
  </si>
  <si>
    <t>VALMIR PAIXAO MARTINS</t>
  </si>
  <si>
    <t>ANTONIO VIEIRA NETO</t>
  </si>
  <si>
    <t>00103762720168260635</t>
  </si>
  <si>
    <t>JOAO BRUNO SANTOS DE JESUS SILVA</t>
  </si>
  <si>
    <t>00105965920158260635</t>
  </si>
  <si>
    <t>FABIANA DE JESUS SILVA</t>
  </si>
  <si>
    <t>LUCAS BUENO DA SILVA</t>
  </si>
  <si>
    <t>00115913820168260635</t>
  </si>
  <si>
    <t>JACIELE MENDES BARROS</t>
  </si>
  <si>
    <t>00119696620178260050</t>
  </si>
  <si>
    <t>LUCAS ALBERTO DA SILVA MOLERO</t>
  </si>
  <si>
    <t>00120521920168260050</t>
  </si>
  <si>
    <t>FERNANDO HENRIQUE BARBOSA DE SOUZA</t>
  </si>
  <si>
    <t>00136361520168260635</t>
  </si>
  <si>
    <t>DOUGLAS DE CARVALHO</t>
  </si>
  <si>
    <t>00138499320178260050</t>
  </si>
  <si>
    <t>DIEGO BARBOSA DIAS</t>
  </si>
  <si>
    <t>00143720820178260050</t>
  </si>
  <si>
    <t>LEONARDO VICTOR COSTA DA SILVA</t>
  </si>
  <si>
    <t>00189125620048260050</t>
  </si>
  <si>
    <t>Antonio Miranda</t>
  </si>
  <si>
    <t>00208676820178260050</t>
  </si>
  <si>
    <t>VALMIR DE JESUS SANTOS</t>
  </si>
  <si>
    <t>00215735120178260050</t>
  </si>
  <si>
    <t>ANDREIA LUIZA DE CARVALHO</t>
  </si>
  <si>
    <t>00249450820178260050</t>
  </si>
  <si>
    <t>MARCIO DE MORAES NASCIMENTO</t>
  </si>
  <si>
    <t>00253894120178260050</t>
  </si>
  <si>
    <t>GILVAN DOS SANTOS SOUZA</t>
  </si>
  <si>
    <t>00263172620168260050</t>
  </si>
  <si>
    <t>LUCAS GASPAR RABELO DE SOUZA</t>
  </si>
  <si>
    <t>00300020720178260050</t>
  </si>
  <si>
    <t>JOSE ALFREDO DOS SANTOS JUNIOR</t>
  </si>
  <si>
    <t>00333442620178260050</t>
  </si>
  <si>
    <t>FABIANO SANTANA DOS SANTOS</t>
  </si>
  <si>
    <t>YGOR CAMARA SATELES</t>
  </si>
  <si>
    <t>00399090620178260050</t>
  </si>
  <si>
    <t>MARTINHO DAS NEVES PEREIRA FILHO</t>
  </si>
  <si>
    <t>00406097920178260050</t>
  </si>
  <si>
    <t>VAGNER COSTA OLIVEIRA</t>
  </si>
  <si>
    <t>00409726620178260050</t>
  </si>
  <si>
    <t>MATHEUS MARQUES</t>
  </si>
  <si>
    <t>VIVALDO GUEDES</t>
  </si>
  <si>
    <t>00429941020118260050</t>
  </si>
  <si>
    <t>Nicholas Charles Evangelista Lopes</t>
  </si>
  <si>
    <t>00433222720178260050</t>
  </si>
  <si>
    <t>DOUGLAS BARROS DE AMORIM</t>
  </si>
  <si>
    <t>00461364620168260050</t>
  </si>
  <si>
    <t>WANDERSON GUEIROS DA SILVA</t>
  </si>
  <si>
    <t>00465267920178260050</t>
  </si>
  <si>
    <t>VENILSON ALVES DOS SANTOS</t>
  </si>
  <si>
    <t>00465548120168260050</t>
  </si>
  <si>
    <t>DANIEL TRAJANO DO NASCIMENTO</t>
  </si>
  <si>
    <t>RENATO STAMATO NETO</t>
  </si>
  <si>
    <t>JONATHAN DOS SANTOS RAIMUNDO</t>
  </si>
  <si>
    <t>00486191520178260050</t>
  </si>
  <si>
    <t>MESSIAS DOS SANTOS SOUZA</t>
  </si>
  <si>
    <t>00492291720168260050</t>
  </si>
  <si>
    <t>00495424120178260050</t>
  </si>
  <si>
    <t>RICARDO ENGMAMM DE LIMA</t>
  </si>
  <si>
    <t>00516507720168260050</t>
  </si>
  <si>
    <t>JOSE VALTER SANTOS DE MATOS</t>
  </si>
  <si>
    <t>00548618720178260050</t>
  </si>
  <si>
    <t>GUSTAVO VINICIUS PAES</t>
  </si>
  <si>
    <t>HUDSON CRISTIANO DOS SANTOS BEZERRA</t>
  </si>
  <si>
    <t>00578474820168260050</t>
  </si>
  <si>
    <t>JULIO FERREIRA DOS SANTOS</t>
  </si>
  <si>
    <t>00582779720168260050</t>
  </si>
  <si>
    <t>FLAVIO SOARES DOS SANTOS</t>
  </si>
  <si>
    <t>00607358720168260050</t>
  </si>
  <si>
    <t>LEONARDO APARECIDO DE MORAIS</t>
  </si>
  <si>
    <t>LAIRTON MARTINS QUEIROZ JUNIOR</t>
  </si>
  <si>
    <t>LOURIVAL APARECIDO DA SILVA JUNIOR</t>
  </si>
  <si>
    <t>FERNANDO MARTINS QUEIROZ</t>
  </si>
  <si>
    <t>LUIS CARLOS DA SILVA ELEUTERIO</t>
  </si>
  <si>
    <t>00615552920048260050</t>
  </si>
  <si>
    <t>Isaires Dias do Nascimento</t>
  </si>
  <si>
    <t>00624437520168260050</t>
  </si>
  <si>
    <t>VINICIUS DOS SANTOS SILVA</t>
  </si>
  <si>
    <t>00630704520178260050</t>
  </si>
  <si>
    <t>KAUE SANTANA SILVA</t>
  </si>
  <si>
    <t>00638984120178260050</t>
  </si>
  <si>
    <t>MICHAEL ROGERIO ALVES</t>
  </si>
  <si>
    <t>EDUARDO HIROSHI KAWAGUCHI</t>
  </si>
  <si>
    <t>DIEGO TAVARES NUNES SOARES</t>
  </si>
  <si>
    <t>00644746820168260050</t>
  </si>
  <si>
    <t>VITOR EDUARDO MARCONDES DA COSTA</t>
  </si>
  <si>
    <t>FRANK WILLIAM DE SOUZA</t>
  </si>
  <si>
    <t>00647012420178260050</t>
  </si>
  <si>
    <t>WILLIAM LIMA CARDOSO</t>
  </si>
  <si>
    <t>00650563420178260050</t>
  </si>
  <si>
    <t>RAFAEL CAMPANHA ALVES DA SILVA</t>
  </si>
  <si>
    <t>00653156320168260050</t>
  </si>
  <si>
    <t>SERGIO MOREIRA DE CARVALHO</t>
  </si>
  <si>
    <t>00665506520168260050</t>
  </si>
  <si>
    <t>LUCAS DE OLIVEIRA SOUSA DE JESUS</t>
  </si>
  <si>
    <t>00684854320168260050</t>
  </si>
  <si>
    <t>LUIZ COELHO DA SILVA JUNIOR</t>
  </si>
  <si>
    <t>ALEXANDRE DA SILVA</t>
  </si>
  <si>
    <t>00730120420178260050</t>
  </si>
  <si>
    <t>ELVIS LEITE FERREIRA</t>
  </si>
  <si>
    <t>00770128120168260050</t>
  </si>
  <si>
    <t>EVERALDO FERREIRA DE LIMA JUNIOR</t>
  </si>
  <si>
    <t>00775246420168260050</t>
  </si>
  <si>
    <t>FABIANO DE ARAUJO</t>
  </si>
  <si>
    <t>00779744620128260050</t>
  </si>
  <si>
    <t>ROBSON BARBOSA TRINDADE</t>
  </si>
  <si>
    <t>00817614420168260050</t>
  </si>
  <si>
    <t>JOSE SUYE ROMERO</t>
  </si>
  <si>
    <t>00817640920108260050</t>
  </si>
  <si>
    <t>Cleiton Nascimento Moraes</t>
  </si>
  <si>
    <t>00823824120168260050</t>
  </si>
  <si>
    <t>FLAVIO AUGUSTO NOBRE DA COSTA FIGO</t>
  </si>
  <si>
    <t>00839797920158260050</t>
  </si>
  <si>
    <t>CAIO CESAR DOS SANTOS SILVA</t>
  </si>
  <si>
    <t>00850516720168260050</t>
  </si>
  <si>
    <t>ALAN MARTINS DA SILVA</t>
  </si>
  <si>
    <t>00853570220178260050</t>
  </si>
  <si>
    <t>ROGERIO SANTOS ARAGAO</t>
  </si>
  <si>
    <t>00861862220138260050</t>
  </si>
  <si>
    <t>ANDRE LUIS DE MORAES</t>
  </si>
  <si>
    <t>00871284920168260050</t>
  </si>
  <si>
    <t>DANIELE DE OLIVEIRA LEITE</t>
  </si>
  <si>
    <t>PATRICIA DA ROCHA DOS SANTOS</t>
  </si>
  <si>
    <t>00874532420168260050</t>
  </si>
  <si>
    <t>WILLIAM MAGNO MALCHIER RIBONDI</t>
  </si>
  <si>
    <t>00885782720168260050</t>
  </si>
  <si>
    <t>IGOR JULIAO</t>
  </si>
  <si>
    <t>00902408920178260050</t>
  </si>
  <si>
    <t>SHIRLLEY TEIXEIRA ALVES PEREIRA</t>
  </si>
  <si>
    <t>00906900320158260050</t>
  </si>
  <si>
    <t>ADRIANA GALINDO GOMES</t>
  </si>
  <si>
    <t>00919741220168260050</t>
  </si>
  <si>
    <t>ELVIS DE MACEDO SILVA</t>
  </si>
  <si>
    <t>00929849120168260050</t>
  </si>
  <si>
    <t>CHINWENDU STEPHEN UZOEGBU</t>
  </si>
  <si>
    <t>CHIDERA ANSELM IRUKA</t>
  </si>
  <si>
    <t>00930301720158260050</t>
  </si>
  <si>
    <t>CLAUDINEIA SANTOS COSTA</t>
  </si>
  <si>
    <t>00969835220168260050</t>
  </si>
  <si>
    <t>WILLIANS ROGER FLORENTINO</t>
  </si>
  <si>
    <t>00971818920168260050</t>
  </si>
  <si>
    <t>ALVARO DOS SANTOS TOLENTINO</t>
  </si>
  <si>
    <t>SIMONE NUNES SANTOS</t>
  </si>
  <si>
    <t>01011216220168260050</t>
  </si>
  <si>
    <t>MAURICIO DE CARVALHO</t>
  </si>
  <si>
    <t>BRUNO CIPRIANO SAVOIA DA SILVA</t>
  </si>
  <si>
    <t>01030252020168260050</t>
  </si>
  <si>
    <t>LUAN FERREIRA DE SANTANA</t>
  </si>
  <si>
    <t>01040489820168260050</t>
  </si>
  <si>
    <t>KELVIN BATISTA ROCHA</t>
  </si>
  <si>
    <t>LUIZ HENRIQUE SARSA NABARRO</t>
  </si>
  <si>
    <t>01053791820168260050</t>
  </si>
  <si>
    <t>01058218120168260050</t>
  </si>
  <si>
    <t>ANDRE REINERIO ALMEIDA</t>
  </si>
  <si>
    <t>00003945220178260635</t>
  </si>
  <si>
    <t>LUCAS CESAR DE PAULA</t>
  </si>
  <si>
    <t>00004699120178260635</t>
  </si>
  <si>
    <t>RENAN LEITE CAMARGO</t>
  </si>
  <si>
    <t>00005375020178260050</t>
  </si>
  <si>
    <t>HENRIQUE SANTOS DA SILVA</t>
  </si>
  <si>
    <t>00005671320168260635</t>
  </si>
  <si>
    <t>WALAS SOARES DE OLIVEIRA</t>
  </si>
  <si>
    <t>00006560220178260635</t>
  </si>
  <si>
    <t>MARCELO CORCIAK JUNIOR</t>
  </si>
  <si>
    <t>00009627720178260050</t>
  </si>
  <si>
    <t>00009766120178260050</t>
  </si>
  <si>
    <t>HUMBERTO SOARES DA SILVA</t>
  </si>
  <si>
    <t>00009826820178260050</t>
  </si>
  <si>
    <t>ALINE BATISTA</t>
  </si>
  <si>
    <t>KARINE FAGUNDES DE FARIAS</t>
  </si>
  <si>
    <t>KAYAN TOJOHIKO YSHIGUE</t>
  </si>
  <si>
    <t>CRISTIAN SILVEIRA DOS SANTOS</t>
  </si>
  <si>
    <t>00013905020178260635</t>
  </si>
  <si>
    <t>SIRLEY ASSIS DE OLIVEIRA</t>
  </si>
  <si>
    <t>00018538920178260635</t>
  </si>
  <si>
    <t>DIEGO SANTOS DA SILVA</t>
  </si>
  <si>
    <t>00020937820178260635</t>
  </si>
  <si>
    <t>LUCAS SONSIN MARTINS</t>
  </si>
  <si>
    <t>00024189620168260050</t>
  </si>
  <si>
    <t>ALISON ALVES MARTINS</t>
  </si>
  <si>
    <t>00025078520178260050</t>
  </si>
  <si>
    <t>IAGO HENRIQUE DO NASCIMENTO</t>
  </si>
  <si>
    <t>00027017620178260635</t>
  </si>
  <si>
    <t>RODRIGO BASTOS DE OLIVEIRA</t>
  </si>
  <si>
    <t>00029384720168260635</t>
  </si>
  <si>
    <t>HUMBERTO VINICIUS DO AMARAL DOS SANTOS</t>
  </si>
  <si>
    <t>00032655520178260635</t>
  </si>
  <si>
    <t>HUDSON FRANCIS GOMES ROCHA</t>
  </si>
  <si>
    <t>00035846620168260050</t>
  </si>
  <si>
    <t>MARCOS PAULO SILVA</t>
  </si>
  <si>
    <t>ANDREIA NATALICIO DOS SANTOS</t>
  </si>
  <si>
    <t>FELIPE SILVA COSMO</t>
  </si>
  <si>
    <t>00042883620178260635</t>
  </si>
  <si>
    <t>SILVANA MARTINS DE QUEIROZ</t>
  </si>
  <si>
    <t>00049451220168260635</t>
  </si>
  <si>
    <t>BRUNO EDUARDO OLIVEIRA ROSAS</t>
  </si>
  <si>
    <t>WILLIAM LEDESMA DOS SANTOS</t>
  </si>
  <si>
    <t>ODIRLEI DOS ANJOS OLIVEIRA</t>
  </si>
  <si>
    <t>00050626620178260635</t>
  </si>
  <si>
    <t>WELBERT GABRIEL DE LIMA</t>
  </si>
  <si>
    <t>00051268520178260050</t>
  </si>
  <si>
    <t>RODRIGO DE JESUS CUCATO</t>
  </si>
  <si>
    <t>00052401520178260635</t>
  </si>
  <si>
    <t>MARCOS DE SOUSA MEDEIROS E SILVA</t>
  </si>
  <si>
    <t>00053501420178260635</t>
  </si>
  <si>
    <t>GABRIELA DO NASCIMENTO OLIVEIRA</t>
  </si>
  <si>
    <t>00061775920168260635</t>
  </si>
  <si>
    <t>FELIPE LIMA SANTOS</t>
  </si>
  <si>
    <t>00067134520178260050</t>
  </si>
  <si>
    <t>CARLOS ROBERTO ELIAS SANTANA</t>
  </si>
  <si>
    <t>00067705420178260635</t>
  </si>
  <si>
    <t>VINICIUS CANELLA MOREIRA</t>
  </si>
  <si>
    <t>LUIS EDUARDO CHAVES SANTOS</t>
  </si>
  <si>
    <t>00068270920168260635</t>
  </si>
  <si>
    <t>ANANIAS CARIOCA DE SOUZA</t>
  </si>
  <si>
    <t>00074633820178260635</t>
  </si>
  <si>
    <t>RODNEY ROBERT DA CUNHA MARQUES</t>
  </si>
  <si>
    <t>00080818020178260635</t>
  </si>
  <si>
    <t>ANDRE TADEU DA SILVA</t>
  </si>
  <si>
    <t>00095041220168260635</t>
  </si>
  <si>
    <t>GENIVALDO OLIVEIRA LOPES</t>
  </si>
  <si>
    <t>00095784120178260050</t>
  </si>
  <si>
    <t>LUCAS DA COSTA MOREIRA</t>
  </si>
  <si>
    <t>00100688820168260635</t>
  </si>
  <si>
    <t>00103209120168260635</t>
  </si>
  <si>
    <t>LAFAETTY JORDAN DOS SANTOS DA SILVA</t>
  </si>
  <si>
    <t>00105937920168260050</t>
  </si>
  <si>
    <t>ANA MARIA DE JESUS OLIVEIRA</t>
  </si>
  <si>
    <t>00109834020168260635</t>
  </si>
  <si>
    <t>ELVIS SEVERINO DA SILVA</t>
  </si>
  <si>
    <t>00110152020178260050</t>
  </si>
  <si>
    <t>BRUNO SOUZA RODRIGUES BITTENCOURT</t>
  </si>
  <si>
    <t>00110983620178260050</t>
  </si>
  <si>
    <t>ADRIANO MARQUES AFONSO DOS SANTOS</t>
  </si>
  <si>
    <t>00111283720188260050</t>
  </si>
  <si>
    <t>MONICA CRISTINA DA SILVA</t>
  </si>
  <si>
    <t>00115325020168260635</t>
  </si>
  <si>
    <t>WILLIAM JOSE DE ALMEIDA BRAGA</t>
  </si>
  <si>
    <t>00116036120168260050</t>
  </si>
  <si>
    <t>WESLEY CARDOSO DE OLIVEIRA</t>
  </si>
  <si>
    <t>00119081120178260050</t>
  </si>
  <si>
    <t>FABIO SAVIOLI</t>
  </si>
  <si>
    <t>00125221620178260050</t>
  </si>
  <si>
    <t>MAIANE MONIQUE DA SILVA</t>
  </si>
  <si>
    <t>00132213220168260635</t>
  </si>
  <si>
    <t>FELIPE DA CONCEIÇÃO</t>
  </si>
  <si>
    <t>00134437220178260050</t>
  </si>
  <si>
    <t>NATAN GOMES DE OLIVEIRA</t>
  </si>
  <si>
    <t>00136803420168260635</t>
  </si>
  <si>
    <t>FARLEY DA CONCEIÇÃO</t>
  </si>
  <si>
    <t>00145591620178260050</t>
  </si>
  <si>
    <t>EDMILSON JOSE GOMES DA SILVA</t>
  </si>
  <si>
    <t>00157742720178260050</t>
  </si>
  <si>
    <t>CAIO VINICIUS CAETANO GONCALVES</t>
  </si>
  <si>
    <t>00170598920168260050</t>
  </si>
  <si>
    <t>NATALICIO GONCALVES DE AZEVEDO SILVA</t>
  </si>
  <si>
    <t>JEFFERSON OLIVEIRA LEITE DA SILVA</t>
  </si>
  <si>
    <t>00199228120178260050</t>
  </si>
  <si>
    <t>JULIANA AMORIM XAVIER DE JESUS</t>
  </si>
  <si>
    <t>00239526220178260050</t>
  </si>
  <si>
    <t>CARLOS JOAO FREIRE NASCIMENTO</t>
  </si>
  <si>
    <t>VALDEMIR GLOSS</t>
  </si>
  <si>
    <t>JOSE RAFAELTON ALVES DE MENEZES</t>
  </si>
  <si>
    <t>00241968820178260050</t>
  </si>
  <si>
    <t>FELIPE SANTOS MACHADO</t>
  </si>
  <si>
    <t>erro saj</t>
  </si>
  <si>
    <t>ANDERSON SANTOS RODRIGUES</t>
  </si>
  <si>
    <t>00246402420178260050</t>
  </si>
  <si>
    <t>HERBERT GONCALVES DOS SANTOS</t>
  </si>
  <si>
    <t>00252768720178260050</t>
  </si>
  <si>
    <t>MATHEUS FERREIRA DE OLIVEIRA</t>
  </si>
  <si>
    <t>CLAYTON ALVES DA SILVA</t>
  </si>
  <si>
    <t>00267047520158260050</t>
  </si>
  <si>
    <t>MARSON DE CAMPOS BASTOS</t>
  </si>
  <si>
    <t>00268508220168260050</t>
  </si>
  <si>
    <t>JOSELIA LINS CLARINDO</t>
  </si>
  <si>
    <t>00270141320178260050</t>
  </si>
  <si>
    <t>JACLEDES DOS SANTOS PAIXAO</t>
  </si>
  <si>
    <t>00289077320168260050</t>
  </si>
  <si>
    <t>SIDNEY SILVA VIEIRA</t>
  </si>
  <si>
    <t>00295639320178260050</t>
  </si>
  <si>
    <t>THIAGO JUVENCIO PEREIRA DA SILVA</t>
  </si>
  <si>
    <t>00300523320178260050</t>
  </si>
  <si>
    <t>LEANDRO ARAUJO FEITOSA</t>
  </si>
  <si>
    <t>00326543120168260050</t>
  </si>
  <si>
    <t>00331139620178260050</t>
  </si>
  <si>
    <t>EDSON PAULO ROMAO</t>
  </si>
  <si>
    <t>00357289320168260050</t>
  </si>
  <si>
    <t>RENNER SILVA NOGUEIRA</t>
  </si>
  <si>
    <t>00378227720178260050</t>
  </si>
  <si>
    <t>JEFERSON ISIDEO FARIA</t>
  </si>
  <si>
    <t>00382237620178260050</t>
  </si>
  <si>
    <t>ANDRÉ MARTINS LEONARDO</t>
  </si>
  <si>
    <t>00384942220168260050</t>
  </si>
  <si>
    <t>YGOR ROSA FERREIRA</t>
  </si>
  <si>
    <t>00406037220178260050</t>
  </si>
  <si>
    <t>FERNANDA GALVAO</t>
  </si>
  <si>
    <t>00409466820178260050</t>
  </si>
  <si>
    <t>RAYR SILVERIO SANTOS</t>
  </si>
  <si>
    <t>00421643420178260050</t>
  </si>
  <si>
    <t>KAIQUE DA SILVA FERREIRA</t>
  </si>
  <si>
    <t>00427345420168260050</t>
  </si>
  <si>
    <t>PEDRO HENRIQUE DA SILVA</t>
  </si>
  <si>
    <t>00447759620138260050</t>
  </si>
  <si>
    <t>RODRIGO DA SILVA</t>
  </si>
  <si>
    <t>RAFAEL GOMES DA SILVA FERREIRA</t>
  </si>
  <si>
    <t>ERISVALDO ALVES DE CARVALHO</t>
  </si>
  <si>
    <t>00451237520178260050</t>
  </si>
  <si>
    <t>REGINALDO LUIZ GUEDES</t>
  </si>
  <si>
    <t>00495702920058260050</t>
  </si>
  <si>
    <t>Pedro Martinez Ginez</t>
  </si>
  <si>
    <t>Andreia Aparecida Quirino</t>
  </si>
  <si>
    <t>Adriana Maria da Silva</t>
  </si>
  <si>
    <t>00500603120178260050</t>
  </si>
  <si>
    <t>WEVERTON SILVA DE SOUZA</t>
  </si>
  <si>
    <t>ERALDO SAMPAIO DOS SANTOS</t>
  </si>
  <si>
    <t>00501239020168260050</t>
  </si>
  <si>
    <t>FAGNER FERNANDES MEDRADO DE SOUZA</t>
  </si>
  <si>
    <t>00521103020178260050</t>
  </si>
  <si>
    <t>DOUGLAS DOS SANTOS VIEIRA</t>
  </si>
  <si>
    <t>ALEXANDRE MONTEIRO DE MORAIS</t>
  </si>
  <si>
    <t>00533063520178260050</t>
  </si>
  <si>
    <t>LUIS EDVALDO MORAES DA SILVA</t>
  </si>
  <si>
    <t>KAYKE AUGUSTO PIGNATARI LUCENA BORGESI</t>
  </si>
  <si>
    <t>00534345520178260050</t>
  </si>
  <si>
    <t>LEANDRO BATISTA SOARES</t>
  </si>
  <si>
    <t>00534799320168260050</t>
  </si>
  <si>
    <t>DENIS WILLIAN DA SILVA</t>
  </si>
  <si>
    <t>00582476220168260050</t>
  </si>
  <si>
    <t>GUILHERME NUNES DE SOUZA SILVA</t>
  </si>
  <si>
    <t>00585593820168260050</t>
  </si>
  <si>
    <t>JONAS CUSTODIO DA SILVA</t>
  </si>
  <si>
    <t>00586907620178260050</t>
  </si>
  <si>
    <t>PAMELA CRISTINA GONCALVES DOS SANTOS</t>
  </si>
  <si>
    <t>00598178320168260050</t>
  </si>
  <si>
    <t>00600270320178260050</t>
  </si>
  <si>
    <t>JOSE LIMA RAMALHO JUNIOR</t>
  </si>
  <si>
    <t>00602647120168260050</t>
  </si>
  <si>
    <t>JOSE JEFFERSON DA SILVA SOUSA</t>
  </si>
  <si>
    <t>00609347520178260050</t>
  </si>
  <si>
    <t>CLAUDINEI RIBEIRO</t>
  </si>
  <si>
    <t>00620138920178260050</t>
  </si>
  <si>
    <t>PAULO BATALHA MESQUITA</t>
  </si>
  <si>
    <t>00624402320168260050</t>
  </si>
  <si>
    <t>LUCIANO VIANA DE SANTANA</t>
  </si>
  <si>
    <t>00626650920178260050</t>
  </si>
  <si>
    <t>PAULO SERGIO DE SOUZA LOPES</t>
  </si>
  <si>
    <t>LUANA ROBERTA MARIAS DE SOUZA LOPES</t>
  </si>
  <si>
    <t>00630635320178260050</t>
  </si>
  <si>
    <t>WAGNER ALVES GABRIEL</t>
  </si>
  <si>
    <t>JOAO LUCAS SANTOS DA SILVA</t>
  </si>
  <si>
    <t>DAVID ANTONIO LIMA PEREIRA</t>
  </si>
  <si>
    <t>00635277720178260050</t>
  </si>
  <si>
    <t>VITOR HUGO DE SOUZA RODRIGUES</t>
  </si>
  <si>
    <t>00635635620168260050</t>
  </si>
  <si>
    <t>LUCAS RIBEIRO DE JESUS</t>
  </si>
  <si>
    <t>00647116820178260050</t>
  </si>
  <si>
    <t>MARCIA MARIA FLAVIO</t>
  </si>
  <si>
    <t>DAVI DE JESUS FLAVIO DOS SANTOS</t>
  </si>
  <si>
    <t>00650494220178260050</t>
  </si>
  <si>
    <t>JACKSON ROBERVAL DE SA</t>
  </si>
  <si>
    <t>00657864520178260050</t>
  </si>
  <si>
    <t>WESLEI DEIVID DO ROSARIO</t>
  </si>
  <si>
    <t>00662039520178260050</t>
  </si>
  <si>
    <t>EMERSON DE CAMPOS</t>
  </si>
  <si>
    <t>00681531320158260050</t>
  </si>
  <si>
    <t>JONATHAN VICENTE DE MENEZES</t>
  </si>
  <si>
    <t>00716766220178260050</t>
  </si>
  <si>
    <t>EDUARDO OLIVEIRA DA SILVA</t>
  </si>
  <si>
    <t>00729600820178260050</t>
  </si>
  <si>
    <t>REGIVAN GUEDES DA SILVA SOUZA</t>
  </si>
  <si>
    <t>00731587920168260050</t>
  </si>
  <si>
    <t>VALDEMAR COSTA SANTOS</t>
  </si>
  <si>
    <t>00742124620178260050</t>
  </si>
  <si>
    <t>00751001520178260050</t>
  </si>
  <si>
    <t>CLAUDENIR OLIVEIRA DA SILVA</t>
  </si>
  <si>
    <t>00760185320168260050</t>
  </si>
  <si>
    <t>WILKER  BASTO DE SOUZA GOMES</t>
  </si>
  <si>
    <t>DANIEL GALDIOZO</t>
  </si>
  <si>
    <t>ARISTIDES FERREIRA DA SILVA</t>
  </si>
  <si>
    <t>00774588420168260050</t>
  </si>
  <si>
    <t>RAFAEL PEREIRA SANTOS NETO</t>
  </si>
  <si>
    <t>00812447320158260050</t>
  </si>
  <si>
    <t>KAIQUE LEITE DA SILVA</t>
  </si>
  <si>
    <t>00814086720178260050</t>
  </si>
  <si>
    <t>ALEX D ASSUNCAO DE OLIVEIRA</t>
  </si>
  <si>
    <t>00815016420168260050</t>
  </si>
  <si>
    <t>ROGERIO REIS DE BRITO</t>
  </si>
  <si>
    <t>MARIO SERGIO  REIS DE BRITO</t>
  </si>
  <si>
    <t>00820602120168260050</t>
  </si>
  <si>
    <t>EVERTON APARECIDO MEIRA DE SANTANA</t>
  </si>
  <si>
    <t>LUAN HENRIQUE SILVA EVANGELISTA</t>
  </si>
  <si>
    <t>00823729420168260050</t>
  </si>
  <si>
    <t>ALEXSANDRO VITORINO DOS SANTOS</t>
  </si>
  <si>
    <t>00836209520168260050</t>
  </si>
  <si>
    <t>VITOR GOMES BONFIM</t>
  </si>
  <si>
    <t>THIAGO FIGUEIREDO SANTOS</t>
  </si>
  <si>
    <t>00872875520178260050</t>
  </si>
  <si>
    <t>JEAN WENDEL DA SILVA</t>
  </si>
  <si>
    <t>00900471120168260050</t>
  </si>
  <si>
    <t>DANIEL JUNIOR FREIRE DOS SANTOS</t>
  </si>
  <si>
    <t>00904801520168260050</t>
  </si>
  <si>
    <t>00914499320178260050</t>
  </si>
  <si>
    <t>LEANDRO VICENTE</t>
  </si>
  <si>
    <t>00915081820168260050</t>
  </si>
  <si>
    <t>MALIKI MOHAMEDY MKETTO</t>
  </si>
  <si>
    <t>00916372320168260050</t>
  </si>
  <si>
    <t>DIOGO FERNANDO REIS EVARISTO</t>
  </si>
  <si>
    <t>00921647220168260050</t>
  </si>
  <si>
    <t>ANDERSON RODRIGUES GARCIA</t>
  </si>
  <si>
    <t>00941600820168260050</t>
  </si>
  <si>
    <t>MARCELO LAIA DE SOUSA</t>
  </si>
  <si>
    <t>00946347620168260050</t>
  </si>
  <si>
    <t>WELLINGTON FRANCISCO MACIEL</t>
  </si>
  <si>
    <t>00951604320168260050</t>
  </si>
  <si>
    <t>RAPHAEL MARCELO DA SILVA ALVES</t>
  </si>
  <si>
    <t>00955111620168260050</t>
  </si>
  <si>
    <t>EDSON DOS SANTOS</t>
  </si>
  <si>
    <t>ED CARLOS AMERICO DOS SANTOS</t>
  </si>
  <si>
    <t>00955325520178260050</t>
  </si>
  <si>
    <t>REBECA REGINALDO FARIDES</t>
  </si>
  <si>
    <t>00982081020168260050</t>
  </si>
  <si>
    <t>VANDERLINO REBELO DOS SANTOS</t>
  </si>
  <si>
    <t>CARLOS WILKER OLIVEIRA MELO</t>
  </si>
  <si>
    <t>01018854820168260050</t>
  </si>
  <si>
    <t>MAGNO KELLY XAVIER DE LIMA</t>
  </si>
  <si>
    <t>01021943520178260050</t>
  </si>
  <si>
    <t>FLAVIO RODRIGUES DE FREITAS</t>
  </si>
  <si>
    <t>01037146420168260050</t>
  </si>
  <si>
    <t>EDERSON DE ALMEIDA DOS SANTOS</t>
  </si>
  <si>
    <t>00001382120178260050</t>
  </si>
  <si>
    <t>ANA PAULA BISPO DOS SANTOS</t>
  </si>
  <si>
    <t>DANIELE ALVES DOS SANTOS</t>
  </si>
  <si>
    <t>00002958220178260635</t>
  </si>
  <si>
    <t>RICARDO DE OLIVEIRA PEREIRA</t>
  </si>
  <si>
    <t>00003997420178260635</t>
  </si>
  <si>
    <t>VALDIR DE ASSIS COSTA</t>
  </si>
  <si>
    <t>00008215820178260050</t>
  </si>
  <si>
    <t>FLAVIO FELIPE DA SILVA</t>
  </si>
  <si>
    <t>00009749120178260050</t>
  </si>
  <si>
    <t>MARCIO PEREIRA DA CUNHA</t>
  </si>
  <si>
    <t>00013930520178260635</t>
  </si>
  <si>
    <t>WILLIAM DA SILVA GARCIA</t>
  </si>
  <si>
    <t>00023397420178260635</t>
  </si>
  <si>
    <t>MARCIO APARECIDO LINS</t>
  </si>
  <si>
    <t>00025302220178260635</t>
  </si>
  <si>
    <t>FLORENCIA LUZIA HONORIO DE SOUZA</t>
  </si>
  <si>
    <t>00028004620178260635</t>
  </si>
  <si>
    <t>IGOR DOS SANTOS</t>
  </si>
  <si>
    <t>00028385820178260635</t>
  </si>
  <si>
    <t>LOHAN DE LIMA SALLES</t>
  </si>
  <si>
    <t>00030455720178260635</t>
  </si>
  <si>
    <t>KLEVERTON THIERRY CARLOS SILVA</t>
  </si>
  <si>
    <t>00032751120178260050</t>
  </si>
  <si>
    <t>FRANKLIN JOSE DE BRITO</t>
  </si>
  <si>
    <t>00034526320178260635</t>
  </si>
  <si>
    <t>JULIANA THOMEO TORRES</t>
  </si>
  <si>
    <t>00039973620178260635</t>
  </si>
  <si>
    <t>JOHNNY MATHEUS DA SILVA</t>
  </si>
  <si>
    <t>00043092120178260050</t>
  </si>
  <si>
    <t>CARLOS AUGUSTO DE SOUSA SILVA</t>
  </si>
  <si>
    <t>00045550820178260635</t>
  </si>
  <si>
    <t>FRANCISCO DE OLIVEIRA SILVA</t>
  </si>
  <si>
    <t>00051588120178260635</t>
  </si>
  <si>
    <t>RAFAEL DA SILVA</t>
  </si>
  <si>
    <t>00057701920178260635</t>
  </si>
  <si>
    <t>JOSE MARCIO ALVES DA SILVA</t>
  </si>
  <si>
    <t>00059729320178260635</t>
  </si>
  <si>
    <t>LEONARDI USTULIN GUTIERREZ</t>
  </si>
  <si>
    <t>ELIAS VIEIRA DA SILVA</t>
  </si>
  <si>
    <t>00064700420178260050</t>
  </si>
  <si>
    <t>DANILO CONRADO DA SILVA</t>
  </si>
  <si>
    <t>GILMAR SILVA DE ALMEIDA</t>
  </si>
  <si>
    <t>00072754520178260635</t>
  </si>
  <si>
    <t>Odair Moraes de Oliveira</t>
  </si>
  <si>
    <t>00073526320178260050</t>
  </si>
  <si>
    <t>ROBSON LUIZ IZIDORIO</t>
  </si>
  <si>
    <t>ANDERSON SANTIAGO LUCENA DA COSTA</t>
  </si>
  <si>
    <t>RODRIGO LOPES DA SILVA</t>
  </si>
  <si>
    <t>00080592220178260635</t>
  </si>
  <si>
    <t>MARCELO DE OLIVEIRA SOUSA</t>
  </si>
  <si>
    <t>00086900920168260050</t>
  </si>
  <si>
    <t>MAIKO VINICIUS RODRIGUES DA SILVA</t>
  </si>
  <si>
    <t>00088632420168260635</t>
  </si>
  <si>
    <t>MAYKON DOUGLAS CAMARGO GALVAO</t>
  </si>
  <si>
    <t>00093471420178260050</t>
  </si>
  <si>
    <t>LUCAS SANTOS DOS REIS</t>
  </si>
  <si>
    <t>00095405420168260635</t>
  </si>
  <si>
    <t>ALEX ALVES DA SILVA</t>
  </si>
  <si>
    <t>00100374320178260050</t>
  </si>
  <si>
    <t>SILVANEI ALVES ROSA</t>
  </si>
  <si>
    <t>00100515220168260635</t>
  </si>
  <si>
    <t>BRENO DE OLIVEIRA MENDES FERREIRA</t>
  </si>
  <si>
    <t>RODRIGO DE LIMA MOURA</t>
  </si>
  <si>
    <t>CARLOS WELBER MOREIRA DE OLIVEIRA</t>
  </si>
  <si>
    <t>JANDERSON DE CARVALHO FAUSTINO</t>
  </si>
  <si>
    <t>00119100620168260635</t>
  </si>
  <si>
    <t>BRENO HILARIO RODRIGUES</t>
  </si>
  <si>
    <t>FILIPE CHRISTIAN DO NASCIMENTO DANTAS</t>
  </si>
  <si>
    <t>00123301120168260635</t>
  </si>
  <si>
    <t>ALEF FERREIRA DOS SANTOS</t>
  </si>
  <si>
    <t>00129247820098260050</t>
  </si>
  <si>
    <t>Felipe de Oliveira da Silva - S O L T O</t>
  </si>
  <si>
    <t>00135623320178260050</t>
  </si>
  <si>
    <t>ISAAC FRANCISCO DOS SANTOS</t>
  </si>
  <si>
    <t>00138481120178260050</t>
  </si>
  <si>
    <t>JONATHA PAULINO DA SILVA</t>
  </si>
  <si>
    <t>00139600520168260635</t>
  </si>
  <si>
    <t>WILSON MAMANI</t>
  </si>
  <si>
    <t>00153533720178260050</t>
  </si>
  <si>
    <t>CARLOS ROBERTO DA SILVA</t>
  </si>
  <si>
    <t>00174077320178260050</t>
  </si>
  <si>
    <t>VAGNER VALERIO SILVA</t>
  </si>
  <si>
    <t>00200345020178260050</t>
  </si>
  <si>
    <t>LUCIANA APARECIDA SEVERINO</t>
  </si>
  <si>
    <t>00215665920178260050</t>
  </si>
  <si>
    <t>RAFAEL WILLIAN RIBEIRO ANTONINI</t>
  </si>
  <si>
    <t>00220536820138260050</t>
  </si>
  <si>
    <t>00253850420178260050</t>
  </si>
  <si>
    <t>ADAILTON DA SILVA SOARES</t>
  </si>
  <si>
    <t>00270505520178260050</t>
  </si>
  <si>
    <t>DAVID FERREIRA DOS SANTOS</t>
  </si>
  <si>
    <t>00279706320168260050</t>
  </si>
  <si>
    <t>MARCIO FIZIO</t>
  </si>
  <si>
    <t>00310492620118260050</t>
  </si>
  <si>
    <t>Jonatha da Silva Nunes</t>
  </si>
  <si>
    <t>00311098620178260050</t>
  </si>
  <si>
    <t>ULISSES DOS SANTOS  SOUZA</t>
  </si>
  <si>
    <t>00341581920098260050</t>
  </si>
  <si>
    <t>Wesley Sanchez Lourenço</t>
  </si>
  <si>
    <t>00344598220178260050</t>
  </si>
  <si>
    <t>ADRIANA DOMINIQUELI PEREIRA</t>
  </si>
  <si>
    <t>00359217420178260050</t>
  </si>
  <si>
    <t>JORGE LUIS DA SILVA PEREIRA</t>
  </si>
  <si>
    <t>00377274720178260050</t>
  </si>
  <si>
    <t>MIKAEL MEIRA DEZEDERIO</t>
  </si>
  <si>
    <t>00378867820038260050</t>
  </si>
  <si>
    <t>Nicolas Habib</t>
  </si>
  <si>
    <t>Rui Costa Balan</t>
  </si>
  <si>
    <t>00420044820138260050</t>
  </si>
  <si>
    <t>ROBERTO DO NASCIMENTO SILVA</t>
  </si>
  <si>
    <t>00432954420178260050</t>
  </si>
  <si>
    <t>MARCIO DA SILVA JUNIOR</t>
  </si>
  <si>
    <t>00461214320178260050</t>
  </si>
  <si>
    <t>RENATO RODRIGO DOS SANTOS</t>
  </si>
  <si>
    <t>WELLINGTON DA SILVA LUCAS</t>
  </si>
  <si>
    <t>00477802420168260050</t>
  </si>
  <si>
    <t>GILMAR SANTOS DA SILVA</t>
  </si>
  <si>
    <t>00483527720168260050</t>
  </si>
  <si>
    <t>MARCOS VINICIUS CARVALHO LOPES</t>
  </si>
  <si>
    <t>00498077720168260050</t>
  </si>
  <si>
    <t>ELISMAR FRANCISCO LIMA DINIZ</t>
  </si>
  <si>
    <t>00512670220168260050</t>
  </si>
  <si>
    <t>ANTONIO SOARES DE ARAUJO FILHO</t>
  </si>
  <si>
    <t>00524524620148260050</t>
  </si>
  <si>
    <t>FERNANDO ALVES DA SILVA</t>
  </si>
  <si>
    <t>00529922620168260050</t>
  </si>
  <si>
    <t>FABIANO TIBURCIO DA SILVA</t>
  </si>
  <si>
    <t>VINICIUS ANTONIO DA SILVA MENDONCA</t>
  </si>
  <si>
    <t>00546052820098260050</t>
  </si>
  <si>
    <t>Jenivaldo de Jesus Oliveira Santos</t>
  </si>
  <si>
    <t>00558846820178260050</t>
  </si>
  <si>
    <t>JULIO CESAR DE SA CARDOSO</t>
  </si>
  <si>
    <t>00562548120168260050</t>
  </si>
  <si>
    <t>LUCAS LUCCI</t>
  </si>
  <si>
    <t>HEITOR HUGO GONÇALVES DE SOUZA</t>
  </si>
  <si>
    <t>THAIS HONDA SILVA</t>
  </si>
  <si>
    <t>00605658120178260050</t>
  </si>
  <si>
    <t>PETERSON AUGUSTO PEREIRA RIBEIRO</t>
  </si>
  <si>
    <t>THIAGO CORREIA JUSTINO</t>
  </si>
  <si>
    <t>WELLINGTON PEREIRA LOPES</t>
  </si>
  <si>
    <t>00632991520118260050</t>
  </si>
  <si>
    <t>Wilker Pinheiro Galvão</t>
  </si>
  <si>
    <t>00635944220178260050</t>
  </si>
  <si>
    <t>LEONARDO TRINDADE JUNIOR</t>
  </si>
  <si>
    <t>00678177220168260050</t>
  </si>
  <si>
    <t>JUAN ANTONIO ZAVALA</t>
  </si>
  <si>
    <t>00690215420168260050</t>
  </si>
  <si>
    <t>ALEXANDRE ALMEIDA PEIXOTO</t>
  </si>
  <si>
    <t>00696087620168260050</t>
  </si>
  <si>
    <t>EZEQUIEL MENDES DA SILVA</t>
  </si>
  <si>
    <t>TIAGO DA SILVA JUNIOR</t>
  </si>
  <si>
    <t>00701457220168260050</t>
  </si>
  <si>
    <t>CHIDOZIE COLLINS UJUMADU</t>
  </si>
  <si>
    <t>00703628120178260050</t>
  </si>
  <si>
    <t>ERICK MATHEUS CAVALCANTE E SILVA</t>
  </si>
  <si>
    <t>00709448120178260050</t>
  </si>
  <si>
    <t>ROBERTA BARBOSA LIMA MALAGOLI</t>
  </si>
  <si>
    <t>00723460320178260050</t>
  </si>
  <si>
    <t>IGOR TOMAS PEREIRA DE FARIAS</t>
  </si>
  <si>
    <t>00735849120168260050</t>
  </si>
  <si>
    <t>EDIVALDO DOS REIS OLIVEIRA</t>
  </si>
  <si>
    <t>ILTON SALES BEZERRA</t>
  </si>
  <si>
    <t>00740975920168260050</t>
  </si>
  <si>
    <t>ROBSON PERIS LEPORE</t>
  </si>
  <si>
    <t>00765915720178260050</t>
  </si>
  <si>
    <t>EDSON PEREIRA DE MATOS</t>
  </si>
  <si>
    <t>00769833120168260050</t>
  </si>
  <si>
    <t>RENAN DE MELO MONTANHA</t>
  </si>
  <si>
    <t>00780892820168260050</t>
  </si>
  <si>
    <t>WILLIAM ANDRADE DOS REIS</t>
  </si>
  <si>
    <t>VICTOR HUGO SANTOS SOUZA</t>
  </si>
  <si>
    <t>00781100420168260050</t>
  </si>
  <si>
    <t>00814790620168260050</t>
  </si>
  <si>
    <t>WENDEL DA SILVA SANTOS</t>
  </si>
  <si>
    <t>00836252020168260050</t>
  </si>
  <si>
    <t>JODERSON DE ARAUJO FARIAS</t>
  </si>
  <si>
    <t>00837452920178260050</t>
  </si>
  <si>
    <t>RUBENS DA SILVA CAMILLO</t>
  </si>
  <si>
    <t>00860329620168260050</t>
  </si>
  <si>
    <t>JULIO FERREIRA  DA SILVA</t>
  </si>
  <si>
    <t>00871743820168260050</t>
  </si>
  <si>
    <t>CLEDSON CORREIA DE ARAUJO</t>
  </si>
  <si>
    <t>00879663620098260050</t>
  </si>
  <si>
    <t>Douglas Marcelo Anselmo</t>
  </si>
  <si>
    <t>00900168820168260050</t>
  </si>
  <si>
    <t>MARCOS VINICIUS ANDRADE FELIPE</t>
  </si>
  <si>
    <t>00947187720168260050</t>
  </si>
  <si>
    <t>BRUNO HONORATO DE SOUZA</t>
  </si>
  <si>
    <t>MARCELO ANTUNES DA SILVA</t>
  </si>
  <si>
    <t>JOSE RINALDO DOS SANTOS</t>
  </si>
  <si>
    <t>00970042820168260050</t>
  </si>
  <si>
    <t>RICARDO ARAUJO PEREIRA</t>
  </si>
  <si>
    <t>00977161820168260050</t>
  </si>
  <si>
    <t>ALESSANDRA SOUZA BRITO.</t>
  </si>
  <si>
    <t>01002584320158260050</t>
  </si>
  <si>
    <t>RAYMUNDO BARRETTO DA SILVA</t>
  </si>
  <si>
    <t>01011946820158260050</t>
  </si>
  <si>
    <t>LEANDRO JOSE DA SILVA</t>
  </si>
  <si>
    <t>01019602420158260050</t>
  </si>
  <si>
    <t>RICARDO ANDRADE DE FRANCA</t>
  </si>
  <si>
    <t>01040621920158260050</t>
  </si>
  <si>
    <t>GILMAR JOSE DE FREITAS</t>
  </si>
  <si>
    <t>08304018620068260050</t>
  </si>
  <si>
    <t>Michele Neres dos Santos</t>
  </si>
  <si>
    <t>00004014420178260635</t>
  </si>
  <si>
    <t>JOSE RONALDO DE ASSIS OLIVEIRA</t>
  </si>
  <si>
    <t>00004551020178260635</t>
  </si>
  <si>
    <t>RICHARD ARCAY</t>
  </si>
  <si>
    <t>00007072220178260050</t>
  </si>
  <si>
    <t>COSME OLIVEIRA DA SILVA</t>
  </si>
  <si>
    <t>00007590920178260635</t>
  </si>
  <si>
    <t>ANDERSON ASSIS DE OLIVEIRA</t>
  </si>
  <si>
    <t>00007895320178260050</t>
  </si>
  <si>
    <t>ADER HENRIQUE MENDES</t>
  </si>
  <si>
    <t>ALEX SANDRO DOS SANTOS</t>
  </si>
  <si>
    <t>00008881420178260635</t>
  </si>
  <si>
    <t>MARCELO BALBINO DA SILVA</t>
  </si>
  <si>
    <t>00012111920178260635</t>
  </si>
  <si>
    <t>DANILO ROCHA MOREIRA</t>
  </si>
  <si>
    <t>00023951020178260635</t>
  </si>
  <si>
    <t>DAVISON DOS SANTOS ALVES</t>
  </si>
  <si>
    <t>00034595520178260635</t>
  </si>
  <si>
    <t>ALEXANDRE SOUZA DOS SANTOS</t>
  </si>
  <si>
    <t>00036691820178260050</t>
  </si>
  <si>
    <t>DJANIRA BENICIO DOS SANTOS</t>
  </si>
  <si>
    <t>JOYCE DOS SANTOS DA SILVA</t>
  </si>
  <si>
    <t>WELLINGTON DOS SANTOS DA SILVA</t>
  </si>
  <si>
    <t>00037185020178260635</t>
  </si>
  <si>
    <t>WILLIAM JOSE RIBEIRO</t>
  </si>
  <si>
    <t>00042866620178260635</t>
  </si>
  <si>
    <t>YGOR ALEXANDRE TELES QUEIROZ</t>
  </si>
  <si>
    <t>00052117120178260050</t>
  </si>
  <si>
    <t>ALESSANDRO JOSE ESTEVAO DA SILVA</t>
  </si>
  <si>
    <t>00063453620178260050</t>
  </si>
  <si>
    <t>ANTONIO MANUEL NICODEMO DELGADO ALEXANDRE</t>
  </si>
  <si>
    <t>00063850920178260635</t>
  </si>
  <si>
    <t>DHYEGO LOPES DA ROCHA</t>
  </si>
  <si>
    <t>00065618520178260635</t>
  </si>
  <si>
    <t>MAGNUM LOURENÇO DA SILVA AQUINO</t>
  </si>
  <si>
    <t>00066684120178260050</t>
  </si>
  <si>
    <t>EDNEI DE MORAES</t>
  </si>
  <si>
    <t>00067619220178260635</t>
  </si>
  <si>
    <t>ADRIANO TAVARES DE ANDRADE</t>
  </si>
  <si>
    <t>HENRIQUE SOUSA BRITO</t>
  </si>
  <si>
    <t>ISAACK MELO NUNES</t>
  </si>
  <si>
    <t>00078739620178260635</t>
  </si>
  <si>
    <t>SUELLEN CHRISTYNE FAGUNDES PEREIRA</t>
  </si>
  <si>
    <t>00093575820178260050</t>
  </si>
  <si>
    <t>MATHEUS DE SOUZA LIMA</t>
  </si>
  <si>
    <t>00096037920168260635</t>
  </si>
  <si>
    <t>CARLOS TOMAZ DE LIMA</t>
  </si>
  <si>
    <t>00099951920168260635</t>
  </si>
  <si>
    <t>JAILTON DE SOUZA RABELLO</t>
  </si>
  <si>
    <t>00103615820168260635</t>
  </si>
  <si>
    <t>EDER AUGUSTO FERRO</t>
  </si>
  <si>
    <t>00105677220168260635</t>
  </si>
  <si>
    <t>00108653920178260050</t>
  </si>
  <si>
    <t>GABRIEL CHRISTINO VIEIRA</t>
  </si>
  <si>
    <t>MATHEUS HENRIQUE BRASILIA DA SILVA</t>
  </si>
  <si>
    <t>JEFFERSON ROBERTO APARECIDO DE ASSIS</t>
  </si>
  <si>
    <t>00112389520168260635</t>
  </si>
  <si>
    <t>ANDERSON ALVES DE JESUS</t>
  </si>
  <si>
    <t>FABIO RODRIGUES TEIXEIRA</t>
  </si>
  <si>
    <t>00120218720168260635</t>
  </si>
  <si>
    <t>HYAGO GABRIEL SUDARIO LIMA</t>
  </si>
  <si>
    <t>EDILSON MARQUES ALVES</t>
  </si>
  <si>
    <t>00131901220168260635</t>
  </si>
  <si>
    <t>DOUGLAS FREITAS MARTINS DOS SANTOS</t>
  </si>
  <si>
    <t>00133094520178260050</t>
  </si>
  <si>
    <t>PAULO HENRIQUE DIAS</t>
  </si>
  <si>
    <t>Danilo da Costa Serafim</t>
  </si>
  <si>
    <t>SAMUEL SILVA DE MELO</t>
  </si>
  <si>
    <t>00136169620178260050</t>
  </si>
  <si>
    <t>HÉLIO DAMIÃO DA SILVA</t>
  </si>
  <si>
    <t>00136985520168260635</t>
  </si>
  <si>
    <t>GILSON MESQUITA NUNES</t>
  </si>
  <si>
    <t>00138975220178260050</t>
  </si>
  <si>
    <t>DIOGO CABRAL DOS SANTOS</t>
  </si>
  <si>
    <t>00145063520178260050</t>
  </si>
  <si>
    <t>BRUNO BRANDAO CARNEIRO</t>
  </si>
  <si>
    <t>00160482520168260050</t>
  </si>
  <si>
    <t>TAINE RAQUEL POSSATTI</t>
  </si>
  <si>
    <t>00161199020178260050</t>
  </si>
  <si>
    <t>CESAR RAGAZI MIRANDA</t>
  </si>
  <si>
    <t>00174301920178260050</t>
  </si>
  <si>
    <t>KAIO SANTOS SANTANA</t>
  </si>
  <si>
    <t>00204554020178260050</t>
  </si>
  <si>
    <t>THIAGO BARBOSA COELHO</t>
  </si>
  <si>
    <t>00208282820048260050</t>
  </si>
  <si>
    <t>Reginaldo Batista</t>
  </si>
  <si>
    <t>00217051120178260050</t>
  </si>
  <si>
    <t>SIDNEI DE JESUS SANTOS</t>
  </si>
  <si>
    <t>00228734820178260050</t>
  </si>
  <si>
    <t>WESLEY DOS SANTOS PIRES</t>
  </si>
  <si>
    <t>00241717520178260050</t>
  </si>
  <si>
    <t>RODRIGO MORETTI GIORDANO</t>
  </si>
  <si>
    <t>00243475420178260050</t>
  </si>
  <si>
    <t>CARLOS EDUARDO LIMA DA SILVA</t>
  </si>
  <si>
    <t>00251321620178260050</t>
  </si>
  <si>
    <t>ATOS PEREIRA RODRIGUES DA SILVEIRA</t>
  </si>
  <si>
    <t>LUIZ CARLOS FELIX DE SOUZA</t>
  </si>
  <si>
    <t>00300081420178260050</t>
  </si>
  <si>
    <t>EVANDRO RODRIGUES DE SOUZA</t>
  </si>
  <si>
    <t>00310197820178260050</t>
  </si>
  <si>
    <t>WELLINGTON DE LIMA</t>
  </si>
  <si>
    <t>00313765820178260050</t>
  </si>
  <si>
    <t>RANSES PEDRO MARINGOLO</t>
  </si>
  <si>
    <t>00316736520178260050</t>
  </si>
  <si>
    <t>ANDERSON CRECHI OLIVEIRA</t>
  </si>
  <si>
    <t>00323690420178260050</t>
  </si>
  <si>
    <t>WILIAN SILVA AMARAL JÚNIOR</t>
  </si>
  <si>
    <t>00328855820168260050</t>
  </si>
  <si>
    <t>LAERCIO DIONISIO MATHEUS JÚNIOR</t>
  </si>
  <si>
    <t>00330991520178260050</t>
  </si>
  <si>
    <t>RANIELI ARAUJO DE SOUZA</t>
  </si>
  <si>
    <t>00333997420178260050</t>
  </si>
  <si>
    <t>ERICK PASSOS COIMBRA</t>
  </si>
  <si>
    <t>00345429820178260050</t>
  </si>
  <si>
    <t>HECTOR CESPEDES RODRIGUEZ</t>
  </si>
  <si>
    <t>00356076520168260050</t>
  </si>
  <si>
    <t>HOMERO BARBOSA</t>
  </si>
  <si>
    <t>00377620720178260050</t>
  </si>
  <si>
    <t>JOSE LEOMAR DO NASCIMENTO</t>
  </si>
  <si>
    <t>RENAN DE CASTILHO PEREIRA DA SILVA</t>
  </si>
  <si>
    <t>00382081020178260050</t>
  </si>
  <si>
    <t>ARTHUR SANTOS DA SILVA</t>
  </si>
  <si>
    <t>00405742220178260050</t>
  </si>
  <si>
    <t>FABIO ROBERTO COELHO</t>
  </si>
  <si>
    <t>00421557220178260050</t>
  </si>
  <si>
    <t>JOAO CARLOS SANTOS PIAUY</t>
  </si>
  <si>
    <t>00433387820178260050</t>
  </si>
  <si>
    <t>ATHIRSON LEVY LIMA LEITE</t>
  </si>
  <si>
    <t>00457741020178260050</t>
  </si>
  <si>
    <t>JÉSSICA CARVALHO DE SOUSA</t>
  </si>
  <si>
    <t>00461361220178260050</t>
  </si>
  <si>
    <t>DANIEL VASALLO LOPES</t>
  </si>
  <si>
    <t>00482727920178260050</t>
  </si>
  <si>
    <t>PAULO HENRIQUE BARROS DA SILVA</t>
  </si>
  <si>
    <t>00539740620178260050</t>
  </si>
  <si>
    <t>DORIVAL ROZENDO DE SOUZA</t>
  </si>
  <si>
    <t>00548092820168260050</t>
  </si>
  <si>
    <t>ADRIANO SANTOS DA SILVA</t>
  </si>
  <si>
    <t>00553676320178260050</t>
  </si>
  <si>
    <t>DANIEL LIMA ARAÚJO GUILHERME</t>
  </si>
  <si>
    <t>00558551820178260050</t>
  </si>
  <si>
    <t>BRANDOW BATISTA SILVA</t>
  </si>
  <si>
    <t>00565307820178260050</t>
  </si>
  <si>
    <t>BRUNO MIGUEL GUIMARÃES DA ROCHA</t>
  </si>
  <si>
    <t>00571932720178260050</t>
  </si>
  <si>
    <t>HERNANI APARECIDO PEREIRA</t>
  </si>
  <si>
    <t>00581313220118260050</t>
  </si>
  <si>
    <t>Bruno Silva de Oliveira</t>
  </si>
  <si>
    <t>00585989820178260050</t>
  </si>
  <si>
    <t>JOSE EVERTON OLIVEIRA DAS GRACAS</t>
  </si>
  <si>
    <t>00600426920178260050</t>
  </si>
  <si>
    <t>EMERSON BERNARDO DA SILVA</t>
  </si>
  <si>
    <t>00628173320128260050</t>
  </si>
  <si>
    <t>ISAC MAGALHAES DE ANDRADE</t>
  </si>
  <si>
    <t>00631288220168260050</t>
  </si>
  <si>
    <t>ELITON EDMILSON SOARES DA SILVA</t>
  </si>
  <si>
    <t>00637965320168260050</t>
  </si>
  <si>
    <t>ALESSANDRO PEREIRA DE MOURA</t>
  </si>
  <si>
    <t>00667166320178260050</t>
  </si>
  <si>
    <t>FABIO HENRIQUE MARQUES DE ALMEIDA</t>
  </si>
  <si>
    <t>00669460820178260050</t>
  </si>
  <si>
    <t>TONYSON CLEBER RODRIGUES</t>
  </si>
  <si>
    <t>00675004020178260050</t>
  </si>
  <si>
    <t>VINICIUS OLIVEIRA SOUSA</t>
  </si>
  <si>
    <t>00709156520168260050</t>
  </si>
  <si>
    <t>HEBERT LOPES DOS REIS</t>
  </si>
  <si>
    <t>00719278020178260050</t>
  </si>
  <si>
    <t>ERICK ARAUJO SILVA</t>
  </si>
  <si>
    <t>00730241820178260050</t>
  </si>
  <si>
    <t>RAFAEL JESUS DE ARAUJO</t>
  </si>
  <si>
    <t>00731527220168260050</t>
  </si>
  <si>
    <t>ELISEU SALLES DA SILVA</t>
  </si>
  <si>
    <t>00739249820178260050</t>
  </si>
  <si>
    <t>DIOGO RODRIGO DA SILVA MALTA</t>
  </si>
  <si>
    <t>00751382720178260050</t>
  </si>
  <si>
    <t>ARTHUR ROBSON ROQUE</t>
  </si>
  <si>
    <t>00791269020168260050</t>
  </si>
  <si>
    <t>ANDERSON FERREIRA DA SILVA</t>
  </si>
  <si>
    <t>00798887220178260050</t>
  </si>
  <si>
    <t>RAFAEL ALVES BORDIM</t>
  </si>
  <si>
    <t>THAWAN DE LIMA</t>
  </si>
  <si>
    <t>00808725620178260050</t>
  </si>
  <si>
    <t>LUCAS DE JESUS YSHISAWA</t>
  </si>
  <si>
    <t>ALEX SILVA DAMACENO</t>
  </si>
  <si>
    <t>00820922620168260050</t>
  </si>
  <si>
    <t>WELLINGTON FRANCISCO DA SILVA</t>
  </si>
  <si>
    <t>00840764520168260050</t>
  </si>
  <si>
    <t>THIAGO HENRIQUE MELQUIADES DOS SANTOS</t>
  </si>
  <si>
    <t>00850334620168260050</t>
  </si>
  <si>
    <t>ALAN JORGE RODRIGUES DA SILVA</t>
  </si>
  <si>
    <t>JULIO RODRIGUES ALVES</t>
  </si>
  <si>
    <t>00864690620178260050</t>
  </si>
  <si>
    <t>CARLOS EDUARDO MARTINUZZO</t>
  </si>
  <si>
    <t>FRANCISCO ABINADABE FALCAO DE SOUZA</t>
  </si>
  <si>
    <t>ALCEU DE PAULA JUNIOR</t>
  </si>
  <si>
    <t>00871337120168260050</t>
  </si>
  <si>
    <t>OESLEY DOS SANTOS NICACIO</t>
  </si>
  <si>
    <t>00877170720178260050</t>
  </si>
  <si>
    <t>JOEL MAIA PEREIRA DE SOUZA</t>
  </si>
  <si>
    <t>00890477320168260050</t>
  </si>
  <si>
    <t>ALEFE HONORATO DA SILVA</t>
  </si>
  <si>
    <t>00899943020168260050</t>
  </si>
  <si>
    <t>JOSE SANDRO DE FREITAS</t>
  </si>
  <si>
    <t>00904706820168260050</t>
  </si>
  <si>
    <t>JEAN HONORIO DE SOUSA</t>
  </si>
  <si>
    <t>MATHEUS BATISTA OZILIO</t>
  </si>
  <si>
    <t>WELLINGTON CESAR DE OLIVEIRA PINTO</t>
  </si>
  <si>
    <t>TIAGO ALEXANDRE DA SILVA</t>
  </si>
  <si>
    <t>AUGUSTO CLEBER DE JESUS</t>
  </si>
  <si>
    <t>MAYARA DE SOUZA GIANNINI</t>
  </si>
  <si>
    <t>FELICIANO PEREIRA DE SOUZA</t>
  </si>
  <si>
    <t>MATHEUS SILVA DE ANDRADE</t>
  </si>
  <si>
    <t>00927865420168260050</t>
  </si>
  <si>
    <t>DOUGLAS WEVERTON ABREU COSTA</t>
  </si>
  <si>
    <t>00941887320168260050</t>
  </si>
  <si>
    <t>WELLINGTON OLIVEIRA CAVALCANTE</t>
  </si>
  <si>
    <t>00945974920168260050</t>
  </si>
  <si>
    <t>WENDELL VIEIRA DA SILVA</t>
  </si>
  <si>
    <t>00955674920168260050</t>
  </si>
  <si>
    <t>OTAVIO TEIXEIRA</t>
  </si>
  <si>
    <t>00977655920168260050</t>
  </si>
  <si>
    <t>LUIZ HENRIQUE BRITO VITALINO</t>
  </si>
  <si>
    <t>00995245820168260050</t>
  </si>
  <si>
    <t>01007778120168260050</t>
  </si>
  <si>
    <t>DARIO DA SILVA PEREIRA</t>
  </si>
  <si>
    <t>WESLEY NUNES DOS SANTOS</t>
  </si>
  <si>
    <t>01011406820168260050</t>
  </si>
  <si>
    <t>DAVID SILVA SANTOS</t>
  </si>
  <si>
    <t>01018811120168260050</t>
  </si>
  <si>
    <t>DIEGO LIMA SANTANA</t>
  </si>
  <si>
    <t>01036713020168260050</t>
  </si>
  <si>
    <t>CAIO HENRIQUE DOS SANTOS OLIVEIRA</t>
  </si>
  <si>
    <t>01040324720168260050</t>
  </si>
  <si>
    <t>MICHEL PINHEIRO ALVES</t>
  </si>
  <si>
    <t>BRUNO DE SOUZA</t>
  </si>
  <si>
    <t>01058469420168260050</t>
  </si>
  <si>
    <t>WANDERLEY PEREIRA DE SOUZA</t>
  </si>
  <si>
    <t>00001156620178260635</t>
  </si>
  <si>
    <t>LUCAS GENTIL DA SILVA</t>
  </si>
  <si>
    <t>THABATA LEITE HIGUTI OLIVEIRA</t>
  </si>
  <si>
    <t>00001962420178260050</t>
  </si>
  <si>
    <t>LUIS EDUARDO DA SILVA GONÇALVES</t>
  </si>
  <si>
    <t>00002577020178260635</t>
  </si>
  <si>
    <t>DANIELA FABIANO FERREIRA</t>
  </si>
  <si>
    <t>00005479420178260050</t>
  </si>
  <si>
    <t>NELSON DAS CHAGAS</t>
  </si>
  <si>
    <t>00006657020178260050</t>
  </si>
  <si>
    <t>ANDRE SANTOS FLORENCIO</t>
  </si>
  <si>
    <t>00006795420178260050</t>
  </si>
  <si>
    <t>ALEX FLORIANO DA SILVA</t>
  </si>
  <si>
    <t>RAFAEL CAMARGO</t>
  </si>
  <si>
    <t>00007306520178260050</t>
  </si>
  <si>
    <t>FABRICIO MANOEL DE JESUS SILVA</t>
  </si>
  <si>
    <t>00011843620178260635</t>
  </si>
  <si>
    <t>ADRIANO DE FARIAS FIDELIX</t>
  </si>
  <si>
    <t>VALMIR DA SILVA SANTOS</t>
  </si>
  <si>
    <t>00016407720178260540</t>
  </si>
  <si>
    <t>Tiago Teles de Campos</t>
  </si>
  <si>
    <t>Edgard da Silva Ananias</t>
  </si>
  <si>
    <t>00018356820178260635</t>
  </si>
  <si>
    <t>WILLIAM DO NASCIMENTO GONÇALVES</t>
  </si>
  <si>
    <t>00025674920178260635</t>
  </si>
  <si>
    <t>DENIS RODRIGUES SOUZA</t>
  </si>
  <si>
    <t>00028272920178260635</t>
  </si>
  <si>
    <t>DIEGO HENRIQUE FERREIRA DOS SANTOS</t>
  </si>
  <si>
    <t>00031893120178260635</t>
  </si>
  <si>
    <t>JUAREZ PEREIRA DA COSTA JUNIOR</t>
  </si>
  <si>
    <t>00032940820178260635</t>
  </si>
  <si>
    <t>SUNDAY MICHEAL OKWUMA</t>
  </si>
  <si>
    <t>00035213220168260635</t>
  </si>
  <si>
    <t>LUIS CLAUDIO HONORATO DA SILVA AZEVEDO</t>
  </si>
  <si>
    <t>00037271220178260635</t>
  </si>
  <si>
    <t>IGOR GOMES CASTRO RAMALHO</t>
  </si>
  <si>
    <t>00038111320178260635</t>
  </si>
  <si>
    <t>WILLIAM GABRIEL DA COSTA</t>
  </si>
  <si>
    <t>00040268620178260635</t>
  </si>
  <si>
    <t>BRUNO ARAUJO DA SILVA</t>
  </si>
  <si>
    <t>00042953720178260050</t>
  </si>
  <si>
    <t>NATHALIA VALERIANO ALVES DA SILVA</t>
  </si>
  <si>
    <t>00044989620178260050</t>
  </si>
  <si>
    <t>AGATHA MORAES BEIRIGO DE SOUSA</t>
  </si>
  <si>
    <t>KAIQUE RAMALHO LOURENÇO</t>
  </si>
  <si>
    <t>00045572120168260050</t>
  </si>
  <si>
    <t>UCHENNA CHRISTOPHER NWOKEALIST</t>
  </si>
  <si>
    <t>00045889520178260635</t>
  </si>
  <si>
    <t>JEFFERSON OLEGARIO</t>
  </si>
  <si>
    <t>00049457520178260635</t>
  </si>
  <si>
    <t>MARIO EVANGELISTA SILVA SOUZA</t>
  </si>
  <si>
    <t>00051285520178260050</t>
  </si>
  <si>
    <t>MICHEL ALEXANDRE FERREIRA CABRAL</t>
  </si>
  <si>
    <t>00051301620178260635</t>
  </si>
  <si>
    <t>DAYVID GOMES DE FONTES</t>
  </si>
  <si>
    <t>00055436320168260635</t>
  </si>
  <si>
    <t>DJAVAN TADEU MARTINS DA SILVA</t>
  </si>
  <si>
    <t>FRANCISCO CLEBER BEZERRA DA SILVA</t>
  </si>
  <si>
    <t>00056049320178260050</t>
  </si>
  <si>
    <t>MARCOS ANDRE ALVES DA SILVA</t>
  </si>
  <si>
    <t>00057269720178260635</t>
  </si>
  <si>
    <t>FAGNER DA SILVA OHASHI</t>
  </si>
  <si>
    <t>00060222220178260635</t>
  </si>
  <si>
    <t>Fabio de Moraes Barros</t>
  </si>
  <si>
    <t>00065679220178260635</t>
  </si>
  <si>
    <t>UALLAS SOARES DOS SANTOS</t>
  </si>
  <si>
    <t>00066683220178260635</t>
  </si>
  <si>
    <t>Fabio Augusto da Silva</t>
  </si>
  <si>
    <t>00067783120178260635</t>
  </si>
  <si>
    <t>ANDRE CORDEIRO VERIDIANO</t>
  </si>
  <si>
    <t>00071006020178260050</t>
  </si>
  <si>
    <t>CARLOS ALBERTO ALVES DA SILVA</t>
  </si>
  <si>
    <t>00072425520178260635</t>
  </si>
  <si>
    <t>FERNANDO DE JESUS COSTA</t>
  </si>
  <si>
    <t>00073811620178260050</t>
  </si>
  <si>
    <t>JAIRO ALEXANDRE FEIJO</t>
  </si>
  <si>
    <t>00077457620178260635</t>
  </si>
  <si>
    <t>ANDRE LUIZ VIEIRA DE ARAUJO</t>
  </si>
  <si>
    <t>00090397520178260050</t>
  </si>
  <si>
    <t>THABATA GOMES DOS SANTOS</t>
  </si>
  <si>
    <t>00092478420168260635</t>
  </si>
  <si>
    <t>WENDER SILVA DE LIMA</t>
  </si>
  <si>
    <t>00106612020168260635</t>
  </si>
  <si>
    <t>ALEX CARDOSO JOBRI DOS SANTOS</t>
  </si>
  <si>
    <t>00112103020168260635</t>
  </si>
  <si>
    <t>EDNAELSON CARLOS DA SILVA</t>
  </si>
  <si>
    <t>00122808220168260635</t>
  </si>
  <si>
    <t>ANDERSON DOS SANTOS</t>
  </si>
  <si>
    <t>00130957920168260635</t>
  </si>
  <si>
    <t>WALLACE SAMPAIO DA SILVA</t>
  </si>
  <si>
    <t>WILSON ROBERTO DIAS TAVARES</t>
  </si>
  <si>
    <t>MATHEUS ANTONIO FERNANDES SILVA</t>
  </si>
  <si>
    <t>00144613120178260050</t>
  </si>
  <si>
    <t>KEROLIN THAWANI SANTOS DE PAULA</t>
  </si>
  <si>
    <t>00157300820178260050</t>
  </si>
  <si>
    <t>ROGERIO HERCULANO SILVA</t>
  </si>
  <si>
    <t>00169841620178260050</t>
  </si>
  <si>
    <t>FERNANDO DOS SANTOS JUVENAL</t>
  </si>
  <si>
    <t>00174284920178260050</t>
  </si>
  <si>
    <t>LUIZ HENRIQUE GAMA DOS SANTOS</t>
  </si>
  <si>
    <t>00189423720178260050</t>
  </si>
  <si>
    <t>JAILSON LUIZ DA SILVA</t>
  </si>
  <si>
    <t>00193771120178260050</t>
  </si>
  <si>
    <t>GUSTAVO GUICIARDI DA COSTA</t>
  </si>
  <si>
    <t>00200304720168260050</t>
  </si>
  <si>
    <t>MATHEUS ROMANINI DINIZ</t>
  </si>
  <si>
    <t>00205012920178260050</t>
  </si>
  <si>
    <t>HONYRO GANGA ZUMBA CORREA MARQUES</t>
  </si>
  <si>
    <t>00210114220178260050</t>
  </si>
  <si>
    <t>CARLOS EDUARDO PEREIRA DE CARVALHO</t>
  </si>
  <si>
    <t>00247459820178260050</t>
  </si>
  <si>
    <t>BRUNO ALVES MOREIRA</t>
  </si>
  <si>
    <t>00250602920178260050</t>
  </si>
  <si>
    <t>JEFFERSON HUDSON DE ANDRADE</t>
  </si>
  <si>
    <t>00261714820178260050</t>
  </si>
  <si>
    <t>JEFFERSON DA SILVA NASCIMENTO</t>
  </si>
  <si>
    <t>00277074620078260050</t>
  </si>
  <si>
    <t>José Ricardo de Oliveira Matias</t>
  </si>
  <si>
    <t>00283071820178260050</t>
  </si>
  <si>
    <t>HERCULES MARQUES DA SILVA</t>
  </si>
  <si>
    <t>00295023820178260050</t>
  </si>
  <si>
    <t>DANTON  EDUARDO DE SANTIS FILHO</t>
  </si>
  <si>
    <t>00316132920168260050</t>
  </si>
  <si>
    <t>CAIO CARLOS GOULART DA SILVA</t>
  </si>
  <si>
    <t>00341393220178260050</t>
  </si>
  <si>
    <t>WILDER VIDAL FERNANDEZ</t>
  </si>
  <si>
    <t>00353674220178260050</t>
  </si>
  <si>
    <t>EDGAR ANTONIO DOS SANTOS</t>
  </si>
  <si>
    <t>00377456820178260050</t>
  </si>
  <si>
    <t>MATEUS HERMINIO DE LIMA</t>
  </si>
  <si>
    <t>00416834220158260050</t>
  </si>
  <si>
    <t>RODRIGO OLIVEIRA DA SILVA</t>
  </si>
  <si>
    <t>VALMIR MORENO DE ANDRADE</t>
  </si>
  <si>
    <t>NERIVALDO MARTINS DE SANTANA</t>
  </si>
  <si>
    <t>JOYCE PRISCILA LEAL DE CARVALHO</t>
  </si>
  <si>
    <t>00418283020178260050</t>
  </si>
  <si>
    <t>NILMAR RICARDO MELO DOS SANTOS</t>
  </si>
  <si>
    <t>00447391520178260050</t>
  </si>
  <si>
    <t>SAMUEL VICTOR DA SILVA</t>
  </si>
  <si>
    <t>00457853920178260050</t>
  </si>
  <si>
    <t>HUGO HENRIQUE MATHEUS PASCHINI</t>
  </si>
  <si>
    <t>00473333620168260050</t>
  </si>
  <si>
    <t>DOUGLAS DA SILVA REIS</t>
  </si>
  <si>
    <t>00476174420168260050</t>
  </si>
  <si>
    <t>00482006320158260050</t>
  </si>
  <si>
    <t>WELSON LOREDO DE BRITO</t>
  </si>
  <si>
    <t>00483788020138260050</t>
  </si>
  <si>
    <t>JANNY DOS SANTOS BARATA</t>
  </si>
  <si>
    <t>00515407820168260050</t>
  </si>
  <si>
    <t>EDUARDO BISPO SOARES</t>
  </si>
  <si>
    <t>00518401620118260050</t>
  </si>
  <si>
    <t>JOSÉ FELIX ALBUQUERQUE NETO</t>
  </si>
  <si>
    <t>00521440520178260050</t>
  </si>
  <si>
    <t>ELISANGELA ANDRADE DE JESUS</t>
  </si>
  <si>
    <t>00523115620168260050</t>
  </si>
  <si>
    <t>JANAIRA TAVARES DA SILVA</t>
  </si>
  <si>
    <t>00534573520168260050</t>
  </si>
  <si>
    <t>TALISSON LOURENCO SARDINHA</t>
  </si>
  <si>
    <t>00546863020168260050</t>
  </si>
  <si>
    <t>GUILHERME FERREIRA DE MELO</t>
  </si>
  <si>
    <t>00552905420178260050</t>
  </si>
  <si>
    <t>ALAN EVERTON DA SILVA</t>
  </si>
  <si>
    <t>00585308520168260050</t>
  </si>
  <si>
    <t>JONATH SOUSA DA SILVA</t>
  </si>
  <si>
    <t>00592208020178260050</t>
  </si>
  <si>
    <t>MAURO ROBERTO VIEIRA DE LIMA</t>
  </si>
  <si>
    <t>00604838420168260050</t>
  </si>
  <si>
    <t>DOUGLAS CARVALHO DA SILVA</t>
  </si>
  <si>
    <t>00606653620178260050</t>
  </si>
  <si>
    <t>LEANDRO MENDES SILVA</t>
  </si>
  <si>
    <t>00610481420178260050</t>
  </si>
  <si>
    <t>WU YUANSHEN</t>
  </si>
  <si>
    <t>00627188720178260050</t>
  </si>
  <si>
    <t>LEONARDO NASCIMENTO DOS SANTOS</t>
  </si>
  <si>
    <t>00629564320168260050</t>
  </si>
  <si>
    <t>00665020920168260050</t>
  </si>
  <si>
    <t>GILBERT CANDIDO DE CASTRO JUNIOR</t>
  </si>
  <si>
    <t>00668944620168260050</t>
  </si>
  <si>
    <t>WELINGTON CALIXTO</t>
  </si>
  <si>
    <t>00669548220178260050</t>
  </si>
  <si>
    <t>JEAN GABRIEL MONTEIRO DA SILVA</t>
  </si>
  <si>
    <t>BRUNO LIMA ROQUE</t>
  </si>
  <si>
    <t>00674761220178260050</t>
  </si>
  <si>
    <t>ROBSON LUIZ DA SILVA</t>
  </si>
  <si>
    <t>00687839820178260050</t>
  </si>
  <si>
    <t>ALESSANDRO DE SOUZA SANTANA</t>
  </si>
  <si>
    <t>FABIOLA ABEL DA SILVA</t>
  </si>
  <si>
    <t>00690328320168260050</t>
  </si>
  <si>
    <t>CLEBERSON SILVA DE CARVALHO</t>
  </si>
  <si>
    <t>00708668720178260050</t>
  </si>
  <si>
    <t>EMEKA HENRY IGBOANUGO</t>
  </si>
  <si>
    <t>00717609720168260050</t>
  </si>
  <si>
    <t>00718308020178260050</t>
  </si>
  <si>
    <t>VINICIUS CLEBERSON DOS SANTOS</t>
  </si>
  <si>
    <t>00755139620158260050</t>
  </si>
  <si>
    <t>DAIANE DELFINO DA SILVA</t>
  </si>
  <si>
    <t>00765823220168260050</t>
  </si>
  <si>
    <t>ELTON DA ROCHA FEITOSA</t>
  </si>
  <si>
    <t>00767547120168260050</t>
  </si>
  <si>
    <t>LUCAS DA SILVA CARDOSO</t>
  </si>
  <si>
    <t>00776051320168260050</t>
  </si>
  <si>
    <t>ARTHUR SILVA NUNES NASCIMENTO</t>
  </si>
  <si>
    <t>00779949520168260050</t>
  </si>
  <si>
    <t>EBUKA STEPHEN OFFOR</t>
  </si>
  <si>
    <t>00795780320168260050</t>
  </si>
  <si>
    <t>RICHARD ARON ORTEGA</t>
  </si>
  <si>
    <t>00795950520178260050</t>
  </si>
  <si>
    <t>GISELDA DE LIMA SANTOS</t>
  </si>
  <si>
    <t>00803393420168260050</t>
  </si>
  <si>
    <t>LEONARDO DA SILVEIRA DE CASTRO SANTOS</t>
  </si>
  <si>
    <t>00809118720168260050</t>
  </si>
  <si>
    <t>EZIO GUIMARÃES DOS SANTOS</t>
  </si>
  <si>
    <t>00809288920178260050</t>
  </si>
  <si>
    <t>SEBASTIAO BARRETO SANTOS</t>
  </si>
  <si>
    <t>00818368320168260050</t>
  </si>
  <si>
    <t>JOAO VICTOR CARVALHO DOS SANTOS</t>
  </si>
  <si>
    <t>00823625020168260050</t>
  </si>
  <si>
    <t>THIAGO CORDEIRO WANDERLEY</t>
  </si>
  <si>
    <t>00837140920178260050</t>
  </si>
  <si>
    <t>TAIS MARCIA MOREIRA RODRIGUES</t>
  </si>
  <si>
    <t>PAULO SANTOS MATIAS DA SILVA</t>
  </si>
  <si>
    <t>00850014120168260050</t>
  </si>
  <si>
    <t>LUIZ FELIPE SOBREIRA DOS SANTOS  LOURENCI</t>
  </si>
  <si>
    <t>00864962820138260050</t>
  </si>
  <si>
    <t>DEBORA ROSSETI</t>
  </si>
  <si>
    <t>00954904020168260050</t>
  </si>
  <si>
    <t>ARISTIDES FRANCA DA SILVA JUNIOR</t>
  </si>
  <si>
    <t>00970008820168260050</t>
  </si>
  <si>
    <t>ANTONIO BATISTA DE FRANCA</t>
  </si>
  <si>
    <t>00975161120168260050</t>
  </si>
  <si>
    <t>RAFAEL RODRIGUES DA SILVA JUNIOR</t>
  </si>
  <si>
    <t>00977517520168260050</t>
  </si>
  <si>
    <t>ADLER SAIN SEVERIANO</t>
  </si>
  <si>
    <t>00991244420168260050</t>
  </si>
  <si>
    <t>FELIPE DOS SANTOS ANDRADE</t>
  </si>
  <si>
    <t>01009267720168260050</t>
  </si>
  <si>
    <t>MARCELO LOPES SASSO</t>
  </si>
  <si>
    <t>01030191320168260050</t>
  </si>
  <si>
    <t>JOAO MARCOS SILVA SANTANA</t>
  </si>
  <si>
    <t>01040986120158260050</t>
  </si>
  <si>
    <t>EDMAR SANTOS SILVA</t>
  </si>
  <si>
    <t>01061327220168260050</t>
  </si>
  <si>
    <t>LEONARDO ALCERITO MACHADO</t>
  </si>
  <si>
    <t>01062484420178260050</t>
  </si>
  <si>
    <t>JOYCIEL MESAQUE CAMPOS RODRIGUES</t>
  </si>
  <si>
    <t>08303643020048260050</t>
  </si>
  <si>
    <t>Jason Malone</t>
  </si>
  <si>
    <t>00000152320178260050</t>
  </si>
  <si>
    <t>CLAUDIO AUGUSTO SANTANA SANTOS</t>
  </si>
  <si>
    <t>00002828320178260635</t>
  </si>
  <si>
    <t>PAMELA HERCILIA PEREIRA QUINTILIANO</t>
  </si>
  <si>
    <t>00004101520178260050</t>
  </si>
  <si>
    <t>GUSTAVO DE CASTRO</t>
  </si>
  <si>
    <t>00008207320178260050</t>
  </si>
  <si>
    <t>ANTONIO RIBEIRO DA SILVA JUNIOR</t>
  </si>
  <si>
    <t>BRUNO LOPES DE OLIVEIRA</t>
  </si>
  <si>
    <t>00008292620178260635</t>
  </si>
  <si>
    <t>MARCOS VINICIUS DE JESUS SANTOS</t>
  </si>
  <si>
    <t>00010225020178260050</t>
  </si>
  <si>
    <t>JOSE EUCELIO DE OLIVEIRA CAMELO</t>
  </si>
  <si>
    <t>00011921320178260635</t>
  </si>
  <si>
    <t>EDUARDO FABRICIO PEREIRA</t>
  </si>
  <si>
    <t>00013091320178260050</t>
  </si>
  <si>
    <t>THIAGO NASCIMENTO LIMA</t>
  </si>
  <si>
    <t>00017646620178260635</t>
  </si>
  <si>
    <t>RENATO MONTEIRO</t>
  </si>
  <si>
    <t>00020366020178260635</t>
  </si>
  <si>
    <t>ELIARB ANTONIO CASAIS RIBEIRO</t>
  </si>
  <si>
    <t>00025761120178260635</t>
  </si>
  <si>
    <t>LEONARDO ANDRADE SOUZA</t>
  </si>
  <si>
    <t>FELIPE MARTINS DA SILVA</t>
  </si>
  <si>
    <t>00027165420178260050</t>
  </si>
  <si>
    <t>RODRIGO ADRIANO LISBOA</t>
  </si>
  <si>
    <t>00034664720178260635</t>
  </si>
  <si>
    <t>BRUNO TADEU PEREIRA BORGES</t>
  </si>
  <si>
    <t>GABRIEL RODRIGUES CAMARGO</t>
  </si>
  <si>
    <t>LUIS CLAUDIO GOMES</t>
  </si>
  <si>
    <t>00035708220168260050</t>
  </si>
  <si>
    <t>JEFERSON DE JESUS SANTOS</t>
  </si>
  <si>
    <t>00037756820178260635</t>
  </si>
  <si>
    <t>WESLLEY MARTINS DE MIRANDA PACIENCIA</t>
  </si>
  <si>
    <t>00042298220168260635</t>
  </si>
  <si>
    <t>JAILTON MOREIRA DE JESUS</t>
  </si>
  <si>
    <t>00046701420128260050</t>
  </si>
  <si>
    <t>ISMAEL DE OLIVEIRA GOMES</t>
  </si>
  <si>
    <t>00048869620178260050</t>
  </si>
  <si>
    <t>OTONIEL GOMES DA SILVA</t>
  </si>
  <si>
    <t>00049535220178260635</t>
  </si>
  <si>
    <t>WESLEY FELIPE ASSUNÇÃO</t>
  </si>
  <si>
    <t>WAGNER AMORIM DOS SANTOS</t>
  </si>
  <si>
    <t>00053008520178260635</t>
  </si>
  <si>
    <t>DANIEL LIMA DE SOUZA</t>
  </si>
  <si>
    <t>00055407420178260635</t>
  </si>
  <si>
    <t>ERIKE DAS DORES SANTOS</t>
  </si>
  <si>
    <t>WESLEY FERREIRA</t>
  </si>
  <si>
    <t>00055615920178260050</t>
  </si>
  <si>
    <t>ERICA CAMARGO GONÇALVES</t>
  </si>
  <si>
    <t>00057538020178260635</t>
  </si>
  <si>
    <t>ALLAN WAGNER SOARES TENÓRIO DE MORAIS</t>
  </si>
  <si>
    <t>FRANCISCO APRIGIO DA SILVA</t>
  </si>
  <si>
    <t>00060638620178260635</t>
  </si>
  <si>
    <t>Anderson Norberto da Conceição</t>
  </si>
  <si>
    <t>00064261020168260635</t>
  </si>
  <si>
    <t>FRANCISCO CLAIRTON DA SILVA NASCIMENTO</t>
  </si>
  <si>
    <t>00068889820158260635</t>
  </si>
  <si>
    <t>Sandra Jaques Gonçalves</t>
  </si>
  <si>
    <t>00070156520178260635</t>
  </si>
  <si>
    <t>BRUNO CRISTO DIAS</t>
  </si>
  <si>
    <t>00071740820178260635</t>
  </si>
  <si>
    <t>RODRIGO SANTOS SILVA</t>
  </si>
  <si>
    <t>00074127520138260050</t>
  </si>
  <si>
    <t>ANDERSON CHARLES SANTOS DO NASCIMENTO</t>
  </si>
  <si>
    <t>00083987820178260635</t>
  </si>
  <si>
    <t>MARCIO SANTOS NASCIMENTO</t>
  </si>
  <si>
    <t>00089282820168260050</t>
  </si>
  <si>
    <t>CLEITON SOARES DE OLIVEIRA</t>
  </si>
  <si>
    <t>00092528120178260050</t>
  </si>
  <si>
    <t>NELSON BAZAR JUNIOR</t>
  </si>
  <si>
    <t>00094885820168260635</t>
  </si>
  <si>
    <t>ROGERIO ESTEVES DO NASCIMENTO</t>
  </si>
  <si>
    <t>PAULO HENRIQUE LOPEZ SILVEIRA</t>
  </si>
  <si>
    <t>00099620420178260050</t>
  </si>
  <si>
    <t>MARCELO SOARES DOS SANTOS</t>
  </si>
  <si>
    <t>00106578020168260635</t>
  </si>
  <si>
    <t>ISABELLA RAMOS DA SILVA</t>
  </si>
  <si>
    <t>00107051420178260050</t>
  </si>
  <si>
    <t>RICARDO ROCHA ANTUNES</t>
  </si>
  <si>
    <t>00114589320168260635</t>
  </si>
  <si>
    <t>MARCELO ALVES</t>
  </si>
  <si>
    <t>00118165820168260635</t>
  </si>
  <si>
    <t>MAURICIO NICOLAU DE ARAUJO VIEIRA</t>
  </si>
  <si>
    <t>00120199220178260050</t>
  </si>
  <si>
    <t>WALLACE DEMETRIO SOUZA</t>
  </si>
  <si>
    <t>00125527620168260635</t>
  </si>
  <si>
    <t>CARLOS HENRIQUE DA SILVA</t>
  </si>
  <si>
    <t>00128108620168260635</t>
  </si>
  <si>
    <t>IBRAHIMA DIALLO</t>
  </si>
  <si>
    <t>00130764820178260050</t>
  </si>
  <si>
    <t>SERGIO MONTEIRO JUNIOR</t>
  </si>
  <si>
    <t>00132038320178260050</t>
  </si>
  <si>
    <t>ANDRE LUIZ CORDEIRO</t>
  </si>
  <si>
    <t>00138221320178260050</t>
  </si>
  <si>
    <t>ALEX BARTOLOMEU DA SILVA</t>
  </si>
  <si>
    <t>00138630520168260635</t>
  </si>
  <si>
    <t>ANDRE LUIZ CABECA</t>
  </si>
  <si>
    <t>00140485220168260050</t>
  </si>
  <si>
    <t>ADEILSON SANTOS ALVES</t>
  </si>
  <si>
    <t>DAVI DIEGO MAGALHAES</t>
  </si>
  <si>
    <t>00152884220178260050</t>
  </si>
  <si>
    <t>KAUE DE JESUS PINHEIRO</t>
  </si>
  <si>
    <t>FELIPE SOUZA LIMA</t>
  </si>
  <si>
    <t>00173967820168260050</t>
  </si>
  <si>
    <t>VINICIUS DE OLIVEIRA SILVA</t>
  </si>
  <si>
    <t>00181179320178260050</t>
  </si>
  <si>
    <t>WELLINGTON GARDIM MARCAL DA SILVA</t>
  </si>
  <si>
    <t>00193096120178260050</t>
  </si>
  <si>
    <t>JOHNNY MARLEY CRAVO DE ALMEIDA</t>
  </si>
  <si>
    <t>00198612620178260050</t>
  </si>
  <si>
    <t>MARCUS VINICIUS DA CONSEICAO</t>
  </si>
  <si>
    <t>00221944820178260050</t>
  </si>
  <si>
    <t>MARCELO APARECIDO PELEGRINO</t>
  </si>
  <si>
    <t>00246783620178260050</t>
  </si>
  <si>
    <t>MARCO AURELIO DE JESUS</t>
  </si>
  <si>
    <t>00269925220178260050</t>
  </si>
  <si>
    <t>DIOGINIS LUIZ CAMARGO</t>
  </si>
  <si>
    <t>00330368720178260050</t>
  </si>
  <si>
    <t>LUCAS OLIVEIRA SOUZA DIAS</t>
  </si>
  <si>
    <t>00344502320178260050</t>
  </si>
  <si>
    <t>ROBSON JAIME DA SILVA</t>
  </si>
  <si>
    <t>00374174120178260050</t>
  </si>
  <si>
    <t>ITALO CARLOS VITOR</t>
  </si>
  <si>
    <t>00377829520178260050</t>
  </si>
  <si>
    <t>ALESSANDRO LUIZ MUNHAES</t>
  </si>
  <si>
    <t>00382055520178260050</t>
  </si>
  <si>
    <t>WILSON SILVA FREITAS JUNIOR</t>
  </si>
  <si>
    <t>00383622820178260050</t>
  </si>
  <si>
    <t>FELIPE BALBINO</t>
  </si>
  <si>
    <t>00409154820178260050</t>
  </si>
  <si>
    <t>DENILSON MARCOS DE LIMA</t>
  </si>
  <si>
    <t>00410081120178260050</t>
  </si>
  <si>
    <t>MARCOS MORAIS DE ALMEIDA</t>
  </si>
  <si>
    <t>00450804120178260050</t>
  </si>
  <si>
    <t>VALDIR HOLGADO</t>
  </si>
  <si>
    <t>00451880720168260050</t>
  </si>
  <si>
    <t>ICARO HENRIQUE MARTINIANO ALVES</t>
  </si>
  <si>
    <t>00458287320178260050</t>
  </si>
  <si>
    <t>00461260220168260050</t>
  </si>
  <si>
    <t>GENIVAL ROCHA DOS SANTOS JUNIOR</t>
  </si>
  <si>
    <t>HAAM CESAR SANTOS FERREIRA</t>
  </si>
  <si>
    <t>00472135620178260050</t>
  </si>
  <si>
    <t>JACKSON DA SILVA IZIDORIO</t>
  </si>
  <si>
    <t>00475131820178260050</t>
  </si>
  <si>
    <t>ISAIAS LOURENCO GRANDI</t>
  </si>
  <si>
    <t>00486749720168260050</t>
  </si>
  <si>
    <t>CICERO CABRAL DE ALMEIDA</t>
  </si>
  <si>
    <t>00492534520168260050</t>
  </si>
  <si>
    <t>RAFAEL BELARMINO DA SILVA</t>
  </si>
  <si>
    <t>00501321820178260050</t>
  </si>
  <si>
    <t>EVANDRO MATIAS DA SILVA</t>
  </si>
  <si>
    <t>00521244820168260050</t>
  </si>
  <si>
    <t>JONATHAN DO NASCIMENTO</t>
  </si>
  <si>
    <t>00530205720178260050</t>
  </si>
  <si>
    <t>VINICIUS OLIVEIRA DE FREITAS</t>
  </si>
  <si>
    <t>LUIZ CARLOS SOUZA DE MENEZES</t>
  </si>
  <si>
    <t>00533955820178260050</t>
  </si>
  <si>
    <t>GERIVALDO SILVA ROCHA</t>
  </si>
  <si>
    <t>00607461920168260050</t>
  </si>
  <si>
    <t>DIOGO LOPES</t>
  </si>
  <si>
    <t>00609121720178260050</t>
  </si>
  <si>
    <t>EDNA DA SILVA MARTINS</t>
  </si>
  <si>
    <t>00610057720178260050</t>
  </si>
  <si>
    <t>VINICIUS RIME CERQUEIRA</t>
  </si>
  <si>
    <t>00610589220168260050</t>
  </si>
  <si>
    <t>FABIO EDUARDO CONEJAN CONSONI</t>
  </si>
  <si>
    <t>00633152720158260050</t>
  </si>
  <si>
    <t>LUCAS MARCIO BISPO DOS SANTOS SILVA</t>
  </si>
  <si>
    <t>00649848120168260050</t>
  </si>
  <si>
    <t>00661700820178260050</t>
  </si>
  <si>
    <t>THIAGO RODRIGUES DE SOUZA</t>
  </si>
  <si>
    <t>00665298920168260050</t>
  </si>
  <si>
    <t>JOSE RENAN DOS SANTOS NASCIMENTO</t>
  </si>
  <si>
    <t>00666057920178260050</t>
  </si>
  <si>
    <t>Dagolberto Rudge Carlini Neto</t>
  </si>
  <si>
    <t>00694187920178260050</t>
  </si>
  <si>
    <t>TIAGO CARLOS LACERDA RAMOS</t>
  </si>
  <si>
    <t>00697902820178260050</t>
  </si>
  <si>
    <t>DANILO MARQUES SOUZA</t>
  </si>
  <si>
    <t>00701742520168260050</t>
  </si>
  <si>
    <t>FELIPE GOMES AMORIM</t>
  </si>
  <si>
    <t>00709165020168260050</t>
  </si>
  <si>
    <t>DIEGO DA SILVA DE PAULA</t>
  </si>
  <si>
    <t>WILTON ANANIAS RIBEIRO DOS SANTOS</t>
  </si>
  <si>
    <t>00713330320168260050</t>
  </si>
  <si>
    <t>RODRIGO SILVA DE SOUZA</t>
  </si>
  <si>
    <t>00717626720168260050</t>
  </si>
  <si>
    <t>JOHNNY VICTOR SANTOS</t>
  </si>
  <si>
    <t>00718370920168260050</t>
  </si>
  <si>
    <t>CARLOS ALEXANDRE BALIERO RODRIGUES</t>
  </si>
  <si>
    <t>DANILO AUGUSTO DOS SANTOS</t>
  </si>
  <si>
    <t>00718766920178260050</t>
  </si>
  <si>
    <t>FABIANO SOUZA DA SILVA</t>
  </si>
  <si>
    <t>00731552720168260050</t>
  </si>
  <si>
    <t>ALISSON LOPES DO NASCIMENTO</t>
  </si>
  <si>
    <t>00740058120168260050</t>
  </si>
  <si>
    <t>RYNCON ALVES DOS SANTOS</t>
  </si>
  <si>
    <t>00746610420178260050</t>
  </si>
  <si>
    <t>DIOGENES DE OLIVEIRA DA SILVA</t>
  </si>
  <si>
    <t>00755708020168260050</t>
  </si>
  <si>
    <t>JOSE LUCAS CRUZ DOS SANTOS</t>
  </si>
  <si>
    <t>00776536920168260050</t>
  </si>
  <si>
    <t>KATIA SIMONE ROSA BENEDITO</t>
  </si>
  <si>
    <t>00789013620178260050</t>
  </si>
  <si>
    <t>EVERSON SILVA ROCHA OLIVEIRA</t>
  </si>
  <si>
    <t>00802839820168260050</t>
  </si>
  <si>
    <t>AMILTON FERNANDES SHIGAKI</t>
  </si>
  <si>
    <t>ANTONIO FRANCISCO DE OLIVEIRA</t>
  </si>
  <si>
    <t>00810036520168260050</t>
  </si>
  <si>
    <t>ANTHONY EMENIKE OKAFOR</t>
  </si>
  <si>
    <t>00817718820168260050</t>
  </si>
  <si>
    <t>MARCOS HENRIQUE DE MATOS</t>
  </si>
  <si>
    <t>00820723520168260050</t>
  </si>
  <si>
    <t>FABIO CORREA FERREIRA</t>
  </si>
  <si>
    <t>FERNANDO DE JESUS NASCIMENTO</t>
  </si>
  <si>
    <t>00824291520168260050</t>
  </si>
  <si>
    <t>JOSE CARLOS NUNES MARCAL ROSA</t>
  </si>
  <si>
    <t>00841968820168260050</t>
  </si>
  <si>
    <t>MAYKON FABRICIO LOPES ROSA</t>
  </si>
  <si>
    <t>00850196220168260050</t>
  </si>
  <si>
    <t>REGINALDO FERNANDES DOS SANTOS</t>
  </si>
  <si>
    <t>00858310720168260050</t>
  </si>
  <si>
    <t>MARCOS ROBERTO SANTOS VELOSO</t>
  </si>
  <si>
    <t>CAMILA FREITAS VIOTTO</t>
  </si>
  <si>
    <t>00882449020168260050</t>
  </si>
  <si>
    <t>AIRTON ACACIO VENTURA JUNIOR</t>
  </si>
  <si>
    <t>GERSON DE JESUS SIMOES</t>
  </si>
  <si>
    <t>00894123020168260050</t>
  </si>
  <si>
    <t>LUCAS MARTINS COSTA</t>
  </si>
  <si>
    <t>00899631020168260050</t>
  </si>
  <si>
    <t>LUCAS LEANDRO FERREIRA DE LAVOR</t>
  </si>
  <si>
    <t>00900558520168260050</t>
  </si>
  <si>
    <t>EVANDRO ALMEIDA DOS SANTOS</t>
  </si>
  <si>
    <t>00915073320168260050</t>
  </si>
  <si>
    <t>TATIANE MICHELE DOS SANTOS</t>
  </si>
  <si>
    <t>00915913420168260050</t>
  </si>
  <si>
    <t>IGOR PAULO CIPRIANO DOS SANTOS</t>
  </si>
  <si>
    <t>RAFAEL LUIZ DA SILVA</t>
  </si>
  <si>
    <t>00916416020168260050</t>
  </si>
  <si>
    <t>FLAVIO PATRICIO DE SENA</t>
  </si>
  <si>
    <t>00917325320168260050</t>
  </si>
  <si>
    <t>LETICIA FRANCISCA DA SILVA RODRIGUES</t>
  </si>
  <si>
    <t>MARCELO  FERREIRA PINTO</t>
  </si>
  <si>
    <t>00927415020168260050</t>
  </si>
  <si>
    <t>JOSE ADEMILTON SANTOS NASCIMENTO</t>
  </si>
  <si>
    <t>00945767320168260050</t>
  </si>
  <si>
    <t>SERGIO CARDOSO DE NEGREIROS</t>
  </si>
  <si>
    <t>00954956220168260050</t>
  </si>
  <si>
    <t>EDVALDO AUGUSTO RODRIGUES BUENO GODOY</t>
  </si>
  <si>
    <t>00959892420168260050</t>
  </si>
  <si>
    <t>RODRIGO BARRETO ROSA</t>
  </si>
  <si>
    <t>00963114420168260050</t>
  </si>
  <si>
    <t>IZAIAS DA SILVA JUNIOR</t>
  </si>
  <si>
    <t>00967343820158260050</t>
  </si>
  <si>
    <t>JOHNNY LISIER DE SOUZA</t>
  </si>
  <si>
    <t>00970805220168260050</t>
  </si>
  <si>
    <t>ALLISON GONÇALVES DE CAMPOS</t>
  </si>
  <si>
    <t>00975439120168260050</t>
  </si>
  <si>
    <t>LUCAS RODRIGUES GOMES</t>
  </si>
  <si>
    <t>00990768520168260050</t>
  </si>
  <si>
    <t>CARLOS DE FREITAS ROCHA LUCIO</t>
  </si>
  <si>
    <t>00994041520168260050</t>
  </si>
  <si>
    <t>ELIEZER GUSTAVO GOMES SACRAMENTO</t>
  </si>
  <si>
    <t>EMERSON COUTO MARTINS</t>
  </si>
  <si>
    <t>FABIANO SIMAO TOME DE BRITO</t>
  </si>
  <si>
    <t>01012558920168260050</t>
  </si>
  <si>
    <t>LUCAS LUIS ARAUJO DOS SANTOS</t>
  </si>
  <si>
    <t>01036314820168260050</t>
  </si>
  <si>
    <t>JANDERSON MATOS DE SANTANA</t>
  </si>
  <si>
    <t>01058061520168260050</t>
  </si>
  <si>
    <t>01059135920168260050</t>
  </si>
  <si>
    <t>GILBERTO VIEIRA DE QUEIROZ</t>
  </si>
  <si>
    <t>01093658220138260050</t>
  </si>
  <si>
    <t>GEONES BARRETO SANTOS</t>
  </si>
  <si>
    <t>01141623820128260050</t>
  </si>
  <si>
    <t>KULTEERA MINGKAEW</t>
  </si>
  <si>
    <t>DONATUS CHINENYE</t>
  </si>
  <si>
    <t>AKHONA KHOLEKA BUJELA</t>
  </si>
  <si>
    <t>NONDUMISO THANDAZILE GUMEDE</t>
  </si>
  <si>
    <t>00009670220178260050</t>
  </si>
  <si>
    <t>JOAB MENDES RODRIGUES</t>
  </si>
  <si>
    <t>JOSÉ FERNANDES DA SILVA</t>
  </si>
  <si>
    <t>GLAUCIA BEATRIZ LOYOLA MOREIRA</t>
  </si>
  <si>
    <t>00015239220178260635</t>
  </si>
  <si>
    <t>FABIO MARTINS MOREIRA</t>
  </si>
  <si>
    <t>00020106220178260635</t>
  </si>
  <si>
    <t>CARLOS ANDRE DA SILVA</t>
  </si>
  <si>
    <t>00024134020178260050</t>
  </si>
  <si>
    <t>KAIQUE LOPES MOREIRA</t>
  </si>
  <si>
    <t>00027546620178260050</t>
  </si>
  <si>
    <t>ADRIANO SANTOS RAMOS</t>
  </si>
  <si>
    <t>00031685520178260635</t>
  </si>
  <si>
    <t>LUIZ MIGUEL GONÇALVES DOS SANTOS</t>
  </si>
  <si>
    <t>00032517120178260635</t>
  </si>
  <si>
    <t>WERICK FELIPE VIEIRA DA SILVA</t>
  </si>
  <si>
    <t>00037739820178260635</t>
  </si>
  <si>
    <t>IGOR DIAS PEREIRA</t>
  </si>
  <si>
    <t>00045525320178260635</t>
  </si>
  <si>
    <t>MARCELO FLORIANO DA SILVA</t>
  </si>
  <si>
    <t>00046564520178260635</t>
  </si>
  <si>
    <t>ALEXANDRE MELO DA SILVA</t>
  </si>
  <si>
    <t>00048419220178260050</t>
  </si>
  <si>
    <t>WAGNER ALVES</t>
  </si>
  <si>
    <t>00059928420178260635</t>
  </si>
  <si>
    <t>JEFFERSON COSMO DA SILVA</t>
  </si>
  <si>
    <t>00072552920188260050</t>
  </si>
  <si>
    <t>WILLIAM DAVIS</t>
  </si>
  <si>
    <t>00073265620178260635</t>
  </si>
  <si>
    <t>ALESSANDRO DO NASCIMENTO COSTA</t>
  </si>
  <si>
    <t>CAYQUE SILVA ANDRADE</t>
  </si>
  <si>
    <t>CRISTIANO DOS SANTOS GOMES JUNIOR</t>
  </si>
  <si>
    <t>00073750920178260050</t>
  </si>
  <si>
    <t>JONATHAN ELIAS DA CRUZ</t>
  </si>
  <si>
    <t>ROGER ELIAS MISAEL</t>
  </si>
  <si>
    <t>00080099320178260635</t>
  </si>
  <si>
    <t>MATHEUS DE JESUS</t>
  </si>
  <si>
    <t>00089958120168260635</t>
  </si>
  <si>
    <t>JEFERSON CARLOS SOUZA DOS SANTOS</t>
  </si>
  <si>
    <t>00092751820178260635</t>
  </si>
  <si>
    <t>RICARDO FRANCISCO DA SILVA</t>
  </si>
  <si>
    <t>00101572320168260050</t>
  </si>
  <si>
    <t>00113703020178260050</t>
  </si>
  <si>
    <t>CLEBER PEREIRA DA SILVA</t>
  </si>
  <si>
    <t>00118088120168260635</t>
  </si>
  <si>
    <t>ALESSANDRA SOUZA BRITO</t>
  </si>
  <si>
    <t>00119083620168260635</t>
  </si>
  <si>
    <t>THIAGO ALEXANDRE MOREIRA</t>
  </si>
  <si>
    <t>00121777520168260635</t>
  </si>
  <si>
    <t>WESLEY ALEXANDRINO EROTIDES RAMOS</t>
  </si>
  <si>
    <t>00125519120168260635</t>
  </si>
  <si>
    <t>MARCO LUCIUS DIAS</t>
  </si>
  <si>
    <t>00143074720168260050</t>
  </si>
  <si>
    <t>CARLA REGINA OLIVEIRA DE JESUS</t>
  </si>
  <si>
    <t>00144560920178260050</t>
  </si>
  <si>
    <t>YURI JOSE DA SILVA</t>
  </si>
  <si>
    <t>EVANDRO VENANCIO</t>
  </si>
  <si>
    <t>00147887320178260050</t>
  </si>
  <si>
    <t>WILLIAN DE OLIVEIRA</t>
  </si>
  <si>
    <t>00152209220178260050</t>
  </si>
  <si>
    <t>CARLOS WILLIAN NOVAIS MOREIRA</t>
  </si>
  <si>
    <t>00168707720178260050</t>
  </si>
  <si>
    <t>PAULO VITA DE SOUZA</t>
  </si>
  <si>
    <t>00191903720168260050</t>
  </si>
  <si>
    <t>KLEBER DOS SANTOS CAMPOS</t>
  </si>
  <si>
    <t>00193858520178260050</t>
  </si>
  <si>
    <t>ALEXANDRE RODRIGUES FRAZAO</t>
  </si>
  <si>
    <t>00204459320178260050</t>
  </si>
  <si>
    <t>GILBERLAN OLIVEIRA DE PINHO</t>
  </si>
  <si>
    <t>00215147320118260050</t>
  </si>
  <si>
    <t>Dair Soares Pereira</t>
  </si>
  <si>
    <t>00216177020178260050</t>
  </si>
  <si>
    <t>CLAYTON BORGES</t>
  </si>
  <si>
    <t>00220378520118260050</t>
  </si>
  <si>
    <t>ROBSON FELICIANO QUEIROZ</t>
  </si>
  <si>
    <t>PATRICIA APARECIDA DE SOUSA MOREIRA</t>
  </si>
  <si>
    <t>00228527220178260050</t>
  </si>
  <si>
    <t>JOSENILDO ALVES DA SILVA</t>
  </si>
  <si>
    <t>00247043420178260050</t>
  </si>
  <si>
    <t>CRISTIAN RODRIGO DE OLIVEIRA RODRIGUES</t>
  </si>
  <si>
    <t>00254231620178260050</t>
  </si>
  <si>
    <t>HELDER PRATES DOS SANTOS</t>
  </si>
  <si>
    <t>WEMERSON DA SILVA SANTOS</t>
  </si>
  <si>
    <t>JEFFERSON SANTOS DA SILVA</t>
  </si>
  <si>
    <t>CECILIA ALENCAR MATOS</t>
  </si>
  <si>
    <t>GUSTAVO ALVES</t>
  </si>
  <si>
    <t>LARISSA EVELYN PEREIRA SIQUEIRA</t>
  </si>
  <si>
    <t>00289796020168260050</t>
  </si>
  <si>
    <t>CRISTIANO FERREIRA DE BARROS</t>
  </si>
  <si>
    <t>00294946120178260050</t>
  </si>
  <si>
    <t>RONEI RIBEIRO DE SALES</t>
  </si>
  <si>
    <t>00300072920178260050</t>
  </si>
  <si>
    <t>THIAGO APARECIDO SANTA RITA</t>
  </si>
  <si>
    <t>00309573820178260050</t>
  </si>
  <si>
    <t>NATANAEL GOMES DA SILVA</t>
  </si>
  <si>
    <t>00314865720178260050</t>
  </si>
  <si>
    <t>LUIZ FERNANDO ALVES PEREIRA</t>
  </si>
  <si>
    <t>00333295720178260050</t>
  </si>
  <si>
    <t>RAFAEL DA SILVA LIMA</t>
  </si>
  <si>
    <t>00344606720178260050</t>
  </si>
  <si>
    <t>KAEL FERREIRA DA SILVA</t>
  </si>
  <si>
    <t>00347403820178260050</t>
  </si>
  <si>
    <t>ESAU JOSE FERREIRA DANTAS</t>
  </si>
  <si>
    <t>00356414020168260050</t>
  </si>
  <si>
    <t>JEFFERSON OLIVEIRA GOMES BERALDO</t>
  </si>
  <si>
    <t>00359026820178260050</t>
  </si>
  <si>
    <t>FABRICIO CORDEIRO RODRIGUES</t>
  </si>
  <si>
    <t>00366682420178260050</t>
  </si>
  <si>
    <t>FELIPE NASCIMENTO SANTOS SILVA</t>
  </si>
  <si>
    <t>00377863520178260050</t>
  </si>
  <si>
    <t>AMAURI BARBOSA DOS SANTOS</t>
  </si>
  <si>
    <t>00382020320178260050</t>
  </si>
  <si>
    <t>VAGNER LUIS DE LIMA</t>
  </si>
  <si>
    <t>00405551620178260050</t>
  </si>
  <si>
    <t>WESLEY DE SOUZA CESAR PEREIRA</t>
  </si>
  <si>
    <t>00409778820178260050</t>
  </si>
  <si>
    <t>LUTTY FELIPE DE SOUZA</t>
  </si>
  <si>
    <t>00416732720178260050</t>
  </si>
  <si>
    <t>TATIANA BURCIO SEREJO</t>
  </si>
  <si>
    <t>00425150720178260050</t>
  </si>
  <si>
    <t>PETERSON PINTO DA SILVA</t>
  </si>
  <si>
    <t>00449574320178260050</t>
  </si>
  <si>
    <t>FABIANO GODOI PYLRO</t>
  </si>
  <si>
    <t>ADRIANO PEREZ BARBOZA</t>
  </si>
  <si>
    <t>WILLIAM VENANCIO BEZERRA</t>
  </si>
  <si>
    <t>DIEGO AUGUSTO PASCOAL</t>
  </si>
  <si>
    <t>00454285920178260050</t>
  </si>
  <si>
    <t>JOSE CRUZ FILHO</t>
  </si>
  <si>
    <t>00471624520178260050</t>
  </si>
  <si>
    <t>JOHNATAN NOVAIS</t>
  </si>
  <si>
    <t>00495779820178260050</t>
  </si>
  <si>
    <t>00502580520168260050</t>
  </si>
  <si>
    <t>ELIANE DE JESUS</t>
  </si>
  <si>
    <t>00515699420178260050</t>
  </si>
  <si>
    <t>ERIK FRANCISCO DOS SANTOS</t>
  </si>
  <si>
    <t>00521848420178260050</t>
  </si>
  <si>
    <t>MARCOS PAULO SILVA DE SOUSA</t>
  </si>
  <si>
    <t>00533323320178260050</t>
  </si>
  <si>
    <t>LUCAS INACIO GOMES DA CONCEICAO</t>
  </si>
  <si>
    <t>00545249820178260050</t>
  </si>
  <si>
    <t>DORIVAL DA SILVA LIMA</t>
  </si>
  <si>
    <t>ANDERSON PORTO DE ANDRADE</t>
  </si>
  <si>
    <t>RENATO LIMA DOS SANTOS</t>
  </si>
  <si>
    <t>00558750920178260050</t>
  </si>
  <si>
    <t>DIEGO FELIPE PEREIRA RIBEIRO</t>
  </si>
  <si>
    <t>JUAN DE MELO EPIFANIO</t>
  </si>
  <si>
    <t>00570056820168260050</t>
  </si>
  <si>
    <t>JOSUE JOSE DOS SANTOS NETO</t>
  </si>
  <si>
    <t>00570702920178260050</t>
  </si>
  <si>
    <t>MARCOS ADRIANO VIANA DE AZEVEDO</t>
  </si>
  <si>
    <t>00581067220188260050</t>
  </si>
  <si>
    <t>HALI SAID ADA</t>
  </si>
  <si>
    <t>00582727520168260050</t>
  </si>
  <si>
    <t>THIAGO SOARES DUTRA</t>
  </si>
  <si>
    <t>CRISTIANO DA SILVA DE JESUS</t>
  </si>
  <si>
    <t>00597900320168260050</t>
  </si>
  <si>
    <t>MARCITO FELIX REIS MENEZES</t>
  </si>
  <si>
    <t>DIEGO SOUZA SILVA</t>
  </si>
  <si>
    <t>00600609020178260050</t>
  </si>
  <si>
    <t>MARIANA OLERIANO</t>
  </si>
  <si>
    <t>00613608720178260050</t>
  </si>
  <si>
    <t>LUIZ GUSTAVO FERREIRA TAVARES</t>
  </si>
  <si>
    <t>00631553120178260050</t>
  </si>
  <si>
    <t>MARCIO ROCHA PAES</t>
  </si>
  <si>
    <t>00671297620178260050</t>
  </si>
  <si>
    <t>DANILO ESTEVAM DA CRUZ</t>
  </si>
  <si>
    <t>00674158820168260050</t>
  </si>
  <si>
    <t>FRANCISCO DORISVAN SAMPAIO</t>
  </si>
  <si>
    <t>00703267320168260050</t>
  </si>
  <si>
    <t>BIANCA EVANGELISTA SOUZA</t>
  </si>
  <si>
    <t>00711919620168260050</t>
  </si>
  <si>
    <t>LUIZ FELIPE SOUZA NOGUEIRA SANTOS</t>
  </si>
  <si>
    <t>00722915220178260050</t>
  </si>
  <si>
    <t>ANDERSON DA SILVA JULIO</t>
  </si>
  <si>
    <t>00729835120178260050</t>
  </si>
  <si>
    <t>MARIO MARTINS NETO</t>
  </si>
  <si>
    <t>00731648620168260050</t>
  </si>
  <si>
    <t>RAPHAEL PAZ OLEGARIO</t>
  </si>
  <si>
    <t>00748233320168260050</t>
  </si>
  <si>
    <t>MARCIO ROBERTO DO ESPIRITO SANTO</t>
  </si>
  <si>
    <t>00752023720178260050</t>
  </si>
  <si>
    <t>DANIEL ALVES FIRMINO DA SILVA</t>
  </si>
  <si>
    <t>00755274620168260050</t>
  </si>
  <si>
    <t>ALEXANDRE DA CRUZ DE OLIVEIRA JUNIOR</t>
  </si>
  <si>
    <t>00762217820178260050</t>
  </si>
  <si>
    <t>DANIEL LIMA ARAUJO GUILHERME</t>
  </si>
  <si>
    <t>00765043820168260050</t>
  </si>
  <si>
    <t>ROBSON TORRES DA SILVA</t>
  </si>
  <si>
    <t>00776528420168260050</t>
  </si>
  <si>
    <t>FRANK WILLIAN JONHSON</t>
  </si>
  <si>
    <t>00780165620168260050</t>
  </si>
  <si>
    <t>JOSE DE ARIMATEA  SILVA MEMORIA</t>
  </si>
  <si>
    <t>00794565320178260050</t>
  </si>
  <si>
    <t>EDSON DE SOUZA LIMA</t>
  </si>
  <si>
    <t>00796551220168260050</t>
  </si>
  <si>
    <t>MAYCON DOUGLAS DE SOUZA SANTOS</t>
  </si>
  <si>
    <t>00803619220168260050</t>
  </si>
  <si>
    <t>MURILO DE ALMEIDA PINHEIRO</t>
  </si>
  <si>
    <t>00813410520178260050</t>
  </si>
  <si>
    <t>EDIEL TETSUO UEDA</t>
  </si>
  <si>
    <t>00815431620168260050</t>
  </si>
  <si>
    <t>JEFFERSON LOPES DE PAULA</t>
  </si>
  <si>
    <t>DANIEL CESAR SANTOS SOARES</t>
  </si>
  <si>
    <t>00831860920168260050</t>
  </si>
  <si>
    <t>CAIO COSTA FOMM</t>
  </si>
  <si>
    <t>00836084720178260050</t>
  </si>
  <si>
    <t>ITAMAR SILVA DE OLIVEIRA</t>
  </si>
  <si>
    <t>00840816720168260050</t>
  </si>
  <si>
    <t>DEBORA TAINA CARDOSO SANTOS</t>
  </si>
  <si>
    <t>00850343120168260050</t>
  </si>
  <si>
    <t>EZEQUIEL DA SILVA GOMES</t>
  </si>
  <si>
    <t>00894244420168260050</t>
  </si>
  <si>
    <t>LUIZ FERNANDO NUNES MICHELUCCI</t>
  </si>
  <si>
    <t>00909934620178260050</t>
  </si>
  <si>
    <t>MATHEUS DA SILVA CRUZ</t>
  </si>
  <si>
    <t>00921566120178260050</t>
  </si>
  <si>
    <t>ISLAN FERNANDO PEREIRA</t>
  </si>
  <si>
    <t>RHUAUDERMANN RAMOS SILVEIRA</t>
  </si>
  <si>
    <t>00940013120178260050</t>
  </si>
  <si>
    <t>WESLEY DE JESUS SILVA</t>
  </si>
  <si>
    <t>00951560620168260050</t>
  </si>
  <si>
    <t>RAMON LIMA DA SILVA</t>
  </si>
  <si>
    <t>00970112020168260050</t>
  </si>
  <si>
    <t>MARIA ISABEL CHICONI</t>
  </si>
  <si>
    <t>01011822020168260050</t>
  </si>
  <si>
    <t>MARIA LUCIA DOS SANTOS ROSA</t>
  </si>
  <si>
    <t>01030243520168260050</t>
  </si>
  <si>
    <t>GILBERTO OLEGARIO JUNIOR</t>
  </si>
  <si>
    <t>01036470220168260050</t>
  </si>
  <si>
    <t>FELIPE CRUZ DOS SANTOS</t>
  </si>
  <si>
    <t>01040540820168260050</t>
  </si>
  <si>
    <t>SCHMEICHEL CHAVES LIMA DE MENEZES</t>
  </si>
  <si>
    <t>01051421820158260050</t>
  </si>
  <si>
    <t>MARCOS TEIXEIRA DE JESUS</t>
  </si>
  <si>
    <t>ROBERTO ALVES DE ALMEIDA</t>
  </si>
  <si>
    <t>01053749320168260050</t>
  </si>
  <si>
    <t>OZIEL GOMES DA SILVA</t>
  </si>
  <si>
    <t>00001537820178260635</t>
  </si>
  <si>
    <t>JONATHAN DE JESUS ROSA</t>
  </si>
  <si>
    <t>00003901520178260635</t>
  </si>
  <si>
    <t>VALDINEY CARLOS PEREIRA</t>
  </si>
  <si>
    <t>00004708520178260050</t>
  </si>
  <si>
    <t>PAULO ROBERTO CORREIA FILHO</t>
  </si>
  <si>
    <t>00006430320178260635</t>
  </si>
  <si>
    <t>RENATO DA SILVA</t>
  </si>
  <si>
    <t>00006665520178260050</t>
  </si>
  <si>
    <t>THIAGO TORRES DOS SANTOS</t>
  </si>
  <si>
    <t>00007400320178260635</t>
  </si>
  <si>
    <t>WILLY KATEZ DE OLIVEIRA MENEZES</t>
  </si>
  <si>
    <t>00009558520178260050</t>
  </si>
  <si>
    <t>EDSON NELSON GALINDO</t>
  </si>
  <si>
    <t>00010573520168260635</t>
  </si>
  <si>
    <t>WALTER BARROS DIAS</t>
  </si>
  <si>
    <t>00011748920178260635</t>
  </si>
  <si>
    <t>RENAN FURTADO MARIANO</t>
  </si>
  <si>
    <t>00013804020168260635</t>
  </si>
  <si>
    <t>CELSO AUGUSTO FANTASIA</t>
  </si>
  <si>
    <t>00017577420178260635</t>
  </si>
  <si>
    <t>WENDER LUIZ CASTRO AJALA</t>
  </si>
  <si>
    <t>00025051820178260050</t>
  </si>
  <si>
    <t>LEANDRO SILVA DIAS</t>
  </si>
  <si>
    <t>00025902920168260635</t>
  </si>
  <si>
    <t>LUIZ RODRIGO MARINHO DOS SANTOS</t>
  </si>
  <si>
    <t>00029194120168260635</t>
  </si>
  <si>
    <t>JESSICA APARECIDA LEMOS DE LIMA</t>
  </si>
  <si>
    <t>00033487120178260635</t>
  </si>
  <si>
    <t>LUCAS SAMUEL GUIMARAES DE FRANCA</t>
  </si>
  <si>
    <t>00037262720178260635</t>
  </si>
  <si>
    <t>ANDRE LUIS ALMEIDA DOS SANTOS</t>
  </si>
  <si>
    <t>00037782320178260635</t>
  </si>
  <si>
    <t>BRUNO REBOUÇAS SENA</t>
  </si>
  <si>
    <t>00038514320138260050</t>
  </si>
  <si>
    <t>KAIAN FELIPE SANTOS RETAMALES MANQUEIN</t>
  </si>
  <si>
    <t>00041636820178260635</t>
  </si>
  <si>
    <t>ANTONIO CARLOS RIBEIRO DE SOUSA</t>
  </si>
  <si>
    <t>00045228620158260635</t>
  </si>
  <si>
    <t>JACKELINE DE OLIVEIRA BARBOSA</t>
  </si>
  <si>
    <t>00048230820168260050</t>
  </si>
  <si>
    <t>NILDA APARECIDA FERRAS DE CAMPOS</t>
  </si>
  <si>
    <t>00050479720178260635</t>
  </si>
  <si>
    <t>VICTOR SOUZA ARAUJO</t>
  </si>
  <si>
    <t>00053848620178260635</t>
  </si>
  <si>
    <t>JOSE RICARDO RODRIGUES DOS SANTOS</t>
  </si>
  <si>
    <t>00056354120168260635</t>
  </si>
  <si>
    <t>00058940220178260635</t>
  </si>
  <si>
    <t>JEFERSON VITOR MAIRINS SILVEIRA</t>
  </si>
  <si>
    <t>00067709720168260050</t>
  </si>
  <si>
    <t>JEFFERSON CARLOS SILVA DE SOUZA</t>
  </si>
  <si>
    <t>00070694020178260050</t>
  </si>
  <si>
    <t>BRUNO BORGES VIEIRA</t>
  </si>
  <si>
    <t>00078959120168260635</t>
  </si>
  <si>
    <t>FABIANA GONÇALVES TEIXEIRA</t>
  </si>
  <si>
    <t>00079158220168260635</t>
  </si>
  <si>
    <t>ELIAS DE FREITAS CABOCLO</t>
  </si>
  <si>
    <t>00086788320168260635</t>
  </si>
  <si>
    <t>DIEGO DA SILVA FERREIRA MARQUES</t>
  </si>
  <si>
    <t>00087316420168260635</t>
  </si>
  <si>
    <t>LUCAS MENDES DINIZ</t>
  </si>
  <si>
    <t>00094311520178260050</t>
  </si>
  <si>
    <t>RAI DA SILVA RIBEIRO</t>
  </si>
  <si>
    <t>00099257420178260050</t>
  </si>
  <si>
    <t>VANDERSON ROBERTO COSTA</t>
  </si>
  <si>
    <t>KATY DE SANTANA RAMOS</t>
  </si>
  <si>
    <t>00102756220178260050</t>
  </si>
  <si>
    <t>RAFAEL SANTOS DE SOUZA</t>
  </si>
  <si>
    <t>00103182420168260635</t>
  </si>
  <si>
    <t>FABIO ALVES BRAGA</t>
  </si>
  <si>
    <t>00104684320188260050</t>
  </si>
  <si>
    <t>LUIZ CARLOS SOARES</t>
  </si>
  <si>
    <t>00115949020168260635</t>
  </si>
  <si>
    <t>LUIS MARIO DOS SANTOS</t>
  </si>
  <si>
    <t>00118806820168260635</t>
  </si>
  <si>
    <t>DIOGO JOSE DE MELO</t>
  </si>
  <si>
    <t>00123094920138260050</t>
  </si>
  <si>
    <t>ANTONIO LEONARDO DE FRANÇA</t>
  </si>
  <si>
    <t>00123985820168260635</t>
  </si>
  <si>
    <t>Samuel Munarin</t>
  </si>
  <si>
    <t>00130308420168260635</t>
  </si>
  <si>
    <t>JEFERSON LACERDA FALCÃO</t>
  </si>
  <si>
    <t>00130980920178260050</t>
  </si>
  <si>
    <t>KENNEDY BISERRA FARIAS DA SILVA</t>
  </si>
  <si>
    <t>VALESKA PESSOA TEIXEIRA</t>
  </si>
  <si>
    <t>00136128420168260635</t>
  </si>
  <si>
    <t>WILLIAM MARCELO RODRIGUES DA SILVA</t>
  </si>
  <si>
    <t>00138336720168260635</t>
  </si>
  <si>
    <t>RICARDO DE SALLES PEREIRA</t>
  </si>
  <si>
    <t>00141218720178260050</t>
  </si>
  <si>
    <t>SILVIO ROGERIO ALVES</t>
  </si>
  <si>
    <t>LUZINEI SOUZA FIRMINO</t>
  </si>
  <si>
    <t>CARLUCIA MACHADO MEIRELES</t>
  </si>
  <si>
    <t>URUBATA DE ALMEIDA SANTOS</t>
  </si>
  <si>
    <t>00156980320178260050</t>
  </si>
  <si>
    <t>RAFAEL PEREIRA NUNES</t>
  </si>
  <si>
    <t>00165979820178260050</t>
  </si>
  <si>
    <t>JHON KENNEDY MAIA GLAUDINO</t>
  </si>
  <si>
    <t>JOAO VITOR SOBRAL MARINHO</t>
  </si>
  <si>
    <t>00196932420178260050</t>
  </si>
  <si>
    <t>GLADEILMA DA SILVA FEITOSA</t>
  </si>
  <si>
    <t>00204484820178260050</t>
  </si>
  <si>
    <t>MATHEUS RODRIGUES DE CARVALHO</t>
  </si>
  <si>
    <t>00215089020168260050</t>
  </si>
  <si>
    <t>JULIANA BENVINDA DA SILVA</t>
  </si>
  <si>
    <t>00226555420168260050</t>
  </si>
  <si>
    <t>GUSTAVO HENRIQUE DA COSTA</t>
  </si>
  <si>
    <t>00230241420178260050</t>
  </si>
  <si>
    <t>CLEITON AIRES RODRIGUES</t>
  </si>
  <si>
    <t>00254041020178260050</t>
  </si>
  <si>
    <t>JONATA DE DEUS DO NASCIMENTO</t>
  </si>
  <si>
    <t>00255923720168260050</t>
  </si>
  <si>
    <t>NILDALVA MARIA DA SILVA</t>
  </si>
  <si>
    <t>ROSANA DA SILVA NUNES</t>
  </si>
  <si>
    <t>PAULO ROGERIO AMORIM</t>
  </si>
  <si>
    <t>ROBINSON DO NASCIMENTO SANTOS</t>
  </si>
  <si>
    <t>DESCONHECIDO IP 97/2015</t>
  </si>
  <si>
    <t>FABIANA FONSECA DEMETRIO RODRIGUES</t>
  </si>
  <si>
    <t>Shuane da Silva Carvalho</t>
  </si>
  <si>
    <t>Deusdete Ricardo de Oliveira Bonfim Magalhães</t>
  </si>
  <si>
    <t>FABIO WELLINGTON DA SILVA</t>
  </si>
  <si>
    <t>VITOR SOUZA DO NASCIMENTO</t>
  </si>
  <si>
    <t>JOAO EUDES SOARES</t>
  </si>
  <si>
    <t>Diogenes Gomes Barros</t>
  </si>
  <si>
    <t>MARCIO SILVA DE OLIVEIRA</t>
  </si>
  <si>
    <t>Juliana Santos</t>
  </si>
  <si>
    <t>MARCELO DIEGO DE PAULA SOARES</t>
  </si>
  <si>
    <t>LUIZ LAURENTINO DA SILVA</t>
  </si>
  <si>
    <t>ALLAN DAVID DE CAMARGO</t>
  </si>
  <si>
    <t>Marcio Gomes Barboza</t>
  </si>
  <si>
    <t>ELENICE TATIANA ALVES</t>
  </si>
  <si>
    <t>JOCIANE SILVERIO</t>
  </si>
  <si>
    <t>ELIS CRISTINA GUARNIEL DA SILVA</t>
  </si>
  <si>
    <t>WLADIMIR RIBEIRO BRITO</t>
  </si>
  <si>
    <t>Konelei Silva dos Santos</t>
  </si>
  <si>
    <t>Adriana Moreira</t>
  </si>
  <si>
    <t>00289414820168260050</t>
  </si>
  <si>
    <t>LUIZ ROBERTO PIRES</t>
  </si>
  <si>
    <t>IGOR DE JESUS COSTA</t>
  </si>
  <si>
    <t>00305791920168260050</t>
  </si>
  <si>
    <t>GINALEAN PADIWAN LIMON</t>
  </si>
  <si>
    <t>00307239020168260050</t>
  </si>
  <si>
    <t>ELIAS CIRILO</t>
  </si>
  <si>
    <t>00312224020178260050</t>
  </si>
  <si>
    <t>WALMIR DE LIMA SILVA</t>
  </si>
  <si>
    <t>00326084220168260050</t>
  </si>
  <si>
    <t>MARCOS DE OLIVEIRA GOMES</t>
  </si>
  <si>
    <t>00333117520138260050</t>
  </si>
  <si>
    <t>HIAGO DE OLIVEIRA DOS ANJOS</t>
  </si>
  <si>
    <t>00347947720128260050</t>
  </si>
  <si>
    <t>ADRIANO CARLOS DE SANTANA</t>
  </si>
  <si>
    <t>00353036620168260050</t>
  </si>
  <si>
    <t>Ricardo da Silva Benevinuto</t>
  </si>
  <si>
    <t>PALOMA FERREIRA SANTANA</t>
  </si>
  <si>
    <t>RODRIGO FELIPE DO NASCIMENTO</t>
  </si>
  <si>
    <t>00356041320168260050</t>
  </si>
  <si>
    <t>ED CARLOS SOUZA FERREIRA</t>
  </si>
  <si>
    <t>00371033220168260050</t>
  </si>
  <si>
    <t>ADRIANO GUSMAO DE FREITAS</t>
  </si>
  <si>
    <t>UELINGTON SILVA DE SOUZA</t>
  </si>
  <si>
    <t>00373905820178260050</t>
  </si>
  <si>
    <t>00390655620178260050</t>
  </si>
  <si>
    <t>JOILSON DA CONCEICAO MACIEL</t>
  </si>
  <si>
    <t>00401715320178260050</t>
  </si>
  <si>
    <t>ALEXSANDRO LUIZ DA SILVA</t>
  </si>
  <si>
    <t>00401987020168260050</t>
  </si>
  <si>
    <t>JEFFERSON ANANIAS PEREIRA</t>
  </si>
  <si>
    <t>00418309720178260050</t>
  </si>
  <si>
    <t>VALMIR ROGERIO VELOSO MARTINS</t>
  </si>
  <si>
    <t>00433352620178260050</t>
  </si>
  <si>
    <t>ITALO DIEGO DE JESUS SANTOS</t>
  </si>
  <si>
    <t>00443661820168260050</t>
  </si>
  <si>
    <t>RAFAEL SANTOS OLIVEIRA</t>
  </si>
  <si>
    <t>00446379020178260050</t>
  </si>
  <si>
    <t>ADELAN DOS SANTOS GONCALVES</t>
  </si>
  <si>
    <t>00450801220158260050</t>
  </si>
  <si>
    <t>CAIO EDUARDO LEITE NASCIMENTO</t>
  </si>
  <si>
    <t>00456975020078260050</t>
  </si>
  <si>
    <t>Élder Barbosa de Assis</t>
  </si>
  <si>
    <t>00480297220168260050</t>
  </si>
  <si>
    <t>ALBERT ROGERIO DOS SANTOS DA SILVA</t>
  </si>
  <si>
    <t>00512064420168260050</t>
  </si>
  <si>
    <t>BRUNO SOUSA SANTOS</t>
  </si>
  <si>
    <t>00517088020168260050</t>
  </si>
  <si>
    <t>EMMANUEL CHIZOBA IKUDIKE</t>
  </si>
  <si>
    <t>ERLAN DOS SANTOS RIBEIRO</t>
  </si>
  <si>
    <t>00537950920168260050</t>
  </si>
  <si>
    <t>ANDERSON MACEDO DE SANTANA</t>
  </si>
  <si>
    <t>00542272820168260050</t>
  </si>
  <si>
    <t>RODRIGO DE JESUS DOS SANTOS</t>
  </si>
  <si>
    <t>JEFFERSON DOS SANTOS LIMA DE ARAUJO</t>
  </si>
  <si>
    <t>MARCOS VINICIUS SOUZA BRESSAN</t>
  </si>
  <si>
    <t>00573584520158260050</t>
  </si>
  <si>
    <t>WILLIAN COSTA DA SILVA</t>
  </si>
  <si>
    <t>00578232020168260050</t>
  </si>
  <si>
    <t>JOSE DE OLIVEIRA PEREIRA</t>
  </si>
  <si>
    <t>00584229020158260050</t>
  </si>
  <si>
    <t>MAURICIO HERNANDES RHEIN JUNIOR</t>
  </si>
  <si>
    <t>00586023820178260050</t>
  </si>
  <si>
    <t>BRUNO MAGALHAES MACHADO</t>
  </si>
  <si>
    <t>00587081020118260050</t>
  </si>
  <si>
    <t>DIEGO DOS SANTOS LOURENÇO</t>
  </si>
  <si>
    <t>00603106020168260050</t>
  </si>
  <si>
    <t>RENATO CARAVAJO</t>
  </si>
  <si>
    <t>ARIOVALDO PEREIRA DE ALMEIDA</t>
  </si>
  <si>
    <t>00607557820168260050</t>
  </si>
  <si>
    <t>SERGIO EDUARDO QUINTANA</t>
  </si>
  <si>
    <t>00624333120168260050</t>
  </si>
  <si>
    <t>RENATO ALVES PEREIRA DE CAMPOS</t>
  </si>
  <si>
    <t>00644816020168260050</t>
  </si>
  <si>
    <t>RAPHAEL STEPHAN LAHOZ URQUIRI</t>
  </si>
  <si>
    <t>PAMELLA NERI SILVA</t>
  </si>
  <si>
    <t>00658208820158260050</t>
  </si>
  <si>
    <t>TATIANE JAIME REIS</t>
  </si>
  <si>
    <t>00671063320178260050</t>
  </si>
  <si>
    <t>EMERSON KAIQUE OLIVEIRA DA SILVA</t>
  </si>
  <si>
    <t>00689834220168260050</t>
  </si>
  <si>
    <t>JEMERSON RONALDO DA SILVA</t>
  </si>
  <si>
    <t>00695004720168260050</t>
  </si>
  <si>
    <t>FABIO LUIZ BINA DA SILVA</t>
  </si>
  <si>
    <t>00699611920168260050</t>
  </si>
  <si>
    <t>JONATHAN MICHEL PINA</t>
  </si>
  <si>
    <t>00704522620168260050</t>
  </si>
  <si>
    <t>SOELI TELES DE SOUZA</t>
  </si>
  <si>
    <t>00709078820168260050</t>
  </si>
  <si>
    <t>EDUARDO DE OLIVEIRA CAVALCANTE  GERMANO</t>
  </si>
  <si>
    <t>00713512420168260050</t>
  </si>
  <si>
    <t>DOUGLAS PINHEIRO DE SOUZA</t>
  </si>
  <si>
    <t>00727075420168260050</t>
  </si>
  <si>
    <t>WESLEY GIOVANI CELESTINO MESQUITA</t>
  </si>
  <si>
    <t>MAIRA DA SILVA MUNIZ</t>
  </si>
  <si>
    <t>00769937520168260050</t>
  </si>
  <si>
    <t>ERBERSON CAMPOS DE SOUSA</t>
  </si>
  <si>
    <t>00774752320168260050</t>
  </si>
  <si>
    <t>GABRIEL NOVAIS FERREIRA</t>
  </si>
  <si>
    <t>VITOR EVARISTO MONTEIRO DE QUEIROZ</t>
  </si>
  <si>
    <t>00795385520158260050</t>
  </si>
  <si>
    <t>BRENDA DA SILVA CARNEIRO</t>
  </si>
  <si>
    <t>LUIZ ANTONIO DE OLIVEIRA</t>
  </si>
  <si>
    <t>RODRIGO SILVA DOS REIS</t>
  </si>
  <si>
    <t>00831916520158260050</t>
  </si>
  <si>
    <t>PAULA CRISTINA FERREIRA DA SILVA</t>
  </si>
  <si>
    <t>ERICELIO MATOS DOS SANTOS</t>
  </si>
  <si>
    <t>00832398720168260050</t>
  </si>
  <si>
    <t>MARCUS VINICIUS DE OLIVEIRA</t>
  </si>
  <si>
    <t>00850230220168260050</t>
  </si>
  <si>
    <t>THIAGO LUIS MARTINS PEDROSO</t>
  </si>
  <si>
    <t>00872974120138260050</t>
  </si>
  <si>
    <t>GABRIEL NERES RODRIGUES</t>
  </si>
  <si>
    <t>00874636820168260050</t>
  </si>
  <si>
    <t>VINICIUS ALBERTO FERREIRA ALVES</t>
  </si>
  <si>
    <t>00885688020168260050</t>
  </si>
  <si>
    <t>00890988920138260050</t>
  </si>
  <si>
    <t>VITOR HUGO GARCIA LESSA</t>
  </si>
  <si>
    <t>00904698320168260050</t>
  </si>
  <si>
    <t>JOAO VICTOR BATISTA RODRIGUES COSTA</t>
  </si>
  <si>
    <t>VINICIUS LIMA FERREIRA DA SILVA</t>
  </si>
  <si>
    <t>00919533620168260050</t>
  </si>
  <si>
    <t>DANIEL PAES DE ALMEIDA</t>
  </si>
  <si>
    <t>00945862020168260050</t>
  </si>
  <si>
    <t>JACKSON MAURO</t>
  </si>
  <si>
    <t>00955180820168260050</t>
  </si>
  <si>
    <t>VASTI MARIA DO NASCIMENTO</t>
  </si>
  <si>
    <t>00974852520158260050</t>
  </si>
  <si>
    <t>WEMERSON OLIVEIRA DOS SANTOS</t>
  </si>
  <si>
    <t>00982141720168260050</t>
  </si>
  <si>
    <t>PAULO JORGE SILVA DO CARMO</t>
  </si>
  <si>
    <t>00990127520168260050</t>
  </si>
  <si>
    <t>GEANGLER MAGALHAES SANTOS</t>
  </si>
  <si>
    <t>LEANDRO SANTOS QUEIROZ</t>
  </si>
  <si>
    <t>00990560220138260050</t>
  </si>
  <si>
    <t>LEONARDO DA SILVA OLIVEIRA</t>
  </si>
  <si>
    <t>01000770820168260050</t>
  </si>
  <si>
    <t>JORGE TADEU BARBOZA DE LIMA</t>
  </si>
  <si>
    <t>01008124120168260050</t>
  </si>
  <si>
    <t>MATHEUS MEDEIROS BEZERRA</t>
  </si>
  <si>
    <t>RICHARD DOS SANTOS LIMA</t>
  </si>
  <si>
    <t>01032775720158260050</t>
  </si>
  <si>
    <t>NILTON GISANDRO DOS SANTOS</t>
  </si>
  <si>
    <t>AUDREY CRISTINA BAZ CUNHANA</t>
  </si>
  <si>
    <t>JOSE EXPEDITO DAS NEVES</t>
  </si>
  <si>
    <t>VERONICA DE SOUZA</t>
  </si>
  <si>
    <t>ALEXSANDRA DE CAMARGO</t>
  </si>
  <si>
    <t>MICHELLE MACEDO MATOS</t>
  </si>
  <si>
    <t>GENILSA MARIA MOREIRA</t>
  </si>
  <si>
    <t>01037328520168260050</t>
  </si>
  <si>
    <t>JEVERTON MELO DOS SANTOS</t>
  </si>
  <si>
    <t>01095488720128260050</t>
  </si>
  <si>
    <t>ROBSON MARCELINO DE SOUSA ALMEIDA</t>
  </si>
  <si>
    <t>VALDIR FRANCISCO DOS SANTOS</t>
  </si>
  <si>
    <t>DEIVIDE FERNANDES DA COSTA RIBERIO</t>
  </si>
  <si>
    <t>GUILHERME RAMOS GOMES DE BRITO</t>
  </si>
  <si>
    <t>CLAUDIO MARCOS DE ALMEIDA</t>
  </si>
  <si>
    <t>JADSON GUERRA</t>
  </si>
  <si>
    <t>VINICIUS SILVA TRIGUEIRO DOS SANTOS</t>
  </si>
  <si>
    <t>Warlleyn Henrique da Silva Santos</t>
  </si>
  <si>
    <t>ALTAIR PINHEIRO DA COSTA</t>
  </si>
  <si>
    <t>00005991820168260635</t>
  </si>
  <si>
    <t>EDILSON DOS SANTOS</t>
  </si>
  <si>
    <t>ODAIR DE ARAUJO BEZERRA</t>
  </si>
  <si>
    <t>00006647620178260635</t>
  </si>
  <si>
    <t>DIOGO HENRIQUE DE OLIVEIRA RAMOS</t>
  </si>
  <si>
    <t>GUILHERME JOSE SALGADO DE OLIVEIRA</t>
  </si>
  <si>
    <t>00024361120168260635</t>
  </si>
  <si>
    <t>EDUARDO CIPRIANO DE OLIVEIRA</t>
  </si>
  <si>
    <t>ANDERSON APARECIDO CIPRIANO</t>
  </si>
  <si>
    <t>00033467220158260635</t>
  </si>
  <si>
    <t>THIAGO SANTOS DE ALMEIDA</t>
  </si>
  <si>
    <t>00036244820168260050</t>
  </si>
  <si>
    <t>BRUNO DA CRUZ DE LIMA</t>
  </si>
  <si>
    <t>00040415520178260635</t>
  </si>
  <si>
    <t>CLEBERSON VALTERCIDES ELIAS</t>
  </si>
  <si>
    <t>00051952020178260050</t>
  </si>
  <si>
    <t>BRUNO RAPHAEL GENOVEZ</t>
  </si>
  <si>
    <t>00066071120168260635</t>
  </si>
  <si>
    <t>ROSIVALDO RODRIGUES DUARTE</t>
  </si>
  <si>
    <t>00071188120178260050</t>
  </si>
  <si>
    <t>REINALDO MIRANDA TEIXEIRA</t>
  </si>
  <si>
    <t>00078104220158260635</t>
  </si>
  <si>
    <t>LARYSSA LORRAINE GONÇALVES FARIAS DE LIMA</t>
  </si>
  <si>
    <t>00093161920168260635</t>
  </si>
  <si>
    <t>ADRIANO GONZAGA DA SILVA</t>
  </si>
  <si>
    <t>00093764020128260050</t>
  </si>
  <si>
    <t>DIEGO CARLOS ARAUJO FERREIRA</t>
  </si>
  <si>
    <t>00095792620178260050</t>
  </si>
  <si>
    <t>LUIZ AUGUSTO FERREIRA DE MORAES ANUVALE</t>
  </si>
  <si>
    <t>00097466820168260635</t>
  </si>
  <si>
    <t>LUCAS FARLEY MARQUES DA CRUZ</t>
  </si>
  <si>
    <t>00103190920168260635</t>
  </si>
  <si>
    <t>ALESSANDRO SIDNEI ACOSTA</t>
  </si>
  <si>
    <t>00103852720188260050</t>
  </si>
  <si>
    <t>WILIAM LOURENCO FAGUNDES</t>
  </si>
  <si>
    <t>00109955420168260635</t>
  </si>
  <si>
    <t>LUCIANO REIS SILVA</t>
  </si>
  <si>
    <t>00126263320168260635</t>
  </si>
  <si>
    <t>LUCAS BRITO</t>
  </si>
  <si>
    <t>00135947220168260050</t>
  </si>
  <si>
    <t>VINICIUS MOREIRA MANGIACAVALLI</t>
  </si>
  <si>
    <t>00140554420168260050</t>
  </si>
  <si>
    <t>JOSÉ APARECIDO FLORIANO DA SILVA</t>
  </si>
  <si>
    <t>00174034120148260050</t>
  </si>
  <si>
    <t>JOSIAS DA CONCEIÇÃO PRATA</t>
  </si>
  <si>
    <t>00178526220158260050</t>
  </si>
  <si>
    <t>CAIO AUGUSTO RANGEL URBANO DOS SANTOS</t>
  </si>
  <si>
    <t>ROBERTA CRISTINA DE OLIVEIRA</t>
  </si>
  <si>
    <t>00291940720148260050</t>
  </si>
  <si>
    <t>PAULO HENRIQUE MOREIRA DOS SANTOS</t>
  </si>
  <si>
    <t>00314439620128260050</t>
  </si>
  <si>
    <t>CLEITON RIBEIRO DA SILVA</t>
  </si>
  <si>
    <t>00363328820158260050</t>
  </si>
  <si>
    <t>VALDEIR LEITE CAVALCANTE</t>
  </si>
  <si>
    <t>ORLANDO DO CARMO SALLES</t>
  </si>
  <si>
    <t>00382852420148260050</t>
  </si>
  <si>
    <t>LEONARDO FERRAZ SILVA</t>
  </si>
  <si>
    <t>JOAO VICTOR SOUZA MOREIRA</t>
  </si>
  <si>
    <t>00397705920148260050</t>
  </si>
  <si>
    <t>YAGO PAULO ISRAEL CIPRIANO</t>
  </si>
  <si>
    <t>00427267720168260050</t>
  </si>
  <si>
    <t>REGINALDO APARECIDO DA SILVA</t>
  </si>
  <si>
    <t>00427635120098260050</t>
  </si>
  <si>
    <t>Edesio Fabricio</t>
  </si>
  <si>
    <t>00433863720178260050</t>
  </si>
  <si>
    <t>JEFERSON DOMINGOS DO NASCIMENTO</t>
  </si>
  <si>
    <t>MICHAEL RODRIGUES RAMALHO</t>
  </si>
  <si>
    <t>00452002120168260050</t>
  </si>
  <si>
    <t>WESLEY PEREIRA DA SILVA</t>
  </si>
  <si>
    <t>00452248820128260050</t>
  </si>
  <si>
    <t>RONILDO MELO DA COSTA</t>
  </si>
  <si>
    <t>00492737020158260050</t>
  </si>
  <si>
    <t>EDUARDO BRITO SAMPAIO</t>
  </si>
  <si>
    <t>00495943720178260050</t>
  </si>
  <si>
    <t>VICTOR HENRIQUE DE OLIVEIRA MOREIRA</t>
  </si>
  <si>
    <t>00496341920178260050</t>
  </si>
  <si>
    <t>ADAILTON DOS SANTOS PEREIRA</t>
  </si>
  <si>
    <t>00498655120148260050</t>
  </si>
  <si>
    <t>JORGE LUIZ SANTOS</t>
  </si>
  <si>
    <t>RICHARD SILVA CAVALCANTI</t>
  </si>
  <si>
    <t>JUVENAL MARIA FILHO</t>
  </si>
  <si>
    <t>00501053520178260050</t>
  </si>
  <si>
    <t>KAIQUE MATEUS SERRA CHAVES</t>
  </si>
  <si>
    <t>00508493520148260050</t>
  </si>
  <si>
    <t>JOSE ARNALDO DE FRANÇA JUNIOR</t>
  </si>
  <si>
    <t>GRAZIELA DOS SANTOS DOMINGUES</t>
  </si>
  <si>
    <t>CASSIA DOS SANTOS MENDES</t>
  </si>
  <si>
    <t>ELIAS DE OLIVEIRA RODRIGUES</t>
  </si>
  <si>
    <t>IGOR LELIS DA SILVA</t>
  </si>
  <si>
    <t>00528790920158260050</t>
  </si>
  <si>
    <t>ALEX DOS SANTOS LUCAS DE OLIVEIRA</t>
  </si>
  <si>
    <t>00537795520168260050</t>
  </si>
  <si>
    <t>REINAN FERREIRA DA CONCEIÇÃO</t>
  </si>
  <si>
    <t>ROBERTA LOPES MARIANO</t>
  </si>
  <si>
    <t>00553361420158260050</t>
  </si>
  <si>
    <t>MICHAEL LUIS DA SILVA</t>
  </si>
  <si>
    <t>00572227720178260050</t>
  </si>
  <si>
    <t>JEFERSON BRITO DOS SANTOS</t>
  </si>
  <si>
    <t>00573321320168260050</t>
  </si>
  <si>
    <t>DIEGO DOS SANTOS MOREIRA</t>
  </si>
  <si>
    <t>00603507620158260050</t>
  </si>
  <si>
    <t>DOUGLAS ANDRADE DOS SANTOS</t>
  </si>
  <si>
    <t>00630997120128260050</t>
  </si>
  <si>
    <t>FRANCISCO DE JESUS SANTOS</t>
  </si>
  <si>
    <t>00637584120168260050</t>
  </si>
  <si>
    <t>ANDREW DA CRUZ MALAQUIAS</t>
  </si>
  <si>
    <t>00647226820158260050</t>
  </si>
  <si>
    <t>WELLINGTON DIAS DOS SANTOS</t>
  </si>
  <si>
    <t>00665402120168260050</t>
  </si>
  <si>
    <t>PAULO CESAR GOMES DA SILVA</t>
  </si>
  <si>
    <t>00684898020168260050</t>
  </si>
  <si>
    <t>TIAGO DARCIE BUOSSI</t>
  </si>
  <si>
    <t>00694092520148260050</t>
  </si>
  <si>
    <t>00695333720168260050</t>
  </si>
  <si>
    <t>MICHEL FERREIRA</t>
  </si>
  <si>
    <t>00700288120168260050</t>
  </si>
  <si>
    <t>RODRIGO MELO DA SILVA</t>
  </si>
  <si>
    <t>00725115520148260050</t>
  </si>
  <si>
    <t>CLEVERSON FERNANDES FERRACINI</t>
  </si>
  <si>
    <t>00765107920158260050</t>
  </si>
  <si>
    <t>THIAGO SILVA LOPES</t>
  </si>
  <si>
    <t>00766131820178260050</t>
  </si>
  <si>
    <t>ALEX LIMA SERRA</t>
  </si>
  <si>
    <t>00800969020168260050</t>
  </si>
  <si>
    <t>GUSTAVO FERREIRA COSTA E SILVA</t>
  </si>
  <si>
    <t>TIAGO BARBOSA DE JESUS</t>
  </si>
  <si>
    <t>FRANCISCO ANDERSON DA SILVA PONTES</t>
  </si>
  <si>
    <t>00820853420168260050</t>
  </si>
  <si>
    <t>GILMAR SILVA DOS SANTOS</t>
  </si>
  <si>
    <t>00841904720178260050</t>
  </si>
  <si>
    <t>BRUNO GUSTAVO BARBOSA DE OLIVEIRA</t>
  </si>
  <si>
    <t>00846755220148260050</t>
  </si>
  <si>
    <t>DENNIS PEREIRA QUEIROZ</t>
  </si>
  <si>
    <t>00874818920168260050</t>
  </si>
  <si>
    <t>JOARI DE ANDRADE BERKOVIC</t>
  </si>
  <si>
    <t>00919594320168260050</t>
  </si>
  <si>
    <t>ROBERTO DE OLIVEIRA BISPO</t>
  </si>
  <si>
    <t>FELIPE FERREIRA CAMPOS</t>
  </si>
  <si>
    <t>DANIEL LOPES DO COUTO</t>
  </si>
  <si>
    <t>00969206620128260050</t>
  </si>
  <si>
    <t>WILSON ARMANDO MENDES DOS SANTOS</t>
  </si>
  <si>
    <t>01054095320168260050</t>
  </si>
  <si>
    <t>ERONILDO  GOMES DA SILVA</t>
  </si>
  <si>
    <t>01072904120118260050</t>
  </si>
  <si>
    <t>ROSANA DE CASSIA ORTOLAN</t>
  </si>
  <si>
    <t>00004265720178260635</t>
  </si>
  <si>
    <t>SIMONE DA CRUZ LUIZ</t>
  </si>
  <si>
    <t>00006760220178260050</t>
  </si>
  <si>
    <t>DAMIAO SILVA DOS SANTOS</t>
  </si>
  <si>
    <t>00008319320178260635</t>
  </si>
  <si>
    <t>GISLAINE APARECIDA SABOIA</t>
  </si>
  <si>
    <t>00010527620178260635</t>
  </si>
  <si>
    <t>DOUGLAS JOSE DE FARIA</t>
  </si>
  <si>
    <t>00013342620178260050</t>
  </si>
  <si>
    <t>RAFAEL GONCALVES DA CRUZ</t>
  </si>
  <si>
    <t>00015784320178260635</t>
  </si>
  <si>
    <t>TALLES JOHNY DE SOUZA</t>
  </si>
  <si>
    <t>00021568320158260050</t>
  </si>
  <si>
    <t>JOSE VANIO BEZERRA DE LIMA</t>
  </si>
  <si>
    <t>00025033920178260635</t>
  </si>
  <si>
    <t>ANDERSON LUCAS DOS SANTOS SILVA</t>
  </si>
  <si>
    <t>KAIQUE BARBOSA DIAS</t>
  </si>
  <si>
    <t>00027278320178260050</t>
  </si>
  <si>
    <t>JOSE ERNANDE DE ARAUJO LOPES</t>
  </si>
  <si>
    <t>ROBSON MANOEL DOS SANTOS</t>
  </si>
  <si>
    <t>00027485020178260635</t>
  </si>
  <si>
    <t>VALDIR DIAS FILHO</t>
  </si>
  <si>
    <t>00030135220178260635</t>
  </si>
  <si>
    <t>WELLINGTON ANDRADE DE ASSIS</t>
  </si>
  <si>
    <t>00031792120168260635</t>
  </si>
  <si>
    <t>JOSE ERIQUE DE ARAUJO PEREIRA</t>
  </si>
  <si>
    <t>00032494720168260050</t>
  </si>
  <si>
    <t>RANIELLY CRISTINA DOS SANTOS</t>
  </si>
  <si>
    <t>00033314420178260050</t>
  </si>
  <si>
    <t>ABRAAO PEREIRA CUNHA</t>
  </si>
  <si>
    <t>00035221720168260635</t>
  </si>
  <si>
    <t>JEFFERSON WILLIAN DE PAULA</t>
  </si>
  <si>
    <t>RAPHAEL BRASILEIRO CRISPIM</t>
  </si>
  <si>
    <t>00037115820178260635</t>
  </si>
  <si>
    <t>ADRIANO APARECIDO DOS SANTOS</t>
  </si>
  <si>
    <t>00037837920168260635</t>
  </si>
  <si>
    <t>EDUARDO BRANDAO MIQUELE</t>
  </si>
  <si>
    <t>00039921420178260635</t>
  </si>
  <si>
    <t>VINICIUS KAUE PEREIRA DE OLIVEIRA</t>
  </si>
  <si>
    <t>00040631620178260635</t>
  </si>
  <si>
    <t>ANDERSON NASCIMENTO PEDRO</t>
  </si>
  <si>
    <t>00047231020178260635</t>
  </si>
  <si>
    <t>MICHELE GOMES</t>
  </si>
  <si>
    <t>00048550420168260635</t>
  </si>
  <si>
    <t>JOSE ANTONIO DA SILVA NETO</t>
  </si>
  <si>
    <t>00052489820178260050</t>
  </si>
  <si>
    <t>RAYNANN NEWTON MARTINS DA SILVA</t>
  </si>
  <si>
    <t>00054012520178260635</t>
  </si>
  <si>
    <t>BRUNO HENRIQUE ADELINO DA SILVA</t>
  </si>
  <si>
    <t>00056117620178260635</t>
  </si>
  <si>
    <t>AMANDA CARVALHO RIBEIRO</t>
  </si>
  <si>
    <t>00057659420178260635</t>
  </si>
  <si>
    <t>DANILO DOS SANTOS</t>
  </si>
  <si>
    <t>00064491920178260635</t>
  </si>
  <si>
    <t>RUBENS GONCALVES DE ALMEIDA MATOS SILVA</t>
  </si>
  <si>
    <t>00066964320168260050</t>
  </si>
  <si>
    <t>ANDERSON SILVA NEVES</t>
  </si>
  <si>
    <t>00068081220168260050</t>
  </si>
  <si>
    <t>DOMINIQUE FERREIRA DA ROCHA</t>
  </si>
  <si>
    <t>00076418420178260635</t>
  </si>
  <si>
    <t>EZEQUIEL DANTAS PEREIRA</t>
  </si>
  <si>
    <t>00076493220158260635</t>
  </si>
  <si>
    <t>CASSIANO AZEVEDO DO NASCIMENTO</t>
  </si>
  <si>
    <t>00078808820178260635</t>
  </si>
  <si>
    <t>EVERTON FERREIRA CRUZ</t>
  </si>
  <si>
    <t>00079720320168260635</t>
  </si>
  <si>
    <t>GILVAN DE AZEVEDO SILVA</t>
  </si>
  <si>
    <t>00086476320168260635</t>
  </si>
  <si>
    <t>REINALD SANTOS MENESES</t>
  </si>
  <si>
    <t>GABRIEL COELHO SILVA</t>
  </si>
  <si>
    <t>HENRIQUE SANTOS GIARDINI</t>
  </si>
  <si>
    <t>00090105020168260635</t>
  </si>
  <si>
    <t>GABRIEL SANTOS ROSA</t>
  </si>
  <si>
    <t>00100085220158260635</t>
  </si>
  <si>
    <t>CAMILO RAFAEL DE OLIVEIRA SANTOS</t>
  </si>
  <si>
    <t>00107902520168260635</t>
  </si>
  <si>
    <t>NWOYE UCHE MBONU</t>
  </si>
  <si>
    <t>00111287620148260050</t>
  </si>
  <si>
    <t>WASHINGTON LUIS OVERA</t>
  </si>
  <si>
    <t>00111490920158260635</t>
  </si>
  <si>
    <t>RAYANE LEMOS AMARO DOS SANTOS</t>
  </si>
  <si>
    <t>00112215920168260635</t>
  </si>
  <si>
    <t>JOHNNY DO NASCIMENTO ROSA</t>
  </si>
  <si>
    <t>00113019520178260050</t>
  </si>
  <si>
    <t>LEANDRO LEITE DOS SANTOS</t>
  </si>
  <si>
    <t>00119445320178260050</t>
  </si>
  <si>
    <t>HILEIA RODRIGUES DE SOUZA</t>
  </si>
  <si>
    <t>PAULA FERNANDA DOS SANTOS FREITAS</t>
  </si>
  <si>
    <t>LUIZ ROBERTO SILVA</t>
  </si>
  <si>
    <t>00120265020188260050</t>
  </si>
  <si>
    <t>MAYCON GOMES DA SILVA</t>
  </si>
  <si>
    <t>00123145720168260635</t>
  </si>
  <si>
    <t>WELLINGTON DE JESUS SANTOS</t>
  </si>
  <si>
    <t>00125068720168260635</t>
  </si>
  <si>
    <t>JOSE AILTON PEREIRA</t>
  </si>
  <si>
    <t>MAYARA MARCELINO SANTA RITA</t>
  </si>
  <si>
    <t>00130784320168260635</t>
  </si>
  <si>
    <t>FABIANO BERALDO DE OLIVEIRA</t>
  </si>
  <si>
    <t>00132687820178260050</t>
  </si>
  <si>
    <t>AURICELIO FERREIRA DA SILVA</t>
  </si>
  <si>
    <t>00144353320178260050</t>
  </si>
  <si>
    <t>ALEXANDRE ALEX FLORENCIO NERI</t>
  </si>
  <si>
    <t>WILSON COUTINHO DE CARVALHO</t>
  </si>
  <si>
    <t>00159093920178260050</t>
  </si>
  <si>
    <t>RAFAEL RIBEIRO DE SOUZA</t>
  </si>
  <si>
    <t>00174085820178260050</t>
  </si>
  <si>
    <t>RENATO MONT ALVAO SANTANA</t>
  </si>
  <si>
    <t>00193667920178260050</t>
  </si>
  <si>
    <t>ANDRE DE JESUS</t>
  </si>
  <si>
    <t>00210859620178260050</t>
  </si>
  <si>
    <t>LUIZ FERNANDO OLIVEIRA MACIEL</t>
  </si>
  <si>
    <t>MARCONI DA SILVA</t>
  </si>
  <si>
    <t>00258992520158260050</t>
  </si>
  <si>
    <t>CARLOS RENATO PEREIRA DOS SANTOS</t>
  </si>
  <si>
    <t>00269637020158260050</t>
  </si>
  <si>
    <t>WENDEL GOMES DE MORAIS</t>
  </si>
  <si>
    <t>00279767020168260050</t>
  </si>
  <si>
    <t>DAYANE LETICIA RAMOS LOURENCO</t>
  </si>
  <si>
    <t>00287454420178260050</t>
  </si>
  <si>
    <t>TIAGO FERREIRA DOS SANTOS</t>
  </si>
  <si>
    <t>CLEBERSON FELIPE LOURENCO CORREA</t>
  </si>
  <si>
    <t>CAIO BORGES DA SILVA GONCALVES</t>
  </si>
  <si>
    <t>00296230320168260050</t>
  </si>
  <si>
    <t>CHIDI ASIEBGU ou EMMANUEL OKEKE</t>
  </si>
  <si>
    <t>00302432520108260050</t>
  </si>
  <si>
    <t>Julio Cesar Rodrigues</t>
  </si>
  <si>
    <t>00307174920178260050</t>
  </si>
  <si>
    <t>RAMON LIMA CORDEIRO</t>
  </si>
  <si>
    <t>00315930420178260050</t>
  </si>
  <si>
    <t>IZADORA INGRID DOS ANJOS FERREIRA PENNA</t>
  </si>
  <si>
    <t>00333113620178260050</t>
  </si>
  <si>
    <t>ANDERSON MARQUES DE SOUZA</t>
  </si>
  <si>
    <t>PAULO HENRIQUE SOUZA ALBERGARIA</t>
  </si>
  <si>
    <t>MARCOS ROGERIO SOUZA SILVESTRE JUNIOR</t>
  </si>
  <si>
    <t>00343292920168260050</t>
  </si>
  <si>
    <t>MARCOS HENRIQUE PINTO MATIAS</t>
  </si>
  <si>
    <t>00358212220178260050</t>
  </si>
  <si>
    <t>MURILO HENRIQUE SANTOS DA SILVA</t>
  </si>
  <si>
    <t>DANILO DE CASSIO PEREIRA LIMA</t>
  </si>
  <si>
    <t>00392422020178260050</t>
  </si>
  <si>
    <t>AGEU JULIO ALVES GOMES</t>
  </si>
  <si>
    <t>00409579720178260050</t>
  </si>
  <si>
    <t>MATHEUS DE JESUS TEIXEIRA</t>
  </si>
  <si>
    <t>00467060320148260050</t>
  </si>
  <si>
    <t>DESCONHECIDO IP 27/2014</t>
  </si>
  <si>
    <t>00468068420168260050</t>
  </si>
  <si>
    <t>GABRIEL BRUNO PEREIRA DE CARVALHO</t>
  </si>
  <si>
    <t>00472156020168260050</t>
  </si>
  <si>
    <t>MATHEUS VINICIUS PINTO BARBOSA VILLELA</t>
  </si>
  <si>
    <t>00482355220178260050</t>
  </si>
  <si>
    <t>JOHN FRANCO</t>
  </si>
  <si>
    <t>MARCELO SILVA PORCARI</t>
  </si>
  <si>
    <t>00501382520178260050</t>
  </si>
  <si>
    <t>GIOVANI DIOGO DE OLIVEIRA SOUZA</t>
  </si>
  <si>
    <t>00512653220168260050</t>
  </si>
  <si>
    <t>RENATO ELIAS DA SILVA</t>
  </si>
  <si>
    <t>00522800220178260050</t>
  </si>
  <si>
    <t>JOSEILDO GOMES DA SILVA</t>
  </si>
  <si>
    <t>00525246220168260050</t>
  </si>
  <si>
    <t>DIOGO TELES DE SIQUEIRA SANTOS</t>
  </si>
  <si>
    <t>DIEGO SIQUEIRA DOS SANTOS</t>
  </si>
  <si>
    <t>00533100920168260050</t>
  </si>
  <si>
    <t>RAFAEL RODRIGUES DA SILVA</t>
  </si>
  <si>
    <t>00538315120168260050</t>
  </si>
  <si>
    <t>ALLAN DA SILVA MONTEIRO</t>
  </si>
  <si>
    <t>ALAN CARLOS HENGLER DA SILVA</t>
  </si>
  <si>
    <t>00573469420168260050</t>
  </si>
  <si>
    <t>RAFAEL LEITE DE OLIVEIRA</t>
  </si>
  <si>
    <t>ELIETE NOJOSA BEZERRA DE SOUSA</t>
  </si>
  <si>
    <t>00608102920168260050</t>
  </si>
  <si>
    <t>00633634920168260050</t>
  </si>
  <si>
    <t>MATHEUS DIAS VARJAO</t>
  </si>
  <si>
    <t>00641377920168260050</t>
  </si>
  <si>
    <t>RAONI DE SOUSA FONTES</t>
  </si>
  <si>
    <t>00644227220168260050</t>
  </si>
  <si>
    <t>DERMEVAL SOUZA DE LACERDA</t>
  </si>
  <si>
    <t>MARIA DE FATIMA BARROS DE MACEDO</t>
  </si>
  <si>
    <t>CARLOS HENRIQUE SILVA DE OLIVEIRA</t>
  </si>
  <si>
    <t>00663364020178260050</t>
  </si>
  <si>
    <t>LEANDRO DOS SANTOS BATISTA</t>
  </si>
  <si>
    <t>00664119420088260050</t>
  </si>
  <si>
    <t>Inaue Augusto de Iemanja Jeronimo Olunowo</t>
  </si>
  <si>
    <t>00680417320178260050</t>
  </si>
  <si>
    <t>DAVI SANTOS FREITAS</t>
  </si>
  <si>
    <t>00680948820168260050</t>
  </si>
  <si>
    <t>DAIANA DOS SANTOS RODRIGUES</t>
  </si>
  <si>
    <t>ALEX FERREIRA DE OLIVEIRA</t>
  </si>
  <si>
    <t>RAFAELA MARIA DA SILVA</t>
  </si>
  <si>
    <t>ADRIANA ALMEIDA CAMPOS</t>
  </si>
  <si>
    <t>WILLIAN HENRIQUE DA PENHA SILVA</t>
  </si>
  <si>
    <t>00686447420028260050</t>
  </si>
  <si>
    <t>Saúde Pública</t>
  </si>
  <si>
    <t>00696121620168260050</t>
  </si>
  <si>
    <t>VITOR AQUAROLI DEL PAPA</t>
  </si>
  <si>
    <t>KAYAN ASSIS DI MISCIO</t>
  </si>
  <si>
    <t>00700279620168260050</t>
  </si>
  <si>
    <t>ADILSON LIMA DOS SANTOS</t>
  </si>
  <si>
    <t>00709525820178260050</t>
  </si>
  <si>
    <t>JONATHAN PEREIRA</t>
  </si>
  <si>
    <t>00748216320168260050</t>
  </si>
  <si>
    <t>MARCOS HENRIQUE MENDES XAVIER</t>
  </si>
  <si>
    <t>BRUNO NASCIMENTO NOGUEIRA</t>
  </si>
  <si>
    <t>00769720220168260050</t>
  </si>
  <si>
    <t>DAVID FERNANDES SANTANA</t>
  </si>
  <si>
    <t>00774848220168260050</t>
  </si>
  <si>
    <t>PETTERSON FABRIT DIAS</t>
  </si>
  <si>
    <t>00795737820168260050</t>
  </si>
  <si>
    <t>MARIO SERGIO  PEREIRA GALASSI</t>
  </si>
  <si>
    <t>00803280520168260050</t>
  </si>
  <si>
    <t>GUILHERME CANDIDO DA SILVA</t>
  </si>
  <si>
    <t>00809456220168260050</t>
  </si>
  <si>
    <t>JOELITON DOS SANTOS BARBOSA</t>
  </si>
  <si>
    <t>GIDEONE ARRUDA SANTOS</t>
  </si>
  <si>
    <t>LUCAS OLIVEIRA  DOS SANTOS</t>
  </si>
  <si>
    <t>00823633520168260050</t>
  </si>
  <si>
    <t>ANDERSON SILVA ALVES</t>
  </si>
  <si>
    <t>00836243520168260050</t>
  </si>
  <si>
    <t>CICERO SOARES XAVIER DA CRUZ</t>
  </si>
  <si>
    <t>00858614220168260050</t>
  </si>
  <si>
    <t>GUILHERME VIEIRA DOS SANTOS</t>
  </si>
  <si>
    <t>00873461420158260050</t>
  </si>
  <si>
    <t>MARCIO DOS SANTOS FEITOSA</t>
  </si>
  <si>
    <t>00874377020168260050</t>
  </si>
  <si>
    <t>JOAO PAULO PEREIRA</t>
  </si>
  <si>
    <t>00889325220168260050</t>
  </si>
  <si>
    <t>GABRIEL ANGEL ANTONIO FLORES</t>
  </si>
  <si>
    <t>00893976120168260050</t>
  </si>
  <si>
    <t>LUIZ OTAVIO SANTOS DA SILVA</t>
  </si>
  <si>
    <t>00900125120168260050</t>
  </si>
  <si>
    <t>RODOLPHE GINDUWA KITUMBA</t>
  </si>
  <si>
    <t>IRENE KITUMBA MAZAGA</t>
  </si>
  <si>
    <t>00902500720158260050</t>
  </si>
  <si>
    <t>RICARDO FLAVIO DE CARVALHO</t>
  </si>
  <si>
    <t>00905624620168260050</t>
  </si>
  <si>
    <t>CARLOS ANDRE SANTOS MATOS</t>
  </si>
  <si>
    <t>00914830520168260050</t>
  </si>
  <si>
    <t>PATRICK WALACE DE OLIVEIRA QUEIROZ</t>
  </si>
  <si>
    <t>00970207920168260050</t>
  </si>
  <si>
    <t>JEISON SUTKEWICIUS NOMURA</t>
  </si>
  <si>
    <t>00982003320168260050</t>
  </si>
  <si>
    <t>VICTOR HUGO DANTAS DE ANDRADE</t>
  </si>
  <si>
    <t>00988199420158260050</t>
  </si>
  <si>
    <t>THACILIO HENRIQUE MOREIRA DOS SANTOS</t>
  </si>
  <si>
    <t>00995080720168260050</t>
  </si>
  <si>
    <t>WESLEY DE LIMA OLIVEIRA ALMEIDA</t>
  </si>
  <si>
    <t>01011848720168260050</t>
  </si>
  <si>
    <t>EDINALDO DA SILVA</t>
  </si>
  <si>
    <t>ROSEVAL DA PAIXAO DOS SANTOS</t>
  </si>
  <si>
    <t>01014602120168260050</t>
  </si>
  <si>
    <t>CESAR ROBERTO DOS SANTOS OLIVEIRA JUNIOR</t>
  </si>
  <si>
    <t>ARNALDO ANCELMO DOS SANTOS JUNIOR</t>
  </si>
  <si>
    <t>01019512820168260050</t>
  </si>
  <si>
    <t>JOAO PEDRO CAMELO DIAS</t>
  </si>
  <si>
    <t>01020486220158260050</t>
  </si>
  <si>
    <t>FELIPE GOMES DA ROCHA</t>
  </si>
  <si>
    <t>01030503320168260050</t>
  </si>
  <si>
    <t>RENAN MATIAS DA SILVA</t>
  </si>
  <si>
    <t>01033044020158260050</t>
  </si>
  <si>
    <t>EVANGINALDO SOUZA ALVES</t>
  </si>
  <si>
    <t>01036228620168260050</t>
  </si>
  <si>
    <t>MARCELO NOVAIS DE OLIVEIRA</t>
  </si>
  <si>
    <t>01102428520148260050</t>
  </si>
  <si>
    <t>AILTON DE SOUZA VENANCIO DOS SANTOS</t>
  </si>
  <si>
    <t>ANDRE OLIVEIRA QUEIROS</t>
  </si>
  <si>
    <t>00006786920178260050</t>
  </si>
  <si>
    <t>ROBSON YURI CARVALHO SILVA</t>
  </si>
  <si>
    <t>00007141420178260050</t>
  </si>
  <si>
    <t>MURILO DONIZETE DA SILVA</t>
  </si>
  <si>
    <t>00009437120178260050</t>
  </si>
  <si>
    <t>CRISTIANA MATOS OLIVEIRA DO NASCIMENTO</t>
  </si>
  <si>
    <t>WILLIAN DOS SANTOS TEIXEIRA</t>
  </si>
  <si>
    <t>00016529720178260635</t>
  </si>
  <si>
    <t>OZIEL OLIVEIRA LOPES</t>
  </si>
  <si>
    <t>00019880420178260635</t>
  </si>
  <si>
    <t>LUCAS FERNANDES BENTO</t>
  </si>
  <si>
    <t>00025310720178260635</t>
  </si>
  <si>
    <t>MARCOS SABINO ROMANO DOS SANTOS</t>
  </si>
  <si>
    <t>00027883220178260635</t>
  </si>
  <si>
    <t>MICAEL FELIX DA SILVA</t>
  </si>
  <si>
    <t>00033305920178260050</t>
  </si>
  <si>
    <t>RENATO PEREIRA VIANA</t>
  </si>
  <si>
    <t>00033720220178260635</t>
  </si>
  <si>
    <t>THIAGO BEZERRA DA SILVA</t>
  </si>
  <si>
    <t>00035963720178260635</t>
  </si>
  <si>
    <t>CAIO HENRIQUE DA ROCHA</t>
  </si>
  <si>
    <t>00036657820178260050</t>
  </si>
  <si>
    <t>LUIZ DE LIMA FILHO</t>
  </si>
  <si>
    <t>00039838620168260635</t>
  </si>
  <si>
    <t>DELVI ANDRES RODRIGUEZ</t>
  </si>
  <si>
    <t>OSCAR FLAVIO GOMES GUEDES</t>
  </si>
  <si>
    <t>00043221120178260635</t>
  </si>
  <si>
    <t>CAIO AUGUSTO DE SOUZA</t>
  </si>
  <si>
    <t>00048392520178260050</t>
  </si>
  <si>
    <t>DANILO LUIZ VIEIRA ALEXANDRE</t>
  </si>
  <si>
    <t>00049483020178260635</t>
  </si>
  <si>
    <t>MATHEUS GONÇALVES DO BONFIM</t>
  </si>
  <si>
    <t>00052644320178260635</t>
  </si>
  <si>
    <t>FERNANDO MARCOS FRAGA</t>
  </si>
  <si>
    <t>00054021020178260635</t>
  </si>
  <si>
    <t>GLEIDSON FERREIRA DO NASCIMENTO</t>
  </si>
  <si>
    <t>00056714920178260635</t>
  </si>
  <si>
    <t>LUIS CARLOS FELIX DOS SANTOS</t>
  </si>
  <si>
    <t>00058516520178260635</t>
  </si>
  <si>
    <t>FLAVIO LOPES OLIVEIRA</t>
  </si>
  <si>
    <t>00060551220178260635</t>
  </si>
  <si>
    <t>ALEXSANDRO DUARTE DA SILVA</t>
  </si>
  <si>
    <t>00063444220178260635</t>
  </si>
  <si>
    <t>JOSE PAULO DOS SANTOS FILHO</t>
  </si>
  <si>
    <t>00067316620178260050</t>
  </si>
  <si>
    <t>JEFFERSON SEVERINO DA SILVA</t>
  </si>
  <si>
    <t>00072936620178260635</t>
  </si>
  <si>
    <t>CARLA LOPES DA SILVA</t>
  </si>
  <si>
    <t>00084004820178260635</t>
  </si>
  <si>
    <t>ROMILDO CICERO DOS SANTOS</t>
  </si>
  <si>
    <t>00090408520168260635</t>
  </si>
  <si>
    <t>CAIO FELIPE DA SILVA</t>
  </si>
  <si>
    <t>JAQUELINE PEREIRA DA SILVA</t>
  </si>
  <si>
    <t>00092853320158260635</t>
  </si>
  <si>
    <t>MARCOS ALMEIDA DE OLIVEIRA</t>
  </si>
  <si>
    <t>KENETY ANDERSON MARCONDES DE ALMEIDA</t>
  </si>
  <si>
    <t>00096023120158260635</t>
  </si>
  <si>
    <t>MARIANA DE CASSIA CARVALHO CAMPANELLO</t>
  </si>
  <si>
    <t>00102886120178260050</t>
  </si>
  <si>
    <t>ALEKSANDRO FELIPE DA SILVA</t>
  </si>
  <si>
    <t>00103875620168260635</t>
  </si>
  <si>
    <t>JOAO GABRIEL NAUFAL</t>
  </si>
  <si>
    <t>00105226820168260635</t>
  </si>
  <si>
    <t>LUCAS ALBERTO DOS SANTOS</t>
  </si>
  <si>
    <t>BRUNO VICTOR DE OLIVEIRA SANTANA</t>
  </si>
  <si>
    <t>00108482820168260635</t>
  </si>
  <si>
    <t>MARCOS HENRIQUE SOUZA DOS SANTOS</t>
  </si>
  <si>
    <t>THAIS LUCIA GREGORIO</t>
  </si>
  <si>
    <t>00110870720178260050</t>
  </si>
  <si>
    <t>POLIANA DE SOUZA RAIMUNDO</t>
  </si>
  <si>
    <t>00116925020178260050</t>
  </si>
  <si>
    <t>ANA PAULA DO NASCIMENTO</t>
  </si>
  <si>
    <t>00117014620168260050</t>
  </si>
  <si>
    <t>ANGELICA DOS SANTOS PINHEIRO</t>
  </si>
  <si>
    <t>00118044420168260635</t>
  </si>
  <si>
    <t>EDUARDO PEREIRA DE SOUZA</t>
  </si>
  <si>
    <t>00119843520178260050</t>
  </si>
  <si>
    <t>JOSE WESLEY SILVA SOUSA</t>
  </si>
  <si>
    <t>00120192020168260635</t>
  </si>
  <si>
    <t>WESLEY HENRIQUE OLIVEIRA ASSUNÇAO</t>
  </si>
  <si>
    <t>ROBERTO REGINALDO SILVA ALENCAR</t>
  </si>
  <si>
    <t>00124938820168260635</t>
  </si>
  <si>
    <t>JONATHAN DA SILVA ALMEIDA</t>
  </si>
  <si>
    <t>00129156320168260635</t>
  </si>
  <si>
    <t>SEVERINO ARAUJO DOS SANTOS</t>
  </si>
  <si>
    <t>00129944220168260635</t>
  </si>
  <si>
    <t>LUIZ PROFIRO</t>
  </si>
  <si>
    <t>00130342420168260635</t>
  </si>
  <si>
    <t>RAFAEL MIRANDA MARTINS- 16 ANOS</t>
  </si>
  <si>
    <t>WENDEL JACKSON FERREIRA DE SOUSA- 16 ANOS</t>
  </si>
  <si>
    <t>HITALO PEIXOTO ALVES DE ALMEIDA- 16 ANOS</t>
  </si>
  <si>
    <t>HERBERTH ARAUJO BARROS</t>
  </si>
  <si>
    <t>00130851020178260050</t>
  </si>
  <si>
    <t>VALDIR RAMOS BARCELA ELIAS</t>
  </si>
  <si>
    <t>00136170920168260635</t>
  </si>
  <si>
    <t>Wagner Santana Reis</t>
  </si>
  <si>
    <t>00136186620178260050</t>
  </si>
  <si>
    <t>OSCAR MAXIMO CESARIO JUNIOR</t>
  </si>
  <si>
    <t>00157353020178260050</t>
  </si>
  <si>
    <t>MICHAEL RICHARD INACIO MARQUES</t>
  </si>
  <si>
    <t>00168681020178260050</t>
  </si>
  <si>
    <t>ANDRE LUIZ PRADO BARBOSA</t>
  </si>
  <si>
    <t>00174651320168260050</t>
  </si>
  <si>
    <t>ARISTOBULO MACHADO BARBOSA</t>
  </si>
  <si>
    <t>IVYS THIAGO SIMAO GOMES</t>
  </si>
  <si>
    <t>00193728620178260050</t>
  </si>
  <si>
    <t>VICTOR DELMASCHIO DE JESUS</t>
  </si>
  <si>
    <t>00199915020168260050</t>
  </si>
  <si>
    <t>JOAQUIM ANASTACIO ROSA SEGUNDO</t>
  </si>
  <si>
    <t>00204857520178260050</t>
  </si>
  <si>
    <t>00209152720178260050</t>
  </si>
  <si>
    <t>RITA DE CASSIA VALDETE TARIFE</t>
  </si>
  <si>
    <t>00215718120178260050</t>
  </si>
  <si>
    <t>MARCOS ROBERTO DUARTE</t>
  </si>
  <si>
    <t>00216275120168260050</t>
  </si>
  <si>
    <t>GABRIEL PEREIRA DA SILVA</t>
  </si>
  <si>
    <t>00232199620178260050</t>
  </si>
  <si>
    <t>ADALBERTO ROCHA REIS</t>
  </si>
  <si>
    <t>DENIS CUELLAR THEODOSIO</t>
  </si>
  <si>
    <t>00242080520178260050</t>
  </si>
  <si>
    <t>CARLOS EDUARDO PEREIRA DE ALMEIDA GALVAO</t>
  </si>
  <si>
    <t>00246844320178260050</t>
  </si>
  <si>
    <t>ADRIANO DE SOUSA CUNHA</t>
  </si>
  <si>
    <t>00250568920178260050</t>
  </si>
  <si>
    <t>PAULO ROBERTO EVANGELISTA</t>
  </si>
  <si>
    <t>00254206120178260050</t>
  </si>
  <si>
    <t>RAFAEL GONCALVES DE PAULA</t>
  </si>
  <si>
    <t>00304377820178260050</t>
  </si>
  <si>
    <t>ELLEN KAROLINE FREIRES DA ROCHA</t>
  </si>
  <si>
    <t>00323647920178260050</t>
  </si>
  <si>
    <t>EDSON RAMOS DA SILVA</t>
  </si>
  <si>
    <t>00331580320178260050</t>
  </si>
  <si>
    <t>00382072520178260050</t>
  </si>
  <si>
    <t>00407130820168260050</t>
  </si>
  <si>
    <t>THIAGO CARVALHO BIANQUE DE ARAUJO</t>
  </si>
  <si>
    <t>00418188320178260050</t>
  </si>
  <si>
    <t>JONAS LACERDA SOARES</t>
  </si>
  <si>
    <t>00421617920178260050</t>
  </si>
  <si>
    <t>ELIDIA PATRICIA BESRUTCHKA</t>
  </si>
  <si>
    <t>00433023620178260050</t>
  </si>
  <si>
    <t>WILTON CLEMENTE SILVA</t>
  </si>
  <si>
    <t>00440341720178260050</t>
  </si>
  <si>
    <t>EVANDRO ROCHA CONCEICAO</t>
  </si>
  <si>
    <t>00446681320178260050</t>
  </si>
  <si>
    <t>CAROLINE RODRIGUES DE PAULA</t>
  </si>
  <si>
    <t>00448916320178260050</t>
  </si>
  <si>
    <t>GUSTAVO SANTOS FERREIRA DA SILVA</t>
  </si>
  <si>
    <t>00495467820178260050</t>
  </si>
  <si>
    <t>EDIMILSON GOMES DA SILVA</t>
  </si>
  <si>
    <t>00505522320178260050</t>
  </si>
  <si>
    <t>THAINARA PEREIRA RAMOS</t>
  </si>
  <si>
    <t>00526958220178260050</t>
  </si>
  <si>
    <t>WESLEY DA SILVA SANTOS</t>
  </si>
  <si>
    <t>00529844920168260050</t>
  </si>
  <si>
    <t>JIDIEL MIRANDA CRUZ</t>
  </si>
  <si>
    <t>00553312120178260050</t>
  </si>
  <si>
    <t>WESLEY RAFAEL FERREIRA MACHADO</t>
  </si>
  <si>
    <t>00570149320178260050</t>
  </si>
  <si>
    <t>FRANCISCO EDSON COSTA DOS ANJOS</t>
  </si>
  <si>
    <t>00581295220178260050</t>
  </si>
  <si>
    <t>ALEX ALVES DE SOUSA</t>
  </si>
  <si>
    <t>00585629020168260050</t>
  </si>
  <si>
    <t>ANDREW GOMES LUCIO</t>
  </si>
  <si>
    <t>00630947320178260050</t>
  </si>
  <si>
    <t>RONALDO MARTINS DA SILVA</t>
  </si>
  <si>
    <t>00635866520178260050</t>
  </si>
  <si>
    <t>WELLINGTON DOS SANTOS</t>
  </si>
  <si>
    <t>00657665420178260050</t>
  </si>
  <si>
    <t>RAMON DESIDERIO MACEDO</t>
  </si>
  <si>
    <t>00666655220178260050</t>
  </si>
  <si>
    <t>IGOR FRANCISCO DE SOUZA GOMES</t>
  </si>
  <si>
    <t>00680226720178260050</t>
  </si>
  <si>
    <t>DEIVID DE SOUZA GONCALVES</t>
  </si>
  <si>
    <t>00685608220168260050</t>
  </si>
  <si>
    <t>DOUGLAS COSTA BARBOSA</t>
  </si>
  <si>
    <t>00694481720178260050</t>
  </si>
  <si>
    <t>WESLEY DE SOUZA DA SILVA</t>
  </si>
  <si>
    <t>00695966220168260050</t>
  </si>
  <si>
    <t>LUCAS XAVIER DO AMARAL DE OLIVEIRA</t>
  </si>
  <si>
    <t>00697868820178260050</t>
  </si>
  <si>
    <t>VILMA SOUZA DE OLIVEIRA</t>
  </si>
  <si>
    <t>00703064820178260050</t>
  </si>
  <si>
    <t>GREGORE CAIQUE FLORIANO</t>
  </si>
  <si>
    <t>00737620620178260050</t>
  </si>
  <si>
    <t>IVAN ATILA ALMEIDA DOS SANTOS</t>
  </si>
  <si>
    <t>00743519520178260050</t>
  </si>
  <si>
    <t>NILSON JESUS DOS SANTOS SILVA</t>
  </si>
  <si>
    <t>00762226320178260050</t>
  </si>
  <si>
    <t>MATEUS BOMBASSEI CAMPOS</t>
  </si>
  <si>
    <t>THIAGO MAIA</t>
  </si>
  <si>
    <t>00766290620168260050</t>
  </si>
  <si>
    <t>JOSE BENEDITO DA SILVA</t>
  </si>
  <si>
    <t>00776501720168260050</t>
  </si>
  <si>
    <t>00788623920178260050</t>
  </si>
  <si>
    <t>LUIS CLAUDIO DA SILVA</t>
  </si>
  <si>
    <t>00790619520168260050</t>
  </si>
  <si>
    <t>JOSABERGTON OLIVEIRA SILVESTRE</t>
  </si>
  <si>
    <t>00798921220178260050</t>
  </si>
  <si>
    <t>LUIZ GUILHERME DE MIRANDA</t>
  </si>
  <si>
    <t>00810780720168260050</t>
  </si>
  <si>
    <t>GETULIO SOUZA SERRA</t>
  </si>
  <si>
    <t>00828905020178260050</t>
  </si>
  <si>
    <t>ALEX GABRIEL DE SOUZA BRAGA</t>
  </si>
  <si>
    <t>00832026020168260050</t>
  </si>
  <si>
    <t>EDUARDO VIEIRA DA SILVA</t>
  </si>
  <si>
    <t>00838605020178260050</t>
  </si>
  <si>
    <t>JOSE ALDEBERG GOMES</t>
  </si>
  <si>
    <t>00850273920168260050</t>
  </si>
  <si>
    <t>LEANDRO FERREIRA DA COSTA</t>
  </si>
  <si>
    <t>00871796020168260050</t>
  </si>
  <si>
    <t>WASHINGTON LUIZ DE MORAES</t>
  </si>
  <si>
    <t>00872060920178260050</t>
  </si>
  <si>
    <t>ANDERSON FLORENCO DIAS</t>
  </si>
  <si>
    <t>ANDERSON SOUZA DA CRUZ</t>
  </si>
  <si>
    <t>00875401420158260050</t>
  </si>
  <si>
    <t>JONAS WELLINGTON PEDROZO DE SOUZA</t>
  </si>
  <si>
    <t>LAZARO DE JESUS PEREIRA</t>
  </si>
  <si>
    <t>00876573420178260050</t>
  </si>
  <si>
    <t>WILLIAN ROBERTO DE SOUSA CARMO</t>
  </si>
  <si>
    <t>00885947820168260050</t>
  </si>
  <si>
    <t>LEONARDO FERREIRA</t>
  </si>
  <si>
    <t>00890278220168260050</t>
  </si>
  <si>
    <t>GUSTAVO DOS SANTOS VIEIRA</t>
  </si>
  <si>
    <t>00894310220178260050</t>
  </si>
  <si>
    <t>MICHAEL MACARIO SIMPLICIO FERREIRA</t>
  </si>
  <si>
    <t>00895006820168260050</t>
  </si>
  <si>
    <t>00900497820168260050</t>
  </si>
  <si>
    <t>NILTON FELIPE PIRES</t>
  </si>
  <si>
    <t>00903918920168260050</t>
  </si>
  <si>
    <t>ADRIANA SEGULINI DE MACEDO</t>
  </si>
  <si>
    <t>FELIPE SEGULINI DE MACEDO</t>
  </si>
  <si>
    <t>00920867820168260050</t>
  </si>
  <si>
    <t>00955025420168260050</t>
  </si>
  <si>
    <t>RONY ARAUJO OLIVEIRA</t>
  </si>
  <si>
    <t>00970155720168260050</t>
  </si>
  <si>
    <t>RONALD FLORIANO DA SILVA</t>
  </si>
  <si>
    <t>00978496020168260050</t>
  </si>
  <si>
    <t>VALTER DOS ANJOS CRUZ JUNIOR</t>
  </si>
  <si>
    <t>00994397220168260050</t>
  </si>
  <si>
    <t>CRISTIANO DE LIMA ARAUJO</t>
  </si>
  <si>
    <t>00999354320128260050</t>
  </si>
  <si>
    <t>LIDIANE FERREIRA CARNEIRO</t>
  </si>
  <si>
    <t>01037163420168260050</t>
  </si>
  <si>
    <t>KAUE GEOVANNI DE OLIVEIRA TAVARES</t>
  </si>
  <si>
    <t>01040454620168260050</t>
  </si>
  <si>
    <t>RICARDO NEDER</t>
  </si>
  <si>
    <t>00000334420178260050</t>
  </si>
  <si>
    <t>WESLEY REIS AGUIAR</t>
  </si>
  <si>
    <t>JONATHAN D AJUDA SANTOS</t>
  </si>
  <si>
    <t>00006249420178260635</t>
  </si>
  <si>
    <t>EDINALDO  ALMEIDA DE LIMA</t>
  </si>
  <si>
    <t>00006769020178260635</t>
  </si>
  <si>
    <t>GUILHERME MARQUES DA ROCHA</t>
  </si>
  <si>
    <t>00007722220148260050</t>
  </si>
  <si>
    <t>GERSON RODRIGUES DA SILVA</t>
  </si>
  <si>
    <t>MARCIO SANTANA</t>
  </si>
  <si>
    <t>DAVI ARIEL PEREIRA DE SOUZA</t>
  </si>
  <si>
    <t>00009116620178260050</t>
  </si>
  <si>
    <t>CARLOS EDUARDO DE OLIVEIRA BATISTA</t>
  </si>
  <si>
    <t>00013585420178260050</t>
  </si>
  <si>
    <t>LEANDRO DE PAULA BARROS</t>
  </si>
  <si>
    <t>BRUNO DA SILVA SANTOS</t>
  </si>
  <si>
    <t>00014009420178260635</t>
  </si>
  <si>
    <t>RIBAMAR SILVA ROCHA</t>
  </si>
  <si>
    <t>00015657820168260635</t>
  </si>
  <si>
    <t>THIERNO ALGASSIMOU</t>
  </si>
  <si>
    <t>CHRISTOPHER UCHI</t>
  </si>
  <si>
    <t>00022054720178260635</t>
  </si>
  <si>
    <t>MARCOS RODRIGUES BELO</t>
  </si>
  <si>
    <t>00026515920178260050</t>
  </si>
  <si>
    <t>JOSE HELIO LUCIANO DA SILVA</t>
  </si>
  <si>
    <t>00032482820178260050</t>
  </si>
  <si>
    <t>IGOR AMORIM DE OLIVEIRA</t>
  </si>
  <si>
    <t>00033131420178260635</t>
  </si>
  <si>
    <t>ANDRE PAZ MARCELINO</t>
  </si>
  <si>
    <t>00035825320178260635</t>
  </si>
  <si>
    <t>JOSE MARIO LOPES DE OLIVEIRA</t>
  </si>
  <si>
    <t>00036786820178260635</t>
  </si>
  <si>
    <t>NILSON DE SOUZA</t>
  </si>
  <si>
    <t>00039489220178260635</t>
  </si>
  <si>
    <t>DANIEL DE JESUS DOS ANJOS</t>
  </si>
  <si>
    <t>00043030520178260635</t>
  </si>
  <si>
    <t>ROBERT FAIAL DE CARVALHO</t>
  </si>
  <si>
    <t>00047467220118260050</t>
  </si>
  <si>
    <t>Maria Aparecida Garcia</t>
  </si>
  <si>
    <t>Anaia Luiza Garcia Soares</t>
  </si>
  <si>
    <t>Cristiane da Silva Dantas</t>
  </si>
  <si>
    <t>Fernanda Aparecida Barranqueiro</t>
  </si>
  <si>
    <t>00052376920178260050</t>
  </si>
  <si>
    <t>JOSE JORGE DA COSTA</t>
  </si>
  <si>
    <t>00053519620178260635</t>
  </si>
  <si>
    <t>JOHNATAN VIEIRA DA SILVA</t>
  </si>
  <si>
    <t>GENILSON FREIRE SOARES</t>
  </si>
  <si>
    <t>RENE ALEXANDRE SANTOS DE SOUZA</t>
  </si>
  <si>
    <t>00062006820178260635</t>
  </si>
  <si>
    <t>DOUGLAS VINICIUS MENDES</t>
  </si>
  <si>
    <t>00066354220178260635</t>
  </si>
  <si>
    <t>MATHEUS SANTOS DE LIMA</t>
  </si>
  <si>
    <t>00067394320178260050</t>
  </si>
  <si>
    <t>AUGUSTO CESAR DE OLIVEIRA</t>
  </si>
  <si>
    <t>00068155820178260635</t>
  </si>
  <si>
    <t>WILLIAN GONÇALVES DE SOUZA</t>
  </si>
  <si>
    <t>00072555420178260635</t>
  </si>
  <si>
    <t>FERNANDO ALVES FERREIRA</t>
  </si>
  <si>
    <t>00084082520178260635</t>
  </si>
  <si>
    <t>RICARDO DOS SANTOS CARVALHO</t>
  </si>
  <si>
    <t>00086221620178260635</t>
  </si>
  <si>
    <t>LARISSA ALVES SANTOS</t>
  </si>
  <si>
    <t>00087625020178260635</t>
  </si>
  <si>
    <t>JOHN KENNEDY PEREIRA DA SILVA</t>
  </si>
  <si>
    <t>00090101620178260635</t>
  </si>
  <si>
    <t>DANIEL OLIVEIRA DE CAMARGO</t>
  </si>
  <si>
    <t>00090465820178260635</t>
  </si>
  <si>
    <t>DAVID PEREIRA LIMA</t>
  </si>
  <si>
    <t>00092987020178260050</t>
  </si>
  <si>
    <t>MARCELO RODRIGUES JUNIOR</t>
  </si>
  <si>
    <t>00095767120178260050</t>
  </si>
  <si>
    <t>JOSE AUGUSTO LEITE</t>
  </si>
  <si>
    <t>00096552120158260050</t>
  </si>
  <si>
    <t>JACKSON FERNANDO PEREIRA DE ALMEIDA</t>
  </si>
  <si>
    <t>00101900420168260635</t>
  </si>
  <si>
    <t>JAQUELINE FERREIRA PESSOA</t>
  </si>
  <si>
    <t>00102914120168260635</t>
  </si>
  <si>
    <t>JOSE BRITO DE SOUZA</t>
  </si>
  <si>
    <t>00106777120168260635</t>
  </si>
  <si>
    <t>LEONARDO LEITE DOS SANTOS</t>
  </si>
  <si>
    <t>00110160520178260050</t>
  </si>
  <si>
    <t>JONATAN TELES BARBOZA DE SOUZA</t>
  </si>
  <si>
    <t>00113272120168260635</t>
  </si>
  <si>
    <t>VINICIUS FERNANDES SATO</t>
  </si>
  <si>
    <t>00115496120178260050</t>
  </si>
  <si>
    <t>ALAN RAMOS SANTIAGO</t>
  </si>
  <si>
    <t>00118823820168260635</t>
  </si>
  <si>
    <t>ADELSON ALVES NUNES</t>
  </si>
  <si>
    <t>00119107820178260050</t>
  </si>
  <si>
    <t>NATHALIA MELO CORDEIRO RIBAS</t>
  </si>
  <si>
    <t>00121404820168260635</t>
  </si>
  <si>
    <t>GUILHERME AURELIANO DA SILVA</t>
  </si>
  <si>
    <t>00124555120178260050</t>
  </si>
  <si>
    <t>MARCOS DA SILVA FEITOSA</t>
  </si>
  <si>
    <t>PAULO HENRIQUE MAGALDE TEIXEIRA</t>
  </si>
  <si>
    <t>GABRIEL PEREIRA ARAUJO</t>
  </si>
  <si>
    <t>00129867420168260050</t>
  </si>
  <si>
    <t>JESSIKA CHIARELLA FARRAT DA SILVA</t>
  </si>
  <si>
    <t>00131552720178260050</t>
  </si>
  <si>
    <t>JULIO TADEU NOGUEIRA</t>
  </si>
  <si>
    <t>00138041720168260635</t>
  </si>
  <si>
    <t>GABRIEL JUSTINIANO MESSIAS</t>
  </si>
  <si>
    <t>00142595420178260050</t>
  </si>
  <si>
    <t>ALESSANDRO DA SILVA GONCALVES</t>
  </si>
  <si>
    <t>00146579820178260050</t>
  </si>
  <si>
    <t>LEONARDO FRANCISCO DA SILVA ALVES</t>
  </si>
  <si>
    <t>00157673520178260050</t>
  </si>
  <si>
    <t>SANDRO  NASCIMENTO DA ROCHA</t>
  </si>
  <si>
    <t>00173297920178260050</t>
  </si>
  <si>
    <t>LINCOLN CAPORALLI</t>
  </si>
  <si>
    <t>00204995920178260050</t>
  </si>
  <si>
    <t>RENATO DE MELO BARBOSA</t>
  </si>
  <si>
    <t>00211032020178260050</t>
  </si>
  <si>
    <t>VITOR DE PAULA FERREIRA</t>
  </si>
  <si>
    <t>00224741920178260050</t>
  </si>
  <si>
    <t>ALENCAR DIOGO FERREIRA</t>
  </si>
  <si>
    <t>00241751520178260050</t>
  </si>
  <si>
    <t>WILLIAN PEDRO DE MORAES NATALINO</t>
  </si>
  <si>
    <t>00249572220178260050</t>
  </si>
  <si>
    <t>DIEGO SANTOS DE OLIVEIRA</t>
  </si>
  <si>
    <t>THIAGO PEDRO DA SILVA</t>
  </si>
  <si>
    <t>00261949120178260050</t>
  </si>
  <si>
    <t>FELIPE THIAGO RIBEIRO LOPES</t>
  </si>
  <si>
    <t>00270367120178260050</t>
  </si>
  <si>
    <t>LUCIANO FRANCISCO DE OLIVEIRA</t>
  </si>
  <si>
    <t>00286207620178260050</t>
  </si>
  <si>
    <t>EBER VINICIUS SILVA DE ALMEIDA</t>
  </si>
  <si>
    <t>00292238620168260050</t>
  </si>
  <si>
    <t>00295664820178260050</t>
  </si>
  <si>
    <t>DIOGO LISBOA DOS SANTOS</t>
  </si>
  <si>
    <t>DIOGO DOS SANTOS</t>
  </si>
  <si>
    <t>00313477620158260050</t>
  </si>
  <si>
    <t>MARCELO AUGUSTO GONÇALVES DOS SANTOS</t>
  </si>
  <si>
    <t>CARLOS HENRIQUE DOS SANTOS</t>
  </si>
  <si>
    <t>MILTON TEIXEIRA DA SILVA</t>
  </si>
  <si>
    <t>00323130520168260050</t>
  </si>
  <si>
    <t>JEFFERSON WELLINGTON BERTOLDO DA SILVA</t>
  </si>
  <si>
    <t>00339522420178260050</t>
  </si>
  <si>
    <t>JOSE IGOR BEZERRA LUSTOSA</t>
  </si>
  <si>
    <t>JOAO PARIS JUNIOR</t>
  </si>
  <si>
    <t>00377993420178260050</t>
  </si>
  <si>
    <t>LAURENTINO JOSE BATISTA NETO</t>
  </si>
  <si>
    <t>00382340820178260050</t>
  </si>
  <si>
    <t>HENRIQUE DA SILVA SEVERO</t>
  </si>
  <si>
    <t>00390837720178260050</t>
  </si>
  <si>
    <t>RAFAEL SANTANA DA SILVA</t>
  </si>
  <si>
    <t>00399853020178260050</t>
  </si>
  <si>
    <t>ROMARIO DESIDERIO MACEDO</t>
  </si>
  <si>
    <t>00405777420178260050</t>
  </si>
  <si>
    <t>ALEX GAMA BERTOLDO DA SILVA</t>
  </si>
  <si>
    <t>VILSON GABRIEL CASAGRANDE RIBEIRO</t>
  </si>
  <si>
    <t>00409423120178260050</t>
  </si>
  <si>
    <t>CLAUDEMIR PASSOS</t>
  </si>
  <si>
    <t>00411943420178260050</t>
  </si>
  <si>
    <t>RANDERSON CLEITON DA SILVA</t>
  </si>
  <si>
    <t>00415538120178260050</t>
  </si>
  <si>
    <t>HENRIQUE SARMENTO GRACIANO</t>
  </si>
  <si>
    <t>00418230820178260050</t>
  </si>
  <si>
    <t>JOSEBIAS JOAO DO NASCIMENTO</t>
  </si>
  <si>
    <t>IZABEL PEREIRA RODRIGUES</t>
  </si>
  <si>
    <t>MARCELO APARECIDO DE OLIVEIRA VICTORIO</t>
  </si>
  <si>
    <t>EVA ADRIANA PEREIRA</t>
  </si>
  <si>
    <t>ELI LOPES DE LIMA SANTOS</t>
  </si>
  <si>
    <t>RITA DE CASSIA BEZERRA</t>
  </si>
  <si>
    <t>00424620220128260050</t>
  </si>
  <si>
    <t>LUCIANO DIAS DOS SANTOS</t>
  </si>
  <si>
    <t>00426363520178260050</t>
  </si>
  <si>
    <t>CLAYTON LOPES PEREIRA DE SOUSA</t>
  </si>
  <si>
    <t>00427726620168260050</t>
  </si>
  <si>
    <t>MARCELO GUARANA MARTINS</t>
  </si>
  <si>
    <t>ERICK ROMERO COLOMBO</t>
  </si>
  <si>
    <t>00438650620128260050</t>
  </si>
  <si>
    <t>RENATA VIEIRA RAMOS</t>
  </si>
  <si>
    <t>00441294720178260050</t>
  </si>
  <si>
    <t>ANA PAULA AMANCIO</t>
  </si>
  <si>
    <t>00454545720178260050</t>
  </si>
  <si>
    <t>NATAN MALAQUIAS BATISTA</t>
  </si>
  <si>
    <t>LUCA GABRIEL AVANCINI</t>
  </si>
  <si>
    <t>00459309520178260050</t>
  </si>
  <si>
    <t>LENO DE MATOS PEREIRA</t>
  </si>
  <si>
    <t>00473573020178260050</t>
  </si>
  <si>
    <t>RAFAEL FERREIRA DA SILVA</t>
  </si>
  <si>
    <t>00478244320168260050</t>
  </si>
  <si>
    <t>ELSON BRITO DOS SANTOS</t>
  </si>
  <si>
    <t>00495849020178260050</t>
  </si>
  <si>
    <t>EDMILSON CARVALHO DO NASCIMENTO</t>
  </si>
  <si>
    <t>00500542420178260050</t>
  </si>
  <si>
    <t>ERIK CARLOS DE CARVALHO</t>
  </si>
  <si>
    <t>00502771120168260050</t>
  </si>
  <si>
    <t>RAFAEL DOUGLAS MONTEIRO DA SILVA</t>
  </si>
  <si>
    <t>00505947220178260050</t>
  </si>
  <si>
    <t>ALBERTO DENIS SANTOS</t>
  </si>
  <si>
    <t>ANDERSON APARECIDO DE OLIVEIRA</t>
  </si>
  <si>
    <t>00524754120048260050</t>
  </si>
  <si>
    <t>Anderson Carlos Fanti</t>
  </si>
  <si>
    <t>Elson Siqueira de Oliveira</t>
  </si>
  <si>
    <t>Alex Remorini</t>
  </si>
  <si>
    <t>Wagner Cavalcante Meneguci</t>
  </si>
  <si>
    <t>Evaldo Sa Telles da Silva</t>
  </si>
  <si>
    <t>00527798320178260050</t>
  </si>
  <si>
    <t>ROSANGELA DE FIGUEREDO</t>
  </si>
  <si>
    <t>00529304920178260050</t>
  </si>
  <si>
    <t>EDSON PAULO DA SILVA</t>
  </si>
  <si>
    <t>00535177120178260050</t>
  </si>
  <si>
    <t>LUCAS FRANCISCO DA SILVA</t>
  </si>
  <si>
    <t>00544998520178260050</t>
  </si>
  <si>
    <t>LUIZ ALBERTO DE ASSIS</t>
  </si>
  <si>
    <t>MIKE DE DEUS HONORATO</t>
  </si>
  <si>
    <t>00561790820178260050</t>
  </si>
  <si>
    <t>RODRIGO TIAGO DA SILVA PENHA</t>
  </si>
  <si>
    <t>RENAN CAVALCANTE EMIDIO</t>
  </si>
  <si>
    <t>00571855020178260050</t>
  </si>
  <si>
    <t>DEIVID HENRIQUE CANDIDO DA SILVA</t>
  </si>
  <si>
    <t>00578007420168260050</t>
  </si>
  <si>
    <t>ALEX FERREIRA MARCELINO</t>
  </si>
  <si>
    <t>00606081820178260050</t>
  </si>
  <si>
    <t>JUCIMAR DE SOUSA MEDEIROS JUNIOR</t>
  </si>
  <si>
    <t>00607470420168260050</t>
  </si>
  <si>
    <t>WESLLEY ROSSAFA CONCEICAO</t>
  </si>
  <si>
    <t>00627361120178260050</t>
  </si>
  <si>
    <t>DANILO DO AMARAL OLIVEIRA</t>
  </si>
  <si>
    <t>00635529020178260050</t>
  </si>
  <si>
    <t>WILSON DE ASSIS RIBEIRO FILHO</t>
  </si>
  <si>
    <t>00644608420168260050</t>
  </si>
  <si>
    <t>GIOVANI EMANOEL COSTA NOGUEIRA</t>
  </si>
  <si>
    <t>00649622320168260050</t>
  </si>
  <si>
    <t>MARCILIO LANEIRO</t>
  </si>
  <si>
    <t>CARLOS ANTONIO BORGES CAMELO</t>
  </si>
  <si>
    <t>ROSINALVA RIBEIRO DE SOUZA</t>
  </si>
  <si>
    <t>00663753720178260050</t>
  </si>
  <si>
    <t>COSMO ALVES SANTOS JUNIOR</t>
  </si>
  <si>
    <t>00665229720168260050</t>
  </si>
  <si>
    <t>CARLOS ALBERTO DA SILVA CAMPOS</t>
  </si>
  <si>
    <t>DANIEL PEREIRA SILVA</t>
  </si>
  <si>
    <t>00699672620168260050</t>
  </si>
  <si>
    <t>MARCELO APARECIDO DA SILVA</t>
  </si>
  <si>
    <t>00713365520168260050</t>
  </si>
  <si>
    <t>RAFAEL PEREIRA AMARANTE</t>
  </si>
  <si>
    <t>00717631820178260050</t>
  </si>
  <si>
    <t>MSHAMU HUSSEINII KINDAMBA</t>
  </si>
  <si>
    <t>00722638420178260050</t>
  </si>
  <si>
    <t>JURANDIR AMORIM FILHO</t>
  </si>
  <si>
    <t>00730086420178260050</t>
  </si>
  <si>
    <t>CHRISTIAN MARTINEZ SANTIAGO</t>
  </si>
  <si>
    <t>00746662620178260050</t>
  </si>
  <si>
    <t>ANDERSON VIEIRA DA SILVA</t>
  </si>
  <si>
    <t>00762000520178260050</t>
  </si>
  <si>
    <t>00765612220178260050</t>
  </si>
  <si>
    <t>FABIANO ESPINDOLA DE SOUZA</t>
  </si>
  <si>
    <t>00778309620178260050</t>
  </si>
  <si>
    <t>00791112420168260050</t>
  </si>
  <si>
    <t>LEONARDO JORDAN ROCHA NUNES</t>
  </si>
  <si>
    <t>00816598520178260050</t>
  </si>
  <si>
    <t>TATIANE LEOCADIO DA SILVA</t>
  </si>
  <si>
    <t>VANESSA PEREIRA DA SILVA</t>
  </si>
  <si>
    <t>MARCIO PRADA LINS</t>
  </si>
  <si>
    <t>00824222320168260050</t>
  </si>
  <si>
    <t>ROBERTO SILVA PEREIRA</t>
  </si>
  <si>
    <t>00836170920178260050</t>
  </si>
  <si>
    <t>ROBSON HENRIQUE BARBOSA</t>
  </si>
  <si>
    <t>00853917420178260050</t>
  </si>
  <si>
    <t>TAIZA FRANCISCA DOS REIS</t>
  </si>
  <si>
    <t>WESLEY WILLIAM DA COSTA CRUZ</t>
  </si>
  <si>
    <t>00873808620158260050</t>
  </si>
  <si>
    <t>ELIAS MARTINS RAMOS</t>
  </si>
  <si>
    <t>00874896620168260050</t>
  </si>
  <si>
    <t>SAMUEL ORIGUELA DE PAULA</t>
  </si>
  <si>
    <t>00886094720168260050</t>
  </si>
  <si>
    <t>RAQUEL DA SILVA NASCIMENTO</t>
  </si>
  <si>
    <t>00894435020168260050</t>
  </si>
  <si>
    <t>EDVALDO ALVES DE OLIVEIRA JUNIOR</t>
  </si>
  <si>
    <t>00899796120168260050</t>
  </si>
  <si>
    <t>EDERSON DO CARMO SILVA</t>
  </si>
  <si>
    <t>CLEITON PAULO BALIEIRO</t>
  </si>
  <si>
    <t>00904114620178260050</t>
  </si>
  <si>
    <t>WELLINGTON FERREIRA LIMA</t>
  </si>
  <si>
    <t>00909865420178260050</t>
  </si>
  <si>
    <t>JORGE LUIS CLAUDINO ANJOS DE BEIJO</t>
  </si>
  <si>
    <t>00916164720168260050</t>
  </si>
  <si>
    <t>JAMARCEL LIMA PEREIRA</t>
  </si>
  <si>
    <t>00916770520168260050</t>
  </si>
  <si>
    <t>ADILSON DO NASCIMENTO PEDRO DA SILVA</t>
  </si>
  <si>
    <t>00929199620168260050</t>
  </si>
  <si>
    <t>00943296320148260050</t>
  </si>
  <si>
    <t>ALEXANDRE CLAUDIO DE CASTRO NAZARO VICENTE</t>
  </si>
  <si>
    <t>00946659620168260050</t>
  </si>
  <si>
    <t>GENIVALDO DA SILVA ALVES FILHO</t>
  </si>
  <si>
    <t>00962647020168260050</t>
  </si>
  <si>
    <t>DAVID PEREIRA DOS SANTOS</t>
  </si>
  <si>
    <t>00969627620168260050</t>
  </si>
  <si>
    <t>00977768820168260050</t>
  </si>
  <si>
    <t>CRISTIANO DE OLIVEIRA SILVA</t>
  </si>
  <si>
    <t>00982522920168260050</t>
  </si>
  <si>
    <t>00993886120168260050</t>
  </si>
  <si>
    <t>CAIO FABIO GARCIA POLETTI</t>
  </si>
  <si>
    <t>01011528220168260050</t>
  </si>
  <si>
    <t>ISABEL CRISTINA DOS SANTOS</t>
  </si>
  <si>
    <t>01014074020168260050</t>
  </si>
  <si>
    <t>PEDRO HENRIQUE DA SILVA SANTOS</t>
  </si>
  <si>
    <t>01035942120168260050</t>
  </si>
  <si>
    <t>THIAGO SILVA LAMEU</t>
  </si>
  <si>
    <t>01043884220168260050</t>
  </si>
  <si>
    <t>NIVALDO OLIVEIRA CELESTINO</t>
  </si>
  <si>
    <t>LUCAS BARBOZA DE MELO</t>
  </si>
  <si>
    <t>01081547420148260050</t>
  </si>
  <si>
    <t>MAICON DOUGLAS DE SOUZA FARIAS</t>
  </si>
  <si>
    <t>00001260720178260050</t>
  </si>
  <si>
    <t>SILVANIR GONCALVES DOS SANTOS</t>
  </si>
  <si>
    <t>00006283420178260635</t>
  </si>
  <si>
    <t>Marcos Marques da Silva</t>
  </si>
  <si>
    <t>00006425220168260635</t>
  </si>
  <si>
    <t>Adriano Cleiton Ferreira</t>
  </si>
  <si>
    <t>Juliana Bastos Paiva de Oliveira</t>
  </si>
  <si>
    <t>00006630320178260050</t>
  </si>
  <si>
    <t>MARCELO BEZERRA DA SILVA.</t>
  </si>
  <si>
    <t>00006716820178260635</t>
  </si>
  <si>
    <t>Glauber Freitas da Silva</t>
  </si>
  <si>
    <t>00006881620178260050</t>
  </si>
  <si>
    <t>CAIO BRUNO VIEIRA DE SOUSA</t>
  </si>
  <si>
    <t>ANDERSON KELVIN DA PAZ</t>
  </si>
  <si>
    <t>00009255020178260050</t>
  </si>
  <si>
    <t>RAFAEL MAGNO OLIVEIRA SILVA</t>
  </si>
  <si>
    <t>00009713920178260050</t>
  </si>
  <si>
    <t>ERISON OLIVEIRA</t>
  </si>
  <si>
    <t>EDMILSON DA SILVA CARVALHO</t>
  </si>
  <si>
    <t>00013317120178260050</t>
  </si>
  <si>
    <t>FRANCO NERO CHAVES DOS SANTOS</t>
  </si>
  <si>
    <t>00014529020178260635</t>
  </si>
  <si>
    <t>Francisco Claudenilson Alves Albino</t>
  </si>
  <si>
    <t>00022291220168260635</t>
  </si>
  <si>
    <t>Francisco Justino da Silva Neto</t>
  </si>
  <si>
    <t>00022623120168260011</t>
  </si>
  <si>
    <t>Andreza Fabiana da Silva</t>
  </si>
  <si>
    <t>00028221620178260050</t>
  </si>
  <si>
    <t>Guilherme Marques da Rocha</t>
  </si>
  <si>
    <t>00032586320178260635</t>
  </si>
  <si>
    <t>DELANO REGILLIO STAKEL</t>
  </si>
  <si>
    <t>00032993920178260050</t>
  </si>
  <si>
    <t>Lucas Adrien Moraes Ferreira</t>
  </si>
  <si>
    <t>00034413420178260635</t>
  </si>
  <si>
    <t>ALLAN KARDEC MOURA DOS SANTOS</t>
  </si>
  <si>
    <t>00035955220178260635</t>
  </si>
  <si>
    <t>Joedson Ferreira de Melo Alves</t>
  </si>
  <si>
    <t>00036544920178260050</t>
  </si>
  <si>
    <t>Robson Geraldo Felipe</t>
  </si>
  <si>
    <t>00039128420168260635</t>
  </si>
  <si>
    <t>ANDERSON SOARES DE SOUZA</t>
  </si>
  <si>
    <t>00042693020178260635</t>
  </si>
  <si>
    <t>MARCOS PAULO FRANCISCO LIMA</t>
  </si>
  <si>
    <t>00043213520178260050</t>
  </si>
  <si>
    <t>WELLINGTON SANTOS REIS</t>
  </si>
  <si>
    <t>00054131020158260635</t>
  </si>
  <si>
    <t>VITOR GALVAO BUENO BAPTISTA</t>
  </si>
  <si>
    <t>00066409820168260635</t>
  </si>
  <si>
    <t>YASMIM APARECIDA SILVA PAIXAO</t>
  </si>
  <si>
    <t>00066667120178260050</t>
  </si>
  <si>
    <t>Emilia Maria Santos Cezimbra</t>
  </si>
  <si>
    <t>00068329420178260635</t>
  </si>
  <si>
    <t>WESLLEY DE SOUSA PASSOS</t>
  </si>
  <si>
    <t>00075725220178260635</t>
  </si>
  <si>
    <t>ISMAEL MONTEIRO DO NASCIMENTO</t>
  </si>
  <si>
    <t>00076999620178260050</t>
  </si>
  <si>
    <t>Guilherme Akira Honda</t>
  </si>
  <si>
    <t>Anderson Jonatan da Silva</t>
  </si>
  <si>
    <t>00078184820178260635</t>
  </si>
  <si>
    <t>JEFERSON ANTONIO DOS SANTOS</t>
  </si>
  <si>
    <t>00089247920168260635</t>
  </si>
  <si>
    <t>BRUNO JORGE DE OLIVEIRA</t>
  </si>
  <si>
    <t>PAULO DIEGO SILVA RIBEIRO</t>
  </si>
  <si>
    <t>00089983620168260635</t>
  </si>
  <si>
    <t>HEBERT ANTONIO TOMAZ DA SILVA</t>
  </si>
  <si>
    <t>00091120920158260635</t>
  </si>
  <si>
    <t>João Henrique Machado</t>
  </si>
  <si>
    <t>00094877320168260635</t>
  </si>
  <si>
    <t>HENRIQUE ANDRADE DOS SANTOS</t>
  </si>
  <si>
    <t>00095235220158260635</t>
  </si>
  <si>
    <t>Benjamim Bezerra dos Anjos Filho</t>
  </si>
  <si>
    <t>00096595820158260050</t>
  </si>
  <si>
    <t>LUCAS BARBOSA</t>
  </si>
  <si>
    <t>00099666620168260635</t>
  </si>
  <si>
    <t>MARCELA CRISTINA DA SILVA</t>
  </si>
  <si>
    <t>00100592920168260635</t>
  </si>
  <si>
    <t>JEFFERSON SANTOS DE QUADROS</t>
  </si>
  <si>
    <t>00105304520168260635</t>
  </si>
  <si>
    <t>EDUARDO DA SILVA ANDRADE SOUZA</t>
  </si>
  <si>
    <t>JOSE ALBERTO DAMASCENO FAUSTINO JUNIOR</t>
  </si>
  <si>
    <t>00109961420178260050</t>
  </si>
  <si>
    <t>Guilherme Augusto Gouveia</t>
  </si>
  <si>
    <t>00113868120178260050</t>
  </si>
  <si>
    <t>Gerson Fernandes da Silva</t>
  </si>
  <si>
    <t>00120590220168260635</t>
  </si>
  <si>
    <t>DENIS HENRIQUE SIMIAO VIOTTO</t>
  </si>
  <si>
    <t>00122712320168260635</t>
  </si>
  <si>
    <t>RAISSA DE JESUS</t>
  </si>
  <si>
    <t>00126315520168260635</t>
  </si>
  <si>
    <t>MARIA APARECIDA DA COSTA</t>
  </si>
  <si>
    <t>00136610320178260050</t>
  </si>
  <si>
    <t>GABRIEL VITORINO DA SILVA</t>
  </si>
  <si>
    <t>00139731320168260050</t>
  </si>
  <si>
    <t>Alberto Costa Santos</t>
  </si>
  <si>
    <t>00146596820178260050</t>
  </si>
  <si>
    <t>ALEX PINHEIRO DA SILVA.</t>
  </si>
  <si>
    <t>00173470320178260050</t>
  </si>
  <si>
    <t>VLADEMIR ALEX DE PAULA MARTINS</t>
  </si>
  <si>
    <t>DAVID NAYOME DA SILVA OLIVEIRA</t>
  </si>
  <si>
    <t>00196251120168260050</t>
  </si>
  <si>
    <t>GIOVANI SANTOS DE SOUZA</t>
  </si>
  <si>
    <t>OLDISMAR DOS SANTOS FERREIRA</t>
  </si>
  <si>
    <t>00199898020168260050</t>
  </si>
  <si>
    <t>LUCAS PHILIPE GONÇALVES DUARTE DA SILVA</t>
  </si>
  <si>
    <t>00249416820178260050</t>
  </si>
  <si>
    <t>Zaine Ramos dos Santos Lourenço</t>
  </si>
  <si>
    <t>Jairo Lima Santos</t>
  </si>
  <si>
    <t>00251443020178260050</t>
  </si>
  <si>
    <t>PAULO HENRIQUE PIERRE DA SILVA COSTA.</t>
  </si>
  <si>
    <t>00259393620178260050</t>
  </si>
  <si>
    <t>LUIS CLAUDIO DE FRANCA DA SILVA.</t>
  </si>
  <si>
    <t>00270098820178260050</t>
  </si>
  <si>
    <t>Marina Begalli Ribeiro</t>
  </si>
  <si>
    <t>00275450220178260050</t>
  </si>
  <si>
    <t>LUIZ ALEX DOS SANTOS UMBELINO</t>
  </si>
  <si>
    <t>00301167720168260050</t>
  </si>
  <si>
    <t>LUCAS DE OLIVEIRA TEIXEIRA</t>
  </si>
  <si>
    <t>00316952620178260050</t>
  </si>
  <si>
    <t>JEAN CARLOS SILVA PEREIRA</t>
  </si>
  <si>
    <t>00323769320178260050</t>
  </si>
  <si>
    <t>Cassio Basil Sousa</t>
  </si>
  <si>
    <t>00327513120168260050</t>
  </si>
  <si>
    <t>MARCIO VINICIUS MARTINS DOS SANTOS</t>
  </si>
  <si>
    <t>00334958920178260050</t>
  </si>
  <si>
    <t>LUIZ FELIPE DOS SANTOS</t>
  </si>
  <si>
    <t>00337585820168260050</t>
  </si>
  <si>
    <t>GERALDO ETELVINO DA SILVA JUNIOR</t>
  </si>
  <si>
    <t>00339549120178260050</t>
  </si>
  <si>
    <t>EVERTON FELIPE DA SILVA</t>
  </si>
  <si>
    <t>00342380220178260050</t>
  </si>
  <si>
    <t>FLAVIO WILLIANS VIEIRA DOS SANTOS</t>
  </si>
  <si>
    <t>00343714420178260050</t>
  </si>
  <si>
    <t>Jailson Candida da Silva</t>
  </si>
  <si>
    <t>00345458720168260050</t>
  </si>
  <si>
    <t>DEIVID BUARQUE DE OLIVEIRA</t>
  </si>
  <si>
    <t>00346130320178260050</t>
  </si>
  <si>
    <t>00349575220158260050</t>
  </si>
  <si>
    <t>GLAUCOS TADEU PATERA SABINO</t>
  </si>
  <si>
    <t>00418291520178260050</t>
  </si>
  <si>
    <t>LUIZ CARLOS VILELA COSTA</t>
  </si>
  <si>
    <t>00440299220178260050</t>
  </si>
  <si>
    <t>LEONARDO DE JESUS FILOMENO</t>
  </si>
  <si>
    <t>YURI VINICIUS SILVA DE PAULA</t>
  </si>
  <si>
    <t>00443341320168260050</t>
  </si>
  <si>
    <t>MARIA INES NOGUEIRA</t>
  </si>
  <si>
    <t>00450969220178260050</t>
  </si>
  <si>
    <t>ERNESTO FERNANDES LIMA NETO</t>
  </si>
  <si>
    <t>00472291020178260050</t>
  </si>
  <si>
    <t>JOAO ANTONIO DOMINGOS STIGLIANO</t>
  </si>
  <si>
    <t>00492148220158260050</t>
  </si>
  <si>
    <t>FELIPE MIRANDA AMARO</t>
  </si>
  <si>
    <t>00492664420168260050</t>
  </si>
  <si>
    <t>DANIEL OLIVEIRA CAROLINO</t>
  </si>
  <si>
    <t>00496021420178260050</t>
  </si>
  <si>
    <t>MARCOS HENRIQUE DE PAULA</t>
  </si>
  <si>
    <t>VANDERLEI ALVES DAS NEVES SEVERINO</t>
  </si>
  <si>
    <t>00498692020168260050</t>
  </si>
  <si>
    <t>JOSE RICARDO DA CONCEIÇÃO DE JESUS</t>
  </si>
  <si>
    <t>00516109520168260050</t>
  </si>
  <si>
    <t>Yuri Ferreira Motta Valdeger</t>
  </si>
  <si>
    <t>Carlos Eduardo Nepomuceno Nicolau dos Santos</t>
  </si>
  <si>
    <t>00534371020178260050</t>
  </si>
  <si>
    <t>LUIS GUSTAVO SANTIAGO PEREIRA.</t>
  </si>
  <si>
    <t>00542195120168260050</t>
  </si>
  <si>
    <t>JOAO VITO RODRIGUES DE AZEVEDO</t>
  </si>
  <si>
    <t>00582796720168260050</t>
  </si>
  <si>
    <t>MARCO AURELIO ILDEFONSO MARTINS</t>
  </si>
  <si>
    <t>00586538320168260050</t>
  </si>
  <si>
    <t>SIMEON OMAN JOHNSON</t>
  </si>
  <si>
    <t>00603123020168260050</t>
  </si>
  <si>
    <t>MANOEL PEREIRA LIMA</t>
  </si>
  <si>
    <t>MARCO ANTONIO DA SILVA</t>
  </si>
  <si>
    <t>00607488620168260050</t>
  </si>
  <si>
    <t>CAYQUE APARECIDO DOS SANTOS BURITI</t>
  </si>
  <si>
    <t>00623065920178260050</t>
  </si>
  <si>
    <t>THIAGO DE LUCAS SOUZA BATISTA</t>
  </si>
  <si>
    <t>00624151020168260050</t>
  </si>
  <si>
    <t>LUIS FELIPE FERREIRA DIAS</t>
  </si>
  <si>
    <t>JHONATHAN TADEU DOS SANTOS</t>
  </si>
  <si>
    <t>00624356420178260050</t>
  </si>
  <si>
    <t>DOUGLAS TEIXEIRA COSTA</t>
  </si>
  <si>
    <t>00629313020168260050</t>
  </si>
  <si>
    <t>Janderson Matos de Santana</t>
  </si>
  <si>
    <t>VINICIO GONCALVES DOS SANTOS</t>
  </si>
  <si>
    <t>00654767320168260050</t>
  </si>
  <si>
    <t>JOELMIR DO NASCIMENTO.</t>
  </si>
  <si>
    <t>00668075620178260050</t>
  </si>
  <si>
    <t>MARCOS MAXWELL FERREIRA DE FRANÇA</t>
  </si>
  <si>
    <t>ELIAS FERREIRA RODRIGUES</t>
  </si>
  <si>
    <t>00673465620168260050</t>
  </si>
  <si>
    <t>FRANCISCO WELINGTON DE AQUINO FIALHO</t>
  </si>
  <si>
    <t>00675116920178260050</t>
  </si>
  <si>
    <t>RONALDO COSTA</t>
  </si>
  <si>
    <t>00689375320168260050</t>
  </si>
  <si>
    <t>KAIQUE OLIVEIRA DA SILVA</t>
  </si>
  <si>
    <t>00695637220168260050</t>
  </si>
  <si>
    <t>JULIO CEZAR MATOS DE SOUZA</t>
  </si>
  <si>
    <t>00713451720168260050</t>
  </si>
  <si>
    <t>JONATHAN LUIZ CAMPOS</t>
  </si>
  <si>
    <t>00727318220168260050</t>
  </si>
  <si>
    <t>RICHARD DE CASTRO ALVES LEITE</t>
  </si>
  <si>
    <t>00731804020168260050</t>
  </si>
  <si>
    <t>LUANA BATISTA SILVA DOS SANTOS</t>
  </si>
  <si>
    <t>00736065220168260050</t>
  </si>
  <si>
    <t>AMANDA LIMA JOANICO</t>
  </si>
  <si>
    <t>00747883920178260050</t>
  </si>
  <si>
    <t>ALAN ILBINSON SALES DA SILVA</t>
  </si>
  <si>
    <t>00775133520168260050</t>
  </si>
  <si>
    <t>EVERTON DE PAIVA FRANCISCO</t>
  </si>
  <si>
    <t>00782486820168260050</t>
  </si>
  <si>
    <t>FELIPE FAGUNDES DA SILVA</t>
  </si>
  <si>
    <t>00785950420168260050</t>
  </si>
  <si>
    <t>RICARDO ANSELMO GUEDES</t>
  </si>
  <si>
    <t>00791051720168260050</t>
  </si>
  <si>
    <t>GABRIEL DA SILVA ARAUJO.</t>
  </si>
  <si>
    <t>00793627620158260050</t>
  </si>
  <si>
    <t>BRUNO DOS SANTOS JORDAO</t>
  </si>
  <si>
    <t>00798941620168260050</t>
  </si>
  <si>
    <t>JOSE ROBERTO BARBOSA DE SOUZA</t>
  </si>
  <si>
    <t>00809452820178260050</t>
  </si>
  <si>
    <t>MATHEUS HENRIQUE BALASCH</t>
  </si>
  <si>
    <t>MICHAEL NISE DE ALMEIDA.</t>
  </si>
  <si>
    <t>00824439620168260050</t>
  </si>
  <si>
    <t>PAULO ALEXANDRE PERES CAMARNEIRO</t>
  </si>
  <si>
    <t>00832078220168260050</t>
  </si>
  <si>
    <t>THIAGO ALMEIDA DA SILVA</t>
  </si>
  <si>
    <t>00845077920168260050</t>
  </si>
  <si>
    <t>LUCAS DE CASTRO CEZAR</t>
  </si>
  <si>
    <t>00854462520178260050</t>
  </si>
  <si>
    <t>JOHNNY DONIZETE SILVA</t>
  </si>
  <si>
    <t>00874619820168260050</t>
  </si>
  <si>
    <t>PAULO RICARDO DA SILVA</t>
  </si>
  <si>
    <t>00882899420168260050</t>
  </si>
  <si>
    <t>MARCOS PEREIRA DA SILVA FILHO</t>
  </si>
  <si>
    <t>00882970820158260050</t>
  </si>
  <si>
    <t>SUELEN CAROLINE OLIVEIRA SCHMEISCK</t>
  </si>
  <si>
    <t>00885384520168260050</t>
  </si>
  <si>
    <t>BRUNO SILVERIO</t>
  </si>
  <si>
    <t>00889342220168260050</t>
  </si>
  <si>
    <t>LAURIE  TABENAE DIAS.</t>
  </si>
  <si>
    <t>00894539420168260050</t>
  </si>
  <si>
    <t>RENATO DE LIMA GONCALVES</t>
  </si>
  <si>
    <t>OCIMAR ALVES INACIO</t>
  </si>
  <si>
    <t>00899865320168260050</t>
  </si>
  <si>
    <t>MARCOS ROBERTO DA SILVA</t>
  </si>
  <si>
    <t>00900500520128260050</t>
  </si>
  <si>
    <t>KARINA CARDOZO DA SILVA</t>
  </si>
  <si>
    <t>FELIPE ALVES DA SILVA</t>
  </si>
  <si>
    <t>Rodrigo Graniso Miranda</t>
  </si>
  <si>
    <t>00900688420168260050</t>
  </si>
  <si>
    <t>JAILSON GONZAGA DA SILVA</t>
  </si>
  <si>
    <t>00904853720168260050</t>
  </si>
  <si>
    <t>JULIANO GOMES DE SOUZA</t>
  </si>
  <si>
    <t>00915758020168260050</t>
  </si>
  <si>
    <t>LEILIANE DIAS DA MATA</t>
  </si>
  <si>
    <t>00917732020168260050</t>
  </si>
  <si>
    <t>MATEUS ANDERSON SANTOS CAMPOS</t>
  </si>
  <si>
    <t>00927787720168260050</t>
  </si>
  <si>
    <t>ROGERIO OLIVEIRA DA SILVA SANTOS.</t>
  </si>
  <si>
    <t>00945853520168260050</t>
  </si>
  <si>
    <t>BRUNO HENRIQUE DA SILVA</t>
  </si>
  <si>
    <t>00961368420158260050</t>
  </si>
  <si>
    <t>REINALDO SANTOS MIRANDA</t>
  </si>
  <si>
    <t>00962525620168260050</t>
  </si>
  <si>
    <t>JHONATAN TOSCANO SANTOS</t>
  </si>
  <si>
    <t>00977465320168260050</t>
  </si>
  <si>
    <t>GEOVANE HENRIQUE DE MATOS</t>
  </si>
  <si>
    <t>ED CARLOS DE MATOS</t>
  </si>
  <si>
    <t>00978978720148260050</t>
  </si>
  <si>
    <t>PABLO LUIZ LOPES SOUZA.</t>
  </si>
  <si>
    <t>00983042520168260050</t>
  </si>
  <si>
    <t>VANESSA BRITO DOS SANTOS</t>
  </si>
  <si>
    <t>00990395820168260050</t>
  </si>
  <si>
    <t>Rene Cuizara Mamani.</t>
  </si>
  <si>
    <t>00994102220168260050</t>
  </si>
  <si>
    <t>DANILO SOUZA DOS SANTOS</t>
  </si>
  <si>
    <t>00995190220178260050</t>
  </si>
  <si>
    <t>HELBERTON ALESSANDRO DE ARAUJO</t>
  </si>
  <si>
    <t>01007803620168260050</t>
  </si>
  <si>
    <t>JULIO CESAR DE SOUZA CRUZ</t>
  </si>
  <si>
    <t>01013372320168260050</t>
  </si>
  <si>
    <t>FILIPE FERNANDES MARTINS</t>
  </si>
  <si>
    <t>01041026420168260050</t>
  </si>
  <si>
    <t>DAVID RODRIGUES DA LUZ SOARES.</t>
  </si>
  <si>
    <t>VINICIUS VELOSO COSENZA.</t>
  </si>
  <si>
    <t>01047273520158260050</t>
  </si>
  <si>
    <t>Max Felipe da Silva</t>
  </si>
  <si>
    <t>01049894820168260050</t>
  </si>
  <si>
    <t>NADIA CRISTINA AMANCIO</t>
  </si>
  <si>
    <t>01053818520168260050</t>
  </si>
  <si>
    <t>00003868420178260050</t>
  </si>
  <si>
    <t>HENRIQUE RUIZ MORALLI</t>
  </si>
  <si>
    <t>00004992920178260635</t>
  </si>
  <si>
    <t>ERIC DOS SANTOS</t>
  </si>
  <si>
    <t>00012548720168260635</t>
  </si>
  <si>
    <t>WANDER CLAYTON RIBEIRO ALVES</t>
  </si>
  <si>
    <t>00012666720178260635</t>
  </si>
  <si>
    <t>ERONDINO ALBERTO FERDINANDO SAN MIGUEL</t>
  </si>
  <si>
    <t>00014017920178260635</t>
  </si>
  <si>
    <t>PIERRE FONSECA FERNANDES</t>
  </si>
  <si>
    <t>00022618020178260635</t>
  </si>
  <si>
    <t>DAILSON DANIEL SILVA</t>
  </si>
  <si>
    <t>00024644220178260635</t>
  </si>
  <si>
    <t>DANILO DA SILVA PEDRO</t>
  </si>
  <si>
    <t>00026593620178260050</t>
  </si>
  <si>
    <t>CELSO DANTAS FERREIRA</t>
  </si>
  <si>
    <t>00035548520178260635</t>
  </si>
  <si>
    <t>AYRAN ALVES DE ARAUJO FLORENTINO</t>
  </si>
  <si>
    <t>ANNA ELIZABETH DOS SANTO CAMELO</t>
  </si>
  <si>
    <t>00039540220178260635</t>
  </si>
  <si>
    <t>BRUNO MOISES DE ARAÚJO SILVA</t>
  </si>
  <si>
    <t>00043048720178260635</t>
  </si>
  <si>
    <t>JHOANDSON DE LIRA MENDONÇA</t>
  </si>
  <si>
    <t>LUCIANO GONZAGA DE SOUZA</t>
  </si>
  <si>
    <t>00050704320178260635</t>
  </si>
  <si>
    <t>IGOR PEREIRA DA SILVA</t>
  </si>
  <si>
    <t>00051999120168260050</t>
  </si>
  <si>
    <t>HABIB OLU VICTOR VIEIRA AKANJI</t>
  </si>
  <si>
    <t>00054916720168260635</t>
  </si>
  <si>
    <t>RICARDO GOMES DO NASCIMENTO</t>
  </si>
  <si>
    <t>00055754320178260050</t>
  </si>
  <si>
    <t>KEVIN VITOR CARVALHO DOS SANTOS</t>
  </si>
  <si>
    <t>00064406620178260050</t>
  </si>
  <si>
    <t>YURI LOURENÇO DOS SANTOS</t>
  </si>
  <si>
    <t>GUILHERME RODRIGUES GONZAGA SOUSA</t>
  </si>
  <si>
    <t>WILLIAN AUGUSTO DOS SANTOS</t>
  </si>
  <si>
    <t>00065756920178260635</t>
  </si>
  <si>
    <t>JEFFERSON GOMES DE LIMA</t>
  </si>
  <si>
    <t>00067299620178260050</t>
  </si>
  <si>
    <t>LEANDRO CHAGAS DA ROCHA</t>
  </si>
  <si>
    <t>00072486220178260635</t>
  </si>
  <si>
    <t>GUSTAVO SILVINO DA SILVA</t>
  </si>
  <si>
    <t>SILVIA FREITAS BOMBARDI</t>
  </si>
  <si>
    <t>00079224920178260050</t>
  </si>
  <si>
    <t>FRANCISCO DE ASSIS PINHEIRO ARAGAO JUNIOR</t>
  </si>
  <si>
    <t>00083721720168260635</t>
  </si>
  <si>
    <t>FLAVIO REQUENA</t>
  </si>
  <si>
    <t>00088188320178260635</t>
  </si>
  <si>
    <t>RODRIGO BROGI DO NASCIMENTO</t>
  </si>
  <si>
    <t>00092917820178260050</t>
  </si>
  <si>
    <t>FATIMA SILVA COELHO</t>
  </si>
  <si>
    <t>00095888520178260050</t>
  </si>
  <si>
    <t>LUCAS DOS SANTOS HIGINO</t>
  </si>
  <si>
    <t>00102853420168260635</t>
  </si>
  <si>
    <t>JULIANO DE FARIA</t>
  </si>
  <si>
    <t>00103786920178260050</t>
  </si>
  <si>
    <t>FELIPE HENRIQUE DOS SANTOS</t>
  </si>
  <si>
    <t>DANILO LIMA DA SILVA</t>
  </si>
  <si>
    <t>ANTONIO RODRIGUES</t>
  </si>
  <si>
    <t>00113567120168260635</t>
  </si>
  <si>
    <t>EUCLIDES ABSALON COUTINHO</t>
  </si>
  <si>
    <t>00116197820178260050</t>
  </si>
  <si>
    <t>MARCIO ALEX SANDRO MELLO</t>
  </si>
  <si>
    <t>00117265920168260050</t>
  </si>
  <si>
    <t>VITOR LUIZ DE OLIVEIRA SANTOS</t>
  </si>
  <si>
    <t>00119116320178260050</t>
  </si>
  <si>
    <t>MATHEUS GOMES JARDIM</t>
  </si>
  <si>
    <t>CASSIANO PEREIRA CORLETO</t>
  </si>
  <si>
    <t>00122678320168260635</t>
  </si>
  <si>
    <t>00134170220168260635</t>
  </si>
  <si>
    <t>RAFAEL APARECIDO FEITOSA</t>
  </si>
  <si>
    <t>00136241020168260050</t>
  </si>
  <si>
    <t>REGES MIRANDA MORAIS</t>
  </si>
  <si>
    <t>00136380420108260050</t>
  </si>
  <si>
    <t>EDSON PEREIRA DE QUEIROZ</t>
  </si>
  <si>
    <t>LUCAS PEREIRA DE QUEIROZ</t>
  </si>
  <si>
    <t>VANESSA ROSA DOS SANTOS</t>
  </si>
  <si>
    <t>RODRIGO DINIS FONSECA</t>
  </si>
  <si>
    <t>MARCUS ALBERTO SOARES NUNES</t>
  </si>
  <si>
    <t>00147401720178260050</t>
  </si>
  <si>
    <t>MARCOS SOUZA DOS SANTOS</t>
  </si>
  <si>
    <t>00151845020178260050</t>
  </si>
  <si>
    <t>MATHEUS ELDER SANTOS DE SOUZA</t>
  </si>
  <si>
    <t>00197252920178260050</t>
  </si>
  <si>
    <t>FAGNER LEANDRO PATERNO DOS SANTOS</t>
  </si>
  <si>
    <t>00211197120178260050</t>
  </si>
  <si>
    <t>WILLIAM DE SOUZA</t>
  </si>
  <si>
    <t>00246532320178260050</t>
  </si>
  <si>
    <t>LAERCIO DA SILVA</t>
  </si>
  <si>
    <t>00249580720178260050</t>
  </si>
  <si>
    <t>ROBERT MAURO DE ARAUJO CORREIA</t>
  </si>
  <si>
    <t>00262096020178260050</t>
  </si>
  <si>
    <t>JOAO QUEIJO IANUANTUONI</t>
  </si>
  <si>
    <t>00285964820178260050</t>
  </si>
  <si>
    <t>JOSÉ RAFAEL SALES FONSECA</t>
  </si>
  <si>
    <t>00295595620178260050</t>
  </si>
  <si>
    <t>TIAGO HERCULANO DOMENES</t>
  </si>
  <si>
    <t>00314120320178260050</t>
  </si>
  <si>
    <t>ALAN SOARES MACHADO</t>
  </si>
  <si>
    <t>00330966020178260050</t>
  </si>
  <si>
    <t>MURILO HENRIQUE CORREIA DE OLIVEIRA</t>
  </si>
  <si>
    <t>00343965720178260050</t>
  </si>
  <si>
    <t>JONATHAN DOS SANTOS</t>
  </si>
  <si>
    <t>00358048320178260050</t>
  </si>
  <si>
    <t>CRISTHIAN DE SOUZA SILVA</t>
  </si>
  <si>
    <t>00400121320178260050</t>
  </si>
  <si>
    <t>ERINALDO SILVA DE SENA</t>
  </si>
  <si>
    <t>00410578620168260050</t>
  </si>
  <si>
    <t>DANILO FERREIRA DA SILVA</t>
  </si>
  <si>
    <t>00411822020178260050</t>
  </si>
  <si>
    <t>JOÃO PEDRO FURLANIS VIEIRA MELO</t>
  </si>
  <si>
    <t>00418448120178260050</t>
  </si>
  <si>
    <t>GABRIEL DO ESPIRITO SANTO SILVA</t>
  </si>
  <si>
    <t>00433959620178260050</t>
  </si>
  <si>
    <t>CAIO HENRIQUE MARIANO</t>
  </si>
  <si>
    <t>00440559020178260050</t>
  </si>
  <si>
    <t>LUCIENE BORGES DOS SANTOS</t>
  </si>
  <si>
    <t>DIHONETON NUNES TEIXEIRA</t>
  </si>
  <si>
    <t>00452331120168260050</t>
  </si>
  <si>
    <t>ROBSON MONTEIRO DA SILVA</t>
  </si>
  <si>
    <t>00474006420178260050</t>
  </si>
  <si>
    <t>RICARDO DINARDO OLINTO DA SILVA</t>
  </si>
  <si>
    <t>00475369520168260050</t>
  </si>
  <si>
    <t>ARINE DENARO DE SOUZA</t>
  </si>
  <si>
    <t>00482120920178260050</t>
  </si>
  <si>
    <t>JOSE RAIMUNDO ALMEIDA RAMOS SANTOS</t>
  </si>
  <si>
    <t>ERICK SERRA RIBEIRO</t>
  </si>
  <si>
    <t>00486800720168260050</t>
  </si>
  <si>
    <t>MATHEUS LOPES</t>
  </si>
  <si>
    <t>00505655620168260050</t>
  </si>
  <si>
    <t>IGOR ALEX DELL ISOLA</t>
  </si>
  <si>
    <t>00510271320168260050</t>
  </si>
  <si>
    <t>CAIO MENDES ENJOJI</t>
  </si>
  <si>
    <t>00516723820168260050</t>
  </si>
  <si>
    <t>RAFAEL SCHIASSINATTI</t>
  </si>
  <si>
    <t>00537942420168260050</t>
  </si>
  <si>
    <t>EVERSON IGOR SOUTO CALISTO</t>
  </si>
  <si>
    <t>00582715620178260050</t>
  </si>
  <si>
    <t>LUCAS DA SILVA LEOPOLDINO GUEDES</t>
  </si>
  <si>
    <t>00584814420168260050</t>
  </si>
  <si>
    <t>ERICK BISPO DA SILVA ROCHA</t>
  </si>
  <si>
    <t>00585288120178260050</t>
  </si>
  <si>
    <t>EDSON RODRIGUES MARIANO</t>
  </si>
  <si>
    <t>00605744320178260050</t>
  </si>
  <si>
    <t>JOCELIO GONCALVES BARROS</t>
  </si>
  <si>
    <t>00614093120178260050</t>
  </si>
  <si>
    <t>LUIZ CLAUDIO PEREIRA GONCALVES</t>
  </si>
  <si>
    <t>00645664620168260050</t>
  </si>
  <si>
    <t>MARCOS FELIPE PRAXEDES</t>
  </si>
  <si>
    <t>00657673920178260050</t>
  </si>
  <si>
    <t>JOSE ALECXANDRO DOS SANTOS</t>
  </si>
  <si>
    <t>00665670420168260050</t>
  </si>
  <si>
    <t>ALVARO GABRIEL DA SILVA SOARES</t>
  </si>
  <si>
    <t>00680278920178260050</t>
  </si>
  <si>
    <t>ANDRE MARIANO SATURNINO</t>
  </si>
  <si>
    <t>WESLEY RAMOS EUGENIO</t>
  </si>
  <si>
    <t>00699741820168260050</t>
  </si>
  <si>
    <t>THIAGO FERNANDEZ VASCONCELOS</t>
  </si>
  <si>
    <t>00700588720148260050</t>
  </si>
  <si>
    <t>DECIO OLIVEIRA TORRES</t>
  </si>
  <si>
    <t>00704269120178260050</t>
  </si>
  <si>
    <t>ROBERTO RABELO ROSA</t>
  </si>
  <si>
    <t>00709190520168260050</t>
  </si>
  <si>
    <t>FERNANDO JESUS DIAS CINTRA</t>
  </si>
  <si>
    <t>FABIO DOS SANTOS</t>
  </si>
  <si>
    <t>00717947220168260050</t>
  </si>
  <si>
    <t>KELVYN  ALBERT DOS SANTOS</t>
  </si>
  <si>
    <t>00731166420158260050</t>
  </si>
  <si>
    <t>WATSON LUIZ DABARIAN MURAMOTO</t>
  </si>
  <si>
    <t>00737058520178260050</t>
  </si>
  <si>
    <t>DANIELA PAMELA RODRIGUES DAS CHAGAS</t>
  </si>
  <si>
    <t>00739997420168260050</t>
  </si>
  <si>
    <t>EMERSON CANABRAVA BAIANO</t>
  </si>
  <si>
    <t>JONATHAN FERREIRA DE MORAES</t>
  </si>
  <si>
    <t>00746628620178260050</t>
  </si>
  <si>
    <t>ALBERTO JULIO DA SILVA</t>
  </si>
  <si>
    <t>00752136620178260050</t>
  </si>
  <si>
    <t>JULIO ROBERTO CARDOSO JUNIOR</t>
  </si>
  <si>
    <t>00774706420178260050</t>
  </si>
  <si>
    <t>HENRIQUE DE SOUZA LACERDA</t>
  </si>
  <si>
    <t>00779524620168260050</t>
  </si>
  <si>
    <t>PATRICIA DANTAS MENEZES</t>
  </si>
  <si>
    <t>00782356920168260050</t>
  </si>
  <si>
    <t>WELLINGTON RODRIGO BENTO</t>
  </si>
  <si>
    <t>00802735420168260050</t>
  </si>
  <si>
    <t>FRANCIVALDO PEREIRA DOS SANTOS</t>
  </si>
  <si>
    <t>00817830520168260050</t>
  </si>
  <si>
    <t>ERIC FERREIRA SANTOS</t>
  </si>
  <si>
    <t>00821148420168260050</t>
  </si>
  <si>
    <t>BRUNO LUIZ DE ARAUJO</t>
  </si>
  <si>
    <t>00824448120168260050</t>
  </si>
  <si>
    <t>EDVALDO ANTONIO ALVES</t>
  </si>
  <si>
    <t>00836599220168260050</t>
  </si>
  <si>
    <t>LUCIANO SILVA DE OLIVEIRA</t>
  </si>
  <si>
    <t>00857860320168260050</t>
  </si>
  <si>
    <t>PAULO SÉRGIO ALVES</t>
  </si>
  <si>
    <t>00871301920168260050</t>
  </si>
  <si>
    <t>GUILHERME ROSA</t>
  </si>
  <si>
    <t>00883054820168260050</t>
  </si>
  <si>
    <t>DANIEL MENDONÇA DE SOUSA</t>
  </si>
  <si>
    <t>00916017820168260050</t>
  </si>
  <si>
    <t>EDUARDO BARBOSA MOCO</t>
  </si>
  <si>
    <t>00930731720168260050</t>
  </si>
  <si>
    <t>00941860620168260050</t>
  </si>
  <si>
    <t>EDUARDO MACHADO BAILON</t>
  </si>
  <si>
    <t>00951125020178260050</t>
  </si>
  <si>
    <t>PEDRO ISAU CAVALCANTE SILVA</t>
  </si>
  <si>
    <t>00952314520168260050</t>
  </si>
  <si>
    <t>WEVERTON HENRIQUE EMIDIO</t>
  </si>
  <si>
    <t>00969852220168260050</t>
  </si>
  <si>
    <t>ALAN DOS SANTOS LIBARINO</t>
  </si>
  <si>
    <t>00977742120168260050</t>
  </si>
  <si>
    <t>HELIO DE JESUS FILHO</t>
  </si>
  <si>
    <t>00982904120168260050</t>
  </si>
  <si>
    <t>HUGO MARLON SANTOS NASCIMENTO</t>
  </si>
  <si>
    <t>00990343620168260050</t>
  </si>
  <si>
    <t>LUCAS RODRIGUES TEIXEIRA</t>
  </si>
  <si>
    <t>01004273020158260050</t>
  </si>
  <si>
    <t>FELIPE PADOVEZE DA SILVA</t>
  </si>
  <si>
    <t>01008063420168260050</t>
  </si>
  <si>
    <t>ADEILMA RUFINO</t>
  </si>
  <si>
    <t>01014117720168260050</t>
  </si>
  <si>
    <t>01041883520168260050</t>
  </si>
  <si>
    <t>ELISA REGO DOS SANTOS</t>
  </si>
  <si>
    <t>01050328220168260050</t>
  </si>
  <si>
    <t>MAITE VIEIRA DA SILVA</t>
  </si>
  <si>
    <t>01055662620168260050</t>
  </si>
  <si>
    <t>JONATHAN ALVES FERREIRA</t>
  </si>
  <si>
    <t>00003917220188260050</t>
  </si>
  <si>
    <t>ANTONIO MARCOS MARQUES</t>
  </si>
  <si>
    <t>00003946120178260050</t>
  </si>
  <si>
    <t>ALEX SANDRO FERREIRA DA SILVA</t>
  </si>
  <si>
    <t>00006335620178260635</t>
  </si>
  <si>
    <t>TIAGO APARECIDO MOREIRA MARTINS</t>
  </si>
  <si>
    <t>00007461920178260050</t>
  </si>
  <si>
    <t>FERNANDA MELO SILVA</t>
  </si>
  <si>
    <t>RAFAEL DOUGLAS SOUSA</t>
  </si>
  <si>
    <t>00011039620178260050</t>
  </si>
  <si>
    <t>ANDRE LUIS AUGUSTO FARIAS</t>
  </si>
  <si>
    <t>00011982020178260635</t>
  </si>
  <si>
    <t>CARLOS EDUARDO SANTANA FRANCELINO</t>
  </si>
  <si>
    <t>00017030520178260540</t>
  </si>
  <si>
    <t>MARCOS ANDRÉ DE PAULA</t>
  </si>
  <si>
    <t>00018738320178260537</t>
  </si>
  <si>
    <t>Bruno Mendes da Silva</t>
  </si>
  <si>
    <t>00019119220178260635</t>
  </si>
  <si>
    <t>DIOGO DOS SANTOS CAVALCANTI</t>
  </si>
  <si>
    <t>00022289020178260635</t>
  </si>
  <si>
    <t>BRUNO DIEGO DA SILVA LIRA</t>
  </si>
  <si>
    <t>00024687920178260635</t>
  </si>
  <si>
    <t>00028377320178260635</t>
  </si>
  <si>
    <t>JUAN ORESTES LEITE</t>
  </si>
  <si>
    <t>00034959720178260635</t>
  </si>
  <si>
    <t>ALTAIR MALAQUIAS CORREA</t>
  </si>
  <si>
    <t>00043057220178260635</t>
  </si>
  <si>
    <t>FERNANDO ALMEIDA DE CARVALHO</t>
  </si>
  <si>
    <t>00043905820178260635</t>
  </si>
  <si>
    <t>CHARLES PEREIRA DE OLIVEIRA</t>
  </si>
  <si>
    <t>00044789620178260635</t>
  </si>
  <si>
    <t>ROGERIO APARECIDO DE ANDRADE</t>
  </si>
  <si>
    <t>00048456620168260050</t>
  </si>
  <si>
    <t>MOISES DOS ANJOS SILVA</t>
  </si>
  <si>
    <t>00052446120178260050</t>
  </si>
  <si>
    <t>DENIS MATOS LISBOA</t>
  </si>
  <si>
    <t>DAVID ALVES DA SILVA</t>
  </si>
  <si>
    <t>00053310820178260635</t>
  </si>
  <si>
    <t>WILLAMI RODRIGUES VIEIRA</t>
  </si>
  <si>
    <t>00058109820178260635</t>
  </si>
  <si>
    <t>ELIANA FERREIRA DE SOUZA</t>
  </si>
  <si>
    <t>JULIO ALVES SANTOS</t>
  </si>
  <si>
    <t>GABRIEL BARBOSA BEZERRA</t>
  </si>
  <si>
    <t>00059019120178260635</t>
  </si>
  <si>
    <t>FELIPE RODRIGUES DOS SANTOS</t>
  </si>
  <si>
    <t>00067455020178260050</t>
  </si>
  <si>
    <t>ALEXANDRE PEREIRA DA SILVA</t>
  </si>
  <si>
    <t>00067523320178260635</t>
  </si>
  <si>
    <t>WILDSON FERREIRA VITORINO</t>
  </si>
  <si>
    <t>ROBSON FERREIRA DE ALMEIDA</t>
  </si>
  <si>
    <t>00073415920168260635</t>
  </si>
  <si>
    <t>MARCIO LEITE DE SOUZA</t>
  </si>
  <si>
    <t>00073915120178260635</t>
  </si>
  <si>
    <t>GUIDO GUZMAN ZABALA</t>
  </si>
  <si>
    <t>00080973420178260635</t>
  </si>
  <si>
    <t>HUGO EDUARDO DE OLIVEIRA</t>
  </si>
  <si>
    <t>00081294820178260050</t>
  </si>
  <si>
    <t>BRUNO OLIVEIRA SIQUEIRA</t>
  </si>
  <si>
    <t>00083051820178260635</t>
  </si>
  <si>
    <t>ANDERSON SANTOS PEREIRA</t>
  </si>
  <si>
    <t>00083311620178260635</t>
  </si>
  <si>
    <t>LUCAS DE SOUZA PADILHA</t>
  </si>
  <si>
    <t>00087027720178260635</t>
  </si>
  <si>
    <t>ISAQUEU BISPO DOS SANTOS</t>
  </si>
  <si>
    <t>00095621520168260635</t>
  </si>
  <si>
    <t>WILBER EDUARDO DOS SANTOS ALMEIDA</t>
  </si>
  <si>
    <t>00098298420168260635</t>
  </si>
  <si>
    <t>EVERTON GONÇALVES MAGALHÃES</t>
  </si>
  <si>
    <t>00107521320168260635</t>
  </si>
  <si>
    <t>DARLAN CAETANO DE OLIVEIRA</t>
  </si>
  <si>
    <t>00115333520168260635</t>
  </si>
  <si>
    <t>EMERSON HENRIQUE MAURICIO</t>
  </si>
  <si>
    <t>NEUMA CASSIA DA SILVA NASCIMENTO</t>
  </si>
  <si>
    <t>WASHINGTON BATISTA DA SILVA LOPES</t>
  </si>
  <si>
    <t>SILVIO TEICHMANN</t>
  </si>
  <si>
    <t>ANDERSON DE SOUZA SILVA</t>
  </si>
  <si>
    <t>00118859020168260635</t>
  </si>
  <si>
    <t>00119246220178260050</t>
  </si>
  <si>
    <t>EVERTON PECEGUEIRO VIEIRA</t>
  </si>
  <si>
    <t>GLADSTON DE SOUSA FERREIRA CALACA</t>
  </si>
  <si>
    <t>INALDO JOSE QUEIROZ DA SILVA</t>
  </si>
  <si>
    <t>00121335620168260635</t>
  </si>
  <si>
    <t>STEFANI AGNES PEREIRA DE SOUZA</t>
  </si>
  <si>
    <t>00122037320168260635</t>
  </si>
  <si>
    <t>MARCELO WASCONCELLOS</t>
  </si>
  <si>
    <t>00131339120168260635</t>
  </si>
  <si>
    <t>DANILO LEANDRO DOS SANTOS</t>
  </si>
  <si>
    <t>00133339820168260635</t>
  </si>
  <si>
    <t>FABIO PREVIDELLI PAES</t>
  </si>
  <si>
    <t>00134913120178260050</t>
  </si>
  <si>
    <t>IGOR DE SOUSA AMORIM</t>
  </si>
  <si>
    <t>00138475120168260635</t>
  </si>
  <si>
    <t>00139390420178260050</t>
  </si>
  <si>
    <t>LUCAS GOMES</t>
  </si>
  <si>
    <t>00147575320178260050</t>
  </si>
  <si>
    <t>EZEQUIEL CARDOZO DE LIMA</t>
  </si>
  <si>
    <t>00173635420178260050</t>
  </si>
  <si>
    <t>JOAQUIM DAVID DANTAS JUNIOR</t>
  </si>
  <si>
    <t>00197322120178260050</t>
  </si>
  <si>
    <t>00205402620178260050</t>
  </si>
  <si>
    <t>CLERISON SANTOS PORTO</t>
  </si>
  <si>
    <t>00216323920178260050</t>
  </si>
  <si>
    <t>JULIO JOSE CREPALDI CONTIERRO</t>
  </si>
  <si>
    <t>00228163020178260050</t>
  </si>
  <si>
    <t>MATHEUS CAETANO DE CARVALHO</t>
  </si>
  <si>
    <t>00240992520168260050</t>
  </si>
  <si>
    <t>RODRIGO DE ANDRADE SANTANA</t>
  </si>
  <si>
    <t>00242115720178260050</t>
  </si>
  <si>
    <t>JOSUE MELO DA SILVA EVANGELISTA</t>
  </si>
  <si>
    <t>00249789520178260050</t>
  </si>
  <si>
    <t>CELSO MOREIRA DE SANTANA</t>
  </si>
  <si>
    <t>00253435220178260050</t>
  </si>
  <si>
    <t>KAYKE CAVALCANTE</t>
  </si>
  <si>
    <t>00262320620178260050</t>
  </si>
  <si>
    <t>ALYSSON FERNANDES MARIANO</t>
  </si>
  <si>
    <t>00276221120178260050</t>
  </si>
  <si>
    <t>MARCELO COSTA RAMOS OTONI</t>
  </si>
  <si>
    <t>00300437120178260050</t>
  </si>
  <si>
    <t>LUCAS DOS SANTOS ALMEIDA</t>
  </si>
  <si>
    <t>00310639720178260050</t>
  </si>
  <si>
    <t>IGOR LIMA DOS SANTOS</t>
  </si>
  <si>
    <t>00314025620178260050</t>
  </si>
  <si>
    <t>ANDERSON FARIA SANTANA</t>
  </si>
  <si>
    <t>00317057020178260050</t>
  </si>
  <si>
    <t>LUCAS WASHINGTON SILVA DE JESUS</t>
  </si>
  <si>
    <t>00339557620178260050</t>
  </si>
  <si>
    <t>EDUARDO BRAZ LOPES</t>
  </si>
  <si>
    <t>00358143020178260050</t>
  </si>
  <si>
    <t>DOUGLAS LELES FREITAS</t>
  </si>
  <si>
    <t>00366076620178260050</t>
  </si>
  <si>
    <t>ALLAN HENRIQUE FEITOZA DA SILVA</t>
  </si>
  <si>
    <t>00385635420168260050</t>
  </si>
  <si>
    <t>HAMILTON BENJAMIN DOS SANTOS</t>
  </si>
  <si>
    <t>00390018020168260050</t>
  </si>
  <si>
    <t>JOÃO PAULO DA SILVA</t>
  </si>
  <si>
    <t>00400035120178260050</t>
  </si>
  <si>
    <t>DANIEL OLIVEIRA SALES</t>
  </si>
  <si>
    <t>00414559620178260050</t>
  </si>
  <si>
    <t>DANIEL GRECCO</t>
  </si>
  <si>
    <t>00418213820178260050</t>
  </si>
  <si>
    <t>MICHELE CRUZ DE OLIVEIRA</t>
  </si>
  <si>
    <t>00421488020178260050</t>
  </si>
  <si>
    <t>MARCELO FIGUEIREDO ROQUE</t>
  </si>
  <si>
    <t>00424882420178260050</t>
  </si>
  <si>
    <t>ALESSANDRA SOUSA DA ROCHA</t>
  </si>
  <si>
    <t>00433803020178260050</t>
  </si>
  <si>
    <t>PHELIPE FERREIRA BRASIL</t>
  </si>
  <si>
    <t>00452366320168260050</t>
  </si>
  <si>
    <t>ALEX GABRIEL ALVES DOS SANTOS</t>
  </si>
  <si>
    <t>00454485020178260050</t>
  </si>
  <si>
    <t>ALESSANDRO SOARES</t>
  </si>
  <si>
    <t>EVERTON SANTOS MATOS</t>
  </si>
  <si>
    <t>00461197320178260050</t>
  </si>
  <si>
    <t>VANDERSON APARECIDO DE OLIVEIRA</t>
  </si>
  <si>
    <t>00461413420178260050</t>
  </si>
  <si>
    <t>FLAVIO SANTOS BRITO DE OLIVEIRA JUNIOR</t>
  </si>
  <si>
    <t>00471754420178260050</t>
  </si>
  <si>
    <t>VINICIUS PALMER DA SILVA RAMOS</t>
  </si>
  <si>
    <t>00482208320178260050</t>
  </si>
  <si>
    <t>ALEX FORNOS</t>
  </si>
  <si>
    <t>00496004420178260050</t>
  </si>
  <si>
    <t>GUSTAVO DE JESUS SANTOS</t>
  </si>
  <si>
    <t>00500733020178260050</t>
  </si>
  <si>
    <t>BRUNO ALVES DE OLIVEIRA PRADO</t>
  </si>
  <si>
    <t>00527789820178260050</t>
  </si>
  <si>
    <t>LUCAS MARCELO</t>
  </si>
  <si>
    <t>00532867820168260050</t>
  </si>
  <si>
    <t>ROBSON BARRETO DE JESUS</t>
  </si>
  <si>
    <t>00534894020168260050</t>
  </si>
  <si>
    <t>SUSI MARY DOS ANJOS</t>
  </si>
  <si>
    <t>00535141920178260050</t>
  </si>
  <si>
    <t>ROBERTO HENRIQUE DE OLIVEIRA</t>
  </si>
  <si>
    <t>00545214620178260050</t>
  </si>
  <si>
    <t>PATRICIA DA SILVA CALMO</t>
  </si>
  <si>
    <t>MAYARA REGINA VIANA DE OLIVEIRA</t>
  </si>
  <si>
    <t>00549744120178260050</t>
  </si>
  <si>
    <t>FABIO AMARO</t>
  </si>
  <si>
    <t>00549796320178260050</t>
  </si>
  <si>
    <t>THIAGO AUGUSTO BARGAS</t>
  </si>
  <si>
    <t>00571924220178260050</t>
  </si>
  <si>
    <t>WESLEY GUIMARAES DE SOUZA</t>
  </si>
  <si>
    <t>00592147320178260050</t>
  </si>
  <si>
    <t>CARLOS ROBERTO FERNANDES JUNIOR</t>
  </si>
  <si>
    <t>00592719120178260050</t>
  </si>
  <si>
    <t>LUCAS SANTOS SILVA</t>
  </si>
  <si>
    <t>00603244420168260050</t>
  </si>
  <si>
    <t>SIAO MOREIRA DE MOURA</t>
  </si>
  <si>
    <t>00609173920178260050</t>
  </si>
  <si>
    <t>JOSE EDSON DA SILVA</t>
  </si>
  <si>
    <t>00610074720178260050</t>
  </si>
  <si>
    <t>REGIANE APARECIDA CHAVES DE FARIA</t>
  </si>
  <si>
    <t>JOSIANE MARIA DA SILVA</t>
  </si>
  <si>
    <t>00624705820168260050</t>
  </si>
  <si>
    <t>DANIEL DA SILVA MOURA</t>
  </si>
  <si>
    <t>00630419220178260050</t>
  </si>
  <si>
    <t>JAQUELINE BIAZUZO DOS REIS</t>
  </si>
  <si>
    <t>00635251020178260050</t>
  </si>
  <si>
    <t>WALMIR FERNANDO DOS SANTOS MACHADO</t>
  </si>
  <si>
    <t>00645947720178260050</t>
  </si>
  <si>
    <t>ARTURO CASTRO GUAGAMA</t>
  </si>
  <si>
    <t>00646224520178260050</t>
  </si>
  <si>
    <t>GUTTEMBERG GONCALVES PEREIRA</t>
  </si>
  <si>
    <t>00647238220178260050</t>
  </si>
  <si>
    <t>00658271220178260050</t>
  </si>
  <si>
    <t>JEFFERSON RUSSI DE SOUZA</t>
  </si>
  <si>
    <t>00663701520178260050</t>
  </si>
  <si>
    <t>MICHAEL DE ARAUJO AGRA</t>
  </si>
  <si>
    <t>00667279220178260050</t>
  </si>
  <si>
    <t>KENNEDY DE SOUZA BRASILIO</t>
  </si>
  <si>
    <t>00672893820168260050</t>
  </si>
  <si>
    <t>SILAS FERREIRA DANTAS</t>
  </si>
  <si>
    <t>00675567320178260050</t>
  </si>
  <si>
    <t>JEFERSON DA SILVA SANTOS</t>
  </si>
  <si>
    <t>GABRIEL BEVENUTO DE OLIVEIRA</t>
  </si>
  <si>
    <t>00676034720178260050</t>
  </si>
  <si>
    <t>VINICIUS PEREIRA DA SILVA FARIA</t>
  </si>
  <si>
    <t>00680113820178260050</t>
  </si>
  <si>
    <t>ELVIS MAIKON DE CAMPOS FARIA</t>
  </si>
  <si>
    <t>JORGE HENRIQUE SOARES VERCOSA</t>
  </si>
  <si>
    <t>00686185120178260050</t>
  </si>
  <si>
    <t>THOMAS HENRIQUE MOREIRA DOS SANTOS</t>
  </si>
  <si>
    <t>00690050320168260050</t>
  </si>
  <si>
    <t>RUDNEY ALEXANDRE CAMPOS GARCIA</t>
  </si>
  <si>
    <t>00697651520178260050</t>
  </si>
  <si>
    <t>LEONARDO HENRIQUE TEOTONIO</t>
  </si>
  <si>
    <t>00702822020178260050</t>
  </si>
  <si>
    <t>00702960420178260050</t>
  </si>
  <si>
    <t>RIVALDO MELO DE SANTANA</t>
  </si>
  <si>
    <t>00703948620178260050</t>
  </si>
  <si>
    <t>LUIS CLAUDIO DOS SANTOS</t>
  </si>
  <si>
    <t>00704687720168260050</t>
  </si>
  <si>
    <t>ADILSON RIBEIRO DA SILVA</t>
  </si>
  <si>
    <t>00717912020168260050</t>
  </si>
  <si>
    <t>SOLANGE FERREIRA DOS SANTOS</t>
  </si>
  <si>
    <t>RODRIGO ALVES COSTA</t>
  </si>
  <si>
    <t>00726247220158260050</t>
  </si>
  <si>
    <t>CARLOS ALEXANDRE PEREIRA DA SILVA</t>
  </si>
  <si>
    <t>00729730720178260050</t>
  </si>
  <si>
    <t>LEONARDO NILSON TOLEDO</t>
  </si>
  <si>
    <t>00733796220168260050</t>
  </si>
  <si>
    <t>JONATAS JAKSON DA SILVA FERREIRA</t>
  </si>
  <si>
    <t>EDSON ALEXANDRE DOS SANTOS</t>
  </si>
  <si>
    <t>00750810920178260050</t>
  </si>
  <si>
    <t>LEONARDO PIRANE GONCALVES</t>
  </si>
  <si>
    <t>GEOVANE LEME JACOMINI</t>
  </si>
  <si>
    <t>00751455320168260050</t>
  </si>
  <si>
    <t>DAVID DA SILVA</t>
  </si>
  <si>
    <t>00751929020178260050</t>
  </si>
  <si>
    <t>JOSE RAMOS PEREIRA DE ALCANTARA</t>
  </si>
  <si>
    <t>00756062520168260050</t>
  </si>
  <si>
    <t>00762234820178260050</t>
  </si>
  <si>
    <t>VINICIUS DE ALMEIDA MACEDO</t>
  </si>
  <si>
    <t>00769547820168260050</t>
  </si>
  <si>
    <t>IGOR VALENCIO RIBEIRO</t>
  </si>
  <si>
    <t>00778707820178260050</t>
  </si>
  <si>
    <t>TAMIRES SOUZA SILVA</t>
  </si>
  <si>
    <t>00795365120168260050</t>
  </si>
  <si>
    <t>ANAIDE DE PAULO BATISTA</t>
  </si>
  <si>
    <t>00811058720168260050</t>
  </si>
  <si>
    <t>WILLIANS DOS SANTOS OLIVEIRA</t>
  </si>
  <si>
    <t>00817891220168260050</t>
  </si>
  <si>
    <t>GUILHERME NERY DE PAULA CARDOSO</t>
  </si>
  <si>
    <t>00833039720168260050</t>
  </si>
  <si>
    <t>JAMISSON TEIXEIRA DUARTE</t>
  </si>
  <si>
    <t>00835761320158260050</t>
  </si>
  <si>
    <t>SERGIO ZAMORA</t>
  </si>
  <si>
    <t>00845172620168260050</t>
  </si>
  <si>
    <t>DANIEL DO CARMO VICENTE</t>
  </si>
  <si>
    <t>CLEISON DE MOURA OLIVEIRA</t>
  </si>
  <si>
    <t>00858069120168260050</t>
  </si>
  <si>
    <t>00871666120168260050</t>
  </si>
  <si>
    <t>NARCISO PARAGUAI  JUNIOR</t>
  </si>
  <si>
    <t>00871683120168260050</t>
  </si>
  <si>
    <t>DIOGO FERREIRA DA SILVA TEIXEIRA</t>
  </si>
  <si>
    <t>00899995220168260050</t>
  </si>
  <si>
    <t>ROSEMEIRE SILVA</t>
  </si>
  <si>
    <t>00900696920168260050</t>
  </si>
  <si>
    <t>EDVILSON NASCIMENTO DE MELO</t>
  </si>
  <si>
    <t>00904862220168260050</t>
  </si>
  <si>
    <t>00946771320168260050</t>
  </si>
  <si>
    <t>LUCAS DA SILVA GOMES</t>
  </si>
  <si>
    <t>00952452920168260050</t>
  </si>
  <si>
    <t>KELVYN DA SILVA SOUZA</t>
  </si>
  <si>
    <t>ANDRE LUIZ MOTA DE SOUZA</t>
  </si>
  <si>
    <t>00970825620158260050</t>
  </si>
  <si>
    <t>LUCAS DE OLIVEIRA ARAUJO</t>
  </si>
  <si>
    <t>00977915720168260050</t>
  </si>
  <si>
    <t>THIAGO AUGUSTO LIMA MONTEIRO</t>
  </si>
  <si>
    <t>00990482020168260050</t>
  </si>
  <si>
    <t>GLEDSON OLIVEIRA ALMEIDA</t>
  </si>
  <si>
    <t>01008289220168260050</t>
  </si>
  <si>
    <t>JOSE MARIO NUNES FILHO</t>
  </si>
  <si>
    <t>01014239120168260050</t>
  </si>
  <si>
    <t>JONATHAN WILLIANS SANTOS SILVA</t>
  </si>
  <si>
    <t>01036898520158260050</t>
  </si>
  <si>
    <t>DIEGO DE CARVALHO PAIVA</t>
  </si>
  <si>
    <t>MARCOS EDUARDO SILVA SANTOS</t>
  </si>
  <si>
    <t>01050336720168260050</t>
  </si>
  <si>
    <t>VERIDIANA PERPETUA ARAUJO ABE</t>
  </si>
  <si>
    <t>01074892420158260050</t>
  </si>
  <si>
    <t>PEDRO CHRISTIAN DE ARAÚJO DIONISIO DA SILVA</t>
  </si>
  <si>
    <t>00007358720178260050</t>
  </si>
  <si>
    <t>GILBERTO CLEMENTE</t>
  </si>
  <si>
    <t>00009947320178260635</t>
  </si>
  <si>
    <t>LUIZ GUSTAVO MANSANO MACIEL UMBELINO DOS SANTOS</t>
  </si>
  <si>
    <t>00009982220178260050</t>
  </si>
  <si>
    <t>LEONARDO BRAIAN DE SOUZA</t>
  </si>
  <si>
    <t>00010700920178260050</t>
  </si>
  <si>
    <t>PABLO PAULO DA SILVA ALVES</t>
  </si>
  <si>
    <t>00011141920178260635</t>
  </si>
  <si>
    <t>DANILO FERNANDO ZACARIAS</t>
  </si>
  <si>
    <t>00016251720178260635</t>
  </si>
  <si>
    <t>MATHEUS PEREIRA DE LIMA</t>
  </si>
  <si>
    <t>00022326420168260635</t>
  </si>
  <si>
    <t>Humberto Aparecido Oliveira dos Santos</t>
  </si>
  <si>
    <t>00025597220178260635</t>
  </si>
  <si>
    <t>PEDRO HENRIQUE COSTA NUNES</t>
  </si>
  <si>
    <t>00027035520178260050</t>
  </si>
  <si>
    <t>ROBBY ROGER MORAES GALLI</t>
  </si>
  <si>
    <t>00032734120178260050</t>
  </si>
  <si>
    <t>CHARLES RIBEIRO DA SILVA</t>
  </si>
  <si>
    <t>00033885320178260635</t>
  </si>
  <si>
    <t>LUCIO TENÓRIO DOS ANJOS FILHO</t>
  </si>
  <si>
    <t>00035237420178260050</t>
  </si>
  <si>
    <t>ALBERTO ARENY GUARDIOLA</t>
  </si>
  <si>
    <t>00037660920178260635</t>
  </si>
  <si>
    <t>RODRIGO BRAZ MONTEIRO</t>
  </si>
  <si>
    <t>00040285620178260635</t>
  </si>
  <si>
    <t>WELLINGTON RUICHERLEI  DE SANTANA FERNANDES</t>
  </si>
  <si>
    <t>00043103120168260635</t>
  </si>
  <si>
    <t>VITOR VINICIUS MATOS DOS SANTOS</t>
  </si>
  <si>
    <t>00043161320178260050</t>
  </si>
  <si>
    <t>LUCAS ALVES DE ANDRADE</t>
  </si>
  <si>
    <t>00043638420178260050</t>
  </si>
  <si>
    <t>SÉRGIO DE FRANCA NEGROMONTE</t>
  </si>
  <si>
    <t>00043992020178260635</t>
  </si>
  <si>
    <t>DAVID ALLAN VITAL SOUZA</t>
  </si>
  <si>
    <t>00044791820168260635</t>
  </si>
  <si>
    <t>JORGE CLAUDINO ARAÚJO</t>
  </si>
  <si>
    <t>00045967220178260635</t>
  </si>
  <si>
    <t>LARISSA MORAES VIEIRA</t>
  </si>
  <si>
    <t>00046937220178260635</t>
  </si>
  <si>
    <t>LUCAS FONTES FORTUNATO DA SILVA</t>
  </si>
  <si>
    <t>00049543720178260635</t>
  </si>
  <si>
    <t>ALEX BRANDÃO ALVES</t>
  </si>
  <si>
    <t>00050809620178260050</t>
  </si>
  <si>
    <t>JACIARA CRISTINA BARBOSA</t>
  </si>
  <si>
    <t>ANA MOREIRA MORAES FERREIRA</t>
  </si>
  <si>
    <t>00054169120178260635</t>
  </si>
  <si>
    <t>EDUARDO CAVALCANTE VIEIRA</t>
  </si>
  <si>
    <t>00057936220178260635</t>
  </si>
  <si>
    <t>ERICK CAIQUE VITOR</t>
  </si>
  <si>
    <t>00061689720168260635</t>
  </si>
  <si>
    <t>JOSÉ NILTON TEIXEIRA</t>
  </si>
  <si>
    <t>00063660320178260635</t>
  </si>
  <si>
    <t>ROSANA DOS SANTOS</t>
  </si>
  <si>
    <t>00064622720178260050</t>
  </si>
  <si>
    <t>KAREN SUZANY DE CARVALHO</t>
  </si>
  <si>
    <t>00065237320178260635</t>
  </si>
  <si>
    <t>IONEL DA SILVA SANTANA</t>
  </si>
  <si>
    <t>Daniel Eric Saavedra Castillo</t>
  </si>
  <si>
    <t>Everton Carlos Pimentel</t>
  </si>
  <si>
    <t>00072182720178260635</t>
  </si>
  <si>
    <t>GEOVANA DA CRUZ MONTEZZANO</t>
  </si>
  <si>
    <t>DENISSON IZIDORIO DOS SANTOS</t>
  </si>
  <si>
    <t>00073794620178260050</t>
  </si>
  <si>
    <t>DENIS COLARES DE CARVALHO</t>
  </si>
  <si>
    <t>00075101220178260635</t>
  </si>
  <si>
    <t>GABRIEL RIBEIRO ALCANTARA</t>
  </si>
  <si>
    <t>00077968720178260635</t>
  </si>
  <si>
    <t>JOÃO VITOR DE OLIVEIRA DA CONCEIÇÃO</t>
  </si>
  <si>
    <t>00088829320178260635</t>
  </si>
  <si>
    <t>FELIPE SILVA ALVES DE JESUS</t>
  </si>
  <si>
    <t>00092033120178260635</t>
  </si>
  <si>
    <t>HEITOR SANTANA NUNES</t>
  </si>
  <si>
    <t>00093324520178260050</t>
  </si>
  <si>
    <t>RENATO REIS DOS SANTOS</t>
  </si>
  <si>
    <t>00096660720168260635</t>
  </si>
  <si>
    <t>TAINA FERNANDA MORAES DA SILVA</t>
  </si>
  <si>
    <t>00102938320178260050</t>
  </si>
  <si>
    <t>JOHNATAN GREGÓRIO DOS SANTOS</t>
  </si>
  <si>
    <t>00102966320168260635</t>
  </si>
  <si>
    <t>YAGO GARCIA LEAL</t>
  </si>
  <si>
    <t>00113183420178260050</t>
  </si>
  <si>
    <t>LUEDSON SANTOS DA SILVA</t>
  </si>
  <si>
    <t>00116483120178260050</t>
  </si>
  <si>
    <t>FERNANDO BATISTA DE ARAÚJO</t>
  </si>
  <si>
    <t>00117983720168260635</t>
  </si>
  <si>
    <t>FELIPE KHAIN SACCHI SILVA</t>
  </si>
  <si>
    <t>00122911420168260635</t>
  </si>
  <si>
    <t>ALESSANDRO GERMANO DE SOUZA JUNIOR</t>
  </si>
  <si>
    <t>00130712620178260050</t>
  </si>
  <si>
    <t>LEANDRO RODRIGUES GOMES</t>
  </si>
  <si>
    <t>00134921620178260050</t>
  </si>
  <si>
    <t>JOSIEL DONIZETE MARTINS</t>
  </si>
  <si>
    <t>MARCIO DA SILVA QUEIROS</t>
  </si>
  <si>
    <t>00139202320168260635</t>
  </si>
  <si>
    <t>GILCIMAR ALBUQUERQUE RIBEIRO DOS SANTOS</t>
  </si>
  <si>
    <t>00152157020178260050</t>
  </si>
  <si>
    <t>FERNANDO SILVA CAVALCANTE DE OLIVEIRA</t>
  </si>
  <si>
    <t>00168508620178260050</t>
  </si>
  <si>
    <t>GUTIERREZ OLIVEIRA RODRIGUES</t>
  </si>
  <si>
    <t>00182088620178260050</t>
  </si>
  <si>
    <t>LUCAS GARCIA DE BARROS</t>
  </si>
  <si>
    <t>00197504220178260050</t>
  </si>
  <si>
    <t>PEDRO HENRIQUE DA SILVA GRAÇA</t>
  </si>
  <si>
    <t>00221286820178260050</t>
  </si>
  <si>
    <t>MAXIMILIANO DE GOES</t>
  </si>
  <si>
    <t>00228171520178260050</t>
  </si>
  <si>
    <t>ALEFF RENAN DA SILVA</t>
  </si>
  <si>
    <t>00249867220178260050</t>
  </si>
  <si>
    <t>ALESSANDRO CAMPOS DA SILVA</t>
  </si>
  <si>
    <t>00281545320158260050</t>
  </si>
  <si>
    <t>RODRIGO ALVES DA SILVA</t>
  </si>
  <si>
    <t>00314423820178260050</t>
  </si>
  <si>
    <t>FLAVIO HENRIQUE CARVALHO DE PADUA</t>
  </si>
  <si>
    <t>00333547020178260050</t>
  </si>
  <si>
    <t>ALEX DE LUNA PEREIRA DA SILVA</t>
  </si>
  <si>
    <t>00339002820178260050</t>
  </si>
  <si>
    <t>WALLACE DA CRUZ MARQUES</t>
  </si>
  <si>
    <t>00342781820168260050</t>
  </si>
  <si>
    <t>LEOCADIA CECILIA RODRIGUES</t>
  </si>
  <si>
    <t>00353951020178260050</t>
  </si>
  <si>
    <t>FERNANDA ARAGAO FIGUEIREDO</t>
  </si>
  <si>
    <t>CRISTINA CELIA SILVA ALMEIDA</t>
  </si>
  <si>
    <t>00410263220178260050</t>
  </si>
  <si>
    <t>CARLOS ALBERTO SANTOS DE PAULA</t>
  </si>
  <si>
    <t>00425272120178260050</t>
  </si>
  <si>
    <t>EDUARDO OLIVEIRA DOS ANJOS</t>
  </si>
  <si>
    <t>ANDERSON EROSTATE</t>
  </si>
  <si>
    <t>00433119520178260050</t>
  </si>
  <si>
    <t>CLAUDIO DA SILVA</t>
  </si>
  <si>
    <t>PETER DURANTE SANTOS</t>
  </si>
  <si>
    <t>EMERSON DE OLIVEIRA SILVA</t>
  </si>
  <si>
    <t>00448353020178260050</t>
  </si>
  <si>
    <t>LUCAS DE LIMA PONTES</t>
  </si>
  <si>
    <t>00475062620178260050</t>
  </si>
  <si>
    <t>EVERALDO DAMAZIO GONCALVES</t>
  </si>
  <si>
    <t>00476434220168260050</t>
  </si>
  <si>
    <t>VILSON VIEIRA DA SILVA</t>
  </si>
  <si>
    <t>00482528820178260050</t>
  </si>
  <si>
    <t>VICTOR HUGO BELARMINO</t>
  </si>
  <si>
    <t>00485889220178260050</t>
  </si>
  <si>
    <t>HIGOR HENRIQUE ROCHA DA SILVA</t>
  </si>
  <si>
    <t>00501417720178260050</t>
  </si>
  <si>
    <t>OBINNA KEN NNAMANI</t>
  </si>
  <si>
    <t>00505959120168260050</t>
  </si>
  <si>
    <t>LEANDRO AUGUSTO DA SILVA</t>
  </si>
  <si>
    <t>00520075720168260050</t>
  </si>
  <si>
    <t>ANTONIO CARLOS BRITO JUNIOR</t>
  </si>
  <si>
    <t>00522881320168260050</t>
  </si>
  <si>
    <t>EDGLEBSON TEIXEIRA DA SILVA</t>
  </si>
  <si>
    <t>00527928220178260050</t>
  </si>
  <si>
    <t>DAVID MARTINELLI PEREIRA</t>
  </si>
  <si>
    <t>00553052320178260050</t>
  </si>
  <si>
    <t>BRUNO DE OLIVEIRA XAVIER</t>
  </si>
  <si>
    <t>00565670820178260050</t>
  </si>
  <si>
    <t>DEBORA DA SILVA CAZASSA</t>
  </si>
  <si>
    <t>00570885020178260050</t>
  </si>
  <si>
    <t>ERISMAR MACEDO DE SOUZA</t>
  </si>
  <si>
    <t>00605882720178260050</t>
  </si>
  <si>
    <t>ADRIANO ANDRÉ DA SILVA</t>
  </si>
  <si>
    <t>00610152420178260050</t>
  </si>
  <si>
    <t>FRANCISCO LUCIANO OSCAR DE SOUZA</t>
  </si>
  <si>
    <t>CESAR CARNEIRO DE LIMA</t>
  </si>
  <si>
    <t>00626371220158260050</t>
  </si>
  <si>
    <t>LUCAS DA SILVA AFONSO</t>
  </si>
  <si>
    <t>00626512520178260050</t>
  </si>
  <si>
    <t>DENNIS DIAS NUNES</t>
  </si>
  <si>
    <t>00626703120178260050</t>
  </si>
  <si>
    <t>ELCIO JOSÉ RODRIGUES DE JESUS</t>
  </si>
  <si>
    <t>JANDSON OLIVEIRA DE LIMA</t>
  </si>
  <si>
    <t>00631094220178260050</t>
  </si>
  <si>
    <t>ROBSON MONTEIRO DOS SANTOS</t>
  </si>
  <si>
    <t>00662475120168260050</t>
  </si>
  <si>
    <t>PEDRO PAULO MARQUES DA ROCHA BONFIM</t>
  </si>
  <si>
    <t>00662749720178260050</t>
  </si>
  <si>
    <t>LUIZ PAULO LOZ DE ARAÚJO</t>
  </si>
  <si>
    <t>00668737020168260050</t>
  </si>
  <si>
    <t>CARLOS ALBERTO DA SILVA FERREIRA</t>
  </si>
  <si>
    <t>00678661620168260050</t>
  </si>
  <si>
    <t>DAVID WILLIAN DA LUZ PAULINO</t>
  </si>
  <si>
    <t>00690593220178260050</t>
  </si>
  <si>
    <t>RENE SIMÕES MELO DA SILVA</t>
  </si>
  <si>
    <t>00694915120178260050</t>
  </si>
  <si>
    <t>THALES VINICIUS EUSTAQUIO DOS SANTOS</t>
  </si>
  <si>
    <t>00696243020168260050</t>
  </si>
  <si>
    <t>00705033720168260050</t>
  </si>
  <si>
    <t>DIEGO DE SOUZA PEREIRA</t>
  </si>
  <si>
    <t>00708937020178260050</t>
  </si>
  <si>
    <t>ISLAN BIAO DA LUZ</t>
  </si>
  <si>
    <t>00711681920178260050</t>
  </si>
  <si>
    <t>DAIANA SILVA RIBEIRO</t>
  </si>
  <si>
    <t>00723097320178260050</t>
  </si>
  <si>
    <t>PAULO FELLIPE VERISSIMO BOTELHO</t>
  </si>
  <si>
    <t>00726893320168260050</t>
  </si>
  <si>
    <t>ARNOVIO GONÇALVES DE OLIVEIRA</t>
  </si>
  <si>
    <t>00742505820178260050</t>
  </si>
  <si>
    <t>EDIVAN PEREIRA BASTOS</t>
  </si>
  <si>
    <t>00769746920168260050</t>
  </si>
  <si>
    <t>00772428920178260050</t>
  </si>
  <si>
    <t>RODRIGO ARAÚJO DE ANDRADE</t>
  </si>
  <si>
    <t>00774570220168260050</t>
  </si>
  <si>
    <t>CLEITON CONCEIÇÃO MESSIAS DE PAULA FEIJÓ</t>
  </si>
  <si>
    <t>00796100820168260050</t>
  </si>
  <si>
    <t>CARLOS ALBERTO OLINTO DE SOUZA MARTINS</t>
  </si>
  <si>
    <t>BRUNO DE OLIVEIRA FERNANDES LIMA</t>
  </si>
  <si>
    <t>00797706720158260050</t>
  </si>
  <si>
    <t>JAILDO FEITOSA DOS SANTOS</t>
  </si>
  <si>
    <t>IGOR FERNANDO DA SILVA</t>
  </si>
  <si>
    <t>00798939420178260050</t>
  </si>
  <si>
    <t>MICAEL DE LUNA SANTOS</t>
  </si>
  <si>
    <t>00803099620168260050</t>
  </si>
  <si>
    <t>VICTOR CHRISTIAN DA SILVA IBIAPINO</t>
  </si>
  <si>
    <t>00810795520178260050</t>
  </si>
  <si>
    <t>LEANDRO FERNANDES DE LIMA</t>
  </si>
  <si>
    <t>00818186220168260050</t>
  </si>
  <si>
    <t>SERGIO DA ROCHA</t>
  </si>
  <si>
    <t>00836044420168260050</t>
  </si>
  <si>
    <t>BEATRIZ KAUANE DA SILVA</t>
  </si>
  <si>
    <t>00840444020168260050</t>
  </si>
  <si>
    <t>JEFFERSON MELO DE LIMA</t>
  </si>
  <si>
    <t>00884561420168260050</t>
  </si>
  <si>
    <t>EDSON BISPO DE OLIVEIRA</t>
  </si>
  <si>
    <t>00889679520058260050</t>
  </si>
  <si>
    <t>Festus Thomas Namgambwa</t>
  </si>
  <si>
    <t>00904057320168260050</t>
  </si>
  <si>
    <t>ATHOS BARBOSA DE OLIVEIRA</t>
  </si>
  <si>
    <t>00910298820178260050</t>
  </si>
  <si>
    <t>WILLIAM OLIVEIRA DA SILVA</t>
  </si>
  <si>
    <t>00916658820168260050</t>
  </si>
  <si>
    <t>RAFAEL FRANCISCO DA SILVA</t>
  </si>
  <si>
    <t>00919759420168260050</t>
  </si>
  <si>
    <t>WEVERTON LUIS GONÇALVES DE OLIVEIRA</t>
  </si>
  <si>
    <t>00924842520168260050</t>
  </si>
  <si>
    <t>CARLOS ALBERTO JORDÃO DA SILVEIRA</t>
  </si>
  <si>
    <t>00942057520178260050</t>
  </si>
  <si>
    <t>THIAGO DE CARVALHO DA SILVA</t>
  </si>
  <si>
    <t>00951474420168260050</t>
  </si>
  <si>
    <t>WESLEY RODRIGO DE SOUSA</t>
  </si>
  <si>
    <t>00954627220168260050</t>
  </si>
  <si>
    <t>BRUNO BERTOLDO DE MATOS</t>
  </si>
  <si>
    <t>00976832820168260050</t>
  </si>
  <si>
    <t>HUGO LEONARDO MARTINS FERREIRA</t>
  </si>
  <si>
    <t>00978799520168260050</t>
  </si>
  <si>
    <t>MARCOS ANTONIO DE LIMA FILHO</t>
  </si>
  <si>
    <t>00994059720168260050</t>
  </si>
  <si>
    <t>REGINALDO GABRIEL MONTEFORTE</t>
  </si>
  <si>
    <t>LEANDRO SOUSA ARRUDA</t>
  </si>
  <si>
    <t>00995283220158260050</t>
  </si>
  <si>
    <t>PAULO CEZAR SANTOS COSTA</t>
  </si>
  <si>
    <t>01007717420168260050</t>
  </si>
  <si>
    <t>PAULO FERNANDO DA SILVA</t>
  </si>
  <si>
    <t>01014949320168260050</t>
  </si>
  <si>
    <t>PAULO CELSO SILVERIO VIEIRA</t>
  </si>
  <si>
    <t>01036513920168260050</t>
  </si>
  <si>
    <t>PETERSON ERIVALDO PEREIRA SILVA</t>
  </si>
  <si>
    <t>00004534920178260050</t>
  </si>
  <si>
    <t>ROGERIO GOMES MOREIRA</t>
  </si>
  <si>
    <t>00007582420178260635</t>
  </si>
  <si>
    <t>JONAS DE JESUS MOREIRA SANTOS</t>
  </si>
  <si>
    <t>DANIEL CHRISTIAN CORREA DE ANDRADE</t>
  </si>
  <si>
    <t>00008032820178260635</t>
  </si>
  <si>
    <t>00008467120178260050</t>
  </si>
  <si>
    <t>RONALDO DE MELO LINS</t>
  </si>
  <si>
    <t>00009619220178260050</t>
  </si>
  <si>
    <t>DIMAS GASPAR AFFONSO</t>
  </si>
  <si>
    <t>00009722420178260050</t>
  </si>
  <si>
    <t>WENDELL DE SOUZA SILVA</t>
  </si>
  <si>
    <t>00009913020178260050</t>
  </si>
  <si>
    <t>LUAN APARECIDO SILVA SOUSA</t>
  </si>
  <si>
    <t>00012155620178260635</t>
  </si>
  <si>
    <t>CAINA FILIPI CAVALCANTE</t>
  </si>
  <si>
    <t>GABRIEL MONCAO DE ALMEIDA</t>
  </si>
  <si>
    <t>00022920320178260635</t>
  </si>
  <si>
    <t>MATHEUS DE SOUZA RIBEIRO NOVAES</t>
  </si>
  <si>
    <t>CAIO HENRIQUE DE BRITO CEZA</t>
  </si>
  <si>
    <t>CICERO GOMES DE FREITAS</t>
  </si>
  <si>
    <t>00033582720178260050</t>
  </si>
  <si>
    <t>00036683320178260050</t>
  </si>
  <si>
    <t>ALEXSANDRO SILVA OLIVEIRA FELIPE</t>
  </si>
  <si>
    <t>00037522520178260635</t>
  </si>
  <si>
    <t>RENATO LUIS DE TOLEDO</t>
  </si>
  <si>
    <t>00042595420158260635</t>
  </si>
  <si>
    <t>00043637520178260635</t>
  </si>
  <si>
    <t>DAVI ALVES MONTEIRO</t>
  </si>
  <si>
    <t>00045923520178260635</t>
  </si>
  <si>
    <t>JEAN CARLOS DE OLIVEIRA</t>
  </si>
  <si>
    <t>00052696520178260635</t>
  </si>
  <si>
    <t>FRANCISCO BEZERRA DA SILVA</t>
  </si>
  <si>
    <t>00055072120168260635</t>
  </si>
  <si>
    <t>JOÃO RENATO TEIXEIRA DOS SANTOS EULALIO</t>
  </si>
  <si>
    <t>00057563520178260635</t>
  </si>
  <si>
    <t>JURANDIR NUNES DOS SANTOS</t>
  </si>
  <si>
    <t>00070304320178260050</t>
  </si>
  <si>
    <t>ALESSANDRO GOMES ALVES</t>
  </si>
  <si>
    <t>ALEX FERREIRA RODRIGUES DA FONSECA</t>
  </si>
  <si>
    <t>00070667620178260635</t>
  </si>
  <si>
    <t>LUCAS GABRIEL BALTAZAR PEREIRA</t>
  </si>
  <si>
    <t>00076660920178260050</t>
  </si>
  <si>
    <t>RAFAEL ARAUJO SOBRAL</t>
  </si>
  <si>
    <t>00080040820168260635</t>
  </si>
  <si>
    <t>JOSE HENRIQUE SOUZA DA SILVA</t>
  </si>
  <si>
    <t>SILVIO CARLOS TRAJANO ORTOLAN</t>
  </si>
  <si>
    <t>DANIEL DA SILVA SANTANA</t>
  </si>
  <si>
    <t>00080234820158260635</t>
  </si>
  <si>
    <t>RODRIGO REZENDE DE SOUZA</t>
  </si>
  <si>
    <t>00101034820168260635</t>
  </si>
  <si>
    <t>JEDSON SANTOS RODRIGUES</t>
  </si>
  <si>
    <t>00103797920168260635</t>
  </si>
  <si>
    <t>DANIEL FIGUEIREDO DOS SANTOS</t>
  </si>
  <si>
    <t>ANDRE RODRIGUES SOARES SILVA</t>
  </si>
  <si>
    <t>00110154520168260635</t>
  </si>
  <si>
    <t>ADAILTON FERNANDES DOS SANTOS</t>
  </si>
  <si>
    <t>00112328820168260635</t>
  </si>
  <si>
    <t>ALESSANDRO RIBEIRO DE SAO SEVERINO</t>
  </si>
  <si>
    <t>00113694520178260050</t>
  </si>
  <si>
    <t>ANDRE COSTA PEREIRA</t>
  </si>
  <si>
    <t>RAFAEL NAGANUMA DA SILVA FLORES</t>
  </si>
  <si>
    <t>00113800220168260635</t>
  </si>
  <si>
    <t>KENNEDY PEDRO DOS SANTOS</t>
  </si>
  <si>
    <t>00115853120168260635</t>
  </si>
  <si>
    <t>LEANDRO FERREIRA DOS SANTOS</t>
  </si>
  <si>
    <t>00118339420168260635</t>
  </si>
  <si>
    <t>CELSO CARLOS MATEUS</t>
  </si>
  <si>
    <t>00126705220168260635</t>
  </si>
  <si>
    <t>00135426720168260635</t>
  </si>
  <si>
    <t>RODRIGO DA COSTA PEREIRA</t>
  </si>
  <si>
    <t>00139165820178260050</t>
  </si>
  <si>
    <t>EDINEI FERREIRA ARAUJO</t>
  </si>
  <si>
    <t>00168594820178260050</t>
  </si>
  <si>
    <t>WELTON FRANKLIN MARTINS</t>
  </si>
  <si>
    <t>00210847720188260050</t>
  </si>
  <si>
    <t>CAIQUE PEREIRA VALENÇA</t>
  </si>
  <si>
    <t>00228449520178260050</t>
  </si>
  <si>
    <t>YAGO DA SILVA CARDOSO</t>
  </si>
  <si>
    <t>00246299720148260050</t>
  </si>
  <si>
    <t>JOSE ALEX DA SILVA</t>
  </si>
  <si>
    <t>00262107920168260050</t>
  </si>
  <si>
    <t>DOUGLAS CARVALHO PEREIRA</t>
  </si>
  <si>
    <t>00264169320168260050</t>
  </si>
  <si>
    <t>Wilcelino Olavo dos Santos</t>
  </si>
  <si>
    <t>MARIA GLEICIANE RODRIGUES DO NASCIMENTO</t>
  </si>
  <si>
    <t>ROMERITO ALVES DE OLIVEIRA</t>
  </si>
  <si>
    <t>00264901620178260050</t>
  </si>
  <si>
    <t>FABIANO FERREIRA DA SILVA</t>
  </si>
  <si>
    <t>00268542220168260050</t>
  </si>
  <si>
    <t>JORGE ENRIQUE SALCEDO ORMAZA</t>
  </si>
  <si>
    <t>00313696620178260050</t>
  </si>
  <si>
    <t>MANOEL CORREIA DE SOUSA</t>
  </si>
  <si>
    <t>YURI SILVA DE JESUS</t>
  </si>
  <si>
    <t>00333321220178260050</t>
  </si>
  <si>
    <t>RAFAEL MOREIRA DE SOUZA</t>
  </si>
  <si>
    <t>00392214420178260050</t>
  </si>
  <si>
    <t>DAGOBERTO DE SOUZA SANTOS</t>
  </si>
  <si>
    <t>00416801920178260050</t>
  </si>
  <si>
    <t>WESLEY LOPES DE SALES</t>
  </si>
  <si>
    <t>00436768620168260050</t>
  </si>
  <si>
    <t>BEATRIZ SENA DE SOUZA</t>
  </si>
  <si>
    <t>00448870220128260050</t>
  </si>
  <si>
    <t>VANIA APARECIDA PEDRO</t>
  </si>
  <si>
    <t>ROGERIO MATIAS DE FIGUEIRA</t>
  </si>
  <si>
    <t>00480646620158260050</t>
  </si>
  <si>
    <t>NAYARA ALVES DO NASCIMENTO</t>
  </si>
  <si>
    <t>00522636320178260050</t>
  </si>
  <si>
    <t>PEDRO GOMES DOS SANTOS</t>
  </si>
  <si>
    <t>IVO RUIZ JUNIOR</t>
  </si>
  <si>
    <t>00543765820158260050</t>
  </si>
  <si>
    <t>FRANCISCO DE ASSIS DA COSTA</t>
  </si>
  <si>
    <t>00558769120178260050</t>
  </si>
  <si>
    <t>ALEXANDRE FERREIRA DOS SANTOS</t>
  </si>
  <si>
    <t>00562885620168260050</t>
  </si>
  <si>
    <t>LUIZ PAULO MARTINS DOS SANTOS</t>
  </si>
  <si>
    <t>00573396820178260050</t>
  </si>
  <si>
    <t>MARCOS ALCIDES RODRIGUES DA SILVA</t>
  </si>
  <si>
    <t>00614249720178260050</t>
  </si>
  <si>
    <t>JONATAN SOUSA EVANGELISTA DA FRANCA</t>
  </si>
  <si>
    <t>00629088420168260050</t>
  </si>
  <si>
    <t>FRANCISCO MORAIS DOS SANTOS</t>
  </si>
  <si>
    <t>00649787420168260050</t>
  </si>
  <si>
    <t>DIEGO PEREIRA DE OLIVEIRA</t>
  </si>
  <si>
    <t>00654516020168260050</t>
  </si>
  <si>
    <t>FERNANDO BEZERRA FERREIRA</t>
  </si>
  <si>
    <t>00676668220118260050</t>
  </si>
  <si>
    <t>David Mauricio Lima Latanzi</t>
  </si>
  <si>
    <t>Wellington de Paula Resende</t>
  </si>
  <si>
    <t>Jair Antunes Junior</t>
  </si>
  <si>
    <t>Francisco Alves Pereira</t>
  </si>
  <si>
    <t>Josenilto Souza da Rocha</t>
  </si>
  <si>
    <t>Alan Fabio da Silva</t>
  </si>
  <si>
    <t>Leandro Almeida de Lima</t>
  </si>
  <si>
    <t>Marcelo Aparecido dos Santos</t>
  </si>
  <si>
    <t>Reginaldo Fernandes</t>
  </si>
  <si>
    <t>00687479020168260050</t>
  </si>
  <si>
    <t>MATHEUS RICARDO DE SOUZA AQUINO</t>
  </si>
  <si>
    <t>00689952220178260050</t>
  </si>
  <si>
    <t>PATRICIA FEITOSA DOS SANTOS</t>
  </si>
  <si>
    <t>00691379420158260050</t>
  </si>
  <si>
    <t>LUCAS SANTOS DE ALMEIDA</t>
  </si>
  <si>
    <t>PAULO SERGIO DE JESUS OLIVEIRA</t>
  </si>
  <si>
    <t>00775280420168260050</t>
  </si>
  <si>
    <t>JOAO BOSCO JUNIOR</t>
  </si>
  <si>
    <t>00775560620158260050</t>
  </si>
  <si>
    <t>KAYQUE DA SILVA OLIVEIRA</t>
  </si>
  <si>
    <t>00784675220148260050</t>
  </si>
  <si>
    <t>CARLOS ALEANDRO GUEDES</t>
  </si>
  <si>
    <t>REINALDO PINHEIRO DOS SANTOS E LIMA</t>
  </si>
  <si>
    <t>00784796620148260050</t>
  </si>
  <si>
    <t>Jefferson de Freitas Santana</t>
  </si>
  <si>
    <t>00797046320108260050</t>
  </si>
  <si>
    <t>Jefferson Alves Sampaio</t>
  </si>
  <si>
    <t>Jaqueline Daiana Brito Pereira</t>
  </si>
  <si>
    <t>André Luiz Vaz Ribeiro</t>
  </si>
  <si>
    <t>Michele Garcia Batista</t>
  </si>
  <si>
    <t>00798249620168260050</t>
  </si>
  <si>
    <t>DIEGO VIEIRA RODRIGUES</t>
  </si>
  <si>
    <t>00805859320178260050</t>
  </si>
  <si>
    <t>JIRLANE SANTANA SANTOS</t>
  </si>
  <si>
    <t>00814981220168260050</t>
  </si>
  <si>
    <t>BRUNO THADEU DE SOUZA ELIAS</t>
  </si>
  <si>
    <t>00818341620168260050</t>
  </si>
  <si>
    <t>SAYMON COSTA ROSA</t>
  </si>
  <si>
    <t>00826136820168260050</t>
  </si>
  <si>
    <t>MIKE AUGUSTO CAMPOS ARAUJO DE OLIVEIRA</t>
  </si>
  <si>
    <t>00836572520168260050</t>
  </si>
  <si>
    <t>00858857020168260050</t>
  </si>
  <si>
    <t>ACACIO BAHIA DA SILVA</t>
  </si>
  <si>
    <t>00885150220168260050</t>
  </si>
  <si>
    <t>CAIQUE ROBSON DOS SANTOS</t>
  </si>
  <si>
    <t>00904126520168260050</t>
  </si>
  <si>
    <t>CIBELLI CRISTINA MAULI BRAZ</t>
  </si>
  <si>
    <t>CARLOS VINICIUS RAMOS</t>
  </si>
  <si>
    <t>00920486620168260050</t>
  </si>
  <si>
    <t>WILLIAM  MOREIRA DE MELO</t>
  </si>
  <si>
    <t>00941774420168260050</t>
  </si>
  <si>
    <t>GUSTAVO SAMPAIO PEREIRA</t>
  </si>
  <si>
    <t>00945775820168260050</t>
  </si>
  <si>
    <t>ALAN SANTOS RODRIGUES TRINDADE</t>
  </si>
  <si>
    <t>00954826320168260050</t>
  </si>
  <si>
    <t>JOSE LUIZ RODRIGUES</t>
  </si>
  <si>
    <t>00981732120148260050</t>
  </si>
  <si>
    <t>00981925620168260050</t>
  </si>
  <si>
    <t>ALAIR MIGUEL DE ALMEIDA JUNIOR</t>
  </si>
  <si>
    <t>01014662820168260050</t>
  </si>
  <si>
    <t>DAVID DA SILVA MUNIZ CARNEIRO</t>
  </si>
  <si>
    <t>01030417120168260050</t>
  </si>
  <si>
    <t>VINICIUS UALACE DE ALMEIDA</t>
  </si>
  <si>
    <t>01053619420168260050</t>
  </si>
  <si>
    <t>ULYSSES VIEIRA DOS SANTOS</t>
  </si>
  <si>
    <t>DENIS DE SOUZA SANTOS</t>
  </si>
  <si>
    <t>01057975320168260050</t>
  </si>
  <si>
    <t>FABRICIO PERMANHANI DE OLIVEIRA</t>
  </si>
  <si>
    <t>KAUE MOREIRA SANTOS</t>
  </si>
  <si>
    <t>00002136020178260050</t>
  </si>
  <si>
    <t>MATEUS CANDEIAS FERNANDES</t>
  </si>
  <si>
    <t>00004152820178260635</t>
  </si>
  <si>
    <t>TIAGO ANTONIO DO NASCIMENTO</t>
  </si>
  <si>
    <t>00006387820178260635</t>
  </si>
  <si>
    <t>EDUARDO BISPO DOS SANTOS</t>
  </si>
  <si>
    <t>00007894420178260635</t>
  </si>
  <si>
    <t>LUCAS RAFAEL SILVA</t>
  </si>
  <si>
    <t>00011367720178260635</t>
  </si>
  <si>
    <t>ED CARLOS DOS SANTOS NERES</t>
  </si>
  <si>
    <t>00012077920178260635</t>
  </si>
  <si>
    <t>LUCAS DANIEL FERNANDES</t>
  </si>
  <si>
    <t>DENIS RODRIGUES GOMES DA SILVA</t>
  </si>
  <si>
    <t>00012286420178260050</t>
  </si>
  <si>
    <t>JOSE EDSON ALEXANDRE DOS SANTOS</t>
  </si>
  <si>
    <t>00027311420178260635</t>
  </si>
  <si>
    <t>LUIS CARLOS CERQUEIRA</t>
  </si>
  <si>
    <t>00032006020178260635</t>
  </si>
  <si>
    <t>LUIS HENRIQUE CIPRIANI PAIXÃO</t>
  </si>
  <si>
    <t>ANDERSON LEAL CAMPOS</t>
  </si>
  <si>
    <t>00033201520178260050</t>
  </si>
  <si>
    <t>FERNANDO NORONHA MOREIRA</t>
  </si>
  <si>
    <t>00035782520178260050</t>
  </si>
  <si>
    <t>MILTON CESAR BRANDAO FRANCO</t>
  </si>
  <si>
    <t>00036726120178260635</t>
  </si>
  <si>
    <t>FRANCISCO ERISSON OLIVEIRA SILVA</t>
  </si>
  <si>
    <t>00044697120168260635</t>
  </si>
  <si>
    <t>RODRIGO MACEDO DO CARMO</t>
  </si>
  <si>
    <t>00044740520168260050</t>
  </si>
  <si>
    <t>LUIS PEREIRA DE SOUZA</t>
  </si>
  <si>
    <t>00046839620158260635</t>
  </si>
  <si>
    <t>CLAYTON SALVINO DA SILVA</t>
  </si>
  <si>
    <t>00054154320168260635</t>
  </si>
  <si>
    <t>SAMUEL DA CRUZ SANTOS</t>
  </si>
  <si>
    <t>00068208020178260635</t>
  </si>
  <si>
    <t>ANDRE LUIZ PEREIRA</t>
  </si>
  <si>
    <t>00077962420168260635</t>
  </si>
  <si>
    <t>GEORGE SUNDAY UGWU</t>
  </si>
  <si>
    <t>00093523620178260050</t>
  </si>
  <si>
    <t>MAXWELL DA CUNHA DE ANDRADE TEIXEIRA RAMOS</t>
  </si>
  <si>
    <t>00096851320168260635</t>
  </si>
  <si>
    <t>ERNESTO GAMARRA DURAN JUNIOR</t>
  </si>
  <si>
    <t>00100341620168260635</t>
  </si>
  <si>
    <t>DAVID MICHAEL GUEDES VIEIRA</t>
  </si>
  <si>
    <t>00100455420168260050</t>
  </si>
  <si>
    <t>JUSLEIMAR TADEU BENEVIDES MORAIS</t>
  </si>
  <si>
    <t>00110223720168260635</t>
  </si>
  <si>
    <t>VITOR DOS SANTOS</t>
  </si>
  <si>
    <t>00124297820168260635</t>
  </si>
  <si>
    <t>RUBENS MARQUES DE OLIVEIRA</t>
  </si>
  <si>
    <t>00125042020168260635</t>
  </si>
  <si>
    <t>FELIPE RODRIGUES DA SILVA</t>
  </si>
  <si>
    <t>00130905720168260635</t>
  </si>
  <si>
    <t>HENRIQUE FERNANDO DE SOUZA</t>
  </si>
  <si>
    <t>00141082520168260050</t>
  </si>
  <si>
    <t>LEANDRO DANILO MAIA DOS SANTOS</t>
  </si>
  <si>
    <t>00144588120148260050</t>
  </si>
  <si>
    <t>00152523420168260050</t>
  </si>
  <si>
    <t>MAIKE SILVA PASSOS</t>
  </si>
  <si>
    <t>00155653220138260007</t>
  </si>
  <si>
    <t>Felipe Barbosa Mesquita</t>
  </si>
  <si>
    <t>00165641120178260050</t>
  </si>
  <si>
    <t>EDUARDO VICENTE FERREIRA</t>
  </si>
  <si>
    <t>MACIEL FRANCISCO DOS SANTOS</t>
  </si>
  <si>
    <t>00191713120168260050</t>
  </si>
  <si>
    <t>GABRIEL ANDRADE DE ALMEIDA</t>
  </si>
  <si>
    <t>00192957720178260050</t>
  </si>
  <si>
    <t>COSMO GABRIEL ANDRADE MENEZES</t>
  </si>
  <si>
    <t>00208592820168260050</t>
  </si>
  <si>
    <t>SONIA MARIA DE LUCENA OLIVEIRA</t>
  </si>
  <si>
    <t>ROMARIO GOMES SANTOS</t>
  </si>
  <si>
    <t>00210097220178260050</t>
  </si>
  <si>
    <t>TARCISIO MOREIRA SEBASTIAO</t>
  </si>
  <si>
    <t>00232277320178260050</t>
  </si>
  <si>
    <t>MARCIO SILVANO MOURA</t>
  </si>
  <si>
    <t>00269803820178260050</t>
  </si>
  <si>
    <t>00273947020168260050</t>
  </si>
  <si>
    <t>RONALD DE BARROS BERNARDO</t>
  </si>
  <si>
    <t>EMERSON ALVES GUIMARAES</t>
  </si>
  <si>
    <t>DEIWITI FRANCISCO DE AZEVEDO</t>
  </si>
  <si>
    <t>00275338520178260050</t>
  </si>
  <si>
    <t>GABRIEL HIRAE GOMES</t>
  </si>
  <si>
    <t>00295032320178260050</t>
  </si>
  <si>
    <t>EVANGELINE BONA TENDENILLA</t>
  </si>
  <si>
    <t>00295823620168260050</t>
  </si>
  <si>
    <t>CARLOS CESAR DA SILVA LIMA FILHO</t>
  </si>
  <si>
    <t>AUDIZIO ROSALVO VIEIRA</t>
  </si>
  <si>
    <t>LEONILDO DA SILVA OLIVEIRA</t>
  </si>
  <si>
    <t>MARCIO FERREIRA DO NASCIMENTO</t>
  </si>
  <si>
    <t>00300047420178260050</t>
  </si>
  <si>
    <t>ROBERTO DE OLIVEIRA MADEIRA</t>
  </si>
  <si>
    <t>00301479720168260050</t>
  </si>
  <si>
    <t>WAGNER DE OLIVEIRA PINTO</t>
  </si>
  <si>
    <t>00339750420168260050</t>
  </si>
  <si>
    <t>EVAIR DE ARAUJO MOREIRA</t>
  </si>
  <si>
    <t>MARCOS PAULO DA SILVA</t>
  </si>
  <si>
    <t>00394137420178260050</t>
  </si>
  <si>
    <t>FELIPE HENRIQUE SILVA</t>
  </si>
  <si>
    <t>00414813120168260050</t>
  </si>
  <si>
    <t>ARNALDO NUNES DE OLIVEIRA</t>
  </si>
  <si>
    <t>00416759420178260050</t>
  </si>
  <si>
    <t>IGOR SOARES</t>
  </si>
  <si>
    <t>00419478820178260050</t>
  </si>
  <si>
    <t>WEVERTON PEREIRA BARBOSA</t>
  </si>
  <si>
    <t>00450812620178260050</t>
  </si>
  <si>
    <t>GABRIEL DE OLIVEIRA AFONSO</t>
  </si>
  <si>
    <t>00459563020168260050</t>
  </si>
  <si>
    <t>ALINE DA CONCEICAO SANTOS</t>
  </si>
  <si>
    <t>00483402920178260050</t>
  </si>
  <si>
    <t>SIDNEI FILIPE DOS SANTOS</t>
  </si>
  <si>
    <t>00487372520168260050</t>
  </si>
  <si>
    <t>PEDRO GUILHERME BARBOSA</t>
  </si>
  <si>
    <t>ROGERIO PEREIRA MENDES</t>
  </si>
  <si>
    <t>00495813820178260050</t>
  </si>
  <si>
    <t>CRISTIANO GOMES FERREIRA</t>
  </si>
  <si>
    <t>00499246820168260050</t>
  </si>
  <si>
    <t>JORGE SECUNDO</t>
  </si>
  <si>
    <t>00507015320168260050</t>
  </si>
  <si>
    <t>WESLEY FONSECA DOS SANTOS</t>
  </si>
  <si>
    <t>00522509820168260050</t>
  </si>
  <si>
    <t>JONATA JOSE DA SILVA</t>
  </si>
  <si>
    <t>00524726620168260050</t>
  </si>
  <si>
    <t>ANA CAROLINA RIBEIRO DOS SANTOS</t>
  </si>
  <si>
    <t>00529861920168260050</t>
  </si>
  <si>
    <t>CARLOS ROBERTO AUGUSTO</t>
  </si>
  <si>
    <t>00545032520178260050</t>
  </si>
  <si>
    <t>WILLIAM DOS SANTOS OLIVEIRA</t>
  </si>
  <si>
    <t>00567960220168260050</t>
  </si>
  <si>
    <t>RODRIGO NASCIMENTO DOS SANTOS</t>
  </si>
  <si>
    <t>00583090520168260050</t>
  </si>
  <si>
    <t>DOUGLAS DA SILVA CHAVES</t>
  </si>
  <si>
    <t>00585247820168260050</t>
  </si>
  <si>
    <t>DIEGO DE OLIVEIRA COSTA</t>
  </si>
  <si>
    <t>00599243020168260050</t>
  </si>
  <si>
    <t>00600513120178260050</t>
  </si>
  <si>
    <t>JHONATA PIRES</t>
  </si>
  <si>
    <t>00626585120168260050</t>
  </si>
  <si>
    <t>JEFFERSON MOTA</t>
  </si>
  <si>
    <t>00653615220168260050</t>
  </si>
  <si>
    <t>GILMAR ALVES GOMES</t>
  </si>
  <si>
    <t>00698007720148260050</t>
  </si>
  <si>
    <t>LEONEL LAURINDO</t>
  </si>
  <si>
    <t>00705068920168260050</t>
  </si>
  <si>
    <t>LUCAS RODRIGUES ALENCAR</t>
  </si>
  <si>
    <t>00736013020168260050</t>
  </si>
  <si>
    <t>LUANA PAULA GONÇALVES</t>
  </si>
  <si>
    <t>00749422820158260050</t>
  </si>
  <si>
    <t>BRUNO RIVELO VITOR</t>
  </si>
  <si>
    <t>00774691620168260050</t>
  </si>
  <si>
    <t>JOAO CARLOS BARBOSA DA COSTA</t>
  </si>
  <si>
    <t>00825946220168260050</t>
  </si>
  <si>
    <t>MOISES DA SILVA FERNANDES</t>
  </si>
  <si>
    <t>00891978820158260050</t>
  </si>
  <si>
    <t>IREUDO LIMA DA SILVA</t>
  </si>
  <si>
    <t>00894816220168260050</t>
  </si>
  <si>
    <t>FABIO WEVERTHON GIOLO</t>
  </si>
  <si>
    <t>00900133620168260050</t>
  </si>
  <si>
    <t>WAGNER BATISTA DE SOUSA</t>
  </si>
  <si>
    <t>00903849720168260050</t>
  </si>
  <si>
    <t>JONAS DORNELES</t>
  </si>
  <si>
    <t>00920415020118260050</t>
  </si>
  <si>
    <t>KAMILA SIQUEIRA DOS SANTOS</t>
  </si>
  <si>
    <t>00920694220168260050</t>
  </si>
  <si>
    <t>WELLINGTON LAERCIO CANDIDO DA SILVA</t>
  </si>
  <si>
    <t>00941072720168260050</t>
  </si>
  <si>
    <t>RAFAEL CONCEICAO DE OLIVEIRA</t>
  </si>
  <si>
    <t>00962976020168260050</t>
  </si>
  <si>
    <t>RICARDO FRANCISCO FREITAS JUNIOR</t>
  </si>
  <si>
    <t>00975213320168260050</t>
  </si>
  <si>
    <t>GILNEI DE JESUS</t>
  </si>
  <si>
    <t>CARLOS NERES SILVA</t>
  </si>
  <si>
    <t>00994284320168260050</t>
  </si>
  <si>
    <t>FABIANA DOS SANTOS SILVA</t>
  </si>
  <si>
    <t>01030036420138260050</t>
  </si>
  <si>
    <t>GILMAR RODRIGUES DOS SANTOS</t>
  </si>
  <si>
    <t>Fabio Leme de Faria</t>
  </si>
  <si>
    <t>CAMILA TORRES DE PANTAS</t>
  </si>
  <si>
    <t>MARCILIO CABRAL CIRILO</t>
  </si>
  <si>
    <t>ANDREA MENDES PINTO</t>
  </si>
  <si>
    <t>01030494820168260050</t>
  </si>
  <si>
    <t>UELINGTON GONCALVES MACHADO</t>
  </si>
  <si>
    <t>01036167920168260050</t>
  </si>
  <si>
    <t>ANDERSON RODRIGO DA SILVA SOUZA</t>
  </si>
  <si>
    <t>00007497120178260050</t>
  </si>
  <si>
    <t>ARIEL PINHEIRO DOS SANTOS</t>
  </si>
  <si>
    <t>00007566320178260050</t>
  </si>
  <si>
    <t>CAIO DE SENNA LERIAM</t>
  </si>
  <si>
    <t>00010711920168260635</t>
  </si>
  <si>
    <t>MATEUS GOMES DA SILVA</t>
  </si>
  <si>
    <t>00034491120178260635</t>
  </si>
  <si>
    <t>RODRIGO SOUSA SOARES</t>
  </si>
  <si>
    <t>00036779220178260050</t>
  </si>
  <si>
    <t>GABRIEL BORGES AQUINO</t>
  </si>
  <si>
    <t>00053371520178260635</t>
  </si>
  <si>
    <t>DIEGO GONÇALVES NASCIMENTO</t>
  </si>
  <si>
    <t>00064206620178260635</t>
  </si>
  <si>
    <t>SILVIA BARRETO PAULO</t>
  </si>
  <si>
    <t>00074689420168260635</t>
  </si>
  <si>
    <t>LEONARDO AUGUSTO MAROTTI</t>
  </si>
  <si>
    <t>00084821620168260635</t>
  </si>
  <si>
    <t>CARLOS HENRIQUE PEREIRA DA SILVA</t>
  </si>
  <si>
    <t>DAVI DIAS DOS SANTOS</t>
  </si>
  <si>
    <t>00086680520178260635</t>
  </si>
  <si>
    <t>JEFERSON FREIRE DE SOUZA</t>
  </si>
  <si>
    <t>CLEBERTON APARECIDO DA SILVA PEREIRA</t>
  </si>
  <si>
    <t>00088814520168260635</t>
  </si>
  <si>
    <t>RAFAEL ANTONIO PEREIRA</t>
  </si>
  <si>
    <t>00091845920168260635</t>
  </si>
  <si>
    <t>DAVID SILVA LOPES</t>
  </si>
  <si>
    <t>00109842520168260635</t>
  </si>
  <si>
    <t>DOUGLAS SANTOS SOUZA</t>
  </si>
  <si>
    <t>00112180720168260635</t>
  </si>
  <si>
    <t>JOÃO PAULO ESTECIO DA SILVA</t>
  </si>
  <si>
    <t>00131492020178260050</t>
  </si>
  <si>
    <t>RAFAEL ANTONIO SILVA DIAS</t>
  </si>
  <si>
    <t>00136899320168260635</t>
  </si>
  <si>
    <t>GILVAN ALEXANDRE DA SILVA</t>
  </si>
  <si>
    <t>00141637320168260050</t>
  </si>
  <si>
    <t>GUILHERME HENRIQUE PEREIRA</t>
  </si>
  <si>
    <t>00145903620178260050</t>
  </si>
  <si>
    <t>LUCIO ROCHA GOMES</t>
  </si>
  <si>
    <t>00173367120178260050</t>
  </si>
  <si>
    <t>BELMIRO SANTOS</t>
  </si>
  <si>
    <t>00181724420178260050</t>
  </si>
  <si>
    <t>JEFERSON ALVES FEITOSA COUTINHO</t>
  </si>
  <si>
    <t>00199002320178260050</t>
  </si>
  <si>
    <t>CAUE SOARES DA SILVA</t>
  </si>
  <si>
    <t>00204830820178260050</t>
  </si>
  <si>
    <t>00209898120178260050</t>
  </si>
  <si>
    <t>ALTAMIR AMBROSIO DE MELO</t>
  </si>
  <si>
    <t>00275529120178260050</t>
  </si>
  <si>
    <t>RICARDO ISMAEL DE SOUZA</t>
  </si>
  <si>
    <t>00288895220168260050</t>
  </si>
  <si>
    <t>00300576020148260050</t>
  </si>
  <si>
    <t>JONAS ALVES DE FRANCA TEIXEIRA</t>
  </si>
  <si>
    <t>00355389620178260050</t>
  </si>
  <si>
    <t>ERIK DAVI SANTOS DA SILVA</t>
  </si>
  <si>
    <t>00390854720178260050</t>
  </si>
  <si>
    <t>SERGIO RICARDO SILVIANO</t>
  </si>
  <si>
    <t>00405794420178260050</t>
  </si>
  <si>
    <t>JOHNNY RIBEIRO SILVA</t>
  </si>
  <si>
    <t>00415485920178260050</t>
  </si>
  <si>
    <t>SAMUEL PONTES GUEDES DE SOUZA</t>
  </si>
  <si>
    <t>00440429120178260050</t>
  </si>
  <si>
    <t>JOSE JOEL FERREIRA DAMAZIO</t>
  </si>
  <si>
    <t>00451817820178260050</t>
  </si>
  <si>
    <t>JEAN DA SILVA VIEIRA</t>
  </si>
  <si>
    <t>00498354520168260050</t>
  </si>
  <si>
    <t>LEANDRO DOS REIS SAMPAIO</t>
  </si>
  <si>
    <t>00515482120178260050</t>
  </si>
  <si>
    <t>FELIPE VINICIUS SOUZA CANDIDO</t>
  </si>
  <si>
    <t>00520249320168260050</t>
  </si>
  <si>
    <t>CARLOS EDUARDO DA COSTA</t>
  </si>
  <si>
    <t>00570281420168260050</t>
  </si>
  <si>
    <t>00583616420178260050</t>
  </si>
  <si>
    <t>ANTONIO DOUGLAS OLIVEIRA DO NASCIMENTO</t>
  </si>
  <si>
    <t>MATEUS PEREIRA DE LIMA DA SILVA</t>
  </si>
  <si>
    <t>CRISTIANO DA SILVA ADORNO</t>
  </si>
  <si>
    <t>00598455120168260050</t>
  </si>
  <si>
    <t>TALITA DOS SANTOS</t>
  </si>
  <si>
    <t>00607193620168260050</t>
  </si>
  <si>
    <t>GABRIEL DA CONCEIÇÃO</t>
  </si>
  <si>
    <t>00635748520168260050</t>
  </si>
  <si>
    <t>ALEXANDRE DA SILVA NASCIMENTO</t>
  </si>
  <si>
    <t>00673396420168260050</t>
  </si>
  <si>
    <t>JOSUE DOS SANTOS OLIVEIRA</t>
  </si>
  <si>
    <t>00686956020178260050</t>
  </si>
  <si>
    <t>EVERSON DA SILVA OLIVEIRA</t>
  </si>
  <si>
    <t>00699785520168260050</t>
  </si>
  <si>
    <t>PETER SHAUN SMITH</t>
  </si>
  <si>
    <t>00702201420168260050</t>
  </si>
  <si>
    <t>ALINE ROSA SORRINI</t>
  </si>
  <si>
    <t>00731194820178260050</t>
  </si>
  <si>
    <t>RUDNEI APARECIDO AVOLIO</t>
  </si>
  <si>
    <t>00739867520168260050</t>
  </si>
  <si>
    <t>ELISANGELA MARIA AUGUSTO</t>
  </si>
  <si>
    <t>SAMIR ORTIZ FUCHS DE OLIVEIRA</t>
  </si>
  <si>
    <t>00770352720168260050</t>
  </si>
  <si>
    <t>ISLANEO ANTONIO DA SILVA</t>
  </si>
  <si>
    <t>00787369620118260050</t>
  </si>
  <si>
    <t>JOSÉ AUGUSTO BARBOSA JUNIOR</t>
  </si>
  <si>
    <t>00796323220178260050</t>
  </si>
  <si>
    <t>RODRIGO COSTA DE SOUZA</t>
  </si>
  <si>
    <t>00820827920168260050</t>
  </si>
  <si>
    <t>00832009020168260050</t>
  </si>
  <si>
    <t>00900445620168260050</t>
  </si>
  <si>
    <t>PATRICK DUARTE FRANCO</t>
  </si>
  <si>
    <t>00904308620168260050</t>
  </si>
  <si>
    <t>FABIANO PEREIRA DA SILVA</t>
  </si>
  <si>
    <t>AMANDINE MAGALIE CORALIE DIEDRICH</t>
  </si>
  <si>
    <t>ROGERIO JOSE MACEDO</t>
  </si>
  <si>
    <t>00953844920148260050</t>
  </si>
  <si>
    <t>MAGSON LUIZ DE FREITAS</t>
  </si>
  <si>
    <t>ALEXANDRE RODRIGUES BRANCO</t>
  </si>
  <si>
    <t>CRISTIANO ANDERSON BETONI</t>
  </si>
  <si>
    <t>00977439820168260050</t>
  </si>
  <si>
    <t>EDSON CARVALHO SILVA</t>
  </si>
  <si>
    <t>00982488920168260050</t>
  </si>
  <si>
    <t>KAROLINE NASCIMENTO SANCHES</t>
  </si>
  <si>
    <t>01058547120168260050</t>
  </si>
  <si>
    <t>JEAN BACELLAR BAPTISTA</t>
  </si>
  <si>
    <t>01080810520148260050</t>
  </si>
  <si>
    <t>WESLEY SANTOS SILVA</t>
  </si>
  <si>
    <t>01083037020148260050</t>
  </si>
  <si>
    <t>JEFFERSON JESUS  DE ANDRADE</t>
  </si>
  <si>
    <t>00005495520178260635</t>
  </si>
  <si>
    <t>JEAN SOUZA BORGES</t>
  </si>
  <si>
    <t>00007038220178260050</t>
  </si>
  <si>
    <t>FABIANO TAVARES DOS SANTOS</t>
  </si>
  <si>
    <t>00011462420178260635</t>
  </si>
  <si>
    <t>RICHARD HENRIQUE SANTOS DE SOUSA</t>
  </si>
  <si>
    <t>00013776020178260050</t>
  </si>
  <si>
    <t>EVAIR KLAUBY DE CARVALHO COSTA</t>
  </si>
  <si>
    <t>00019213920178260635</t>
  </si>
  <si>
    <t>CLAUDOMIRO FRANCISCO DE ALMEIDA JUNIOR</t>
  </si>
  <si>
    <t>00019233720168260540</t>
  </si>
  <si>
    <t>RODRIGO SILVA DA CUNHA</t>
  </si>
  <si>
    <t>00023163120178260635</t>
  </si>
  <si>
    <t>GRACY KELLY TRINDADE CAMPOS</t>
  </si>
  <si>
    <t>00027147520178260635</t>
  </si>
  <si>
    <t>LEANDRO DA SILVA BEZERRA</t>
  </si>
  <si>
    <t>00028917320168260635</t>
  </si>
  <si>
    <t>LUIZ CARLOS BERNARDINO DE SENA</t>
  </si>
  <si>
    <t>00031737720178260635</t>
  </si>
  <si>
    <t>RICARDO DE ANDRADE</t>
  </si>
  <si>
    <t>00032724720178260635</t>
  </si>
  <si>
    <t>00034986120178260050</t>
  </si>
  <si>
    <t>AMARILDO DO PRADO ROCHA</t>
  </si>
  <si>
    <t>00039774520178260635</t>
  </si>
  <si>
    <t>ROBSON PEDROSO</t>
  </si>
  <si>
    <t>00043151920178260635</t>
  </si>
  <si>
    <t>MICHEL WILIAM DOS SANTOS</t>
  </si>
  <si>
    <t>00043404120178260050</t>
  </si>
  <si>
    <t>MARCO VINICIUS FERRELLI BIANCHI</t>
  </si>
  <si>
    <t>00043949520178260635</t>
  </si>
  <si>
    <t>LEANDRO DA SILVA</t>
  </si>
  <si>
    <t>00044840620178260635</t>
  </si>
  <si>
    <t>DANIEL COPIA DE OLIVEIRA FRANCA</t>
  </si>
  <si>
    <t>00053180920178260635</t>
  </si>
  <si>
    <t>DIEGO FIDELIS DOS SANTOS</t>
  </si>
  <si>
    <t>ROMARIO SANTOS ALVES</t>
  </si>
  <si>
    <t>00053911520168260635</t>
  </si>
  <si>
    <t>EVANDRO BRUNNO DA COSTA SANTOS</t>
  </si>
  <si>
    <t>00064553520178260050</t>
  </si>
  <si>
    <t>GABRIEL  SANTOS DE OLIVEIRA</t>
  </si>
  <si>
    <t>00066179820158260050</t>
  </si>
  <si>
    <t>MARIO MAXWEL LOPES</t>
  </si>
  <si>
    <t>00068172820178260635</t>
  </si>
  <si>
    <t>KLEUTON RODRIGUES LOPES</t>
  </si>
  <si>
    <t>FERNANDO VINICIUS DE SOUSA SILVA</t>
  </si>
  <si>
    <t>00073845920178260635</t>
  </si>
  <si>
    <t>FABIANO DOS SANTOS DE JESUS</t>
  </si>
  <si>
    <t>00076637920168260635</t>
  </si>
  <si>
    <t>VANDENBERG DOS SANTOS</t>
  </si>
  <si>
    <t>VANDERLEI DE ASSIS SEBASTIAO</t>
  </si>
  <si>
    <t>00093730320178260635</t>
  </si>
  <si>
    <t>BRUNNO BARBOZA DO NASCIMENTO</t>
  </si>
  <si>
    <t>00095966220178260050</t>
  </si>
  <si>
    <t>JULIO CESAR LUIZ</t>
  </si>
  <si>
    <t>00097483820168260635</t>
  </si>
  <si>
    <t>WEIKMAN MAXUELL BOMFIM DE QUEIROZ</t>
  </si>
  <si>
    <t>HENRIQUE DE SOUZA SANTOS CABRAL</t>
  </si>
  <si>
    <t>00100028320178260050</t>
  </si>
  <si>
    <t>MAIKON PAULO VIEIRA DOS SANTOS</t>
  </si>
  <si>
    <t>DIOGO GOMES MENDES</t>
  </si>
  <si>
    <t>00100079620178260635</t>
  </si>
  <si>
    <t>ADRIANO DAS GRAÇAS</t>
  </si>
  <si>
    <t>00104202120178260050</t>
  </si>
  <si>
    <t>00110550220178260050</t>
  </si>
  <si>
    <t>DIEGO SOUZA JORDAO</t>
  </si>
  <si>
    <t>00116355720168260635</t>
  </si>
  <si>
    <t>JEFFERSON SILVA DE OLIVEIRA</t>
  </si>
  <si>
    <t>RENATO FERREIRA FEITOZA DE MORAIS</t>
  </si>
  <si>
    <t>00117646220168260635</t>
  </si>
  <si>
    <t>Vitor Hugo de Souza Oliveira</t>
  </si>
  <si>
    <t>00122167220168260635</t>
  </si>
  <si>
    <t>CAMILA DOS SANTOS RIBAS</t>
  </si>
  <si>
    <t>00127086420168260635</t>
  </si>
  <si>
    <t>RAFAEL SAMUEL BALDRATTI</t>
  </si>
  <si>
    <t>00131648620178260050</t>
  </si>
  <si>
    <t>MICHELE DOS SANTOS OLIVEIRA</t>
  </si>
  <si>
    <t>00132958620168260635</t>
  </si>
  <si>
    <t>00151983420178260050</t>
  </si>
  <si>
    <t>VITOR PEREIRA DE MOURA</t>
  </si>
  <si>
    <t>00173756820178260050</t>
  </si>
  <si>
    <t>PRISCILA OLIVEIRA LEAL</t>
  </si>
  <si>
    <t>00181837320178260050</t>
  </si>
  <si>
    <t>JOSE CARLOS BEZERRA DA SILVA JUNIOR</t>
  </si>
  <si>
    <t>00185373520168260050</t>
  </si>
  <si>
    <t>UDIRLEI TEIXEIRA ALVES</t>
  </si>
  <si>
    <t>00199521920178260050</t>
  </si>
  <si>
    <t>GLEMILER DE OLIVEIRA TIBURCIO DA SILVA</t>
  </si>
  <si>
    <t>00211318520178260050</t>
  </si>
  <si>
    <t>WILLIAN CRUZ DE MORAES</t>
  </si>
  <si>
    <t>00218319520168260050</t>
  </si>
  <si>
    <t>BRUNO DANIEL LIMA</t>
  </si>
  <si>
    <t>00246446120178260050</t>
  </si>
  <si>
    <t>RODRIGO SANTOS DE SOUZA</t>
  </si>
  <si>
    <t>00249307320168260050</t>
  </si>
  <si>
    <t>KENNETH OGBUNOBI ONYEKA</t>
  </si>
  <si>
    <t>00249754320178260050</t>
  </si>
  <si>
    <t>WELLINGTON NATAN PEREIRA LAURINDO</t>
  </si>
  <si>
    <t>WIL KAIQUE DA SILVA</t>
  </si>
  <si>
    <t>FABIO VINICIUS DE OLIVEIRA</t>
  </si>
  <si>
    <t>HELTON LIMEIRA DA SILVA</t>
  </si>
  <si>
    <t>00255329820158260050</t>
  </si>
  <si>
    <t>HUGO FLORENTIN SOARES</t>
  </si>
  <si>
    <t>00263380220168260050</t>
  </si>
  <si>
    <t>ISAQUE MATOS FREIRE</t>
  </si>
  <si>
    <t>00276317020178260050</t>
  </si>
  <si>
    <t>RICARDO JOSE RODRIGUES</t>
  </si>
  <si>
    <t>00279593420168260050</t>
  </si>
  <si>
    <t>PETERSON CAETANO DE SOUSA</t>
  </si>
  <si>
    <t>00286259820178260050</t>
  </si>
  <si>
    <t>MARCIO ADRIANO PEREIRA</t>
  </si>
  <si>
    <t>00286943320178260050</t>
  </si>
  <si>
    <t>MAURICIO SOARES DOS SANTOS</t>
  </si>
  <si>
    <t>00300783120178260050</t>
  </si>
  <si>
    <t>CESAR FERREIRA REIS</t>
  </si>
  <si>
    <t>00310977220178260050</t>
  </si>
  <si>
    <t>CLAUDIO FERREIRA DE SOUZA</t>
  </si>
  <si>
    <t>00314094820178260050</t>
  </si>
  <si>
    <t>ALYSON DE JESUS BARROS DOS SANTOS</t>
  </si>
  <si>
    <t>00317403020178260050</t>
  </si>
  <si>
    <t>00325535720178260050</t>
  </si>
  <si>
    <t>HUDSON RAMOS DOS REIS</t>
  </si>
  <si>
    <t>00331208820178260050</t>
  </si>
  <si>
    <t>ROGERIO FERNANDES DOS SANTOS</t>
  </si>
  <si>
    <t>00358126020178260050</t>
  </si>
  <si>
    <t>DIOGO PEREIRA DOS SANTOS</t>
  </si>
  <si>
    <t>00400225720178260050</t>
  </si>
  <si>
    <t>JANILSON BARBOSA CUNHA JUNIOR</t>
  </si>
  <si>
    <t>00409561520178260050</t>
  </si>
  <si>
    <t>ALVARO ROJAS MENDEZ</t>
  </si>
  <si>
    <t>EDGARD CENTELLOS CORQUE</t>
  </si>
  <si>
    <t>00411926420178260050</t>
  </si>
  <si>
    <t>MARCIO AUGUSTO DOMICIANO</t>
  </si>
  <si>
    <t>00421309320168260050</t>
  </si>
  <si>
    <t>MARCOS PAULO DE ALMEIDA</t>
  </si>
  <si>
    <t>00429605920168260050</t>
  </si>
  <si>
    <t>THIAGO ALBERTO DA SILVA</t>
  </si>
  <si>
    <t>00482269020178260050</t>
  </si>
  <si>
    <t>RAYANDESON LUIZ LOPES DA SILVA</t>
  </si>
  <si>
    <t>THIAGO LIMA LEDO</t>
  </si>
  <si>
    <t>00485663420178260050</t>
  </si>
  <si>
    <t>AUGUSTO FAGNER DA SILVA CASTANHO</t>
  </si>
  <si>
    <t>ADRIEL GONCALVES DOS SANTOS</t>
  </si>
  <si>
    <t>HENRIQUE BARBOSA OLIVEIRA</t>
  </si>
  <si>
    <t>FABIANO SOARES DA SILVA</t>
  </si>
  <si>
    <t>00492855020168260050</t>
  </si>
  <si>
    <t>FELIPE PEREIRA DE ANDRADE</t>
  </si>
  <si>
    <t>00496108820178260050</t>
  </si>
  <si>
    <t>ROBSON DO NASCIMENTO CAMPOS</t>
  </si>
  <si>
    <t>HENRIQUE GOMES DA SILVA</t>
  </si>
  <si>
    <t>00500680820178260050</t>
  </si>
  <si>
    <t>THAYNARA LUANA DA SILVA SANTOS</t>
  </si>
  <si>
    <t>00524691420168260050</t>
  </si>
  <si>
    <t>ROGERIO NAKAZATO MACHADO</t>
  </si>
  <si>
    <t>00529129620158260050</t>
  </si>
  <si>
    <t>CARLOS HENRIQUE VENANCIO</t>
  </si>
  <si>
    <t>00529905620168260050</t>
  </si>
  <si>
    <t>ALVARO MOREIRA DA SILVA JUNIOR</t>
  </si>
  <si>
    <t>00532221520098260050</t>
  </si>
  <si>
    <t>Jose Horacio Gusso</t>
  </si>
  <si>
    <t>Barbara Sousa Guimaraes Vaz</t>
  </si>
  <si>
    <t>Ricardo Roberto Macedo</t>
  </si>
  <si>
    <t>Marcio Jose de Oliveira</t>
  </si>
  <si>
    <t>Luis Antonio Matias de Oliveira</t>
  </si>
  <si>
    <t>Paulo Roberto Muller</t>
  </si>
  <si>
    <t>Andresa Souza Guimaraes Vaz</t>
  </si>
  <si>
    <t>00534911020168260050</t>
  </si>
  <si>
    <t>JAQUELINE RAQUEL DOS SANTOS</t>
  </si>
  <si>
    <t>EDVALDO DE SENA RIBEIRO</t>
  </si>
  <si>
    <t>ARLINDO JOSE DA SILVA</t>
  </si>
  <si>
    <t>00537994620168260050</t>
  </si>
  <si>
    <t>ANA FLAVIA SOUSA PINTO</t>
  </si>
  <si>
    <t>CRISTIANO DE PALMA DA SILVA</t>
  </si>
  <si>
    <t>00542671020168260050</t>
  </si>
  <si>
    <t>LUCAS TOLEDO DE ASSIS</t>
  </si>
  <si>
    <t>00544695020178260050</t>
  </si>
  <si>
    <t>DANILO COSTA BARROS CAVALCANTE</t>
  </si>
  <si>
    <t>00546306020178260050</t>
  </si>
  <si>
    <t>GUSTAVO SANTOS ARAUJO DE FREITAS</t>
  </si>
  <si>
    <t>00600305520178260050</t>
  </si>
  <si>
    <t>RICARDO DE OLIVEIRA FIRMINO</t>
  </si>
  <si>
    <t>00605917920178260050</t>
  </si>
  <si>
    <t>CLEBERSON EMERSON ANDRADE</t>
  </si>
  <si>
    <t>00607583320168260050</t>
  </si>
  <si>
    <t>FELIPE CHUMEI DA SILVA LEAL</t>
  </si>
  <si>
    <t>RAFAEL RODRIGUES DOS SANTOS</t>
  </si>
  <si>
    <t>00618686720168260050</t>
  </si>
  <si>
    <t>LUCAS DE CAMPOS SILVA</t>
  </si>
  <si>
    <t>00627153520178260050</t>
  </si>
  <si>
    <t>RAFAEL DE OLIVEIRA CASTILHO</t>
  </si>
  <si>
    <t>00632506120178260050</t>
  </si>
  <si>
    <t>ROMARIO ANGELO DE OLIVEIRA</t>
  </si>
  <si>
    <t>00641911120178260050</t>
  </si>
  <si>
    <t>JOSE ROBERTO RODRIGUES</t>
  </si>
  <si>
    <t>00650251420178260050</t>
  </si>
  <si>
    <t>00669244720178260050</t>
  </si>
  <si>
    <t>GUTIERREZ ANTONIO DAS DORES ZEFERINO</t>
  </si>
  <si>
    <t>00685434620168260050</t>
  </si>
  <si>
    <t>FABRICIO DO AMPARO FARIA</t>
  </si>
  <si>
    <t>00695758620168260050</t>
  </si>
  <si>
    <t>GILBERTO DIAS CAMPOS</t>
  </si>
  <si>
    <t>00716818420178260050</t>
  </si>
  <si>
    <t>ARI VERAS DE CARVALHO SILVA</t>
  </si>
  <si>
    <t>00722952620168260050</t>
  </si>
  <si>
    <t>UZOCHUKWU EMPEROR UZOMEFUNA</t>
  </si>
  <si>
    <t>CLAUDIO AUGUSTO DE CARVALHO JUNIOR</t>
  </si>
  <si>
    <t>00737829420178260050</t>
  </si>
  <si>
    <t>ADEMILSON SEVERINO DE SANTANA</t>
  </si>
  <si>
    <t>00747182220178260050</t>
  </si>
  <si>
    <t>FERNANDO ROSA DE OLIVEIRA</t>
  </si>
  <si>
    <t>00756403420158260050</t>
  </si>
  <si>
    <t>VANIL PEREIRA</t>
  </si>
  <si>
    <t>00756487420168260050</t>
  </si>
  <si>
    <t>JULIO MARCOS PINTO DA SILVA</t>
  </si>
  <si>
    <t>00769573320168260050</t>
  </si>
  <si>
    <t>MARCO ANTONIO DE BARROS FILHO</t>
  </si>
  <si>
    <t>00771891120178260050</t>
  </si>
  <si>
    <t>PEDRO JOSE EVARISTO DA COSTA</t>
  </si>
  <si>
    <t>00786201720168260050</t>
  </si>
  <si>
    <t>JOSENILDO DO CARMO</t>
  </si>
  <si>
    <t>00795434320168260050</t>
  </si>
  <si>
    <t>WESLEY ALEXSANDRO LEITE PEDRO</t>
  </si>
  <si>
    <t>RONALD ALEXANDRE LEITE PEDRO</t>
  </si>
  <si>
    <t>00836110220178260050</t>
  </si>
  <si>
    <t>JEALISSON TORRES AZEVEDO</t>
  </si>
  <si>
    <t>00847327020148260050</t>
  </si>
  <si>
    <t>00858216020168260050</t>
  </si>
  <si>
    <t>00874957320168260050</t>
  </si>
  <si>
    <t>JACILENE VANIA DE LIMA HONORIO</t>
  </si>
  <si>
    <t>FABIO SILVA LIRA</t>
  </si>
  <si>
    <t>PAULO CESAR DIAS PASSOS</t>
  </si>
  <si>
    <t>00880652520178260050</t>
  </si>
  <si>
    <t>TIAGO DA SILVA SANTOS</t>
  </si>
  <si>
    <t>00886562120168260050</t>
  </si>
  <si>
    <t>JOHN WILSON CARDOSO FRANCA</t>
  </si>
  <si>
    <t>00894478720168260050</t>
  </si>
  <si>
    <t>JOSE UILIAN DE OLIVEIRA</t>
  </si>
  <si>
    <t>EMERSON APARECIDO DA SILVA PINTO</t>
  </si>
  <si>
    <t>00900705420168260050</t>
  </si>
  <si>
    <t>REINALDO ALVES DOS SANTOS JUNIOR</t>
  </si>
  <si>
    <t>00916849420168260050</t>
  </si>
  <si>
    <t>ELTON PINHEIRO PEIXOTO</t>
  </si>
  <si>
    <t>00919906320168260050</t>
  </si>
  <si>
    <t>JOAO VICTOR TEIXEIRA</t>
  </si>
  <si>
    <t>00924444320168260050</t>
  </si>
  <si>
    <t>LUCAS PINHEIRO MIRANDA</t>
  </si>
  <si>
    <t>00962898320168260050</t>
  </si>
  <si>
    <t>EULOGIA TUCO ANAGUA - matr. 843250-2</t>
  </si>
  <si>
    <t>VICTOR CHURA MAMANI</t>
  </si>
  <si>
    <t>00969843720168260050</t>
  </si>
  <si>
    <t>GABRIEL FERNANDES DE AZEVEDO</t>
  </si>
  <si>
    <t>00977838020168260050</t>
  </si>
  <si>
    <t>RUBEM DE LIMA RIOS NETTO</t>
  </si>
  <si>
    <t>00993894620168260050</t>
  </si>
  <si>
    <t>TIAGO DA SILVA ROCHA</t>
  </si>
  <si>
    <t>WILLIAM DA SILVA SANTANA</t>
  </si>
  <si>
    <t>01014247620168260050</t>
  </si>
  <si>
    <t>REINALDO DE LIMA RAMOS</t>
  </si>
  <si>
    <t>01019200820168260050</t>
  </si>
  <si>
    <t>CAIO HENRIQUE GUIMARAES CUSTODIO</t>
  </si>
  <si>
    <t>01058763220168260050</t>
  </si>
  <si>
    <t>RENATA FABIOLA APARECIDA PATRICIA DE JESUS</t>
  </si>
  <si>
    <t>03458330320098260050</t>
  </si>
  <si>
    <t>Felipe dos Santos Silva</t>
  </si>
  <si>
    <t>00000948420178260540</t>
  </si>
  <si>
    <t>LUIS FERNANDO MORAES DA SILVA</t>
  </si>
  <si>
    <t>00002637720178260635</t>
  </si>
  <si>
    <t>CARLOS HENRIQUE DE OLIVEIRA SANTOS</t>
  </si>
  <si>
    <t>00005573220178260635</t>
  </si>
  <si>
    <t>MARCOS ANDRE PACHECO VIDAL</t>
  </si>
  <si>
    <t>00007124420178260050</t>
  </si>
  <si>
    <t>00007184220178260635</t>
  </si>
  <si>
    <t>RENATO OLIVEIRA HENRIQUE</t>
  </si>
  <si>
    <t>00007842220178260635</t>
  </si>
  <si>
    <t>ED CARLOS SENA DO NASCIMENTO</t>
  </si>
  <si>
    <t>00009108120178260050</t>
  </si>
  <si>
    <t>LUCAS FELIPE FIRMINO</t>
  </si>
  <si>
    <t>00010302720178260050</t>
  </si>
  <si>
    <t>ROBSON SPLOCATO</t>
  </si>
  <si>
    <t>00010605320178260635</t>
  </si>
  <si>
    <t>MATHEUS NUNES DOS SANTOS</t>
  </si>
  <si>
    <t>00014298120168260635</t>
  </si>
  <si>
    <t>GABRIEL BRAGA</t>
  </si>
  <si>
    <t>00016927920178260635</t>
  </si>
  <si>
    <t>ONYEKA ANTOHONY</t>
  </si>
  <si>
    <t>00021145420178260635</t>
  </si>
  <si>
    <t>WAGNER SANTANA DE OLIVEIRA</t>
  </si>
  <si>
    <t>00022132420178260635</t>
  </si>
  <si>
    <t>Mateus Ribeiro Luciano</t>
  </si>
  <si>
    <t>00031322720148260050</t>
  </si>
  <si>
    <t>WILSON DA SILVA CEDRO</t>
  </si>
  <si>
    <t>00035557020178260635</t>
  </si>
  <si>
    <t>ANTON KLERBY ALVES DE SOUZA</t>
  </si>
  <si>
    <t>00035664520168260050</t>
  </si>
  <si>
    <t>ALEX DANTAS SILVA</t>
  </si>
  <si>
    <t>JOSE JONATHAN DOS SANTOS</t>
  </si>
  <si>
    <t>GEORGE WILLIAN AMARAL DE AZEVEDO</t>
  </si>
  <si>
    <t>WAGNER HENRIQUE COSTA MARCOMINI</t>
  </si>
  <si>
    <t>FABIANO LEITE DA SILVA</t>
  </si>
  <si>
    <t>MICHEL CARLOS VIEIRA DA SILVA</t>
  </si>
  <si>
    <t>ALESSANDRO DE SA</t>
  </si>
  <si>
    <t>MARCOS DA MATA FREITAS</t>
  </si>
  <si>
    <t>00035826220178260050</t>
  </si>
  <si>
    <t>PAULO DE ALBUQUERQUE RUFINO</t>
  </si>
  <si>
    <t>00037688520178260050</t>
  </si>
  <si>
    <t>DAVIDSON CARVALHO GALDINO</t>
  </si>
  <si>
    <t>WEVERTON CAMPOS DE OLIVEIRA</t>
  </si>
  <si>
    <t>00038146520178260635</t>
  </si>
  <si>
    <t>JOHNATAN LUCIANO DE JESUS DE SOUZA</t>
  </si>
  <si>
    <t>RONALDO JANUARIO DO NASCIMENTO</t>
  </si>
  <si>
    <t>00045485920168260050</t>
  </si>
  <si>
    <t>CRISTIANO SILVA</t>
  </si>
  <si>
    <t>00047672920178260635</t>
  </si>
  <si>
    <t>WELLDER WILLAMYS CANABARRA CHAVES</t>
  </si>
  <si>
    <t>00049503420168260635</t>
  </si>
  <si>
    <t>ADAILSON SANTOS VIEIRA</t>
  </si>
  <si>
    <t>00053779420178260635</t>
  </si>
  <si>
    <t>EVERTON DE SOUSA COSTA</t>
  </si>
  <si>
    <t>00054535520168260635</t>
  </si>
  <si>
    <t>EDINALDO RIBEIRO AUGUSTO</t>
  </si>
  <si>
    <t>SIDNEY RIBEIRO DE AMORIM</t>
  </si>
  <si>
    <t>00056559520178260635</t>
  </si>
  <si>
    <t>TARSO ANJOS DA SILVA</t>
  </si>
  <si>
    <t>00058311120168260635</t>
  </si>
  <si>
    <t>JULIO CESAR ARNALDO DOS SANTOS</t>
  </si>
  <si>
    <t>00059936920178260635</t>
  </si>
  <si>
    <t>ELIAS RODRIGUES EDUARDO</t>
  </si>
  <si>
    <t>00061732220168260635</t>
  </si>
  <si>
    <t>WEVERTON SANTOS CONSTANTE</t>
  </si>
  <si>
    <t>00063358020178260635</t>
  </si>
  <si>
    <t>FLAVIO ANTONIO DE LIMA PINTO</t>
  </si>
  <si>
    <t>00064426120168260635</t>
  </si>
  <si>
    <t>KAUE CARLOS PIRES RAMOS DOS SANTOS</t>
  </si>
  <si>
    <t>00070323820168260635</t>
  </si>
  <si>
    <t>WELLINGTON NONATO PEREIRA DE CASTRO</t>
  </si>
  <si>
    <t>00073509320178260050</t>
  </si>
  <si>
    <t>HELDER JONATHAN GALHARDO DA SILVA</t>
  </si>
  <si>
    <t>00080405020168260635</t>
  </si>
  <si>
    <t>EMERSON FERREIRA BRITO</t>
  </si>
  <si>
    <t>00086502720168260050</t>
  </si>
  <si>
    <t>JOSUÉ LUIZ AGUIRRE</t>
  </si>
  <si>
    <t>00086571020168260635</t>
  </si>
  <si>
    <t>WELLINGTON GOMES DE OLIVEIRA</t>
  </si>
  <si>
    <t>00088900720168260635</t>
  </si>
  <si>
    <t>RAFAEL DE MELLO</t>
  </si>
  <si>
    <t>00092313320168260635</t>
  </si>
  <si>
    <t>CARLOS JESUS CRUZ DIOSES</t>
  </si>
  <si>
    <t>00100220220168260635</t>
  </si>
  <si>
    <t>GUILHERME HENRIQUE MUNIZ MAIA</t>
  </si>
  <si>
    <t>00102455220168260635</t>
  </si>
  <si>
    <t>LUIS ANTONIO IBARRA GUERRERO</t>
  </si>
  <si>
    <t>00108275220168260635</t>
  </si>
  <si>
    <t>ROGERS VICENTE DA SILVA</t>
  </si>
  <si>
    <t>GILSON SOUZA FARIAS</t>
  </si>
  <si>
    <t>00116823120168260635</t>
  </si>
  <si>
    <t>GLAUBER PEREIRA DE FREITAS</t>
  </si>
  <si>
    <t>00117819820168260635</t>
  </si>
  <si>
    <t>JONATHA DOS SANTOS PINHEIRO</t>
  </si>
  <si>
    <t>00118539420168260050</t>
  </si>
  <si>
    <t>ANTONIO CARLOS NICACIO DE SOUZA</t>
  </si>
  <si>
    <t>CAIQUE NASCIMENTO</t>
  </si>
  <si>
    <t>00119802320168260635</t>
  </si>
  <si>
    <t>GILSON DAMASCENO DE OLIVEIRA</t>
  </si>
  <si>
    <t>00120902220168260635</t>
  </si>
  <si>
    <t>Gilvan Barbosa dos Santos</t>
  </si>
  <si>
    <t>00121449420168260050</t>
  </si>
  <si>
    <t>CICERO MANOEL DA SILVA FILHO</t>
  </si>
  <si>
    <t>00122374820168260635</t>
  </si>
  <si>
    <t>FELIX DE CARVALHO MOREIRA</t>
  </si>
  <si>
    <t>00127124220188260050</t>
  </si>
  <si>
    <t>HERBERT THIAGO FERREIRA</t>
  </si>
  <si>
    <t>MARCOS VINICIUS COSTA DE OLIVEIRA</t>
  </si>
  <si>
    <t>00129095620168260635</t>
  </si>
  <si>
    <t>JOÃO VITOR NEPOMUCENO RIBEIRO</t>
  </si>
  <si>
    <t>00130931220168260635</t>
  </si>
  <si>
    <t>LANDERSON BARROS DA SILVA</t>
  </si>
  <si>
    <t>Luiz Fernando Ferreira da Silva</t>
  </si>
  <si>
    <t>FABIANO DE MIRANDA PEREIRA</t>
  </si>
  <si>
    <t>00134379020168260635</t>
  </si>
  <si>
    <t>00138455620178260050</t>
  </si>
  <si>
    <t>ANDRE LUIZ DE OLIVEIRA SIQUEIRA</t>
  </si>
  <si>
    <t>00142300420178260050</t>
  </si>
  <si>
    <t>LEANDRO DA SILVA ALVES</t>
  </si>
  <si>
    <t>00143911420178260050</t>
  </si>
  <si>
    <t>LUCIANO ALVES DA SILVA</t>
  </si>
  <si>
    <t>00160210820178260050</t>
  </si>
  <si>
    <t>CLAUDIO ADAO DE JESUS SILVA</t>
  </si>
  <si>
    <t>00174102820178260050</t>
  </si>
  <si>
    <t>JONATHAN ARAUJO DA SILVA</t>
  </si>
  <si>
    <t>00174288320168260050</t>
  </si>
  <si>
    <t>VAGNER ALVES DAMASCENO</t>
  </si>
  <si>
    <t>00181975720178260050</t>
  </si>
  <si>
    <t>WINDERSON  ROBERTO XAVIER MAZZEI</t>
  </si>
  <si>
    <t>00197755520178260050</t>
  </si>
  <si>
    <t>MARCELO PEDRO LIMA DE SOUZA</t>
  </si>
  <si>
    <t>00242237120178260050</t>
  </si>
  <si>
    <t>HENRIQUE FERNANDES TEIXEIRA</t>
  </si>
  <si>
    <t>00249875720178260050</t>
  </si>
  <si>
    <t>GILMAR BARBOSA FERREIRA</t>
  </si>
  <si>
    <t>00270514020178260050</t>
  </si>
  <si>
    <t>ALEXSANDRO DA CRUZ SANTOS</t>
  </si>
  <si>
    <t>00283626620178260050</t>
  </si>
  <si>
    <t>DIEGO SOUZA SANTOS</t>
  </si>
  <si>
    <t>00301522720138260050</t>
  </si>
  <si>
    <t>JOSE PAULO FERREIRA ALVES</t>
  </si>
  <si>
    <t>00307819320168260050</t>
  </si>
  <si>
    <t>SUELLE PEREIRA SANTOS</t>
  </si>
  <si>
    <t>00344433120178260050</t>
  </si>
  <si>
    <t>00377591820188260050</t>
  </si>
  <si>
    <t>VINICIUS OLIVEIRA DE ASSUNÇÃO</t>
  </si>
  <si>
    <t>00377618520188260050</t>
  </si>
  <si>
    <t>00382600620178260050</t>
  </si>
  <si>
    <t>OSNAR ALMEIDA SOUZA</t>
  </si>
  <si>
    <t>00402442520178260050</t>
  </si>
  <si>
    <t>LUIZ GUSTAVO DE OLIVEIRA</t>
  </si>
  <si>
    <t>BRANDON GOMES VASSAO</t>
  </si>
  <si>
    <t>00410271720178260050</t>
  </si>
  <si>
    <t>ANDERSON FELIPE DA SILVA</t>
  </si>
  <si>
    <t>00448811920178260050</t>
  </si>
  <si>
    <t>ALEXANDRE SILVA SANTOS</t>
  </si>
  <si>
    <t>00464655820168260050</t>
  </si>
  <si>
    <t>CHIMA MAURICE OFOMA</t>
  </si>
  <si>
    <t>00468206820168260050</t>
  </si>
  <si>
    <t>RICARDO LUIZ CAETANO CORDERI</t>
  </si>
  <si>
    <t>00471529820178260050</t>
  </si>
  <si>
    <t>ROMULO MIRANDA SANTOS</t>
  </si>
  <si>
    <t>RAFAEL RODRIGUES DE SOUZA</t>
  </si>
  <si>
    <t>00475395020168260050</t>
  </si>
  <si>
    <t>RAFAEL PEREIRA MOTA</t>
  </si>
  <si>
    <t>00477900520158260050</t>
  </si>
  <si>
    <t>ALISON MEDEIROS DA SILVA</t>
  </si>
  <si>
    <t>00482545820178260050</t>
  </si>
  <si>
    <t>BRUNO AUGUSTO FERNANDES DA CRUZ</t>
  </si>
  <si>
    <t>00486019120178260050</t>
  </si>
  <si>
    <t>JOSE AUGUSTO DE BARROS</t>
  </si>
  <si>
    <t>00498594420148260050</t>
  </si>
  <si>
    <t>GUSTAVO BERTONHA BORGES</t>
  </si>
  <si>
    <t>00500525420178260050</t>
  </si>
  <si>
    <t>ORLANDO BUENO DA SILVA JUNIOR</t>
  </si>
  <si>
    <t>00501293420158260050</t>
  </si>
  <si>
    <t>RENAN RIBEIRO DE FREITAS</t>
  </si>
  <si>
    <t>FILIPE PEREIRA DA SILVA</t>
  </si>
  <si>
    <t>00520274820168260050</t>
  </si>
  <si>
    <t>MARCELO JESUS DOS SANTOS</t>
  </si>
  <si>
    <t>00544357520178260050</t>
  </si>
  <si>
    <t>RODRIGO DOS SANTOS ARAUJO</t>
  </si>
  <si>
    <t>00558933020178260050</t>
  </si>
  <si>
    <t>MIKE ROBERTO DA SILVA</t>
  </si>
  <si>
    <t>00610213120178260050</t>
  </si>
  <si>
    <t>EDUARDO SANTOS MOTTA FILHO</t>
  </si>
  <si>
    <t>00617811420168260050</t>
  </si>
  <si>
    <t>REGINALDO RODRIGUES DE LANNA</t>
  </si>
  <si>
    <t>00624021120168260050</t>
  </si>
  <si>
    <t>DANIEL CAETANO AVELINO</t>
  </si>
  <si>
    <t>00644928920168260050</t>
  </si>
  <si>
    <t>MAURO PEDROSO DA SILVA</t>
  </si>
  <si>
    <t>00651034220168260050</t>
  </si>
  <si>
    <t>PATRICIA SANTOS MATOS</t>
  </si>
  <si>
    <t>00656078220158260050</t>
  </si>
  <si>
    <t>ARMANDO JOSE PEREIRA</t>
  </si>
  <si>
    <t>00664986920168260050</t>
  </si>
  <si>
    <t>ASSANE ALI</t>
  </si>
  <si>
    <t>00667729620178260050</t>
  </si>
  <si>
    <t>ANTONIO COSME SOARES FRAGA</t>
  </si>
  <si>
    <t>00690212020178260050</t>
  </si>
  <si>
    <t>DOUGLAS ADOLFO ROSA</t>
  </si>
  <si>
    <t>00695073920168260050</t>
  </si>
  <si>
    <t>JADSON SILVA DOS SANTOS</t>
  </si>
  <si>
    <t>00709060620168260050</t>
  </si>
  <si>
    <t>00710649520158260050</t>
  </si>
  <si>
    <t>VILEIDE BARBOSA DE SOUZA</t>
  </si>
  <si>
    <t>NEIDINALIA BARBOSA OLIVEIRA</t>
  </si>
  <si>
    <t>00718682920168260050</t>
  </si>
  <si>
    <t>ROBSON ALEXANDRE DA SILVA CORREA</t>
  </si>
  <si>
    <t>00718991520178260050</t>
  </si>
  <si>
    <t>FALKENBERG IZIDIO DE LIMA SANTOS</t>
  </si>
  <si>
    <t>00727100920168260050</t>
  </si>
  <si>
    <t>JETULIO DANIEL DA SILVA</t>
  </si>
  <si>
    <t>00731630420168260050</t>
  </si>
  <si>
    <t>00748589020168260050</t>
  </si>
  <si>
    <t>KELVIN AZEVEDO MACEDO</t>
  </si>
  <si>
    <t>00769963020168260050</t>
  </si>
  <si>
    <t>GUILHERME CARMO DA SILVA</t>
  </si>
  <si>
    <t>00790896320168260050</t>
  </si>
  <si>
    <t>JOAO RENATO TEIXEIRA DOS SANTOS EULALIO</t>
  </si>
  <si>
    <t>00803670220168260050</t>
  </si>
  <si>
    <t>KLEBER MARQUES DA SILVA</t>
  </si>
  <si>
    <t>ALINE DA ROCHA</t>
  </si>
  <si>
    <t>00824136120168260050</t>
  </si>
  <si>
    <t>LUIZ HENRIQUE CLAUDINO</t>
  </si>
  <si>
    <t>00825954720168260050</t>
  </si>
  <si>
    <t>RENATA LARISSA LEITE GELLY</t>
  </si>
  <si>
    <t>00841985820168260050</t>
  </si>
  <si>
    <t>DJALMA SILVA DOS SANTOS</t>
  </si>
  <si>
    <t>00845898120148260050</t>
  </si>
  <si>
    <t>ALEX SANTOS SOUZA</t>
  </si>
  <si>
    <t>00854595820168260050</t>
  </si>
  <si>
    <t>00868138420178260050</t>
  </si>
  <si>
    <t>EDSON HENRIQUE SILVA DE FRANCA</t>
  </si>
  <si>
    <t>00872177220168260050</t>
  </si>
  <si>
    <t>LUCIANO JOSE DE SOUZA</t>
  </si>
  <si>
    <t>LUCIANO PEREIRA BISPO</t>
  </si>
  <si>
    <t>00889333720168260050</t>
  </si>
  <si>
    <t>UALAS GONCALO DA ROCHA</t>
  </si>
  <si>
    <t>00896175920168260050</t>
  </si>
  <si>
    <t>RAMON CHEVALIER LOPEZ</t>
  </si>
  <si>
    <t>00904152020168260050</t>
  </si>
  <si>
    <t>LUCIANO DONIZETE DA SILVA</t>
  </si>
  <si>
    <t>00917203920168260050</t>
  </si>
  <si>
    <t>EDSON MAGELA DOS SANTOS JUNIOR</t>
  </si>
  <si>
    <t>00917472220168260050</t>
  </si>
  <si>
    <t>UILSON CARVALHO SANTOS</t>
  </si>
  <si>
    <t>00927691820168260050</t>
  </si>
  <si>
    <t>EVERTON SANTOS ARAUJO DA SILVA</t>
  </si>
  <si>
    <t>00946130320168260050</t>
  </si>
  <si>
    <t>ADAILTON FERREIRA CRUZ</t>
  </si>
  <si>
    <t>00951769420168260050</t>
  </si>
  <si>
    <t>00954834820168260050</t>
  </si>
  <si>
    <t>FABIO JUNIOR DA SILVA</t>
  </si>
  <si>
    <t>RICARDO FRANCO DE FREITAS</t>
  </si>
  <si>
    <t>00971194920168260050</t>
  </si>
  <si>
    <t>FRANCILDO ALMEIDA DA SILVA</t>
  </si>
  <si>
    <t>00981674320168260050</t>
  </si>
  <si>
    <t>ALEXANDRE MARCELINO FERREIRA</t>
  </si>
  <si>
    <t>MICHAEL DAVID CUSTODIO DE SOUZA</t>
  </si>
  <si>
    <t>01008855220128260050</t>
  </si>
  <si>
    <t>LUCAS DE SOUSA VALERIO</t>
  </si>
  <si>
    <t>01012827220168260050</t>
  </si>
  <si>
    <t>FLAVIO DE ARAUJO</t>
  </si>
  <si>
    <t>01024432020168260050</t>
  </si>
  <si>
    <t>GLAUCIA DE PAULA ARMUNDO</t>
  </si>
  <si>
    <t>FLAVIO COUTINHO GOMES</t>
  </si>
  <si>
    <t>01049695720168260050</t>
  </si>
  <si>
    <t>PAULO HENRIQUE PEDROSO DE OLIVEIRA</t>
  </si>
  <si>
    <t>10007512420178260050</t>
  </si>
  <si>
    <t>DIPO 3 - Seção 3.1.2</t>
  </si>
  <si>
    <t>Delegado de Policia do 38º DP da Capital - Dr. Akhenaton A. Nobre dos Santos</t>
  </si>
  <si>
    <t>00090145320178260635</t>
  </si>
  <si>
    <t>DIPO 4 - Seção 4.1.2</t>
  </si>
  <si>
    <t>DELEGADO DE POLICIA DELEGACIA DE VIGILANCIA E CAPTURAS</t>
  </si>
  <si>
    <t xml:space="preserve">Parda </t>
  </si>
  <si>
    <t xml:space="preserve">0004370-76.2017.8.26.0050 </t>
  </si>
  <si>
    <t xml:space="preserve">Masculino </t>
  </si>
  <si>
    <t>08/11/1195</t>
  </si>
  <si>
    <t>23/18/1997</t>
  </si>
</sst>
</file>

<file path=xl/styles.xml><?xml version="1.0" encoding="utf-8"?>
<styleSheet xmlns="http://schemas.openxmlformats.org/spreadsheetml/2006/main" xmlns:x14ac="http://schemas.microsoft.com/office/spreadsheetml/2009/9/ac" xmlns:mc="http://schemas.openxmlformats.org/markup-compatibility/2006" mc:Ignorable="x14ac">
  <numFmts count="4">
    <numFmt numFmtId="164" formatCode="#,##0%"/>
    <numFmt numFmtId="165" formatCode="#,##0.0"/>
    <numFmt numFmtId="166" formatCode="#,##0.0%"/>
    <numFmt numFmtId="167" formatCode="d/m/yyyy"/>
  </numFmts>
  <fonts count="8" x14ac:knownFonts="1">
    <font>
      <sz val="11"/>
      <color theme="1"/>
      <name val="Calibri"/>
      <family val="2"/>
      <scheme val="minor"/>
    </font>
    <font>
      <sz val="11"/>
      <color rgb="FF808080"/>
      <name val="Calibri"/>
      <family val="2"/>
    </font>
    <font>
      <b/>
      <sz val="11"/>
      <color rgb="FF000000"/>
      <name val="Calibri"/>
      <family val="2"/>
    </font>
    <font>
      <sz val="11"/>
      <color theme="1"/>
      <name val="Calibri"/>
      <family val="2"/>
    </font>
    <font>
      <sz val="11"/>
      <color rgb="FF000000"/>
      <name val="Calibri"/>
      <family val="2"/>
    </font>
    <font>
      <sz val="11"/>
      <color rgb="FFffffff"/>
      <name val="Calibri"/>
      <family val="2"/>
    </font>
    <font>
      <sz val="11"/>
      <color theme="1"/>
      <name val="Calibri"/>
      <family val="2"/>
    </font>
    <font>
      <sz val="11"/>
      <color rgb="FF0d0d0d"/>
      <name val="Calibri"/>
      <family val="2"/>
    </font>
  </fonts>
  <fills count="6">
    <fill>
      <patternFill patternType="none"/>
    </fill>
    <fill>
      <patternFill patternType="gray125"/>
    </fill>
    <fill>
      <patternFill patternType="solid">
        <fgColor rgb="FFf2f2f2"/>
      </patternFill>
    </fill>
    <fill>
      <patternFill patternType="solid">
        <fgColor rgb="FF92d050"/>
      </patternFill>
    </fill>
    <fill>
      <patternFill patternType="solid">
        <fgColor rgb="FFdadada"/>
      </patternFill>
    </fill>
    <fill>
      <patternFill patternType="solid">
        <fgColor rgb="FFececec"/>
      </patternFill>
    </fill>
  </fills>
  <borders count="13">
    <border>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30">
    <xf xfId="0" numFmtId="0" borderId="0" fontId="0" fillId="0"/>
    <xf xfId="0" numFmtId="0" borderId="0" fontId="0" fillId="0" applyAlignment="1">
      <alignment horizontal="general"/>
    </xf>
    <xf xfId="0" numFmtId="0" borderId="0" fontId="0" fillId="0" applyAlignment="1">
      <alignment horizontal="left"/>
    </xf>
    <xf xfId="0" numFmtId="3" applyNumberFormat="1" borderId="0" fontId="0" fillId="0" applyAlignment="1">
      <alignment horizontal="center"/>
    </xf>
    <xf xfId="0" numFmtId="164" applyNumberFormat="1" borderId="0" fontId="0" fillId="0" applyAlignment="1">
      <alignment horizontal="center"/>
    </xf>
    <xf xfId="0" numFmtId="165" applyNumberFormat="1" borderId="0" fontId="0" fillId="0" applyAlignment="1">
      <alignment horizontal="center"/>
    </xf>
    <xf xfId="0" numFmtId="1" applyNumberFormat="1" borderId="0" fontId="0" fillId="0" applyAlignment="1">
      <alignment horizontal="center"/>
    </xf>
    <xf xfId="0" numFmtId="4" applyNumberFormat="1" borderId="0" fontId="0" fillId="0" applyAlignment="1">
      <alignment horizontal="center"/>
    </xf>
    <xf xfId="0" numFmtId="1" applyNumberFormat="1" borderId="1" applyBorder="1" fontId="1" applyFont="1" fillId="0" applyAlignment="1">
      <alignment horizontal="left"/>
    </xf>
    <xf xfId="0" numFmtId="3" applyNumberFormat="1" borderId="1" applyBorder="1" fontId="1" applyFont="1" fillId="0" applyAlignment="1">
      <alignment horizontal="left"/>
    </xf>
    <xf xfId="0" numFmtId="3" applyNumberFormat="1" borderId="1" applyBorder="1" fontId="2" applyFont="1" fillId="0" applyAlignment="1">
      <alignment horizontal="center"/>
    </xf>
    <xf xfId="0" numFmtId="164" applyNumberFormat="1" borderId="1" applyBorder="1" fontId="2" applyFont="1" fillId="0" applyAlignment="1">
      <alignment horizontal="center"/>
    </xf>
    <xf xfId="0" numFmtId="165" applyNumberFormat="1" borderId="2" applyBorder="1" fontId="2" applyFont="1" fillId="0" applyAlignment="1">
      <alignment horizontal="center"/>
    </xf>
    <xf xfId="0" numFmtId="1" applyNumberFormat="1" borderId="3" applyBorder="1" fontId="2" applyFont="1" fillId="0" applyAlignment="1">
      <alignment horizontal="center"/>
    </xf>
    <xf xfId="0" numFmtId="165" applyNumberFormat="1" borderId="4" applyBorder="1" fontId="2" applyFont="1" fillId="0" applyAlignment="1">
      <alignment horizontal="center"/>
    </xf>
    <xf xfId="0" numFmtId="3" applyNumberFormat="1" borderId="4" applyBorder="1" fontId="2" applyFont="1" fillId="0" applyAlignment="1">
      <alignment horizontal="center"/>
    </xf>
    <xf xfId="0" numFmtId="4" applyNumberFormat="1" borderId="4" applyBorder="1" fontId="2" applyFont="1" fillId="0" applyAlignment="1">
      <alignment horizontal="center"/>
    </xf>
    <xf xfId="0" numFmtId="3" applyNumberFormat="1" borderId="2" applyBorder="1" fontId="2" applyFont="1" fillId="0" applyAlignment="1">
      <alignment horizontal="center"/>
    </xf>
    <xf xfId="0" numFmtId="3" applyNumberFormat="1" borderId="3" applyBorder="1" fontId="2" applyFont="1" fillId="0" applyAlignment="1">
      <alignment horizontal="center"/>
    </xf>
    <xf xfId="0" numFmtId="164" applyNumberFormat="1" borderId="4" applyBorder="1" fontId="2" applyFont="1" fillId="0" applyAlignment="1">
      <alignment horizontal="center"/>
    </xf>
    <xf xfId="0" numFmtId="3" applyNumberFormat="1" borderId="5" applyBorder="1" fontId="2" applyFont="1" fillId="0" applyAlignment="1">
      <alignment horizontal="center"/>
    </xf>
    <xf xfId="0" numFmtId="164" applyNumberFormat="1" borderId="2" applyBorder="1" fontId="2" applyFont="1" fillId="0" applyAlignment="1">
      <alignment horizontal="center"/>
    </xf>
    <xf xfId="0" numFmtId="164" applyNumberFormat="1" borderId="6" applyBorder="1" fontId="2" applyFont="1" fillId="0" applyAlignment="1">
      <alignment horizontal="center"/>
    </xf>
    <xf xfId="0" numFmtId="165" applyNumberFormat="1" borderId="6" applyBorder="1" fontId="2" applyFont="1" fillId="0" applyAlignment="1">
      <alignment horizontal="center"/>
    </xf>
    <xf xfId="0" numFmtId="0" borderId="7" applyBorder="1" fontId="2" applyFont="1" fillId="0" applyAlignment="1">
      <alignment horizontal="center"/>
    </xf>
    <xf xfId="0" numFmtId="3" applyNumberFormat="1" borderId="7" applyBorder="1" fontId="2" applyFont="1" fillId="0" applyAlignment="1">
      <alignment horizontal="center"/>
    </xf>
    <xf xfId="0" numFmtId="3" applyNumberFormat="1" borderId="7" applyBorder="1" fontId="2" applyFont="1" fillId="0" applyAlignment="1">
      <alignment horizontal="right"/>
    </xf>
    <xf xfId="0" numFmtId="164" applyNumberFormat="1" borderId="7" applyBorder="1" fontId="2" applyFont="1" fillId="0" applyAlignment="1">
      <alignment horizontal="center"/>
    </xf>
    <xf xfId="0" numFmtId="164" applyNumberFormat="1" borderId="7" applyBorder="1" fontId="2" applyFont="1" fillId="0" applyAlignment="1">
      <alignment horizontal="left"/>
    </xf>
    <xf xfId="0" numFmtId="165" applyNumberFormat="1" borderId="7" applyBorder="1" fontId="2" applyFont="1" fillId="0" applyAlignment="1">
      <alignment horizontal="center"/>
    </xf>
    <xf xfId="0" numFmtId="1" applyNumberFormat="1" borderId="8" applyBorder="1" fontId="2" applyFont="1" fillId="0" applyAlignment="1">
      <alignment horizontal="center"/>
    </xf>
    <xf xfId="0" numFmtId="4" applyNumberFormat="1" borderId="7" applyBorder="1" fontId="2" applyFont="1" fillId="0" applyAlignment="1">
      <alignment horizontal="center"/>
    </xf>
    <xf xfId="0" numFmtId="3" applyNumberFormat="1" borderId="9" applyBorder="1" fontId="2" applyFont="1" fillId="0" applyAlignment="1">
      <alignment horizontal="center"/>
    </xf>
    <xf xfId="0" numFmtId="3" applyNumberFormat="1" borderId="8" applyBorder="1" fontId="2" applyFont="1" fillId="0" applyAlignment="1">
      <alignment horizontal="center"/>
    </xf>
    <xf xfId="0" numFmtId="164" applyNumberFormat="1" borderId="9" applyBorder="1" fontId="2" applyFont="1" fillId="0" applyAlignment="1">
      <alignment horizontal="center"/>
    </xf>
    <xf xfId="0" numFmtId="0" borderId="1" applyBorder="1" fontId="3" applyFont="1" fillId="0" applyAlignment="1">
      <alignment horizontal="left"/>
    </xf>
    <xf xfId="0" numFmtId="3" applyNumberFormat="1" borderId="1" applyBorder="1" fontId="3" applyFont="1" fillId="0" applyAlignment="1">
      <alignment horizontal="center"/>
    </xf>
    <xf xfId="0" numFmtId="164" applyNumberFormat="1" borderId="1" applyBorder="1" fontId="3" applyFont="1" fillId="0" applyAlignment="1">
      <alignment horizontal="center"/>
    </xf>
    <xf xfId="0" numFmtId="165" applyNumberFormat="1" borderId="2" applyBorder="1" fontId="3" applyFont="1" fillId="0" applyAlignment="1">
      <alignment horizontal="center"/>
    </xf>
    <xf xfId="0" numFmtId="1" applyNumberFormat="1" borderId="1" applyBorder="1" fontId="3" applyFont="1" fillId="0" applyAlignment="1">
      <alignment horizontal="center"/>
    </xf>
    <xf xfId="0" numFmtId="165" applyNumberFormat="1" borderId="1" applyBorder="1" fontId="3" applyFont="1" fillId="0" applyAlignment="1">
      <alignment horizontal="center"/>
    </xf>
    <xf xfId="0" numFmtId="4" applyNumberFormat="1" borderId="1" applyBorder="1" fontId="3" applyFont="1" fillId="0" applyAlignment="1">
      <alignment horizontal="center"/>
    </xf>
    <xf xfId="0" numFmtId="3" applyNumberFormat="1" borderId="2" applyBorder="1" fontId="3" applyFont="1" fillId="0" applyAlignment="1">
      <alignment horizontal="center"/>
    </xf>
    <xf xfId="0" numFmtId="3" applyNumberFormat="1" borderId="5" applyBorder="1" fontId="3" applyFont="1" fillId="0" applyAlignment="1">
      <alignment horizontal="center"/>
    </xf>
    <xf xfId="0" numFmtId="164" applyNumberFormat="1" borderId="1" applyBorder="1" fontId="4" applyFont="1" fillId="0" applyAlignment="1">
      <alignment horizontal="center"/>
    </xf>
    <xf xfId="0" numFmtId="164" applyNumberFormat="1" borderId="2" applyBorder="1" fontId="3" applyFont="1" fillId="0" applyAlignment="1">
      <alignment horizontal="center"/>
    </xf>
    <xf xfId="0" numFmtId="164" applyNumberFormat="1" borderId="2" applyBorder="1" fontId="4" applyFont="1" fillId="0" applyAlignment="1">
      <alignment horizontal="center"/>
    </xf>
    <xf xfId="0" numFmtId="0" borderId="0" fontId="0" fillId="0" applyAlignment="1">
      <alignment horizontal="general"/>
    </xf>
    <xf xfId="0" numFmtId="0" borderId="0" fontId="0" fillId="0" applyAlignment="1">
      <alignment horizontal="left"/>
    </xf>
    <xf xfId="0" numFmtId="3" applyNumberFormat="1" borderId="0" fontId="0" fillId="0" applyAlignment="1">
      <alignment horizontal="center"/>
    </xf>
    <xf xfId="0" numFmtId="164" applyNumberFormat="1" borderId="0" fontId="0" fillId="0" applyAlignment="1">
      <alignment horizontal="center"/>
    </xf>
    <xf xfId="0" numFmtId="165" applyNumberFormat="1" borderId="0" fontId="0" fillId="0" applyAlignment="1">
      <alignment horizontal="center"/>
    </xf>
    <xf xfId="0" numFmtId="1" applyNumberFormat="1" borderId="0" fontId="0" fillId="0" applyAlignment="1">
      <alignment horizontal="center"/>
    </xf>
    <xf xfId="0" numFmtId="4" applyNumberFormat="1" borderId="0" fontId="0" fillId="0" applyAlignment="1">
      <alignment horizontal="center"/>
    </xf>
    <xf xfId="0" numFmtId="3" applyNumberFormat="1" borderId="0" fontId="0" fillId="0" applyAlignment="1">
      <alignment horizontal="general"/>
    </xf>
    <xf xfId="0" numFmtId="4" applyNumberFormat="1" borderId="0" fontId="0" fillId="0" applyAlignment="1">
      <alignment horizontal="general"/>
    </xf>
    <xf xfId="0" numFmtId="166" applyNumberFormat="1" borderId="0" fontId="0" fillId="0" applyAlignment="1">
      <alignment horizontal="general"/>
    </xf>
    <xf xfId="0" numFmtId="3" applyNumberFormat="1" borderId="0" fontId="0" fillId="0" applyAlignment="1">
      <alignment horizontal="right"/>
    </xf>
    <xf xfId="0" numFmtId="166" applyNumberFormat="1" borderId="0" fontId="0" fillId="0" applyAlignment="1">
      <alignment horizontal="left"/>
    </xf>
    <xf xfId="0" numFmtId="3" applyNumberFormat="1" borderId="1" applyBorder="1" fontId="2" applyFont="1" fillId="0" applyAlignment="1">
      <alignment horizontal="left"/>
    </xf>
    <xf xfId="0" numFmtId="3" applyNumberFormat="1" borderId="1" applyBorder="1" fontId="3" applyFont="1" fillId="0" applyAlignment="1">
      <alignment horizontal="left"/>
    </xf>
    <xf xfId="0" numFmtId="14" applyNumberFormat="1" borderId="1" applyBorder="1" fontId="3" applyFont="1" fillId="0" applyAlignment="1">
      <alignment horizontal="left"/>
    </xf>
    <xf xfId="0" numFmtId="3" applyNumberFormat="1" borderId="1" applyBorder="1" fontId="3" applyFont="1" fillId="0" applyAlignment="1">
      <alignment horizontal="right"/>
    </xf>
    <xf xfId="0" numFmtId="4" applyNumberFormat="1" borderId="7" applyBorder="1" fontId="2" applyFont="1" fillId="0" applyAlignment="1">
      <alignment horizontal="left"/>
    </xf>
    <xf xfId="0" numFmtId="4" applyNumberFormat="1" borderId="7" applyBorder="1" fontId="2" applyFont="1" fillId="0" applyAlignment="1">
      <alignment horizontal="right"/>
    </xf>
    <xf xfId="0" numFmtId="166" applyNumberFormat="1" borderId="7" applyBorder="1" fontId="2" applyFont="1" fillId="0" applyAlignment="1">
      <alignment horizontal="left"/>
    </xf>
    <xf xfId="0" numFmtId="166" applyNumberFormat="1" borderId="1" applyBorder="1" fontId="3" applyFont="1" fillId="0" applyAlignment="1">
      <alignment horizontal="left"/>
    </xf>
    <xf xfId="0" numFmtId="4" applyNumberFormat="1" borderId="7" applyBorder="1" fontId="3" applyFont="1" fillId="0" applyAlignment="1">
      <alignment horizontal="left"/>
    </xf>
    <xf xfId="0" numFmtId="3" applyNumberFormat="1" borderId="7" applyBorder="1" fontId="3" applyFont="1" fillId="0" applyAlignment="1">
      <alignment horizontal="right"/>
    </xf>
    <xf xfId="0" numFmtId="166" applyNumberFormat="1" borderId="7" applyBorder="1" fontId="3" applyFont="1" fillId="0" applyAlignment="1">
      <alignment horizontal="left"/>
    </xf>
    <xf xfId="0" numFmtId="3" applyNumberFormat="1" borderId="7" applyBorder="1" fontId="3" applyFont="1" fillId="0" applyAlignment="1">
      <alignment horizontal="left"/>
    </xf>
    <xf xfId="0" numFmtId="4" applyNumberFormat="1" borderId="1" applyBorder="1" fontId="3" applyFont="1" fillId="0" applyAlignment="1">
      <alignment horizontal="right"/>
    </xf>
    <xf xfId="0" numFmtId="165" applyNumberFormat="1" borderId="7" applyBorder="1" fontId="3" applyFont="1" fillId="0" applyAlignment="1">
      <alignment horizontal="right"/>
    </xf>
    <xf xfId="0" numFmtId="4" applyNumberFormat="1" borderId="7" applyBorder="1" fontId="3" applyFont="1" fillId="0" applyAlignment="1">
      <alignment horizontal="right"/>
    </xf>
    <xf xfId="0" numFmtId="4" applyNumberFormat="1" borderId="9" applyBorder="1" fontId="2" applyFont="1" fillId="0" applyAlignment="1">
      <alignment horizontal="left"/>
    </xf>
    <xf xfId="0" numFmtId="3" applyNumberFormat="1" borderId="7" applyBorder="1" fontId="2" applyFont="1" fillId="0" applyAlignment="1">
      <alignment horizontal="left"/>
    </xf>
    <xf xfId="0" numFmtId="4" applyNumberFormat="1" borderId="2" applyBorder="1" fontId="3" applyFont="1" fillId="0" applyAlignment="1">
      <alignment horizontal="left"/>
    </xf>
    <xf xfId="0" numFmtId="4" applyNumberFormat="1" borderId="6" applyBorder="1" fontId="3" applyFont="1" fillId="0" applyAlignment="1">
      <alignment horizontal="left"/>
    </xf>
    <xf xfId="0" numFmtId="3" applyNumberFormat="1" borderId="3" applyBorder="1" fontId="3" applyFont="1" fillId="0" applyAlignment="1">
      <alignment horizontal="right"/>
    </xf>
    <xf xfId="0" numFmtId="166" applyNumberFormat="1" borderId="4" applyBorder="1" fontId="3" applyFont="1" fillId="0" applyAlignment="1">
      <alignment horizontal="left"/>
    </xf>
    <xf xfId="0" numFmtId="3" applyNumberFormat="1" borderId="4" applyBorder="1" fontId="3" applyFont="1" fillId="0" applyAlignment="1">
      <alignment horizontal="right"/>
    </xf>
    <xf xfId="0" numFmtId="3" applyNumberFormat="1" borderId="10" applyBorder="1" fontId="2" applyFont="1" fillId="0" applyAlignment="1">
      <alignment horizontal="left"/>
    </xf>
    <xf xfId="0" numFmtId="4" applyNumberFormat="1" borderId="11" applyBorder="1" fontId="3" applyFont="1" fillId="0" applyAlignment="1">
      <alignment horizontal="left"/>
    </xf>
    <xf xfId="0" numFmtId="3" applyNumberFormat="1" borderId="10" applyBorder="1" fontId="3" applyFont="1" fillId="0" applyAlignment="1">
      <alignment horizontal="right"/>
    </xf>
    <xf xfId="0" numFmtId="166" applyNumberFormat="1" borderId="10" applyBorder="1" fontId="3" applyFont="1" fillId="0" applyAlignment="1">
      <alignment horizontal="left"/>
    </xf>
    <xf xfId="0" numFmtId="3" applyNumberFormat="1" borderId="5" applyBorder="1" fontId="3" applyFont="1" fillId="0" applyAlignment="1">
      <alignment horizontal="right"/>
    </xf>
    <xf xfId="0" numFmtId="4" applyNumberFormat="1" borderId="4" applyBorder="1" fontId="3" applyFont="1" fillId="0" applyAlignment="1">
      <alignment horizontal="left"/>
    </xf>
    <xf xfId="0" numFmtId="3" applyNumberFormat="1" borderId="8" applyBorder="1" fontId="3" applyFont="1" fillId="0" applyAlignment="1">
      <alignment horizontal="right"/>
    </xf>
    <xf xfId="0" numFmtId="3" applyNumberFormat="1" borderId="4" applyBorder="1" fontId="3" applyFont="1" fillId="0" applyAlignment="1">
      <alignment horizontal="left"/>
    </xf>
    <xf xfId="0" numFmtId="3" applyNumberFormat="1" borderId="0" fontId="0" fillId="0" applyAlignment="1">
      <alignment horizontal="general"/>
    </xf>
    <xf xfId="0" numFmtId="4" applyNumberFormat="1" borderId="0" fontId="0" fillId="0" applyAlignment="1">
      <alignment horizontal="general"/>
    </xf>
    <xf xfId="0" numFmtId="166" applyNumberFormat="1" borderId="0" fontId="0" fillId="0" applyAlignment="1">
      <alignment horizontal="general"/>
    </xf>
    <xf xfId="0" numFmtId="3" applyNumberFormat="1" borderId="0" fontId="0" fillId="0" applyAlignment="1">
      <alignment horizontal="right"/>
    </xf>
    <xf xfId="0" numFmtId="166" applyNumberFormat="1" borderId="0" fontId="0" fillId="0" applyAlignment="1">
      <alignment horizontal="left"/>
    </xf>
    <xf xfId="0" numFmtId="0" borderId="1" applyBorder="1" fontId="2" applyFont="1" fillId="0" applyAlignment="1">
      <alignment horizontal="justify"/>
    </xf>
    <xf xfId="0" numFmtId="3" applyNumberFormat="1" borderId="12" applyBorder="1" fontId="2" applyFont="1" fillId="2" applyFill="1" applyAlignment="1">
      <alignment horizontal="left"/>
    </xf>
    <xf xfId="0" numFmtId="0" borderId="1" applyBorder="1" fontId="2" applyFont="1" fillId="0" applyAlignment="1">
      <alignment horizontal="left"/>
    </xf>
    <xf xfId="0" numFmtId="14" applyNumberFormat="1" borderId="1" applyBorder="1" fontId="2" applyFont="1" fillId="0" applyAlignment="1">
      <alignment horizontal="left"/>
    </xf>
    <xf xfId="0" numFmtId="14" applyNumberFormat="1" borderId="12" applyBorder="1" fontId="2" applyFont="1" fillId="2" applyFill="1" applyAlignment="1">
      <alignment horizontal="left"/>
    </xf>
    <xf xfId="0" numFmtId="1" applyNumberFormat="1" borderId="12" applyBorder="1" fontId="2" applyFont="1" fillId="2" applyFill="1" applyAlignment="1">
      <alignment horizontal="left"/>
    </xf>
    <xf xfId="0" numFmtId="4" applyNumberFormat="1" borderId="12" applyBorder="1" fontId="2" applyFont="1" fillId="2" applyFill="1" applyAlignment="1">
      <alignment horizontal="left"/>
    </xf>
    <xf xfId="0" numFmtId="0" borderId="12" applyBorder="1" fontId="2" applyFont="1" fillId="2" applyFill="1" applyAlignment="1">
      <alignment horizontal="left"/>
    </xf>
    <xf xfId="0" numFmtId="3" applyNumberFormat="1" borderId="12" applyBorder="1" fontId="3" applyFont="1" fillId="2" applyFill="1" applyAlignment="1">
      <alignment horizontal="right"/>
    </xf>
    <xf xfId="0" numFmtId="14" applyNumberFormat="1" borderId="12" applyBorder="1" fontId="3" applyFont="1" fillId="2" applyFill="1" applyAlignment="1">
      <alignment horizontal="left"/>
    </xf>
    <xf xfId="0" numFmtId="1" applyNumberFormat="1" borderId="12" applyBorder="1" fontId="3" applyFont="1" fillId="2" applyFill="1" applyAlignment="1">
      <alignment horizontal="right"/>
    </xf>
    <xf xfId="0" numFmtId="4" applyNumberFormat="1" borderId="12" applyBorder="1" fontId="3" applyFont="1" fillId="2" applyFill="1" applyAlignment="1">
      <alignment horizontal="right"/>
    </xf>
    <xf xfId="0" numFmtId="0" borderId="12" applyBorder="1" fontId="3" applyFont="1" fillId="2" applyFill="1" applyAlignment="1">
      <alignment horizontal="left"/>
    </xf>
    <xf xfId="0" numFmtId="0" borderId="12" applyBorder="1" fontId="3" applyFont="1" fillId="2" applyFill="1" applyAlignment="1">
      <alignment horizontal="left"/>
    </xf>
    <xf xfId="0" numFmtId="1" applyNumberFormat="1" borderId="12" applyBorder="1" fontId="3" applyFont="1" fillId="2" applyFill="1" applyAlignment="1">
      <alignment horizontal="left"/>
    </xf>
    <xf xfId="0" numFmtId="14" applyNumberFormat="1" borderId="0" fontId="0" fillId="0" applyAlignment="1">
      <alignment horizontal="general"/>
    </xf>
    <xf xfId="0" numFmtId="1" applyNumberFormat="1" borderId="0" fontId="0" fillId="0" applyAlignment="1">
      <alignment horizontal="right"/>
    </xf>
    <xf xfId="0" numFmtId="4" applyNumberFormat="1" borderId="0" fontId="0" fillId="0" applyAlignment="1">
      <alignment horizontal="right"/>
    </xf>
    <xf xfId="0" numFmtId="49" applyNumberFormat="1" borderId="1" applyBorder="1" fontId="3" applyFont="1" fillId="0" applyAlignment="1">
      <alignment horizontal="left"/>
    </xf>
    <xf xfId="0" numFmtId="49" applyNumberFormat="1" borderId="0" fontId="0" fillId="0" applyAlignment="1">
      <alignment horizontal="general"/>
    </xf>
    <xf xfId="0" numFmtId="14" applyNumberFormat="1" borderId="0" fontId="0" fillId="0" applyAlignment="1">
      <alignment horizontal="general"/>
    </xf>
    <xf xfId="0" numFmtId="3" applyNumberFormat="1" borderId="1" applyBorder="1" fontId="5" applyFont="1" fillId="0" applyAlignment="1">
      <alignment horizontal="left"/>
    </xf>
    <xf xfId="0" numFmtId="0" borderId="1" applyBorder="1" fontId="4" applyFont="1" fillId="0" applyAlignment="1">
      <alignment horizontal="left"/>
    </xf>
    <xf xfId="0" numFmtId="3" applyNumberFormat="1" borderId="1" applyBorder="1" fontId="6" applyFont="1" fillId="0" applyAlignment="1">
      <alignment horizontal="left"/>
    </xf>
    <xf xfId="0" numFmtId="3" applyNumberFormat="1" borderId="1" applyBorder="1" fontId="7" applyFont="1" fillId="0" applyAlignment="1">
      <alignment horizontal="right"/>
    </xf>
    <xf xfId="0" numFmtId="3" applyNumberFormat="1" borderId="1" applyBorder="1" fontId="6" applyFont="1" fillId="0" applyAlignment="1">
      <alignment horizontal="right"/>
    </xf>
    <xf xfId="0" numFmtId="0" borderId="1" applyBorder="1" fontId="6" applyFont="1" fillId="0" applyAlignment="1">
      <alignment horizontal="left"/>
    </xf>
    <xf xfId="0" numFmtId="3" applyNumberFormat="1" borderId="1" applyBorder="1" fontId="7" applyFont="1" fillId="0" applyAlignment="1">
      <alignment horizontal="left"/>
    </xf>
    <xf xfId="0" numFmtId="167" applyNumberFormat="1" borderId="1" applyBorder="1" fontId="3" applyFont="1" fillId="0" applyAlignment="1">
      <alignment horizontal="left"/>
    </xf>
    <xf xfId="0" numFmtId="14" applyNumberFormat="1" borderId="1" applyBorder="1" fontId="4" applyFont="1" fillId="0" applyAlignment="1">
      <alignment horizontal="left"/>
    </xf>
    <xf xfId="0" numFmtId="0" borderId="12" applyBorder="1" fontId="3" applyFont="1" fillId="3" applyFill="1" applyAlignment="1">
      <alignment horizontal="left"/>
    </xf>
    <xf xfId="0" numFmtId="0" borderId="12" applyBorder="1" fontId="4" applyFont="1" fillId="4" applyFill="1" applyAlignment="1">
      <alignment horizontal="left"/>
    </xf>
    <xf xfId="0" numFmtId="0" borderId="12" applyBorder="1" fontId="3" applyFont="1" fillId="4" applyFill="1" applyAlignment="1">
      <alignment horizontal="left"/>
    </xf>
    <xf xfId="0" numFmtId="0" borderId="12" applyBorder="1" fontId="6" applyFont="1" fillId="4" applyFill="1" applyAlignment="1">
      <alignment horizontal="left"/>
    </xf>
    <xf xfId="0" numFmtId="0" borderId="12" applyBorder="1" fontId="6" applyFont="1" fillId="5" applyFill="1" applyAlignment="1">
      <alignment horizontal="left"/>
    </xf>
    <xf xfId="0" numFmtId="3" applyNumberFormat="1" borderId="1" applyBorder="1" fontId="4" applyFont="1" fillId="0" applyAlignment="1">
      <alignment horizontal="lef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sharedStrings.xml" Type="http://schemas.openxmlformats.org/officeDocument/2006/relationships/sharedStrings" Id="rId7"/><Relationship Target="styles.xml" Type="http://schemas.openxmlformats.org/officeDocument/2006/relationships/styles" Id="rId8"/><Relationship Target="theme/theme1.xml" Type="http://schemas.openxmlformats.org/officeDocument/2006/relationships/theme" Id="rId9"/></Relationships>
</file>

<file path=xl/tables/table1.xml><?xml version="1.0" encoding="utf-8"?>
<table xmlns="http://schemas.openxmlformats.org/spreadsheetml/2006/main" ref="A1:G4587" displayName="Tabela14" name="Tabela14" id="1" totalsRowShown="0">
  <autoFilter ref="A1:G4587"/>
  <tableColumns count="7">
    <tableColumn name="NUM_PROCESSO" id="1"/>
    <tableColumn name="NME_FORO" id="2"/>
    <tableColumn name="NME_VARA" id="3"/>
    <tableColumn name="NME_REU" id="4"/>
    <tableColumn name="IDADE_REU" id="5"/>
    <tableColumn name="TPO_GENERO" id="6"/>
    <tableColumn name="DSC_COR" id="7"/>
  </tableColumns>
  <tableStyleInfo name="TableStyleLight1" showColumnStripes="0" showRowStripes="1" showLastColumn="0" showFirstColumn="0"/>
</table>
</file>

<file path=xl/tables/table2.xml><?xml version="1.0" encoding="utf-8"?>
<table xmlns="http://schemas.openxmlformats.org/spreadsheetml/2006/main" ref="A1:AI421" displayName="Tabela3" name="Tabela3" id="2" totalsRowShown="0">
  <autoFilter ref="A1:AI421"/>
  <tableColumns count="35">
    <tableColumn name="Processo" id="1"/>
    <tableColumn name="DtDisp" id="2"/>
    <tableColumn name="Juiz" id="3"/>
    <tableColumn name="Vara" id="4"/>
    <tableColumn name="Nome" id="5"/>
    <tableColumn name="Local" id="6"/>
    <tableColumn name="Sexo" id="7"/>
    <tableColumn name="DN" id="8"/>
    <tableColumn name="Cutis" id="9"/>
    <tableColumn name="Cabelo" id="10"/>
    <tableColumn name="Objetos" id="11"/>
    <tableColumn name="Maconha" id="12"/>
    <tableColumn name="Cocaína" id="13"/>
    <tableColumn name="Crack" id="14"/>
    <tableColumn name="Ecstasy" id="15"/>
    <tableColumn name="LSD" id="16"/>
    <tableColumn name="Outras" id="17"/>
    <tableColumn name="DenDrog" id="18"/>
    <tableColumn name="DenOutros" id="19"/>
    <tableColumn name="Aspectos" id="20"/>
    <tableColumn name="Sentença" id="21"/>
    <tableColumn name="ResDrogas" id="22"/>
    <tableColumn name="ResOutros" id="23"/>
    <tableColumn name="AvalNegPB" id="24"/>
    <tableColumn name="PenaBase" id="25"/>
    <tableColumn name="Agravantes33" id="26"/>
    <tableColumn name="Atenuantes33" id="27"/>
    <tableColumn name="Aumento33" id="28"/>
    <tableColumn name="§4º" id="29"/>
    <tableColumn name="Pena33" id="30"/>
    <tableColumn name="PenaDrogas" id="31"/>
    <tableColumn name="PenaOutros" id="32"/>
    <tableColumn name="TotPen" id="33"/>
    <tableColumn name="Substituição da pena" id="34"/>
    <tableColumn name="Regime inicial" id="35"/>
  </tableColumns>
  <tableStyleInfo name="TableStyleLight1" showColumnStripes="0" showRowStripes="1" showLastColumn="0" showFirstColumn="0"/>
</table>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Target="../tables/table2.xml" Type="http://schemas.openxmlformats.org/officeDocument/2006/relationships/table" Id="rId1"/></Relationships>
</file>

<file path=xl/worksheets/_rels/sheet2.xml.rels><?xml version="1.0" encoding="UTF-8" standalone="yes"?><Relationships xmlns="http://schemas.openxmlformats.org/package/2006/relationships"><Relationship Target="../tables/table1.xml" Type="http://schemas.openxmlformats.org/officeDocument/2006/relationships/table"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I841"/>
  <sheetViews>
    <sheetView workbookViewId="0">
      <pane state="frozen" activePane="topRight" topLeftCell="B1" ySplit="0" xSplit="1"/>
    </sheetView>
  </sheetViews>
  <sheetFormatPr defaultRowHeight="15" x14ac:dyDescent="0.25"/>
  <cols>
    <col min="1" max="1" style="47" width="21.005" customWidth="1" bestFit="1"/>
    <col min="2" max="2" style="109" width="11.719285714285713" customWidth="1" bestFit="1"/>
    <col min="3" max="3" style="47" width="12.719285714285713" customWidth="1" bestFit="1"/>
    <col min="4" max="4" style="47" width="12.43357142857143" customWidth="1" bestFit="1"/>
    <col min="5" max="5" style="47" width="10.862142857142858" customWidth="1" bestFit="1"/>
    <col min="6" max="6" style="47" width="12.43357142857143" customWidth="1" bestFit="1"/>
    <col min="7" max="7" style="47" width="11.005" customWidth="1" bestFit="1"/>
    <col min="8" max="8" style="109" width="11.290714285714287" customWidth="1" bestFit="1"/>
    <col min="9" max="9" style="47" width="8.290714285714287" customWidth="1" bestFit="1"/>
    <col min="10" max="10" style="47" width="10.005" customWidth="1" bestFit="1"/>
    <col min="11" max="11" style="47" width="7.433571428571429" customWidth="1" bestFit="1"/>
    <col min="12" max="12" style="89" width="8.719285714285713" customWidth="1" bestFit="1"/>
    <col min="13" max="13" style="89" width="8.719285714285713" customWidth="1" bestFit="1"/>
    <col min="14" max="14" style="89" width="12.43357142857143" customWidth="1" bestFit="1"/>
    <col min="15" max="15" style="89" width="12.43357142857143" customWidth="1" bestFit="1"/>
    <col min="16" max="16" style="89" width="8.719285714285713" customWidth="1" bestFit="1"/>
    <col min="17" max="17" style="89" width="12.43357142857143" customWidth="1" bestFit="1"/>
    <col min="18" max="18" style="47" width="7.862142857142857" customWidth="1" bestFit="1"/>
    <col min="19" max="19" style="47" width="7.862142857142857" customWidth="1" bestFit="1"/>
    <col min="20" max="20" style="47" width="12.43357142857143" customWidth="1" bestFit="1"/>
    <col min="21" max="21" style="47" width="12.43357142857143" customWidth="1" bestFit="1"/>
    <col min="22" max="22" style="47" width="12.43357142857143" customWidth="1" bestFit="1"/>
    <col min="23" max="23" style="47" width="12.43357142857143" customWidth="1" bestFit="1"/>
    <col min="24" max="24" style="47" width="12.43357142857143" customWidth="1" bestFit="1"/>
    <col min="25" max="25" style="47" width="12.43357142857143" customWidth="1" bestFit="1"/>
    <col min="26" max="26" style="47" width="12.43357142857143" customWidth="1" bestFit="1"/>
    <col min="27" max="27" style="47" width="12.43357142857143" customWidth="1" bestFit="1"/>
    <col min="28" max="28" style="47" width="12.43357142857143" customWidth="1" bestFit="1"/>
    <col min="29" max="29" style="47" width="12.43357142857143" customWidth="1" bestFit="1"/>
    <col min="30" max="30" style="47" width="8.719285714285713" customWidth="1" bestFit="1"/>
    <col min="31" max="31" style="47" width="12.43357142857143" customWidth="1" bestFit="1"/>
    <col min="32" max="32" style="47" width="12.43357142857143" customWidth="1" bestFit="1"/>
    <col min="33" max="33" style="47" width="12.43357142857143" customWidth="1" bestFit="1"/>
    <col min="34" max="34" style="47" width="12.43357142857143" customWidth="1" bestFit="1"/>
    <col min="35" max="35" style="47" width="12.43357142857143" customWidth="1" bestFit="1"/>
  </cols>
  <sheetData>
    <row x14ac:dyDescent="0.25" r="1" customHeight="1" ht="17.25">
      <c r="A1" s="1" t="s">
        <v>310</v>
      </c>
      <c r="B1" s="114" t="s">
        <v>312</v>
      </c>
      <c r="C1" s="1" t="s">
        <v>313</v>
      </c>
      <c r="D1" s="1" t="s">
        <v>20</v>
      </c>
      <c r="E1" s="1" t="s">
        <v>315</v>
      </c>
      <c r="F1" s="1" t="s">
        <v>317</v>
      </c>
      <c r="G1" s="1" t="s">
        <v>318</v>
      </c>
      <c r="H1" s="114" t="s">
        <v>319</v>
      </c>
      <c r="I1" s="1" t="s">
        <v>320</v>
      </c>
      <c r="J1" s="1" t="s">
        <v>322</v>
      </c>
      <c r="K1" s="1" t="s">
        <v>323</v>
      </c>
      <c r="L1" s="115" t="s">
        <v>324</v>
      </c>
      <c r="M1" s="115" t="s">
        <v>325</v>
      </c>
      <c r="N1" s="54" t="s">
        <v>326</v>
      </c>
      <c r="O1" s="54" t="s">
        <v>327</v>
      </c>
      <c r="P1" s="115" t="s">
        <v>328</v>
      </c>
      <c r="Q1" s="54" t="s">
        <v>329</v>
      </c>
      <c r="R1" s="1" t="s">
        <v>330</v>
      </c>
      <c r="S1" s="1" t="s">
        <v>331</v>
      </c>
      <c r="T1" s="1" t="s">
        <v>332</v>
      </c>
      <c r="U1" s="1" t="s">
        <v>11</v>
      </c>
      <c r="V1" s="1" t="s">
        <v>334</v>
      </c>
      <c r="W1" s="1" t="s">
        <v>335</v>
      </c>
      <c r="X1" s="1" t="s">
        <v>336</v>
      </c>
      <c r="Y1" s="1" t="s">
        <v>337</v>
      </c>
      <c r="Z1" s="1" t="s">
        <v>338</v>
      </c>
      <c r="AA1" s="1" t="s">
        <v>340</v>
      </c>
      <c r="AB1" s="1" t="s">
        <v>342</v>
      </c>
      <c r="AC1" s="1" t="s">
        <v>344</v>
      </c>
      <c r="AD1" s="1" t="s">
        <v>346</v>
      </c>
      <c r="AE1" s="1" t="s">
        <v>347</v>
      </c>
      <c r="AF1" s="1" t="s">
        <v>348</v>
      </c>
      <c r="AG1" s="1" t="s">
        <v>349</v>
      </c>
      <c r="AH1" s="1" t="s">
        <v>18</v>
      </c>
      <c r="AI1" s="1" t="s">
        <v>19</v>
      </c>
    </row>
    <row x14ac:dyDescent="0.25" r="2" customHeight="1" ht="17.25">
      <c r="A2" s="1" t="s">
        <v>875</v>
      </c>
      <c r="B2" s="61" t="s">
        <v>876</v>
      </c>
      <c r="C2" s="1" t="s">
        <v>102</v>
      </c>
      <c r="D2" s="116" t="s">
        <v>56</v>
      </c>
      <c r="E2" s="116" t="s">
        <v>877</v>
      </c>
      <c r="F2" s="1" t="s">
        <v>158</v>
      </c>
      <c r="G2" s="1" t="s">
        <v>22</v>
      </c>
      <c r="H2" s="61">
        <v>34226</v>
      </c>
      <c r="I2" s="1" t="s">
        <v>175</v>
      </c>
      <c r="J2" s="1" t="s">
        <v>464</v>
      </c>
      <c r="K2" s="1" t="s">
        <v>878</v>
      </c>
      <c r="L2" s="117" t="s">
        <v>879</v>
      </c>
      <c r="M2" s="117" t="s">
        <v>880</v>
      </c>
      <c r="N2" s="117" t="s">
        <v>881</v>
      </c>
      <c r="O2" s="118">
        <v>0</v>
      </c>
      <c r="P2" s="119">
        <v>0</v>
      </c>
      <c r="Q2" s="118">
        <v>0</v>
      </c>
      <c r="R2" s="1" t="s">
        <v>357</v>
      </c>
      <c r="S2" s="1" t="s">
        <v>206</v>
      </c>
      <c r="T2" s="1" t="s">
        <v>882</v>
      </c>
      <c r="U2" s="1" t="s">
        <v>197</v>
      </c>
      <c r="V2" s="1" t="s">
        <v>357</v>
      </c>
      <c r="W2" s="1" t="s">
        <v>208</v>
      </c>
      <c r="X2" s="1" t="s">
        <v>206</v>
      </c>
      <c r="Y2" s="1" t="s">
        <v>441</v>
      </c>
      <c r="Z2" s="1" t="s">
        <v>206</v>
      </c>
      <c r="AA2" s="1" t="s">
        <v>206</v>
      </c>
      <c r="AB2" s="1" t="s">
        <v>206</v>
      </c>
      <c r="AC2" s="1" t="s">
        <v>236</v>
      </c>
      <c r="AD2" s="1" t="s">
        <v>497</v>
      </c>
      <c r="AE2" s="1" t="s">
        <v>208</v>
      </c>
      <c r="AF2" s="1" t="s">
        <v>208</v>
      </c>
      <c r="AG2" s="1" t="s">
        <v>497</v>
      </c>
      <c r="AH2" s="1" t="s">
        <v>35</v>
      </c>
      <c r="AI2" s="1" t="s">
        <v>208</v>
      </c>
    </row>
    <row x14ac:dyDescent="0.25" r="3" customHeight="1" ht="17.25">
      <c r="A3" s="1" t="s">
        <v>1000</v>
      </c>
      <c r="B3" s="61" t="s">
        <v>557</v>
      </c>
      <c r="C3" s="1" t="s">
        <v>102</v>
      </c>
      <c r="D3" s="116" t="s">
        <v>56</v>
      </c>
      <c r="E3" s="116" t="s">
        <v>1001</v>
      </c>
      <c r="F3" s="120" t="s">
        <v>160</v>
      </c>
      <c r="G3" s="1" t="s">
        <v>22</v>
      </c>
      <c r="H3" s="61">
        <v>36283</v>
      </c>
      <c r="I3" s="1" t="s">
        <v>175</v>
      </c>
      <c r="J3" s="1" t="s">
        <v>178</v>
      </c>
      <c r="K3" s="1" t="s">
        <v>1002</v>
      </c>
      <c r="L3" s="117" t="s">
        <v>1003</v>
      </c>
      <c r="M3" s="117" t="s">
        <v>1004</v>
      </c>
      <c r="N3" s="119">
        <v>0</v>
      </c>
      <c r="O3" s="118">
        <v>0</v>
      </c>
      <c r="P3" s="119">
        <v>0</v>
      </c>
      <c r="Q3" s="118">
        <v>0</v>
      </c>
      <c r="R3" s="1" t="s">
        <v>357</v>
      </c>
      <c r="S3" s="1" t="s">
        <v>206</v>
      </c>
      <c r="T3" s="1" t="s">
        <v>732</v>
      </c>
      <c r="U3" s="1" t="s">
        <v>197</v>
      </c>
      <c r="V3" s="1" t="s">
        <v>357</v>
      </c>
      <c r="W3" s="1" t="s">
        <v>208</v>
      </c>
      <c r="X3" s="1" t="s">
        <v>206</v>
      </c>
      <c r="Y3" s="1" t="s">
        <v>441</v>
      </c>
      <c r="Z3" s="1" t="s">
        <v>206</v>
      </c>
      <c r="AA3" s="1" t="s">
        <v>206</v>
      </c>
      <c r="AB3" s="1" t="s">
        <v>206</v>
      </c>
      <c r="AC3" s="1" t="s">
        <v>237</v>
      </c>
      <c r="AD3" s="1" t="s">
        <v>661</v>
      </c>
      <c r="AE3" s="1" t="s">
        <v>208</v>
      </c>
      <c r="AF3" s="1" t="s">
        <v>208</v>
      </c>
      <c r="AG3" s="1" t="s">
        <v>661</v>
      </c>
      <c r="AH3" s="1" t="s">
        <v>35</v>
      </c>
      <c r="AI3" s="1" t="s">
        <v>208</v>
      </c>
    </row>
    <row x14ac:dyDescent="0.25" r="4" customHeight="1" ht="17.25">
      <c r="A4" s="1" t="s">
        <v>2352</v>
      </c>
      <c r="B4" s="61" t="s">
        <v>1429</v>
      </c>
      <c r="C4" s="1" t="s">
        <v>102</v>
      </c>
      <c r="D4" s="116" t="s">
        <v>56</v>
      </c>
      <c r="E4" s="1" t="s">
        <v>2353</v>
      </c>
      <c r="F4" s="1" t="s">
        <v>158</v>
      </c>
      <c r="G4" s="1" t="s">
        <v>22</v>
      </c>
      <c r="H4" s="61">
        <v>32120</v>
      </c>
      <c r="I4" s="1" t="s">
        <v>175</v>
      </c>
      <c r="J4" s="1" t="s">
        <v>365</v>
      </c>
      <c r="K4" s="1" t="s">
        <v>1008</v>
      </c>
      <c r="L4" s="117" t="s">
        <v>2354</v>
      </c>
      <c r="M4" s="117" t="s">
        <v>2355</v>
      </c>
      <c r="N4" s="119">
        <v>0</v>
      </c>
      <c r="O4" s="118">
        <v>0</v>
      </c>
      <c r="P4" s="119">
        <v>0</v>
      </c>
      <c r="Q4" s="118">
        <v>0</v>
      </c>
      <c r="R4" s="1" t="s">
        <v>357</v>
      </c>
      <c r="S4" s="1" t="s">
        <v>206</v>
      </c>
      <c r="T4" s="1" t="s">
        <v>2356</v>
      </c>
      <c r="U4" s="1" t="s">
        <v>200</v>
      </c>
      <c r="V4" s="1" t="s">
        <v>2285</v>
      </c>
      <c r="W4" s="1" t="s">
        <v>208</v>
      </c>
      <c r="X4" s="1" t="s">
        <v>208</v>
      </c>
      <c r="Y4" s="1" t="s">
        <v>208</v>
      </c>
      <c r="Z4" s="1" t="s">
        <v>208</v>
      </c>
      <c r="AA4" s="1" t="s">
        <v>208</v>
      </c>
      <c r="AB4" s="1" t="s">
        <v>208</v>
      </c>
      <c r="AC4" s="1" t="s">
        <v>208</v>
      </c>
      <c r="AD4" s="1" t="s">
        <v>208</v>
      </c>
      <c r="AE4" s="1" t="s">
        <v>206</v>
      </c>
      <c r="AF4" s="1" t="s">
        <v>208</v>
      </c>
      <c r="AG4" s="1" t="s">
        <v>208</v>
      </c>
      <c r="AH4" s="1" t="s">
        <v>208</v>
      </c>
      <c r="AI4" s="1" t="s">
        <v>208</v>
      </c>
    </row>
    <row x14ac:dyDescent="0.25" r="5" customHeight="1" ht="17.25">
      <c r="A5" s="1" t="s">
        <v>1958</v>
      </c>
      <c r="B5" s="61" t="s">
        <v>1959</v>
      </c>
      <c r="C5" s="1" t="s">
        <v>102</v>
      </c>
      <c r="D5" s="116" t="s">
        <v>56</v>
      </c>
      <c r="E5" s="116" t="s">
        <v>1960</v>
      </c>
      <c r="F5" s="1" t="s">
        <v>158</v>
      </c>
      <c r="G5" s="1" t="s">
        <v>22</v>
      </c>
      <c r="H5" s="61">
        <v>31345</v>
      </c>
      <c r="I5" s="1" t="s">
        <v>176</v>
      </c>
      <c r="J5" s="1" t="s">
        <v>1961</v>
      </c>
      <c r="K5" s="1" t="s">
        <v>559</v>
      </c>
      <c r="L5" s="117" t="s">
        <v>1962</v>
      </c>
      <c r="M5" s="117" t="s">
        <v>1963</v>
      </c>
      <c r="N5" s="117" t="s">
        <v>1964</v>
      </c>
      <c r="O5" s="118">
        <v>0</v>
      </c>
      <c r="P5" s="119">
        <v>0</v>
      </c>
      <c r="Q5" s="121" t="s">
        <v>1965</v>
      </c>
      <c r="R5" s="1" t="s">
        <v>357</v>
      </c>
      <c r="S5" s="1" t="s">
        <v>206</v>
      </c>
      <c r="T5" s="1" t="s">
        <v>1108</v>
      </c>
      <c r="U5" s="1" t="s">
        <v>197</v>
      </c>
      <c r="V5" s="1" t="s">
        <v>357</v>
      </c>
      <c r="W5" s="1" t="s">
        <v>208</v>
      </c>
      <c r="X5" s="1" t="s">
        <v>1645</v>
      </c>
      <c r="Y5" s="1" t="s">
        <v>654</v>
      </c>
      <c r="Z5" s="1" t="s">
        <v>206</v>
      </c>
      <c r="AA5" s="1" t="s">
        <v>28</v>
      </c>
      <c r="AB5" s="1" t="s">
        <v>206</v>
      </c>
      <c r="AC5" s="1" t="s">
        <v>238</v>
      </c>
      <c r="AD5" s="1" t="s">
        <v>654</v>
      </c>
      <c r="AE5" s="1" t="s">
        <v>208</v>
      </c>
      <c r="AF5" s="1" t="s">
        <v>208</v>
      </c>
      <c r="AG5" s="1" t="s">
        <v>654</v>
      </c>
      <c r="AH5" s="1" t="s">
        <v>208</v>
      </c>
      <c r="AI5" s="120" t="s">
        <v>227</v>
      </c>
    </row>
    <row x14ac:dyDescent="0.25" r="6" customHeight="1" ht="17.25">
      <c r="A6" s="1" t="s">
        <v>1277</v>
      </c>
      <c r="B6" s="61" t="s">
        <v>1278</v>
      </c>
      <c r="C6" s="1" t="s">
        <v>102</v>
      </c>
      <c r="D6" s="116" t="s">
        <v>56</v>
      </c>
      <c r="E6" s="116" t="s">
        <v>1279</v>
      </c>
      <c r="F6" s="1" t="s">
        <v>159</v>
      </c>
      <c r="G6" s="1" t="s">
        <v>22</v>
      </c>
      <c r="H6" s="61">
        <v>28579</v>
      </c>
      <c r="I6" s="35" t="s">
        <v>176</v>
      </c>
      <c r="J6" s="35" t="s">
        <v>615</v>
      </c>
      <c r="K6" s="1" t="s">
        <v>1280</v>
      </c>
      <c r="L6" s="117" t="s">
        <v>1281</v>
      </c>
      <c r="M6" s="117" t="s">
        <v>1282</v>
      </c>
      <c r="N6" s="117" t="s">
        <v>1283</v>
      </c>
      <c r="O6" s="118">
        <v>0</v>
      </c>
      <c r="P6" s="119">
        <v>0</v>
      </c>
      <c r="Q6" s="118">
        <v>0</v>
      </c>
      <c r="R6" s="1" t="s">
        <v>371</v>
      </c>
      <c r="S6" s="1" t="s">
        <v>206</v>
      </c>
      <c r="T6" s="1" t="s">
        <v>384</v>
      </c>
      <c r="U6" s="1" t="s">
        <v>198</v>
      </c>
      <c r="V6" s="1" t="s">
        <v>357</v>
      </c>
      <c r="W6" s="1" t="s">
        <v>208</v>
      </c>
      <c r="X6" s="1" t="s">
        <v>206</v>
      </c>
      <c r="Y6" s="1" t="s">
        <v>441</v>
      </c>
      <c r="Z6" s="1" t="s">
        <v>206</v>
      </c>
      <c r="AA6" s="1" t="s">
        <v>206</v>
      </c>
      <c r="AB6" s="1" t="s">
        <v>206</v>
      </c>
      <c r="AC6" s="1" t="s">
        <v>237</v>
      </c>
      <c r="AD6" s="1" t="s">
        <v>1276</v>
      </c>
      <c r="AE6" s="1" t="s">
        <v>208</v>
      </c>
      <c r="AF6" s="1" t="s">
        <v>208</v>
      </c>
      <c r="AG6" s="1" t="s">
        <v>1276</v>
      </c>
      <c r="AH6" s="1" t="s">
        <v>206</v>
      </c>
      <c r="AI6" s="120" t="s">
        <v>227</v>
      </c>
    </row>
    <row x14ac:dyDescent="0.25" r="7" customHeight="1" ht="17.25">
      <c r="A7" s="1" t="s">
        <v>1277</v>
      </c>
      <c r="B7" s="61" t="s">
        <v>1278</v>
      </c>
      <c r="C7" s="1" t="s">
        <v>102</v>
      </c>
      <c r="D7" s="116" t="s">
        <v>56</v>
      </c>
      <c r="E7" s="116" t="s">
        <v>2470</v>
      </c>
      <c r="F7" s="1" t="s">
        <v>159</v>
      </c>
      <c r="G7" s="1" t="s">
        <v>22</v>
      </c>
      <c r="H7" s="61">
        <v>34806</v>
      </c>
      <c r="I7" s="35" t="s">
        <v>176</v>
      </c>
      <c r="J7" s="35" t="s">
        <v>615</v>
      </c>
      <c r="K7" s="1" t="s">
        <v>366</v>
      </c>
      <c r="L7" s="117" t="s">
        <v>1281</v>
      </c>
      <c r="M7" s="117" t="s">
        <v>1282</v>
      </c>
      <c r="N7" s="117" t="s">
        <v>1283</v>
      </c>
      <c r="O7" s="118">
        <v>0</v>
      </c>
      <c r="P7" s="119">
        <v>0</v>
      </c>
      <c r="Q7" s="118">
        <v>0</v>
      </c>
      <c r="R7" s="1" t="s">
        <v>371</v>
      </c>
      <c r="S7" s="1" t="s">
        <v>206</v>
      </c>
      <c r="T7" s="1" t="s">
        <v>358</v>
      </c>
      <c r="U7" s="1" t="s">
        <v>199</v>
      </c>
      <c r="V7" s="1" t="s">
        <v>208</v>
      </c>
      <c r="W7" s="1" t="s">
        <v>208</v>
      </c>
      <c r="X7" s="1" t="s">
        <v>208</v>
      </c>
      <c r="Y7" s="1" t="s">
        <v>208</v>
      </c>
      <c r="Z7" s="1" t="s">
        <v>208</v>
      </c>
      <c r="AA7" s="1" t="s">
        <v>208</v>
      </c>
      <c r="AB7" s="1" t="s">
        <v>208</v>
      </c>
      <c r="AC7" s="1" t="s">
        <v>208</v>
      </c>
      <c r="AD7" s="1" t="s">
        <v>208</v>
      </c>
      <c r="AE7" s="1" t="s">
        <v>208</v>
      </c>
      <c r="AF7" s="1" t="s">
        <v>208</v>
      </c>
      <c r="AG7" s="1" t="s">
        <v>208</v>
      </c>
      <c r="AH7" s="1" t="s">
        <v>208</v>
      </c>
      <c r="AI7" s="1" t="s">
        <v>208</v>
      </c>
    </row>
    <row x14ac:dyDescent="0.25" r="8" customHeight="1" ht="17.25">
      <c r="A8" s="1" t="s">
        <v>1622</v>
      </c>
      <c r="B8" s="61" t="s">
        <v>378</v>
      </c>
      <c r="C8" s="1" t="s">
        <v>102</v>
      </c>
      <c r="D8" s="1" t="s">
        <v>56</v>
      </c>
      <c r="E8" s="116" t="s">
        <v>1623</v>
      </c>
      <c r="F8" s="1" t="s">
        <v>159</v>
      </c>
      <c r="G8" s="1" t="s">
        <v>22</v>
      </c>
      <c r="H8" s="61">
        <v>32087</v>
      </c>
      <c r="I8" s="1" t="s">
        <v>176</v>
      </c>
      <c r="J8" s="1" t="s">
        <v>365</v>
      </c>
      <c r="K8" s="1" t="s">
        <v>1624</v>
      </c>
      <c r="L8" s="117" t="s">
        <v>1625</v>
      </c>
      <c r="M8" s="117" t="s">
        <v>1626</v>
      </c>
      <c r="N8" s="117" t="s">
        <v>1627</v>
      </c>
      <c r="O8" s="118">
        <v>0</v>
      </c>
      <c r="P8" s="119">
        <v>0</v>
      </c>
      <c r="Q8" s="118">
        <v>0</v>
      </c>
      <c r="R8" s="1" t="s">
        <v>357</v>
      </c>
      <c r="S8" s="1" t="s">
        <v>206</v>
      </c>
      <c r="T8" s="1" t="s">
        <v>358</v>
      </c>
      <c r="U8" s="1" t="s">
        <v>197</v>
      </c>
      <c r="V8" s="1" t="s">
        <v>357</v>
      </c>
      <c r="W8" s="1" t="s">
        <v>208</v>
      </c>
      <c r="X8" s="1" t="s">
        <v>206</v>
      </c>
      <c r="Y8" s="1" t="s">
        <v>441</v>
      </c>
      <c r="Z8" s="1" t="s">
        <v>206</v>
      </c>
      <c r="AA8" s="1" t="s">
        <v>206</v>
      </c>
      <c r="AB8" s="1" t="s">
        <v>206</v>
      </c>
      <c r="AC8" s="1" t="s">
        <v>238</v>
      </c>
      <c r="AD8" s="1" t="s">
        <v>441</v>
      </c>
      <c r="AE8" s="1" t="s">
        <v>208</v>
      </c>
      <c r="AF8" s="1" t="s">
        <v>208</v>
      </c>
      <c r="AG8" s="1" t="s">
        <v>441</v>
      </c>
      <c r="AH8" s="1" t="s">
        <v>208</v>
      </c>
      <c r="AI8" s="120" t="s">
        <v>227</v>
      </c>
    </row>
    <row x14ac:dyDescent="0.25" r="9" customHeight="1" ht="17.25">
      <c r="A9" s="120" t="s">
        <v>1255</v>
      </c>
      <c r="B9" s="61" t="s">
        <v>1039</v>
      </c>
      <c r="C9" s="120" t="s">
        <v>126</v>
      </c>
      <c r="D9" s="1" t="s">
        <v>48</v>
      </c>
      <c r="E9" s="1" t="s">
        <v>1256</v>
      </c>
      <c r="F9" s="1" t="s">
        <v>163</v>
      </c>
      <c r="G9" s="120" t="s">
        <v>22</v>
      </c>
      <c r="H9" s="61">
        <v>33476</v>
      </c>
      <c r="I9" s="120" t="s">
        <v>177</v>
      </c>
      <c r="J9" s="120" t="s">
        <v>354</v>
      </c>
      <c r="K9" s="120" t="s">
        <v>716</v>
      </c>
      <c r="L9" s="119">
        <v>0</v>
      </c>
      <c r="M9" s="119">
        <v>0</v>
      </c>
      <c r="N9" s="117" t="s">
        <v>1257</v>
      </c>
      <c r="O9" s="118">
        <v>0</v>
      </c>
      <c r="P9" s="119">
        <v>0</v>
      </c>
      <c r="Q9" s="118">
        <v>0</v>
      </c>
      <c r="R9" s="1" t="s">
        <v>357</v>
      </c>
      <c r="S9" s="120" t="s">
        <v>206</v>
      </c>
      <c r="T9" s="120" t="s">
        <v>1258</v>
      </c>
      <c r="U9" s="120" t="s">
        <v>197</v>
      </c>
      <c r="V9" s="1" t="s">
        <v>357</v>
      </c>
      <c r="W9" s="120" t="s">
        <v>208</v>
      </c>
      <c r="X9" s="120" t="s">
        <v>206</v>
      </c>
      <c r="Y9" s="120" t="s">
        <v>441</v>
      </c>
      <c r="Z9" s="120" t="s">
        <v>206</v>
      </c>
      <c r="AA9" s="120" t="s">
        <v>206</v>
      </c>
      <c r="AB9" s="120" t="s">
        <v>206</v>
      </c>
      <c r="AC9" s="1" t="s">
        <v>237</v>
      </c>
      <c r="AD9" s="120" t="s">
        <v>1247</v>
      </c>
      <c r="AE9" s="120" t="s">
        <v>208</v>
      </c>
      <c r="AF9" s="120" t="s">
        <v>208</v>
      </c>
      <c r="AG9" s="120" t="s">
        <v>1247</v>
      </c>
      <c r="AH9" s="1" t="s">
        <v>206</v>
      </c>
      <c r="AI9" s="120" t="s">
        <v>227</v>
      </c>
    </row>
    <row x14ac:dyDescent="0.25" r="10" customHeight="1" ht="17.25">
      <c r="A10" s="120" t="s">
        <v>2129</v>
      </c>
      <c r="B10" s="61" t="s">
        <v>363</v>
      </c>
      <c r="C10" s="120" t="s">
        <v>144</v>
      </c>
      <c r="D10" s="1" t="s">
        <v>48</v>
      </c>
      <c r="E10" s="1" t="s">
        <v>2130</v>
      </c>
      <c r="F10" s="1" t="s">
        <v>158</v>
      </c>
      <c r="G10" s="120" t="s">
        <v>22</v>
      </c>
      <c r="H10" s="61">
        <v>32525</v>
      </c>
      <c r="I10" s="120" t="s">
        <v>175</v>
      </c>
      <c r="J10" s="120" t="s">
        <v>517</v>
      </c>
      <c r="K10" s="120" t="s">
        <v>472</v>
      </c>
      <c r="L10" s="117" t="s">
        <v>2131</v>
      </c>
      <c r="M10" s="117" t="s">
        <v>2132</v>
      </c>
      <c r="N10" s="119">
        <v>0</v>
      </c>
      <c r="O10" s="118">
        <v>0</v>
      </c>
      <c r="P10" s="119">
        <v>0</v>
      </c>
      <c r="Q10" s="118">
        <v>0</v>
      </c>
      <c r="R10" s="1" t="s">
        <v>357</v>
      </c>
      <c r="S10" s="120" t="s">
        <v>206</v>
      </c>
      <c r="T10" s="120" t="s">
        <v>1480</v>
      </c>
      <c r="U10" s="120" t="s">
        <v>197</v>
      </c>
      <c r="V10" s="1" t="s">
        <v>357</v>
      </c>
      <c r="W10" s="120" t="s">
        <v>208</v>
      </c>
      <c r="X10" s="120" t="s">
        <v>847</v>
      </c>
      <c r="Y10" s="120" t="s">
        <v>386</v>
      </c>
      <c r="Z10" s="1" t="s">
        <v>207</v>
      </c>
      <c r="AA10" s="120" t="s">
        <v>206</v>
      </c>
      <c r="AB10" s="120" t="s">
        <v>206</v>
      </c>
      <c r="AC10" s="1" t="s">
        <v>238</v>
      </c>
      <c r="AD10" s="120" t="s">
        <v>375</v>
      </c>
      <c r="AE10" s="120" t="s">
        <v>208</v>
      </c>
      <c r="AF10" s="120" t="s">
        <v>208</v>
      </c>
      <c r="AG10" s="120" t="s">
        <v>375</v>
      </c>
      <c r="AH10" s="1" t="s">
        <v>208</v>
      </c>
      <c r="AI10" s="120" t="s">
        <v>227</v>
      </c>
    </row>
    <row x14ac:dyDescent="0.25" r="11" customHeight="1" ht="17.25">
      <c r="A11" s="120" t="s">
        <v>2327</v>
      </c>
      <c r="B11" s="61" t="s">
        <v>1249</v>
      </c>
      <c r="C11" s="120" t="s">
        <v>143</v>
      </c>
      <c r="D11" s="1" t="s">
        <v>48</v>
      </c>
      <c r="E11" s="1" t="s">
        <v>2328</v>
      </c>
      <c r="F11" s="120" t="s">
        <v>159</v>
      </c>
      <c r="G11" s="120" t="s">
        <v>22</v>
      </c>
      <c r="H11" s="61">
        <v>34009</v>
      </c>
      <c r="I11" s="120" t="s">
        <v>10250</v>
      </c>
      <c r="J11" s="120" t="s">
        <v>365</v>
      </c>
      <c r="K11" s="120" t="s">
        <v>2329</v>
      </c>
      <c r="L11" s="119">
        <v>0</v>
      </c>
      <c r="M11" s="117" t="s">
        <v>2330</v>
      </c>
      <c r="N11" s="119">
        <v>0</v>
      </c>
      <c r="O11" s="118">
        <v>0</v>
      </c>
      <c r="P11" s="119">
        <v>0</v>
      </c>
      <c r="Q11" s="118">
        <v>0</v>
      </c>
      <c r="R11" s="1" t="s">
        <v>357</v>
      </c>
      <c r="S11" s="120" t="s">
        <v>526</v>
      </c>
      <c r="T11" s="120" t="s">
        <v>2304</v>
      </c>
      <c r="U11" s="120" t="s">
        <v>199</v>
      </c>
      <c r="V11" s="120" t="s">
        <v>208</v>
      </c>
      <c r="W11" s="120" t="s">
        <v>208</v>
      </c>
      <c r="X11" s="120" t="s">
        <v>208</v>
      </c>
      <c r="Y11" s="120" t="s">
        <v>208</v>
      </c>
      <c r="Z11" s="120" t="s">
        <v>208</v>
      </c>
      <c r="AA11" s="120" t="s">
        <v>208</v>
      </c>
      <c r="AB11" s="120" t="s">
        <v>208</v>
      </c>
      <c r="AC11" s="120" t="s">
        <v>208</v>
      </c>
      <c r="AD11" s="120" t="s">
        <v>208</v>
      </c>
      <c r="AE11" s="120" t="s">
        <v>208</v>
      </c>
      <c r="AF11" s="120" t="s">
        <v>208</v>
      </c>
      <c r="AG11" s="120" t="s">
        <v>208</v>
      </c>
      <c r="AH11" s="120" t="s">
        <v>208</v>
      </c>
      <c r="AI11" s="120" t="s">
        <v>208</v>
      </c>
    </row>
    <row x14ac:dyDescent="0.25" r="12" customHeight="1" ht="17.25">
      <c r="A12" s="120" t="s">
        <v>895</v>
      </c>
      <c r="B12" s="61" t="s">
        <v>896</v>
      </c>
      <c r="C12" s="120" t="s">
        <v>126</v>
      </c>
      <c r="D12" s="1" t="s">
        <v>48</v>
      </c>
      <c r="E12" s="1" t="s">
        <v>897</v>
      </c>
      <c r="F12" s="1" t="s">
        <v>158</v>
      </c>
      <c r="G12" s="120" t="s">
        <v>22</v>
      </c>
      <c r="H12" s="61">
        <v>32784</v>
      </c>
      <c r="I12" s="120" t="s">
        <v>176</v>
      </c>
      <c r="J12" s="120" t="s">
        <v>517</v>
      </c>
      <c r="K12" s="120" t="s">
        <v>507</v>
      </c>
      <c r="L12" s="119">
        <v>0</v>
      </c>
      <c r="M12" s="117" t="s">
        <v>898</v>
      </c>
      <c r="N12" s="117" t="s">
        <v>899</v>
      </c>
      <c r="O12" s="118">
        <v>0</v>
      </c>
      <c r="P12" s="119">
        <v>0</v>
      </c>
      <c r="Q12" s="118">
        <v>0</v>
      </c>
      <c r="R12" s="1" t="s">
        <v>357</v>
      </c>
      <c r="S12" s="120" t="s">
        <v>206</v>
      </c>
      <c r="T12" s="120" t="s">
        <v>520</v>
      </c>
      <c r="U12" s="120" t="s">
        <v>197</v>
      </c>
      <c r="V12" s="1" t="s">
        <v>357</v>
      </c>
      <c r="W12" s="120" t="s">
        <v>208</v>
      </c>
      <c r="X12" s="120" t="s">
        <v>206</v>
      </c>
      <c r="Y12" s="120" t="s">
        <v>441</v>
      </c>
      <c r="Z12" s="120" t="s">
        <v>206</v>
      </c>
      <c r="AA12" s="120" t="s">
        <v>206</v>
      </c>
      <c r="AB12" s="120" t="s">
        <v>206</v>
      </c>
      <c r="AC12" s="1" t="s">
        <v>236</v>
      </c>
      <c r="AD12" s="120" t="s">
        <v>497</v>
      </c>
      <c r="AE12" s="120" t="s">
        <v>208</v>
      </c>
      <c r="AF12" s="120" t="s">
        <v>208</v>
      </c>
      <c r="AG12" s="120" t="s">
        <v>497</v>
      </c>
      <c r="AH12" s="1" t="s">
        <v>206</v>
      </c>
      <c r="AI12" s="120" t="s">
        <v>227</v>
      </c>
    </row>
    <row x14ac:dyDescent="0.25" r="13" customHeight="1" ht="17.25">
      <c r="A13" s="120" t="s">
        <v>1475</v>
      </c>
      <c r="B13" s="61" t="s">
        <v>1476</v>
      </c>
      <c r="C13" s="120" t="s">
        <v>133</v>
      </c>
      <c r="D13" s="1" t="s">
        <v>48</v>
      </c>
      <c r="E13" s="1" t="s">
        <v>1477</v>
      </c>
      <c r="F13" s="1" t="s">
        <v>158</v>
      </c>
      <c r="G13" s="120" t="s">
        <v>22</v>
      </c>
      <c r="H13" s="61">
        <v>26584</v>
      </c>
      <c r="I13" s="120" t="s">
        <v>177</v>
      </c>
      <c r="J13" s="120" t="s">
        <v>354</v>
      </c>
      <c r="K13" s="120" t="s">
        <v>1478</v>
      </c>
      <c r="L13" s="119">
        <v>0</v>
      </c>
      <c r="M13" s="117" t="s">
        <v>1479</v>
      </c>
      <c r="N13" s="119">
        <v>0</v>
      </c>
      <c r="O13" s="118">
        <v>0</v>
      </c>
      <c r="P13" s="119">
        <v>0</v>
      </c>
      <c r="Q13" s="118">
        <v>0</v>
      </c>
      <c r="R13" s="1" t="s">
        <v>357</v>
      </c>
      <c r="S13" s="120" t="s">
        <v>206</v>
      </c>
      <c r="T13" s="120" t="s">
        <v>1480</v>
      </c>
      <c r="U13" s="120" t="s">
        <v>197</v>
      </c>
      <c r="V13" s="1" t="s">
        <v>357</v>
      </c>
      <c r="W13" s="120" t="s">
        <v>208</v>
      </c>
      <c r="X13" s="120" t="s">
        <v>206</v>
      </c>
      <c r="Y13" s="120" t="s">
        <v>441</v>
      </c>
      <c r="Z13" s="120" t="s">
        <v>206</v>
      </c>
      <c r="AA13" s="120" t="s">
        <v>206</v>
      </c>
      <c r="AB13" s="120" t="s">
        <v>206</v>
      </c>
      <c r="AC13" s="1" t="s">
        <v>238</v>
      </c>
      <c r="AD13" s="120" t="s">
        <v>441</v>
      </c>
      <c r="AE13" s="120" t="s">
        <v>208</v>
      </c>
      <c r="AF13" s="120" t="s">
        <v>208</v>
      </c>
      <c r="AG13" s="120" t="s">
        <v>441</v>
      </c>
      <c r="AH13" s="1" t="s">
        <v>208</v>
      </c>
      <c r="AI13" s="120" t="s">
        <v>227</v>
      </c>
    </row>
    <row x14ac:dyDescent="0.25" r="14" customHeight="1" ht="17.25">
      <c r="A14" s="120" t="s">
        <v>2039</v>
      </c>
      <c r="B14" s="61" t="s">
        <v>861</v>
      </c>
      <c r="C14" s="120" t="s">
        <v>143</v>
      </c>
      <c r="D14" s="1" t="s">
        <v>48</v>
      </c>
      <c r="E14" s="1" t="s">
        <v>2040</v>
      </c>
      <c r="F14" s="1" t="s">
        <v>158</v>
      </c>
      <c r="G14" s="120" t="s">
        <v>22</v>
      </c>
      <c r="H14" s="61">
        <v>29853</v>
      </c>
      <c r="I14" s="120" t="s">
        <v>175</v>
      </c>
      <c r="J14" s="120" t="s">
        <v>365</v>
      </c>
      <c r="K14" s="120" t="s">
        <v>2041</v>
      </c>
      <c r="L14" s="119">
        <v>0</v>
      </c>
      <c r="M14" s="117" t="s">
        <v>2042</v>
      </c>
      <c r="N14" s="119">
        <v>0</v>
      </c>
      <c r="O14" s="118">
        <v>0</v>
      </c>
      <c r="P14" s="119">
        <v>0</v>
      </c>
      <c r="Q14" s="118">
        <v>0</v>
      </c>
      <c r="R14" s="120" t="s">
        <v>1220</v>
      </c>
      <c r="S14" s="120" t="s">
        <v>206</v>
      </c>
      <c r="T14" s="120" t="s">
        <v>455</v>
      </c>
      <c r="U14" s="120" t="s">
        <v>197</v>
      </c>
      <c r="V14" s="120" t="s">
        <v>1220</v>
      </c>
      <c r="W14" s="120" t="s">
        <v>208</v>
      </c>
      <c r="X14" s="120" t="s">
        <v>2043</v>
      </c>
      <c r="Y14" s="120" t="s">
        <v>492</v>
      </c>
      <c r="Z14" s="1" t="s">
        <v>207</v>
      </c>
      <c r="AA14" s="120" t="s">
        <v>206</v>
      </c>
      <c r="AB14" s="120" t="s">
        <v>206</v>
      </c>
      <c r="AC14" s="1" t="s">
        <v>238</v>
      </c>
      <c r="AD14" s="120" t="s">
        <v>2038</v>
      </c>
      <c r="AE14" s="120" t="s">
        <v>2044</v>
      </c>
      <c r="AF14" s="120" t="s">
        <v>208</v>
      </c>
      <c r="AG14" s="120" t="s">
        <v>2045</v>
      </c>
      <c r="AH14" s="1" t="s">
        <v>208</v>
      </c>
      <c r="AI14" s="120" t="s">
        <v>227</v>
      </c>
    </row>
    <row x14ac:dyDescent="0.25" r="15" customHeight="1" ht="17.25">
      <c r="A15" s="120" t="s">
        <v>1248</v>
      </c>
      <c r="B15" s="61" t="s">
        <v>1249</v>
      </c>
      <c r="C15" s="120" t="s">
        <v>126</v>
      </c>
      <c r="D15" s="1" t="s">
        <v>48</v>
      </c>
      <c r="E15" s="1" t="s">
        <v>1250</v>
      </c>
      <c r="F15" s="1" t="s">
        <v>158</v>
      </c>
      <c r="G15" s="120" t="s">
        <v>22</v>
      </c>
      <c r="H15" s="61">
        <v>33615</v>
      </c>
      <c r="I15" s="120" t="s">
        <v>176</v>
      </c>
      <c r="J15" s="120" t="s">
        <v>464</v>
      </c>
      <c r="K15" s="120" t="s">
        <v>1251</v>
      </c>
      <c r="L15" s="117" t="s">
        <v>1252</v>
      </c>
      <c r="M15" s="117" t="s">
        <v>1253</v>
      </c>
      <c r="N15" s="119">
        <v>0</v>
      </c>
      <c r="O15" s="118">
        <v>0</v>
      </c>
      <c r="P15" s="119">
        <v>0</v>
      </c>
      <c r="Q15" s="118">
        <v>0</v>
      </c>
      <c r="R15" s="1" t="s">
        <v>357</v>
      </c>
      <c r="S15" s="120" t="s">
        <v>674</v>
      </c>
      <c r="T15" s="120" t="s">
        <v>430</v>
      </c>
      <c r="U15" s="120" t="s">
        <v>197</v>
      </c>
      <c r="V15" s="1" t="s">
        <v>357</v>
      </c>
      <c r="W15" s="120" t="s">
        <v>674</v>
      </c>
      <c r="X15" s="120" t="s">
        <v>206</v>
      </c>
      <c r="Y15" s="120" t="s">
        <v>441</v>
      </c>
      <c r="Z15" s="120" t="s">
        <v>206</v>
      </c>
      <c r="AA15" s="120" t="s">
        <v>206</v>
      </c>
      <c r="AB15" s="120" t="s">
        <v>206</v>
      </c>
      <c r="AC15" s="1" t="s">
        <v>237</v>
      </c>
      <c r="AD15" s="120" t="s">
        <v>1247</v>
      </c>
      <c r="AE15" s="120" t="s">
        <v>208</v>
      </c>
      <c r="AF15" s="120" t="s">
        <v>676</v>
      </c>
      <c r="AG15" s="120" t="s">
        <v>1254</v>
      </c>
      <c r="AH15" s="1" t="s">
        <v>208</v>
      </c>
      <c r="AI15" s="120" t="s">
        <v>227</v>
      </c>
    </row>
    <row x14ac:dyDescent="0.25" r="16" customHeight="1" ht="17.25">
      <c r="A16" s="1" t="s">
        <v>2388</v>
      </c>
      <c r="B16" s="61">
        <v>42864</v>
      </c>
      <c r="C16" s="1" t="s">
        <v>89</v>
      </c>
      <c r="D16" s="1" t="s">
        <v>38</v>
      </c>
      <c r="E16" s="116" t="s">
        <v>2389</v>
      </c>
      <c r="F16" s="1" t="s">
        <v>158</v>
      </c>
      <c r="G16" s="1" t="s">
        <v>22</v>
      </c>
      <c r="H16" s="61">
        <v>31815</v>
      </c>
      <c r="I16" s="1" t="s">
        <v>175</v>
      </c>
      <c r="J16" s="1" t="s">
        <v>354</v>
      </c>
      <c r="K16" s="1" t="s">
        <v>2390</v>
      </c>
      <c r="L16" s="119">
        <v>0</v>
      </c>
      <c r="M16" s="117" t="s">
        <v>2391</v>
      </c>
      <c r="N16" s="119">
        <v>0</v>
      </c>
      <c r="O16" s="118">
        <v>0</v>
      </c>
      <c r="P16" s="119">
        <v>0</v>
      </c>
      <c r="Q16" s="118">
        <v>0</v>
      </c>
      <c r="R16" s="1" t="s">
        <v>357</v>
      </c>
      <c r="S16" s="1" t="s">
        <v>206</v>
      </c>
      <c r="T16" s="1" t="s">
        <v>28</v>
      </c>
      <c r="U16" s="1" t="s">
        <v>200</v>
      </c>
      <c r="V16" s="1" t="s">
        <v>2285</v>
      </c>
      <c r="W16" s="1" t="s">
        <v>208</v>
      </c>
      <c r="X16" s="1" t="s">
        <v>208</v>
      </c>
      <c r="Y16" s="1" t="s">
        <v>208</v>
      </c>
      <c r="Z16" s="1" t="s">
        <v>208</v>
      </c>
      <c r="AA16" s="1" t="s">
        <v>208</v>
      </c>
      <c r="AB16" s="1" t="s">
        <v>208</v>
      </c>
      <c r="AC16" s="1" t="s">
        <v>208</v>
      </c>
      <c r="AD16" s="1" t="s">
        <v>208</v>
      </c>
      <c r="AE16" s="1" t="s">
        <v>206</v>
      </c>
      <c r="AF16" s="1" t="s">
        <v>208</v>
      </c>
      <c r="AG16" s="1" t="s">
        <v>208</v>
      </c>
      <c r="AH16" s="1" t="s">
        <v>208</v>
      </c>
      <c r="AI16" s="1" t="s">
        <v>208</v>
      </c>
    </row>
    <row x14ac:dyDescent="0.25" r="17" customHeight="1" ht="17.25">
      <c r="A17" s="1" t="s">
        <v>1341</v>
      </c>
      <c r="B17" s="61">
        <v>42871</v>
      </c>
      <c r="C17" s="1" t="s">
        <v>80</v>
      </c>
      <c r="D17" s="1" t="s">
        <v>38</v>
      </c>
      <c r="E17" s="116" t="s">
        <v>1991</v>
      </c>
      <c r="F17" s="1" t="s">
        <v>161</v>
      </c>
      <c r="G17" s="1" t="s">
        <v>22</v>
      </c>
      <c r="H17" s="61">
        <v>30746</v>
      </c>
      <c r="I17" s="1" t="s">
        <v>176</v>
      </c>
      <c r="J17" s="1" t="s">
        <v>464</v>
      </c>
      <c r="K17" s="1" t="s">
        <v>1343</v>
      </c>
      <c r="L17" s="117" t="s">
        <v>1344</v>
      </c>
      <c r="M17" s="119">
        <v>0</v>
      </c>
      <c r="N17" s="119">
        <v>0</v>
      </c>
      <c r="O17" s="118">
        <v>0</v>
      </c>
      <c r="P17" s="119">
        <v>0</v>
      </c>
      <c r="Q17" s="118">
        <v>0</v>
      </c>
      <c r="R17" s="1" t="s">
        <v>371</v>
      </c>
      <c r="S17" s="1" t="s">
        <v>206</v>
      </c>
      <c r="T17" s="1" t="s">
        <v>384</v>
      </c>
      <c r="U17" s="1" t="s">
        <v>197</v>
      </c>
      <c r="V17" s="1" t="s">
        <v>371</v>
      </c>
      <c r="W17" s="1" t="s">
        <v>208</v>
      </c>
      <c r="X17" s="1" t="s">
        <v>206</v>
      </c>
      <c r="Y17" s="1" t="s">
        <v>441</v>
      </c>
      <c r="Z17" s="1" t="s">
        <v>207</v>
      </c>
      <c r="AA17" s="1" t="s">
        <v>206</v>
      </c>
      <c r="AB17" s="1" t="s">
        <v>206</v>
      </c>
      <c r="AC17" s="1" t="s">
        <v>238</v>
      </c>
      <c r="AD17" s="1" t="s">
        <v>1374</v>
      </c>
      <c r="AE17" s="1" t="s">
        <v>1276</v>
      </c>
      <c r="AF17" s="1" t="s">
        <v>208</v>
      </c>
      <c r="AG17" s="1" t="s">
        <v>1992</v>
      </c>
      <c r="AH17" s="1" t="s">
        <v>208</v>
      </c>
      <c r="AI17" s="120" t="s">
        <v>227</v>
      </c>
    </row>
    <row x14ac:dyDescent="0.25" r="18" customHeight="1" ht="17.25">
      <c r="A18" s="1" t="s">
        <v>1341</v>
      </c>
      <c r="B18" s="61">
        <v>42871</v>
      </c>
      <c r="C18" s="1" t="s">
        <v>80</v>
      </c>
      <c r="D18" s="1" t="s">
        <v>38</v>
      </c>
      <c r="E18" s="116" t="s">
        <v>1345</v>
      </c>
      <c r="F18" s="1" t="s">
        <v>161</v>
      </c>
      <c r="G18" s="1" t="s">
        <v>22</v>
      </c>
      <c r="H18" s="61">
        <v>32255</v>
      </c>
      <c r="I18" s="1" t="s">
        <v>176</v>
      </c>
      <c r="J18" s="1" t="s">
        <v>365</v>
      </c>
      <c r="K18" s="1" t="s">
        <v>1343</v>
      </c>
      <c r="L18" s="117" t="s">
        <v>1344</v>
      </c>
      <c r="M18" s="119">
        <v>0</v>
      </c>
      <c r="N18" s="119">
        <v>0</v>
      </c>
      <c r="O18" s="118">
        <v>0</v>
      </c>
      <c r="P18" s="119">
        <v>0</v>
      </c>
      <c r="Q18" s="118">
        <v>0</v>
      </c>
      <c r="R18" s="1" t="s">
        <v>371</v>
      </c>
      <c r="S18" s="1" t="s">
        <v>206</v>
      </c>
      <c r="T18" s="1" t="s">
        <v>384</v>
      </c>
      <c r="U18" s="1" t="s">
        <v>197</v>
      </c>
      <c r="V18" s="1" t="s">
        <v>371</v>
      </c>
      <c r="W18" s="1" t="s">
        <v>208</v>
      </c>
      <c r="X18" s="1" t="s">
        <v>206</v>
      </c>
      <c r="Y18" s="1" t="s">
        <v>441</v>
      </c>
      <c r="Z18" s="1" t="s">
        <v>206</v>
      </c>
      <c r="AA18" s="1" t="s">
        <v>206</v>
      </c>
      <c r="AB18" s="1" t="s">
        <v>206</v>
      </c>
      <c r="AC18" s="1" t="s">
        <v>206</v>
      </c>
      <c r="AD18" s="1" t="s">
        <v>441</v>
      </c>
      <c r="AE18" s="1" t="s">
        <v>1101</v>
      </c>
      <c r="AF18" s="1" t="s">
        <v>208</v>
      </c>
      <c r="AG18" s="1" t="s">
        <v>360</v>
      </c>
      <c r="AH18" s="1" t="s">
        <v>208</v>
      </c>
      <c r="AI18" s="120" t="s">
        <v>227</v>
      </c>
    </row>
    <row x14ac:dyDescent="0.25" r="19" customHeight="1" ht="17.25">
      <c r="A19" s="1" t="s">
        <v>1341</v>
      </c>
      <c r="B19" s="61">
        <v>42871</v>
      </c>
      <c r="C19" s="1" t="s">
        <v>80</v>
      </c>
      <c r="D19" s="1" t="s">
        <v>38</v>
      </c>
      <c r="E19" s="116" t="s">
        <v>1342</v>
      </c>
      <c r="F19" s="1" t="s">
        <v>161</v>
      </c>
      <c r="G19" s="1" t="s">
        <v>22</v>
      </c>
      <c r="H19" s="61">
        <v>34325</v>
      </c>
      <c r="I19" s="1" t="s">
        <v>176</v>
      </c>
      <c r="J19" s="1" t="s">
        <v>464</v>
      </c>
      <c r="K19" s="1" t="s">
        <v>1343</v>
      </c>
      <c r="L19" s="117" t="s">
        <v>1344</v>
      </c>
      <c r="M19" s="119">
        <v>0</v>
      </c>
      <c r="N19" s="119">
        <v>0</v>
      </c>
      <c r="O19" s="118">
        <v>0</v>
      </c>
      <c r="P19" s="119">
        <v>0</v>
      </c>
      <c r="Q19" s="118">
        <v>0</v>
      </c>
      <c r="R19" s="1" t="s">
        <v>371</v>
      </c>
      <c r="S19" s="1" t="s">
        <v>206</v>
      </c>
      <c r="T19" s="1" t="s">
        <v>384</v>
      </c>
      <c r="U19" s="1" t="s">
        <v>197</v>
      </c>
      <c r="V19" s="1" t="s">
        <v>371</v>
      </c>
      <c r="W19" s="1" t="s">
        <v>208</v>
      </c>
      <c r="X19" s="1" t="s">
        <v>206</v>
      </c>
      <c r="Y19" s="1" t="s">
        <v>441</v>
      </c>
      <c r="Z19" s="1" t="s">
        <v>206</v>
      </c>
      <c r="AA19" s="1" t="s">
        <v>206</v>
      </c>
      <c r="AB19" s="1" t="s">
        <v>206</v>
      </c>
      <c r="AC19" s="1" t="s">
        <v>206</v>
      </c>
      <c r="AD19" s="1" t="s">
        <v>441</v>
      </c>
      <c r="AE19" s="1" t="s">
        <v>1101</v>
      </c>
      <c r="AF19" s="1" t="s">
        <v>208</v>
      </c>
      <c r="AG19" s="1" t="s">
        <v>360</v>
      </c>
      <c r="AH19" s="1" t="s">
        <v>208</v>
      </c>
      <c r="AI19" s="120" t="s">
        <v>227</v>
      </c>
    </row>
    <row x14ac:dyDescent="0.25" r="20" customHeight="1" ht="17.25">
      <c r="A20" s="1" t="s">
        <v>1201</v>
      </c>
      <c r="B20" s="61">
        <v>43069</v>
      </c>
      <c r="C20" s="1" t="s">
        <v>89</v>
      </c>
      <c r="D20" s="1" t="s">
        <v>38</v>
      </c>
      <c r="E20" s="116" t="s">
        <v>1202</v>
      </c>
      <c r="F20" s="1" t="s">
        <v>158</v>
      </c>
      <c r="G20" s="1" t="s">
        <v>22</v>
      </c>
      <c r="H20" s="61">
        <v>34118</v>
      </c>
      <c r="I20" s="1" t="s">
        <v>177</v>
      </c>
      <c r="J20" s="1" t="s">
        <v>365</v>
      </c>
      <c r="K20" s="1" t="s">
        <v>1203</v>
      </c>
      <c r="L20" s="117" t="s">
        <v>1204</v>
      </c>
      <c r="M20" s="117" t="s">
        <v>1205</v>
      </c>
      <c r="N20" s="119">
        <v>0</v>
      </c>
      <c r="O20" s="118">
        <v>0</v>
      </c>
      <c r="P20" s="119">
        <v>0</v>
      </c>
      <c r="Q20" s="118">
        <v>0</v>
      </c>
      <c r="R20" s="1" t="s">
        <v>357</v>
      </c>
      <c r="S20" s="1" t="s">
        <v>206</v>
      </c>
      <c r="T20" s="1" t="s">
        <v>1206</v>
      </c>
      <c r="U20" s="1" t="s">
        <v>197</v>
      </c>
      <c r="V20" s="1" t="s">
        <v>357</v>
      </c>
      <c r="W20" s="1" t="s">
        <v>208</v>
      </c>
      <c r="X20" s="1" t="s">
        <v>206</v>
      </c>
      <c r="Y20" s="1" t="s">
        <v>441</v>
      </c>
      <c r="Z20" s="1" t="s">
        <v>206</v>
      </c>
      <c r="AA20" s="1" t="s">
        <v>206</v>
      </c>
      <c r="AB20" s="1" t="s">
        <v>206</v>
      </c>
      <c r="AC20" s="1" t="s">
        <v>237</v>
      </c>
      <c r="AD20" s="1" t="s">
        <v>1101</v>
      </c>
      <c r="AE20" s="1" t="s">
        <v>208</v>
      </c>
      <c r="AF20" s="1" t="s">
        <v>208</v>
      </c>
      <c r="AG20" s="1" t="s">
        <v>1101</v>
      </c>
      <c r="AH20" s="1" t="s">
        <v>35</v>
      </c>
      <c r="AI20" s="1" t="s">
        <v>208</v>
      </c>
    </row>
    <row x14ac:dyDescent="0.25" r="21" customHeight="1" ht="17.25">
      <c r="A21" s="1" t="s">
        <v>1325</v>
      </c>
      <c r="B21" s="61">
        <v>42958</v>
      </c>
      <c r="C21" s="1" t="s">
        <v>89</v>
      </c>
      <c r="D21" s="1" t="s">
        <v>38</v>
      </c>
      <c r="E21" s="116" t="s">
        <v>1329</v>
      </c>
      <c r="F21" s="1" t="s">
        <v>158</v>
      </c>
      <c r="G21" s="1" t="s">
        <v>22</v>
      </c>
      <c r="H21" s="61">
        <v>33993</v>
      </c>
      <c r="I21" s="1" t="s">
        <v>176</v>
      </c>
      <c r="J21" s="1" t="s">
        <v>464</v>
      </c>
      <c r="K21" s="1" t="s">
        <v>1330</v>
      </c>
      <c r="L21" s="117" t="s">
        <v>1331</v>
      </c>
      <c r="M21" s="119">
        <v>0</v>
      </c>
      <c r="N21" s="119">
        <v>0</v>
      </c>
      <c r="O21" s="118">
        <v>0</v>
      </c>
      <c r="P21" s="119">
        <v>0</v>
      </c>
      <c r="Q21" s="118">
        <v>0</v>
      </c>
      <c r="R21" s="1" t="s">
        <v>357</v>
      </c>
      <c r="S21" s="1" t="s">
        <v>206</v>
      </c>
      <c r="T21" s="1" t="s">
        <v>1332</v>
      </c>
      <c r="U21" s="1" t="s">
        <v>198</v>
      </c>
      <c r="V21" s="1" t="s">
        <v>357</v>
      </c>
      <c r="W21" s="1" t="s">
        <v>208</v>
      </c>
      <c r="X21" s="1" t="s">
        <v>206</v>
      </c>
      <c r="Y21" s="1" t="s">
        <v>441</v>
      </c>
      <c r="Z21" s="1" t="s">
        <v>206</v>
      </c>
      <c r="AA21" s="1" t="s">
        <v>206</v>
      </c>
      <c r="AB21" s="1" t="s">
        <v>206</v>
      </c>
      <c r="AC21" s="1" t="s">
        <v>206</v>
      </c>
      <c r="AD21" s="1" t="s">
        <v>441</v>
      </c>
      <c r="AE21" s="1" t="s">
        <v>208</v>
      </c>
      <c r="AF21" s="1" t="s">
        <v>208</v>
      </c>
      <c r="AG21" s="1" t="s">
        <v>441</v>
      </c>
      <c r="AH21" s="1" t="s">
        <v>208</v>
      </c>
      <c r="AI21" s="120" t="s">
        <v>227</v>
      </c>
    </row>
    <row x14ac:dyDescent="0.25" r="22" customHeight="1" ht="17.25">
      <c r="A22" s="1" t="s">
        <v>1325</v>
      </c>
      <c r="B22" s="61">
        <v>42958</v>
      </c>
      <c r="C22" s="1" t="s">
        <v>89</v>
      </c>
      <c r="D22" s="1" t="s">
        <v>38</v>
      </c>
      <c r="E22" s="116" t="s">
        <v>1326</v>
      </c>
      <c r="F22" s="1" t="s">
        <v>158</v>
      </c>
      <c r="G22" s="1" t="s">
        <v>22</v>
      </c>
      <c r="H22" s="61">
        <v>34396</v>
      </c>
      <c r="I22" s="1" t="s">
        <v>176</v>
      </c>
      <c r="J22" s="1" t="s">
        <v>464</v>
      </c>
      <c r="K22" s="1" t="s">
        <v>1327</v>
      </c>
      <c r="L22" s="117" t="s">
        <v>1328</v>
      </c>
      <c r="M22" s="119">
        <v>0</v>
      </c>
      <c r="N22" s="119">
        <v>0</v>
      </c>
      <c r="O22" s="118">
        <v>0</v>
      </c>
      <c r="P22" s="119">
        <v>0</v>
      </c>
      <c r="Q22" s="118">
        <v>0</v>
      </c>
      <c r="R22" s="1" t="s">
        <v>357</v>
      </c>
      <c r="S22" s="1" t="s">
        <v>206</v>
      </c>
      <c r="T22" s="1" t="s">
        <v>555</v>
      </c>
      <c r="U22" s="1" t="s">
        <v>197</v>
      </c>
      <c r="V22" s="1" t="s">
        <v>357</v>
      </c>
      <c r="W22" s="1" t="s">
        <v>208</v>
      </c>
      <c r="X22" s="1" t="s">
        <v>206</v>
      </c>
      <c r="Y22" s="1" t="s">
        <v>441</v>
      </c>
      <c r="Z22" s="1" t="s">
        <v>206</v>
      </c>
      <c r="AA22" s="1" t="s">
        <v>206</v>
      </c>
      <c r="AB22" s="1" t="s">
        <v>206</v>
      </c>
      <c r="AC22" s="1" t="s">
        <v>206</v>
      </c>
      <c r="AD22" s="1" t="s">
        <v>441</v>
      </c>
      <c r="AE22" s="1" t="s">
        <v>208</v>
      </c>
      <c r="AF22" s="1" t="s">
        <v>208</v>
      </c>
      <c r="AG22" s="1" t="s">
        <v>441</v>
      </c>
      <c r="AH22" s="1" t="s">
        <v>208</v>
      </c>
      <c r="AI22" s="120" t="s">
        <v>227</v>
      </c>
    </row>
    <row x14ac:dyDescent="0.25" r="23" customHeight="1" ht="17.25">
      <c r="A23" s="1" t="s">
        <v>2073</v>
      </c>
      <c r="B23" s="61">
        <v>42930</v>
      </c>
      <c r="C23" s="1" t="s">
        <v>89</v>
      </c>
      <c r="D23" s="1" t="s">
        <v>38</v>
      </c>
      <c r="E23" s="116" t="s">
        <v>2074</v>
      </c>
      <c r="F23" s="1" t="s">
        <v>158</v>
      </c>
      <c r="G23" s="1" t="s">
        <v>22</v>
      </c>
      <c r="H23" s="61">
        <v>32988</v>
      </c>
      <c r="I23" s="1" t="s">
        <v>175</v>
      </c>
      <c r="J23" s="1" t="s">
        <v>354</v>
      </c>
      <c r="K23" s="1" t="s">
        <v>2075</v>
      </c>
      <c r="L23" s="119">
        <v>0</v>
      </c>
      <c r="M23" s="119">
        <v>0</v>
      </c>
      <c r="N23" s="117" t="s">
        <v>2076</v>
      </c>
      <c r="O23" s="118">
        <v>0</v>
      </c>
      <c r="P23" s="119">
        <v>0</v>
      </c>
      <c r="Q23" s="118">
        <v>0</v>
      </c>
      <c r="R23" s="1" t="s">
        <v>357</v>
      </c>
      <c r="S23" s="1" t="s">
        <v>206</v>
      </c>
      <c r="T23" s="1" t="s">
        <v>476</v>
      </c>
      <c r="U23" s="1" t="s">
        <v>197</v>
      </c>
      <c r="V23" s="1" t="s">
        <v>357</v>
      </c>
      <c r="W23" s="1" t="s">
        <v>208</v>
      </c>
      <c r="X23" s="120" t="s">
        <v>2043</v>
      </c>
      <c r="Y23" s="1" t="s">
        <v>492</v>
      </c>
      <c r="Z23" s="1" t="s">
        <v>207</v>
      </c>
      <c r="AA23" s="1" t="s">
        <v>206</v>
      </c>
      <c r="AB23" s="1" t="s">
        <v>206</v>
      </c>
      <c r="AC23" s="1" t="s">
        <v>238</v>
      </c>
      <c r="AD23" s="1" t="s">
        <v>2038</v>
      </c>
      <c r="AE23" s="1" t="s">
        <v>208</v>
      </c>
      <c r="AF23" s="1" t="s">
        <v>208</v>
      </c>
      <c r="AG23" s="1" t="s">
        <v>2038</v>
      </c>
      <c r="AH23" s="1" t="s">
        <v>208</v>
      </c>
      <c r="AI23" s="120" t="s">
        <v>227</v>
      </c>
    </row>
    <row x14ac:dyDescent="0.25" r="24" customHeight="1" ht="17.25">
      <c r="A24" s="1" t="s">
        <v>10251</v>
      </c>
      <c r="B24" s="61">
        <v>42934</v>
      </c>
      <c r="C24" s="1" t="s">
        <v>89</v>
      </c>
      <c r="D24" s="1" t="s">
        <v>38</v>
      </c>
      <c r="E24" s="116" t="s">
        <v>2492</v>
      </c>
      <c r="F24" s="1" t="s">
        <v>158</v>
      </c>
      <c r="G24" s="1" t="s">
        <v>22</v>
      </c>
      <c r="H24" s="61">
        <v>34292</v>
      </c>
      <c r="I24" s="1" t="s">
        <v>176</v>
      </c>
      <c r="J24" s="1" t="s">
        <v>615</v>
      </c>
      <c r="K24" s="1" t="s">
        <v>1675</v>
      </c>
      <c r="L24" s="117" t="s">
        <v>2493</v>
      </c>
      <c r="M24" s="117" t="s">
        <v>2494</v>
      </c>
      <c r="N24" s="117" t="s">
        <v>2495</v>
      </c>
      <c r="O24" s="118">
        <v>0</v>
      </c>
      <c r="P24" s="119">
        <v>0</v>
      </c>
      <c r="Q24" s="118">
        <v>0</v>
      </c>
      <c r="R24" s="1" t="s">
        <v>357</v>
      </c>
      <c r="S24" s="1" t="s">
        <v>206</v>
      </c>
      <c r="T24" s="1" t="s">
        <v>358</v>
      </c>
      <c r="U24" s="1" t="s">
        <v>199</v>
      </c>
      <c r="V24" s="1" t="s">
        <v>208</v>
      </c>
      <c r="W24" s="1" t="s">
        <v>208</v>
      </c>
      <c r="X24" s="1" t="s">
        <v>208</v>
      </c>
      <c r="Y24" s="1" t="s">
        <v>208</v>
      </c>
      <c r="Z24" s="1" t="s">
        <v>208</v>
      </c>
      <c r="AA24" s="1" t="s">
        <v>208</v>
      </c>
      <c r="AB24" s="1" t="s">
        <v>208</v>
      </c>
      <c r="AC24" s="1" t="s">
        <v>208</v>
      </c>
      <c r="AD24" s="1" t="s">
        <v>208</v>
      </c>
      <c r="AE24" s="1" t="s">
        <v>208</v>
      </c>
      <c r="AF24" s="1" t="s">
        <v>208</v>
      </c>
      <c r="AG24" s="1" t="s">
        <v>208</v>
      </c>
      <c r="AH24" s="1" t="s">
        <v>208</v>
      </c>
      <c r="AI24" s="1" t="s">
        <v>208</v>
      </c>
    </row>
    <row x14ac:dyDescent="0.25" r="25" customHeight="1" ht="17.25">
      <c r="A25" s="1" t="s">
        <v>2114</v>
      </c>
      <c r="B25" s="61">
        <v>42765</v>
      </c>
      <c r="C25" s="1" t="s">
        <v>89</v>
      </c>
      <c r="D25" s="1" t="s">
        <v>38</v>
      </c>
      <c r="E25" s="116" t="s">
        <v>2115</v>
      </c>
      <c r="F25" s="1" t="s">
        <v>158</v>
      </c>
      <c r="G25" s="1" t="s">
        <v>22</v>
      </c>
      <c r="H25" s="61">
        <v>32782</v>
      </c>
      <c r="I25" s="1" t="s">
        <v>175</v>
      </c>
      <c r="J25" s="1" t="s">
        <v>517</v>
      </c>
      <c r="K25" s="1" t="s">
        <v>2116</v>
      </c>
      <c r="L25" s="117" t="s">
        <v>2117</v>
      </c>
      <c r="M25" s="117" t="s">
        <v>2118</v>
      </c>
      <c r="N25" s="117" t="s">
        <v>2119</v>
      </c>
      <c r="O25" s="118">
        <v>0</v>
      </c>
      <c r="P25" s="119">
        <v>0</v>
      </c>
      <c r="Q25" s="118">
        <v>0</v>
      </c>
      <c r="R25" s="1" t="s">
        <v>357</v>
      </c>
      <c r="S25" s="1" t="s">
        <v>206</v>
      </c>
      <c r="T25" s="1" t="s">
        <v>373</v>
      </c>
      <c r="U25" s="1" t="s">
        <v>197</v>
      </c>
      <c r="V25" s="1" t="s">
        <v>357</v>
      </c>
      <c r="W25" s="1" t="s">
        <v>208</v>
      </c>
      <c r="X25" s="120" t="s">
        <v>2043</v>
      </c>
      <c r="Y25" s="1" t="s">
        <v>492</v>
      </c>
      <c r="Z25" s="1" t="s">
        <v>207</v>
      </c>
      <c r="AA25" s="1" t="s">
        <v>206</v>
      </c>
      <c r="AB25" s="1" t="s">
        <v>206</v>
      </c>
      <c r="AC25" s="1" t="s">
        <v>238</v>
      </c>
      <c r="AD25" s="1" t="s">
        <v>2038</v>
      </c>
      <c r="AE25" s="1" t="s">
        <v>208</v>
      </c>
      <c r="AF25" s="1" t="s">
        <v>208</v>
      </c>
      <c r="AG25" s="1" t="s">
        <v>2038</v>
      </c>
      <c r="AH25" s="1" t="s">
        <v>208</v>
      </c>
      <c r="AI25" s="120" t="s">
        <v>227</v>
      </c>
    </row>
    <row x14ac:dyDescent="0.25" r="26" customHeight="1" ht="17.25">
      <c r="A26" s="1" t="s">
        <v>1481</v>
      </c>
      <c r="B26" s="61">
        <v>43069</v>
      </c>
      <c r="C26" s="1" t="s">
        <v>89</v>
      </c>
      <c r="D26" s="1" t="s">
        <v>38</v>
      </c>
      <c r="E26" s="116" t="s">
        <v>1482</v>
      </c>
      <c r="F26" s="1" t="s">
        <v>158</v>
      </c>
      <c r="G26" s="1" t="s">
        <v>22</v>
      </c>
      <c r="H26" s="61">
        <v>35694</v>
      </c>
      <c r="I26" s="1" t="s">
        <v>176</v>
      </c>
      <c r="J26" s="1" t="s">
        <v>365</v>
      </c>
      <c r="K26" s="1" t="s">
        <v>1483</v>
      </c>
      <c r="L26" s="117" t="s">
        <v>1484</v>
      </c>
      <c r="M26" s="117" t="s">
        <v>1485</v>
      </c>
      <c r="N26" s="119">
        <v>0</v>
      </c>
      <c r="O26" s="118">
        <v>0</v>
      </c>
      <c r="P26" s="119">
        <v>0</v>
      </c>
      <c r="Q26" s="118">
        <v>0</v>
      </c>
      <c r="R26" s="1" t="s">
        <v>357</v>
      </c>
      <c r="S26" s="1" t="s">
        <v>206</v>
      </c>
      <c r="T26" s="1" t="s">
        <v>476</v>
      </c>
      <c r="U26" s="1" t="s">
        <v>197</v>
      </c>
      <c r="V26" s="1" t="s">
        <v>357</v>
      </c>
      <c r="W26" s="1" t="s">
        <v>208</v>
      </c>
      <c r="X26" s="1" t="s">
        <v>206</v>
      </c>
      <c r="Y26" s="1" t="s">
        <v>441</v>
      </c>
      <c r="Z26" s="1" t="s">
        <v>206</v>
      </c>
      <c r="AA26" s="1" t="s">
        <v>206</v>
      </c>
      <c r="AB26" s="1" t="s">
        <v>206</v>
      </c>
      <c r="AC26" s="1" t="s">
        <v>206</v>
      </c>
      <c r="AD26" s="1" t="s">
        <v>441</v>
      </c>
      <c r="AE26" s="1" t="s">
        <v>208</v>
      </c>
      <c r="AF26" s="1" t="s">
        <v>208</v>
      </c>
      <c r="AG26" s="1" t="s">
        <v>441</v>
      </c>
      <c r="AH26" s="1" t="s">
        <v>208</v>
      </c>
      <c r="AI26" s="120" t="s">
        <v>227</v>
      </c>
    </row>
    <row x14ac:dyDescent="0.25" r="27" customHeight="1" ht="17.25">
      <c r="A27" s="1" t="s">
        <v>2323</v>
      </c>
      <c r="B27" s="61">
        <v>42807</v>
      </c>
      <c r="C27" s="1" t="s">
        <v>89</v>
      </c>
      <c r="D27" s="1" t="s">
        <v>38</v>
      </c>
      <c r="E27" s="116" t="s">
        <v>2324</v>
      </c>
      <c r="F27" s="1" t="s">
        <v>158</v>
      </c>
      <c r="G27" s="1" t="s">
        <v>22</v>
      </c>
      <c r="H27" s="61">
        <v>30612</v>
      </c>
      <c r="I27" s="1" t="s">
        <v>176</v>
      </c>
      <c r="J27" s="1" t="s">
        <v>517</v>
      </c>
      <c r="K27" s="1" t="s">
        <v>2325</v>
      </c>
      <c r="L27" s="119">
        <v>0</v>
      </c>
      <c r="M27" s="117" t="s">
        <v>2326</v>
      </c>
      <c r="N27" s="119">
        <v>0</v>
      </c>
      <c r="O27" s="118">
        <v>0</v>
      </c>
      <c r="P27" s="119">
        <v>0</v>
      </c>
      <c r="Q27" s="118">
        <v>0</v>
      </c>
      <c r="R27" s="1" t="s">
        <v>371</v>
      </c>
      <c r="S27" s="1" t="s">
        <v>206</v>
      </c>
      <c r="T27" s="1" t="s">
        <v>358</v>
      </c>
      <c r="U27" s="1" t="s">
        <v>199</v>
      </c>
      <c r="V27" s="1" t="s">
        <v>208</v>
      </c>
      <c r="W27" s="1" t="s">
        <v>208</v>
      </c>
      <c r="X27" s="1" t="s">
        <v>208</v>
      </c>
      <c r="Y27" s="1" t="s">
        <v>208</v>
      </c>
      <c r="Z27" s="1" t="s">
        <v>208</v>
      </c>
      <c r="AA27" s="1" t="s">
        <v>208</v>
      </c>
      <c r="AB27" s="1" t="s">
        <v>208</v>
      </c>
      <c r="AC27" s="1" t="s">
        <v>208</v>
      </c>
      <c r="AD27" s="1" t="s">
        <v>208</v>
      </c>
      <c r="AE27" s="1" t="s">
        <v>208</v>
      </c>
      <c r="AF27" s="1" t="s">
        <v>208</v>
      </c>
      <c r="AG27" s="1" t="s">
        <v>208</v>
      </c>
      <c r="AH27" s="1" t="s">
        <v>208</v>
      </c>
      <c r="AI27" s="1" t="s">
        <v>208</v>
      </c>
    </row>
    <row x14ac:dyDescent="0.25" r="28" customHeight="1" ht="17.25">
      <c r="A28" s="1" t="s">
        <v>1397</v>
      </c>
      <c r="B28" s="61" t="s">
        <v>714</v>
      </c>
      <c r="C28" s="1" t="s">
        <v>117</v>
      </c>
      <c r="D28" s="1" t="s">
        <v>47</v>
      </c>
      <c r="E28" s="116" t="s">
        <v>1398</v>
      </c>
      <c r="F28" s="1" t="s">
        <v>163</v>
      </c>
      <c r="G28" s="1" t="s">
        <v>22</v>
      </c>
      <c r="H28" s="61">
        <v>34329</v>
      </c>
      <c r="I28" s="1" t="s">
        <v>175</v>
      </c>
      <c r="J28" s="1" t="s">
        <v>354</v>
      </c>
      <c r="K28" s="1" t="s">
        <v>1399</v>
      </c>
      <c r="L28" s="117" t="s">
        <v>1400</v>
      </c>
      <c r="M28" s="117" t="s">
        <v>1401</v>
      </c>
      <c r="N28" s="119">
        <v>0</v>
      </c>
      <c r="O28" s="118">
        <v>0</v>
      </c>
      <c r="P28" s="119">
        <v>0</v>
      </c>
      <c r="Q28" s="118">
        <v>0</v>
      </c>
      <c r="R28" s="1" t="s">
        <v>357</v>
      </c>
      <c r="S28" s="1" t="s">
        <v>206</v>
      </c>
      <c r="T28" s="1" t="s">
        <v>520</v>
      </c>
      <c r="U28" s="1" t="s">
        <v>197</v>
      </c>
      <c r="V28" s="1" t="s">
        <v>357</v>
      </c>
      <c r="W28" s="1" t="s">
        <v>208</v>
      </c>
      <c r="X28" s="1" t="s">
        <v>206</v>
      </c>
      <c r="Y28" s="1" t="s">
        <v>441</v>
      </c>
      <c r="Z28" s="1" t="s">
        <v>206</v>
      </c>
      <c r="AA28" s="1" t="s">
        <v>206</v>
      </c>
      <c r="AB28" s="1" t="s">
        <v>206</v>
      </c>
      <c r="AC28" s="1" t="s">
        <v>206</v>
      </c>
      <c r="AD28" s="1" t="s">
        <v>441</v>
      </c>
      <c r="AE28" s="1" t="s">
        <v>208</v>
      </c>
      <c r="AF28" s="1" t="s">
        <v>208</v>
      </c>
      <c r="AG28" s="1" t="s">
        <v>441</v>
      </c>
      <c r="AH28" s="1" t="s">
        <v>208</v>
      </c>
      <c r="AI28" s="120" t="s">
        <v>227</v>
      </c>
    </row>
    <row x14ac:dyDescent="0.25" r="29" customHeight="1" ht="17.25">
      <c r="A29" s="1" t="s">
        <v>1152</v>
      </c>
      <c r="B29" s="61" t="s">
        <v>1153</v>
      </c>
      <c r="C29" s="1" t="s">
        <v>117</v>
      </c>
      <c r="D29" s="1" t="s">
        <v>47</v>
      </c>
      <c r="E29" s="116" t="s">
        <v>1154</v>
      </c>
      <c r="F29" s="1" t="s">
        <v>158</v>
      </c>
      <c r="G29" s="1" t="s">
        <v>22</v>
      </c>
      <c r="H29" s="61">
        <v>35234</v>
      </c>
      <c r="I29" s="1" t="s">
        <v>175</v>
      </c>
      <c r="J29" s="1" t="s">
        <v>365</v>
      </c>
      <c r="K29" s="1" t="s">
        <v>1155</v>
      </c>
      <c r="L29" s="119">
        <v>0</v>
      </c>
      <c r="M29" s="117" t="s">
        <v>1156</v>
      </c>
      <c r="N29" s="117" t="s">
        <v>1157</v>
      </c>
      <c r="O29" s="118">
        <v>0</v>
      </c>
      <c r="P29" s="119">
        <v>0</v>
      </c>
      <c r="Q29" s="118">
        <v>0</v>
      </c>
      <c r="R29" s="1" t="s">
        <v>357</v>
      </c>
      <c r="S29" s="1" t="s">
        <v>206</v>
      </c>
      <c r="T29" s="1" t="s">
        <v>968</v>
      </c>
      <c r="U29" s="1" t="s">
        <v>197</v>
      </c>
      <c r="V29" s="1" t="s">
        <v>357</v>
      </c>
      <c r="W29" s="1" t="s">
        <v>208</v>
      </c>
      <c r="X29" s="1" t="s">
        <v>206</v>
      </c>
      <c r="Y29" s="1" t="s">
        <v>441</v>
      </c>
      <c r="Z29" s="1" t="s">
        <v>206</v>
      </c>
      <c r="AA29" s="1" t="s">
        <v>206</v>
      </c>
      <c r="AB29" s="1" t="s">
        <v>206</v>
      </c>
      <c r="AC29" s="1" t="s">
        <v>237</v>
      </c>
      <c r="AD29" s="1" t="s">
        <v>1052</v>
      </c>
      <c r="AE29" s="1" t="s">
        <v>208</v>
      </c>
      <c r="AF29" s="1" t="s">
        <v>208</v>
      </c>
      <c r="AG29" s="1" t="s">
        <v>1052</v>
      </c>
      <c r="AH29" s="1" t="s">
        <v>206</v>
      </c>
      <c r="AI29" s="120" t="s">
        <v>227</v>
      </c>
    </row>
    <row x14ac:dyDescent="0.25" r="30" customHeight="1" ht="17.25">
      <c r="A30" s="1" t="s">
        <v>2183</v>
      </c>
      <c r="B30" s="61" t="s">
        <v>2184</v>
      </c>
      <c r="C30" s="1" t="s">
        <v>111</v>
      </c>
      <c r="D30" s="1" t="s">
        <v>47</v>
      </c>
      <c r="E30" s="116" t="s">
        <v>2185</v>
      </c>
      <c r="F30" s="1" t="s">
        <v>158</v>
      </c>
      <c r="G30" s="1" t="s">
        <v>22</v>
      </c>
      <c r="H30" s="61">
        <v>32339</v>
      </c>
      <c r="I30" s="1" t="s">
        <v>175</v>
      </c>
      <c r="J30" s="1" t="s">
        <v>464</v>
      </c>
      <c r="K30" s="1" t="s">
        <v>2186</v>
      </c>
      <c r="L30" s="117" t="s">
        <v>2187</v>
      </c>
      <c r="M30" s="119">
        <v>0</v>
      </c>
      <c r="N30" s="119">
        <v>0</v>
      </c>
      <c r="O30" s="118">
        <v>0</v>
      </c>
      <c r="P30" s="119">
        <v>0</v>
      </c>
      <c r="Q30" s="118">
        <v>0</v>
      </c>
      <c r="R30" s="1" t="s">
        <v>357</v>
      </c>
      <c r="S30" s="1" t="s">
        <v>206</v>
      </c>
      <c r="T30" s="1" t="s">
        <v>1108</v>
      </c>
      <c r="U30" s="1" t="s">
        <v>197</v>
      </c>
      <c r="V30" s="1" t="s">
        <v>357</v>
      </c>
      <c r="W30" s="1" t="s">
        <v>208</v>
      </c>
      <c r="X30" s="1" t="s">
        <v>406</v>
      </c>
      <c r="Y30" s="1" t="s">
        <v>2188</v>
      </c>
      <c r="Z30" s="1" t="s">
        <v>207</v>
      </c>
      <c r="AA30" s="1" t="s">
        <v>28</v>
      </c>
      <c r="AB30" s="1" t="s">
        <v>206</v>
      </c>
      <c r="AC30" s="1" t="s">
        <v>206</v>
      </c>
      <c r="AD30" s="1" t="s">
        <v>2188</v>
      </c>
      <c r="AE30" s="1" t="s">
        <v>208</v>
      </c>
      <c r="AF30" s="1" t="s">
        <v>208</v>
      </c>
      <c r="AG30" s="1" t="s">
        <v>2188</v>
      </c>
      <c r="AH30" s="1" t="s">
        <v>208</v>
      </c>
      <c r="AI30" s="120" t="s">
        <v>227</v>
      </c>
    </row>
    <row x14ac:dyDescent="0.25" r="31" customHeight="1" ht="17.25">
      <c r="A31" s="1" t="s">
        <v>2183</v>
      </c>
      <c r="B31" s="61" t="s">
        <v>2184</v>
      </c>
      <c r="C31" s="1" t="s">
        <v>111</v>
      </c>
      <c r="D31" s="1" t="s">
        <v>47</v>
      </c>
      <c r="E31" s="116" t="s">
        <v>2189</v>
      </c>
      <c r="F31" s="1" t="s">
        <v>158</v>
      </c>
      <c r="G31" s="1" t="s">
        <v>22</v>
      </c>
      <c r="H31" s="61">
        <v>31328</v>
      </c>
      <c r="I31" s="1" t="s">
        <v>175</v>
      </c>
      <c r="J31" s="1" t="s">
        <v>615</v>
      </c>
      <c r="K31" s="1" t="s">
        <v>2186</v>
      </c>
      <c r="L31" s="117" t="s">
        <v>2187</v>
      </c>
      <c r="M31" s="119">
        <v>0</v>
      </c>
      <c r="N31" s="119">
        <v>0</v>
      </c>
      <c r="O31" s="118">
        <v>0</v>
      </c>
      <c r="P31" s="119">
        <v>0</v>
      </c>
      <c r="Q31" s="118">
        <v>0</v>
      </c>
      <c r="R31" s="1" t="s">
        <v>357</v>
      </c>
      <c r="S31" s="1" t="s">
        <v>206</v>
      </c>
      <c r="T31" s="1" t="s">
        <v>358</v>
      </c>
      <c r="U31" s="1" t="s">
        <v>197</v>
      </c>
      <c r="V31" s="1" t="s">
        <v>357</v>
      </c>
      <c r="W31" s="1" t="s">
        <v>208</v>
      </c>
      <c r="X31" s="1" t="s">
        <v>406</v>
      </c>
      <c r="Y31" s="1" t="s">
        <v>2188</v>
      </c>
      <c r="Z31" s="1" t="s">
        <v>206</v>
      </c>
      <c r="AA31" s="1" t="s">
        <v>206</v>
      </c>
      <c r="AB31" s="1" t="s">
        <v>206</v>
      </c>
      <c r="AC31" s="1" t="s">
        <v>206</v>
      </c>
      <c r="AD31" s="1" t="s">
        <v>2188</v>
      </c>
      <c r="AE31" s="1" t="s">
        <v>208</v>
      </c>
      <c r="AF31" s="1" t="s">
        <v>208</v>
      </c>
      <c r="AG31" s="1" t="s">
        <v>2188</v>
      </c>
      <c r="AH31" s="1" t="s">
        <v>208</v>
      </c>
      <c r="AI31" s="120" t="s">
        <v>227</v>
      </c>
    </row>
    <row x14ac:dyDescent="0.25" r="32" customHeight="1" ht="17.25">
      <c r="A32" s="1" t="s">
        <v>1588</v>
      </c>
      <c r="B32" s="61" t="s">
        <v>1589</v>
      </c>
      <c r="C32" s="1" t="s">
        <v>149</v>
      </c>
      <c r="D32" s="1" t="s">
        <v>47</v>
      </c>
      <c r="E32" s="116" t="s">
        <v>1590</v>
      </c>
      <c r="F32" s="1" t="s">
        <v>159</v>
      </c>
      <c r="G32" s="1" t="s">
        <v>22</v>
      </c>
      <c r="H32" s="61">
        <v>30801</v>
      </c>
      <c r="I32" s="1" t="s">
        <v>175</v>
      </c>
      <c r="J32" s="1" t="s">
        <v>365</v>
      </c>
      <c r="K32" s="1" t="s">
        <v>1591</v>
      </c>
      <c r="L32" s="117" t="s">
        <v>1592</v>
      </c>
      <c r="M32" s="117" t="s">
        <v>1593</v>
      </c>
      <c r="N32" s="117" t="s">
        <v>1594</v>
      </c>
      <c r="O32" s="118">
        <v>0</v>
      </c>
      <c r="P32" s="119">
        <v>0</v>
      </c>
      <c r="Q32" s="118">
        <v>0</v>
      </c>
      <c r="R32" s="1" t="s">
        <v>357</v>
      </c>
      <c r="S32" s="1" t="s">
        <v>206</v>
      </c>
      <c r="T32" s="1" t="s">
        <v>1579</v>
      </c>
      <c r="U32" s="1" t="s">
        <v>197</v>
      </c>
      <c r="V32" s="1" t="s">
        <v>357</v>
      </c>
      <c r="W32" s="1" t="s">
        <v>208</v>
      </c>
      <c r="X32" s="1" t="s">
        <v>620</v>
      </c>
      <c r="Y32" s="1" t="s">
        <v>492</v>
      </c>
      <c r="Z32" s="1" t="s">
        <v>206</v>
      </c>
      <c r="AA32" s="1" t="s">
        <v>28</v>
      </c>
      <c r="AB32" s="1" t="s">
        <v>206</v>
      </c>
      <c r="AC32" s="1" t="s">
        <v>206</v>
      </c>
      <c r="AD32" s="1" t="s">
        <v>441</v>
      </c>
      <c r="AE32" s="1" t="s">
        <v>208</v>
      </c>
      <c r="AF32" s="1" t="s">
        <v>208</v>
      </c>
      <c r="AG32" s="1" t="s">
        <v>441</v>
      </c>
      <c r="AH32" s="1" t="s">
        <v>208</v>
      </c>
      <c r="AI32" s="120" t="s">
        <v>227</v>
      </c>
    </row>
    <row x14ac:dyDescent="0.25" r="33" customHeight="1" ht="17.25">
      <c r="A33" s="1" t="s">
        <v>1573</v>
      </c>
      <c r="B33" s="61" t="s">
        <v>409</v>
      </c>
      <c r="C33" s="1" t="s">
        <v>111</v>
      </c>
      <c r="D33" s="1" t="s">
        <v>47</v>
      </c>
      <c r="E33" s="116" t="s">
        <v>1574</v>
      </c>
      <c r="F33" s="1" t="s">
        <v>158</v>
      </c>
      <c r="G33" s="1" t="s">
        <v>22</v>
      </c>
      <c r="H33" s="61">
        <v>31129</v>
      </c>
      <c r="I33" s="1" t="s">
        <v>175</v>
      </c>
      <c r="J33" s="1" t="s">
        <v>354</v>
      </c>
      <c r="K33" s="1" t="s">
        <v>1575</v>
      </c>
      <c r="L33" s="117" t="s">
        <v>1576</v>
      </c>
      <c r="M33" s="119">
        <v>0</v>
      </c>
      <c r="N33" s="117" t="s">
        <v>1577</v>
      </c>
      <c r="O33" s="118">
        <v>0</v>
      </c>
      <c r="P33" s="119">
        <v>0</v>
      </c>
      <c r="Q33" s="118">
        <v>0</v>
      </c>
      <c r="R33" s="1" t="s">
        <v>357</v>
      </c>
      <c r="S33" s="1" t="s">
        <v>206</v>
      </c>
      <c r="T33" s="1" t="s">
        <v>405</v>
      </c>
      <c r="U33" s="1" t="s">
        <v>197</v>
      </c>
      <c r="V33" s="1" t="s">
        <v>357</v>
      </c>
      <c r="W33" s="1" t="s">
        <v>208</v>
      </c>
      <c r="X33" s="1" t="s">
        <v>206</v>
      </c>
      <c r="Y33" s="1" t="s">
        <v>441</v>
      </c>
      <c r="Z33" s="1" t="s">
        <v>206</v>
      </c>
      <c r="AA33" s="1" t="s">
        <v>206</v>
      </c>
      <c r="AB33" s="1" t="s">
        <v>206</v>
      </c>
      <c r="AC33" s="1" t="s">
        <v>206</v>
      </c>
      <c r="AD33" s="1" t="s">
        <v>441</v>
      </c>
      <c r="AE33" s="1" t="s">
        <v>208</v>
      </c>
      <c r="AF33" s="1" t="s">
        <v>208</v>
      </c>
      <c r="AG33" s="1" t="s">
        <v>441</v>
      </c>
      <c r="AH33" s="1" t="s">
        <v>208</v>
      </c>
      <c r="AI33" s="120" t="s">
        <v>227</v>
      </c>
    </row>
    <row x14ac:dyDescent="0.25" r="34" customHeight="1" ht="17.25">
      <c r="A34" s="1" t="s">
        <v>1380</v>
      </c>
      <c r="B34" s="61" t="s">
        <v>505</v>
      </c>
      <c r="C34" s="1" t="s">
        <v>117</v>
      </c>
      <c r="D34" s="1" t="s">
        <v>47</v>
      </c>
      <c r="E34" s="116" t="s">
        <v>1381</v>
      </c>
      <c r="F34" s="1" t="s">
        <v>158</v>
      </c>
      <c r="G34" s="1" t="s">
        <v>22</v>
      </c>
      <c r="H34" s="61">
        <v>35499</v>
      </c>
      <c r="I34" s="1" t="s">
        <v>176</v>
      </c>
      <c r="J34" s="1" t="s">
        <v>354</v>
      </c>
      <c r="K34" s="1" t="s">
        <v>1382</v>
      </c>
      <c r="L34" s="117" t="s">
        <v>1383</v>
      </c>
      <c r="M34" s="117" t="s">
        <v>1384</v>
      </c>
      <c r="N34" s="119">
        <v>0</v>
      </c>
      <c r="O34" s="118">
        <v>0</v>
      </c>
      <c r="P34" s="119">
        <v>0</v>
      </c>
      <c r="Q34" s="121" t="s">
        <v>1385</v>
      </c>
      <c r="R34" s="1" t="s">
        <v>357</v>
      </c>
      <c r="S34" s="1" t="s">
        <v>206</v>
      </c>
      <c r="T34" s="1" t="s">
        <v>1108</v>
      </c>
      <c r="U34" s="1" t="s">
        <v>197</v>
      </c>
      <c r="V34" s="1" t="s">
        <v>357</v>
      </c>
      <c r="W34" s="1" t="s">
        <v>208</v>
      </c>
      <c r="X34" s="1" t="s">
        <v>206</v>
      </c>
      <c r="Y34" s="1" t="s">
        <v>441</v>
      </c>
      <c r="Z34" s="1" t="s">
        <v>206</v>
      </c>
      <c r="AA34" s="1" t="s">
        <v>206</v>
      </c>
      <c r="AB34" s="1" t="s">
        <v>206</v>
      </c>
      <c r="AC34" s="1" t="s">
        <v>206</v>
      </c>
      <c r="AD34" s="1" t="s">
        <v>441</v>
      </c>
      <c r="AE34" s="1" t="s">
        <v>208</v>
      </c>
      <c r="AF34" s="1" t="s">
        <v>208</v>
      </c>
      <c r="AG34" s="1" t="s">
        <v>441</v>
      </c>
      <c r="AH34" s="1" t="s">
        <v>208</v>
      </c>
      <c r="AI34" s="120" t="s">
        <v>227</v>
      </c>
    </row>
    <row x14ac:dyDescent="0.25" r="35" customHeight="1" ht="17.25">
      <c r="A35" s="1" t="s">
        <v>1027</v>
      </c>
      <c r="B35" s="61" t="s">
        <v>817</v>
      </c>
      <c r="C35" s="1" t="s">
        <v>111</v>
      </c>
      <c r="D35" s="1" t="s">
        <v>47</v>
      </c>
      <c r="E35" s="116" t="s">
        <v>1028</v>
      </c>
      <c r="F35" s="1" t="s">
        <v>158</v>
      </c>
      <c r="G35" s="1" t="s">
        <v>170</v>
      </c>
      <c r="H35" s="61">
        <v>35584</v>
      </c>
      <c r="I35" s="1" t="s">
        <v>175</v>
      </c>
      <c r="J35" s="1" t="s">
        <v>365</v>
      </c>
      <c r="K35" s="1" t="s">
        <v>1029</v>
      </c>
      <c r="L35" s="117" t="s">
        <v>1030</v>
      </c>
      <c r="M35" s="117" t="s">
        <v>1031</v>
      </c>
      <c r="N35" s="119">
        <v>0</v>
      </c>
      <c r="O35" s="118">
        <v>0</v>
      </c>
      <c r="P35" s="119">
        <v>0</v>
      </c>
      <c r="Q35" s="118">
        <v>0</v>
      </c>
      <c r="R35" s="1" t="s">
        <v>357</v>
      </c>
      <c r="S35" s="1" t="s">
        <v>206</v>
      </c>
      <c r="T35" s="1" t="s">
        <v>1032</v>
      </c>
      <c r="U35" s="1" t="s">
        <v>197</v>
      </c>
      <c r="V35" s="1" t="s">
        <v>357</v>
      </c>
      <c r="W35" s="1" t="s">
        <v>208</v>
      </c>
      <c r="X35" s="1" t="s">
        <v>206</v>
      </c>
      <c r="Y35" s="1" t="s">
        <v>441</v>
      </c>
      <c r="Z35" s="1" t="s">
        <v>206</v>
      </c>
      <c r="AA35" s="1" t="s">
        <v>206</v>
      </c>
      <c r="AB35" s="1" t="s">
        <v>30</v>
      </c>
      <c r="AC35" s="1" t="s">
        <v>237</v>
      </c>
      <c r="AD35" s="1" t="s">
        <v>1026</v>
      </c>
      <c r="AE35" s="1" t="s">
        <v>208</v>
      </c>
      <c r="AF35" s="1" t="s">
        <v>208</v>
      </c>
      <c r="AG35" s="1" t="s">
        <v>1026</v>
      </c>
      <c r="AH35" s="1" t="s">
        <v>206</v>
      </c>
      <c r="AI35" s="120" t="s">
        <v>227</v>
      </c>
    </row>
    <row x14ac:dyDescent="0.25" r="36" customHeight="1" ht="17.25">
      <c r="A36" s="1" t="s">
        <v>1753</v>
      </c>
      <c r="B36" s="61" t="s">
        <v>740</v>
      </c>
      <c r="C36" s="1" t="s">
        <v>111</v>
      </c>
      <c r="D36" s="1" t="s">
        <v>47</v>
      </c>
      <c r="E36" s="116" t="s">
        <v>1754</v>
      </c>
      <c r="F36" s="1" t="s">
        <v>158</v>
      </c>
      <c r="G36" s="1" t="s">
        <v>22</v>
      </c>
      <c r="H36" s="61">
        <v>29927</v>
      </c>
      <c r="I36" s="1" t="s">
        <v>175</v>
      </c>
      <c r="J36" s="1" t="s">
        <v>365</v>
      </c>
      <c r="K36" s="1" t="s">
        <v>1755</v>
      </c>
      <c r="L36" s="119">
        <v>0</v>
      </c>
      <c r="M36" s="117" t="s">
        <v>1756</v>
      </c>
      <c r="N36" s="119">
        <v>0</v>
      </c>
      <c r="O36" s="118">
        <v>0</v>
      </c>
      <c r="P36" s="119">
        <v>0</v>
      </c>
      <c r="Q36" s="118">
        <v>0</v>
      </c>
      <c r="R36" s="1" t="s">
        <v>357</v>
      </c>
      <c r="S36" s="1" t="s">
        <v>206</v>
      </c>
      <c r="T36" s="1" t="s">
        <v>358</v>
      </c>
      <c r="U36" s="1" t="s">
        <v>197</v>
      </c>
      <c r="V36" s="1" t="s">
        <v>357</v>
      </c>
      <c r="W36" s="1" t="s">
        <v>208</v>
      </c>
      <c r="X36" s="1" t="s">
        <v>206</v>
      </c>
      <c r="Y36" s="1" t="s">
        <v>441</v>
      </c>
      <c r="Z36" s="1" t="s">
        <v>207</v>
      </c>
      <c r="AA36" s="1" t="s">
        <v>206</v>
      </c>
      <c r="AB36" s="1" t="s">
        <v>206</v>
      </c>
      <c r="AC36" s="1" t="s">
        <v>238</v>
      </c>
      <c r="AD36" s="1" t="s">
        <v>492</v>
      </c>
      <c r="AE36" s="1" t="s">
        <v>208</v>
      </c>
      <c r="AF36" s="1" t="s">
        <v>208</v>
      </c>
      <c r="AG36" s="1" t="s">
        <v>492</v>
      </c>
      <c r="AH36" s="1" t="s">
        <v>208</v>
      </c>
      <c r="AI36" s="120" t="s">
        <v>227</v>
      </c>
    </row>
    <row x14ac:dyDescent="0.25" r="37" customHeight="1" ht="17.25">
      <c r="A37" s="1" t="s">
        <v>1033</v>
      </c>
      <c r="B37" s="61" t="s">
        <v>1034</v>
      </c>
      <c r="C37" s="1" t="s">
        <v>117</v>
      </c>
      <c r="D37" s="1" t="s">
        <v>47</v>
      </c>
      <c r="E37" s="116" t="s">
        <v>1035</v>
      </c>
      <c r="F37" s="1" t="s">
        <v>158</v>
      </c>
      <c r="G37" s="1" t="s">
        <v>170</v>
      </c>
      <c r="H37" s="61">
        <v>35336</v>
      </c>
      <c r="I37" s="1" t="s">
        <v>175</v>
      </c>
      <c r="J37" s="1" t="s">
        <v>365</v>
      </c>
      <c r="K37" s="1" t="s">
        <v>1036</v>
      </c>
      <c r="L37" s="119">
        <v>0</v>
      </c>
      <c r="M37" s="117" t="s">
        <v>1037</v>
      </c>
      <c r="N37" s="119">
        <v>0</v>
      </c>
      <c r="O37" s="118">
        <v>0</v>
      </c>
      <c r="P37" s="119">
        <v>0</v>
      </c>
      <c r="Q37" s="118">
        <v>0</v>
      </c>
      <c r="R37" s="1" t="s">
        <v>357</v>
      </c>
      <c r="S37" s="1" t="s">
        <v>206</v>
      </c>
      <c r="T37" s="1" t="s">
        <v>28</v>
      </c>
      <c r="U37" s="1" t="s">
        <v>197</v>
      </c>
      <c r="V37" s="1" t="s">
        <v>357</v>
      </c>
      <c r="W37" s="1" t="s">
        <v>208</v>
      </c>
      <c r="X37" s="1" t="s">
        <v>206</v>
      </c>
      <c r="Y37" s="1" t="s">
        <v>441</v>
      </c>
      <c r="Z37" s="1" t="s">
        <v>206</v>
      </c>
      <c r="AA37" s="1" t="s">
        <v>206</v>
      </c>
      <c r="AB37" s="1" t="s">
        <v>30</v>
      </c>
      <c r="AC37" s="1" t="s">
        <v>237</v>
      </c>
      <c r="AD37" s="1" t="s">
        <v>1026</v>
      </c>
      <c r="AE37" s="1" t="s">
        <v>208</v>
      </c>
      <c r="AF37" s="1" t="s">
        <v>208</v>
      </c>
      <c r="AG37" s="1" t="s">
        <v>1026</v>
      </c>
      <c r="AH37" s="1" t="s">
        <v>35</v>
      </c>
      <c r="AI37" s="1" t="s">
        <v>208</v>
      </c>
    </row>
    <row x14ac:dyDescent="0.25" r="38" customHeight="1" ht="17.25">
      <c r="A38" s="1" t="s">
        <v>2077</v>
      </c>
      <c r="B38" s="61" t="s">
        <v>2078</v>
      </c>
      <c r="C38" s="1" t="s">
        <v>117</v>
      </c>
      <c r="D38" s="1" t="s">
        <v>47</v>
      </c>
      <c r="E38" s="116" t="s">
        <v>2079</v>
      </c>
      <c r="F38" s="1" t="s">
        <v>158</v>
      </c>
      <c r="G38" s="1" t="s">
        <v>22</v>
      </c>
      <c r="H38" s="61">
        <v>29819</v>
      </c>
      <c r="I38" s="1" t="s">
        <v>175</v>
      </c>
      <c r="J38" s="1" t="s">
        <v>354</v>
      </c>
      <c r="K38" s="1" t="s">
        <v>2080</v>
      </c>
      <c r="L38" s="119">
        <v>0</v>
      </c>
      <c r="M38" s="117" t="s">
        <v>2081</v>
      </c>
      <c r="N38" s="117" t="s">
        <v>2082</v>
      </c>
      <c r="O38" s="118">
        <v>0</v>
      </c>
      <c r="P38" s="119">
        <v>0</v>
      </c>
      <c r="Q38" s="118">
        <v>0</v>
      </c>
      <c r="R38" s="1" t="s">
        <v>357</v>
      </c>
      <c r="S38" s="1" t="s">
        <v>206</v>
      </c>
      <c r="T38" s="1" t="s">
        <v>1166</v>
      </c>
      <c r="U38" s="1" t="s">
        <v>197</v>
      </c>
      <c r="V38" s="1" t="s">
        <v>357</v>
      </c>
      <c r="W38" s="1" t="s">
        <v>208</v>
      </c>
      <c r="X38" s="1" t="s">
        <v>2083</v>
      </c>
      <c r="Y38" s="1" t="s">
        <v>492</v>
      </c>
      <c r="Z38" s="1" t="s">
        <v>207</v>
      </c>
      <c r="AA38" s="1" t="s">
        <v>206</v>
      </c>
      <c r="AB38" s="1" t="s">
        <v>206</v>
      </c>
      <c r="AC38" s="1" t="s">
        <v>238</v>
      </c>
      <c r="AD38" s="1" t="s">
        <v>2038</v>
      </c>
      <c r="AE38" s="1" t="s">
        <v>208</v>
      </c>
      <c r="AF38" s="1" t="s">
        <v>208</v>
      </c>
      <c r="AG38" s="1" t="s">
        <v>2038</v>
      </c>
      <c r="AH38" s="1" t="s">
        <v>208</v>
      </c>
      <c r="AI38" s="120" t="s">
        <v>227</v>
      </c>
    </row>
    <row x14ac:dyDescent="0.25" r="39" customHeight="1" ht="17.25">
      <c r="A39" s="1" t="s">
        <v>2413</v>
      </c>
      <c r="B39" s="61" t="s">
        <v>714</v>
      </c>
      <c r="C39" s="1" t="s">
        <v>93</v>
      </c>
      <c r="D39" s="1" t="s">
        <v>49</v>
      </c>
      <c r="E39" s="116" t="s">
        <v>2414</v>
      </c>
      <c r="F39" s="1" t="s">
        <v>162</v>
      </c>
      <c r="G39" s="1" t="s">
        <v>170</v>
      </c>
      <c r="H39" s="61" t="s">
        <v>365</v>
      </c>
      <c r="I39" s="1" t="s">
        <v>179</v>
      </c>
      <c r="J39" s="1" t="s">
        <v>464</v>
      </c>
      <c r="K39" s="1" t="s">
        <v>2415</v>
      </c>
      <c r="L39" s="117" t="s">
        <v>2416</v>
      </c>
      <c r="M39" s="117" t="s">
        <v>2417</v>
      </c>
      <c r="N39" s="119">
        <v>0</v>
      </c>
      <c r="O39" s="118">
        <v>0</v>
      </c>
      <c r="P39" s="119">
        <v>0</v>
      </c>
      <c r="Q39" s="118">
        <v>0</v>
      </c>
      <c r="R39" s="1" t="s">
        <v>357</v>
      </c>
      <c r="S39" s="1" t="s">
        <v>206</v>
      </c>
      <c r="T39" s="1" t="s">
        <v>2418</v>
      </c>
      <c r="U39" s="1" t="s">
        <v>199</v>
      </c>
      <c r="V39" s="1" t="s">
        <v>208</v>
      </c>
      <c r="W39" s="1" t="s">
        <v>208</v>
      </c>
      <c r="X39" s="1" t="s">
        <v>208</v>
      </c>
      <c r="Y39" s="1" t="s">
        <v>208</v>
      </c>
      <c r="Z39" s="1" t="s">
        <v>208</v>
      </c>
      <c r="AA39" s="1" t="s">
        <v>208</v>
      </c>
      <c r="AB39" s="1" t="s">
        <v>208</v>
      </c>
      <c r="AC39" s="1" t="s">
        <v>208</v>
      </c>
      <c r="AD39" s="1" t="s">
        <v>208</v>
      </c>
      <c r="AE39" s="1" t="s">
        <v>208</v>
      </c>
      <c r="AF39" s="1" t="s">
        <v>208</v>
      </c>
      <c r="AG39" s="1" t="s">
        <v>208</v>
      </c>
      <c r="AH39" s="1" t="s">
        <v>208</v>
      </c>
      <c r="AI39" s="1" t="s">
        <v>208</v>
      </c>
    </row>
    <row x14ac:dyDescent="0.25" r="40" customHeight="1" ht="17.25">
      <c r="A40" s="1" t="s">
        <v>695</v>
      </c>
      <c r="B40" s="61" t="s">
        <v>696</v>
      </c>
      <c r="C40" s="1" t="s">
        <v>93</v>
      </c>
      <c r="D40" s="1" t="s">
        <v>49</v>
      </c>
      <c r="E40" s="116" t="s">
        <v>697</v>
      </c>
      <c r="F40" s="1" t="s">
        <v>158</v>
      </c>
      <c r="G40" s="1" t="s">
        <v>22</v>
      </c>
      <c r="H40" s="61">
        <v>33304</v>
      </c>
      <c r="I40" s="1" t="s">
        <v>175</v>
      </c>
      <c r="J40" s="1" t="s">
        <v>365</v>
      </c>
      <c r="K40" s="1" t="s">
        <v>698</v>
      </c>
      <c r="L40" s="117" t="s">
        <v>699</v>
      </c>
      <c r="M40" s="117" t="s">
        <v>700</v>
      </c>
      <c r="N40" s="119">
        <v>0</v>
      </c>
      <c r="O40" s="118">
        <v>0</v>
      </c>
      <c r="P40" s="119">
        <v>0</v>
      </c>
      <c r="Q40" s="118">
        <v>0</v>
      </c>
      <c r="R40" s="1" t="s">
        <v>357</v>
      </c>
      <c r="S40" s="1" t="s">
        <v>206</v>
      </c>
      <c r="T40" s="1" t="s">
        <v>701</v>
      </c>
      <c r="U40" s="1" t="s">
        <v>197</v>
      </c>
      <c r="V40" s="1" t="s">
        <v>357</v>
      </c>
      <c r="W40" s="1" t="s">
        <v>208</v>
      </c>
      <c r="X40" s="1" t="s">
        <v>206</v>
      </c>
      <c r="Y40" s="1" t="s">
        <v>441</v>
      </c>
      <c r="Z40" s="1" t="s">
        <v>206</v>
      </c>
      <c r="AA40" s="1" t="s">
        <v>206</v>
      </c>
      <c r="AB40" s="1" t="s">
        <v>206</v>
      </c>
      <c r="AC40" s="1" t="s">
        <v>236</v>
      </c>
      <c r="AD40" s="1" t="s">
        <v>497</v>
      </c>
      <c r="AE40" s="1" t="s">
        <v>208</v>
      </c>
      <c r="AF40" s="1" t="s">
        <v>208</v>
      </c>
      <c r="AG40" s="1" t="s">
        <v>497</v>
      </c>
      <c r="AH40" s="1" t="s">
        <v>206</v>
      </c>
      <c r="AI40" s="1" t="s">
        <v>229</v>
      </c>
    </row>
    <row x14ac:dyDescent="0.25" r="41" customHeight="1" ht="17.25">
      <c r="A41" s="1" t="s">
        <v>695</v>
      </c>
      <c r="B41" s="61" t="s">
        <v>696</v>
      </c>
      <c r="C41" s="1" t="s">
        <v>93</v>
      </c>
      <c r="D41" s="1" t="s">
        <v>49</v>
      </c>
      <c r="E41" s="116" t="s">
        <v>702</v>
      </c>
      <c r="F41" s="1" t="s">
        <v>158</v>
      </c>
      <c r="G41" s="1" t="s">
        <v>22</v>
      </c>
      <c r="H41" s="61">
        <v>33968</v>
      </c>
      <c r="I41" s="1" t="s">
        <v>175</v>
      </c>
      <c r="J41" s="1" t="s">
        <v>365</v>
      </c>
      <c r="K41" s="1" t="s">
        <v>698</v>
      </c>
      <c r="L41" s="117" t="s">
        <v>699</v>
      </c>
      <c r="M41" s="117" t="s">
        <v>700</v>
      </c>
      <c r="N41" s="119">
        <v>0</v>
      </c>
      <c r="O41" s="118">
        <v>0</v>
      </c>
      <c r="P41" s="119">
        <v>0</v>
      </c>
      <c r="Q41" s="118">
        <v>0</v>
      </c>
      <c r="R41" s="1" t="s">
        <v>357</v>
      </c>
      <c r="S41" s="1" t="s">
        <v>206</v>
      </c>
      <c r="T41" s="1" t="s">
        <v>701</v>
      </c>
      <c r="U41" s="1" t="s">
        <v>197</v>
      </c>
      <c r="V41" s="1" t="s">
        <v>357</v>
      </c>
      <c r="W41" s="1" t="s">
        <v>208</v>
      </c>
      <c r="X41" s="1" t="s">
        <v>206</v>
      </c>
      <c r="Y41" s="1" t="s">
        <v>441</v>
      </c>
      <c r="Z41" s="1" t="s">
        <v>206</v>
      </c>
      <c r="AA41" s="1" t="s">
        <v>206</v>
      </c>
      <c r="AB41" s="1" t="s">
        <v>206</v>
      </c>
      <c r="AC41" s="1" t="s">
        <v>236</v>
      </c>
      <c r="AD41" s="1" t="s">
        <v>497</v>
      </c>
      <c r="AE41" s="1" t="s">
        <v>208</v>
      </c>
      <c r="AF41" s="1" t="s">
        <v>208</v>
      </c>
      <c r="AG41" s="1" t="s">
        <v>497</v>
      </c>
      <c r="AH41" s="1" t="s">
        <v>206</v>
      </c>
      <c r="AI41" s="1" t="s">
        <v>229</v>
      </c>
    </row>
    <row x14ac:dyDescent="0.25" r="42" customHeight="1" ht="17.25">
      <c r="A42" s="1" t="s">
        <v>744</v>
      </c>
      <c r="B42" s="61" t="s">
        <v>745</v>
      </c>
      <c r="C42" s="1" t="s">
        <v>93</v>
      </c>
      <c r="D42" s="1" t="s">
        <v>49</v>
      </c>
      <c r="E42" s="116" t="s">
        <v>746</v>
      </c>
      <c r="F42" s="1" t="s">
        <v>159</v>
      </c>
      <c r="G42" s="1" t="s">
        <v>22</v>
      </c>
      <c r="H42" s="61">
        <v>30599</v>
      </c>
      <c r="I42" s="1" t="s">
        <v>176</v>
      </c>
      <c r="J42" s="1" t="s">
        <v>178</v>
      </c>
      <c r="K42" s="1" t="s">
        <v>747</v>
      </c>
      <c r="L42" s="119">
        <v>0</v>
      </c>
      <c r="M42" s="117" t="s">
        <v>748</v>
      </c>
      <c r="N42" s="119">
        <v>0</v>
      </c>
      <c r="O42" s="118">
        <v>0</v>
      </c>
      <c r="P42" s="119">
        <v>0</v>
      </c>
      <c r="Q42" s="118">
        <v>0</v>
      </c>
      <c r="R42" s="1" t="s">
        <v>357</v>
      </c>
      <c r="S42" s="1" t="s">
        <v>206</v>
      </c>
      <c r="T42" s="1" t="s">
        <v>749</v>
      </c>
      <c r="U42" s="1" t="s">
        <v>197</v>
      </c>
      <c r="V42" s="1" t="s">
        <v>357</v>
      </c>
      <c r="W42" s="1" t="s">
        <v>208</v>
      </c>
      <c r="X42" s="1" t="s">
        <v>206</v>
      </c>
      <c r="Y42" s="1" t="s">
        <v>441</v>
      </c>
      <c r="Z42" s="1" t="s">
        <v>206</v>
      </c>
      <c r="AA42" s="1" t="s">
        <v>206</v>
      </c>
      <c r="AB42" s="1" t="s">
        <v>206</v>
      </c>
      <c r="AC42" s="1" t="s">
        <v>236</v>
      </c>
      <c r="AD42" s="1" t="s">
        <v>497</v>
      </c>
      <c r="AE42" s="1" t="s">
        <v>208</v>
      </c>
      <c r="AF42" s="1" t="s">
        <v>208</v>
      </c>
      <c r="AG42" s="1" t="s">
        <v>497</v>
      </c>
      <c r="AH42" s="1" t="s">
        <v>206</v>
      </c>
      <c r="AI42" s="1" t="s">
        <v>228</v>
      </c>
    </row>
    <row x14ac:dyDescent="0.25" r="43" customHeight="1" ht="17.25">
      <c r="A43" s="1" t="s">
        <v>2496</v>
      </c>
      <c r="B43" s="61" t="s">
        <v>531</v>
      </c>
      <c r="C43" s="1" t="s">
        <v>93</v>
      </c>
      <c r="D43" s="1" t="s">
        <v>49</v>
      </c>
      <c r="E43" s="116" t="s">
        <v>2497</v>
      </c>
      <c r="F43" s="1" t="s">
        <v>162</v>
      </c>
      <c r="G43" s="1" t="s">
        <v>22</v>
      </c>
      <c r="H43" s="61">
        <v>32699</v>
      </c>
      <c r="I43" s="1" t="s">
        <v>176</v>
      </c>
      <c r="J43" s="1" t="s">
        <v>365</v>
      </c>
      <c r="K43" s="1" t="s">
        <v>2498</v>
      </c>
      <c r="L43" s="117" t="s">
        <v>2499</v>
      </c>
      <c r="M43" s="117" t="s">
        <v>2500</v>
      </c>
      <c r="N43" s="117" t="s">
        <v>2501</v>
      </c>
      <c r="O43" s="118">
        <v>0</v>
      </c>
      <c r="P43" s="119">
        <v>0</v>
      </c>
      <c r="Q43" s="118">
        <v>0</v>
      </c>
      <c r="R43" s="1" t="s">
        <v>357</v>
      </c>
      <c r="S43" s="1" t="s">
        <v>206</v>
      </c>
      <c r="T43" s="1" t="s">
        <v>2502</v>
      </c>
      <c r="U43" s="1" t="s">
        <v>199</v>
      </c>
      <c r="V43" s="1" t="s">
        <v>208</v>
      </c>
      <c r="W43" s="1" t="s">
        <v>208</v>
      </c>
      <c r="X43" s="1" t="s">
        <v>208</v>
      </c>
      <c r="Y43" s="1" t="s">
        <v>208</v>
      </c>
      <c r="Z43" s="1" t="s">
        <v>208</v>
      </c>
      <c r="AA43" s="1" t="s">
        <v>208</v>
      </c>
      <c r="AB43" s="1" t="s">
        <v>208</v>
      </c>
      <c r="AC43" s="1" t="s">
        <v>208</v>
      </c>
      <c r="AD43" s="1" t="s">
        <v>208</v>
      </c>
      <c r="AE43" s="1" t="s">
        <v>208</v>
      </c>
      <c r="AF43" s="1" t="s">
        <v>208</v>
      </c>
      <c r="AG43" s="1" t="s">
        <v>208</v>
      </c>
      <c r="AH43" s="1" t="s">
        <v>208</v>
      </c>
      <c r="AI43" s="1" t="s">
        <v>208</v>
      </c>
    </row>
    <row x14ac:dyDescent="0.25" r="44" customHeight="1" ht="17.25">
      <c r="A44" s="1" t="s">
        <v>2381</v>
      </c>
      <c r="B44" s="61" t="s">
        <v>1679</v>
      </c>
      <c r="C44" s="1" t="s">
        <v>139</v>
      </c>
      <c r="D44" s="1" t="s">
        <v>49</v>
      </c>
      <c r="E44" s="116" t="s">
        <v>2382</v>
      </c>
      <c r="F44" s="1" t="s">
        <v>158</v>
      </c>
      <c r="G44" s="1" t="s">
        <v>22</v>
      </c>
      <c r="H44" s="61">
        <v>31478</v>
      </c>
      <c r="I44" s="1" t="s">
        <v>175</v>
      </c>
      <c r="J44" s="1" t="s">
        <v>365</v>
      </c>
      <c r="K44" s="1" t="s">
        <v>773</v>
      </c>
      <c r="L44" s="119">
        <v>0</v>
      </c>
      <c r="M44" s="117" t="s">
        <v>2383</v>
      </c>
      <c r="N44" s="119">
        <v>0</v>
      </c>
      <c r="O44" s="118">
        <v>0</v>
      </c>
      <c r="P44" s="119">
        <v>0</v>
      </c>
      <c r="Q44" s="118">
        <v>0</v>
      </c>
      <c r="R44" s="1" t="s">
        <v>357</v>
      </c>
      <c r="S44" s="1" t="s">
        <v>206</v>
      </c>
      <c r="T44" s="1" t="s">
        <v>555</v>
      </c>
      <c r="U44" s="1" t="s">
        <v>200</v>
      </c>
      <c r="V44" s="1" t="s">
        <v>2285</v>
      </c>
      <c r="W44" s="1" t="s">
        <v>208</v>
      </c>
      <c r="X44" s="1" t="s">
        <v>208</v>
      </c>
      <c r="Y44" s="1" t="s">
        <v>208</v>
      </c>
      <c r="Z44" s="1" t="s">
        <v>208</v>
      </c>
      <c r="AA44" s="1" t="s">
        <v>208</v>
      </c>
      <c r="AB44" s="1" t="s">
        <v>208</v>
      </c>
      <c r="AC44" s="1" t="s">
        <v>208</v>
      </c>
      <c r="AD44" s="1" t="s">
        <v>208</v>
      </c>
      <c r="AE44" s="1" t="s">
        <v>206</v>
      </c>
      <c r="AF44" s="1" t="s">
        <v>208</v>
      </c>
      <c r="AG44" s="1" t="s">
        <v>208</v>
      </c>
      <c r="AH44" s="1" t="s">
        <v>208</v>
      </c>
      <c r="AI44" s="1" t="s">
        <v>208</v>
      </c>
    </row>
    <row x14ac:dyDescent="0.25" r="45" customHeight="1" ht="17.25">
      <c r="A45" s="1" t="s">
        <v>961</v>
      </c>
      <c r="B45" s="61" t="s">
        <v>962</v>
      </c>
      <c r="C45" s="1" t="s">
        <v>93</v>
      </c>
      <c r="D45" s="1" t="s">
        <v>49</v>
      </c>
      <c r="E45" s="116" t="s">
        <v>963</v>
      </c>
      <c r="F45" s="1" t="s">
        <v>158</v>
      </c>
      <c r="G45" s="1" t="s">
        <v>22</v>
      </c>
      <c r="H45" s="61">
        <v>31904</v>
      </c>
      <c r="I45" s="1" t="s">
        <v>175</v>
      </c>
      <c r="J45" s="1" t="s">
        <v>365</v>
      </c>
      <c r="K45" s="1" t="s">
        <v>964</v>
      </c>
      <c r="L45" s="117" t="s">
        <v>965</v>
      </c>
      <c r="M45" s="117" t="s">
        <v>966</v>
      </c>
      <c r="N45" s="117" t="s">
        <v>967</v>
      </c>
      <c r="O45" s="118">
        <v>0</v>
      </c>
      <c r="P45" s="119">
        <v>0</v>
      </c>
      <c r="Q45" s="118">
        <v>0</v>
      </c>
      <c r="R45" s="1" t="s">
        <v>357</v>
      </c>
      <c r="S45" s="1" t="s">
        <v>206</v>
      </c>
      <c r="T45" s="1" t="s">
        <v>968</v>
      </c>
      <c r="U45" s="1" t="s">
        <v>197</v>
      </c>
      <c r="V45" s="1" t="s">
        <v>357</v>
      </c>
      <c r="W45" s="1" t="s">
        <v>208</v>
      </c>
      <c r="X45" s="1" t="s">
        <v>206</v>
      </c>
      <c r="Y45" s="1" t="s">
        <v>441</v>
      </c>
      <c r="Z45" s="1" t="s">
        <v>206</v>
      </c>
      <c r="AA45" s="1" t="s">
        <v>206</v>
      </c>
      <c r="AB45" s="1" t="s">
        <v>206</v>
      </c>
      <c r="AC45" s="1" t="s">
        <v>236</v>
      </c>
      <c r="AD45" s="1" t="s">
        <v>497</v>
      </c>
      <c r="AE45" s="1" t="s">
        <v>208</v>
      </c>
      <c r="AF45" s="1" t="s">
        <v>208</v>
      </c>
      <c r="AG45" s="1" t="s">
        <v>497</v>
      </c>
      <c r="AH45" s="1" t="s">
        <v>206</v>
      </c>
      <c r="AI45" s="1" t="s">
        <v>228</v>
      </c>
    </row>
    <row x14ac:dyDescent="0.25" r="46" customHeight="1" ht="17.25">
      <c r="A46" s="1" t="s">
        <v>2433</v>
      </c>
      <c r="B46" s="61" t="s">
        <v>2434</v>
      </c>
      <c r="C46" s="1" t="s">
        <v>93</v>
      </c>
      <c r="D46" s="1" t="s">
        <v>49</v>
      </c>
      <c r="E46" s="116" t="s">
        <v>2435</v>
      </c>
      <c r="F46" s="1" t="s">
        <v>158</v>
      </c>
      <c r="G46" s="1" t="s">
        <v>170</v>
      </c>
      <c r="H46" s="61">
        <v>34053</v>
      </c>
      <c r="I46" s="1" t="s">
        <v>175</v>
      </c>
      <c r="J46" s="1" t="s">
        <v>365</v>
      </c>
      <c r="K46" s="35" t="s">
        <v>2436</v>
      </c>
      <c r="L46" s="119">
        <v>0</v>
      </c>
      <c r="M46" s="117" t="s">
        <v>2437</v>
      </c>
      <c r="N46" s="119">
        <v>0</v>
      </c>
      <c r="O46" s="118">
        <v>0</v>
      </c>
      <c r="P46" s="119">
        <v>0</v>
      </c>
      <c r="Q46" s="118">
        <v>0</v>
      </c>
      <c r="R46" s="1" t="s">
        <v>357</v>
      </c>
      <c r="S46" s="1" t="s">
        <v>206</v>
      </c>
      <c r="T46" s="1" t="s">
        <v>726</v>
      </c>
      <c r="U46" s="1" t="s">
        <v>200</v>
      </c>
      <c r="V46" s="1" t="s">
        <v>2285</v>
      </c>
      <c r="W46" s="1" t="s">
        <v>208</v>
      </c>
      <c r="X46" s="1" t="s">
        <v>208</v>
      </c>
      <c r="Y46" s="1" t="s">
        <v>208</v>
      </c>
      <c r="Z46" s="1" t="s">
        <v>208</v>
      </c>
      <c r="AA46" s="1" t="s">
        <v>208</v>
      </c>
      <c r="AB46" s="1" t="s">
        <v>208</v>
      </c>
      <c r="AC46" s="1" t="s">
        <v>208</v>
      </c>
      <c r="AD46" s="1" t="s">
        <v>208</v>
      </c>
      <c r="AE46" s="1" t="s">
        <v>206</v>
      </c>
      <c r="AF46" s="1" t="s">
        <v>208</v>
      </c>
      <c r="AG46" s="1" t="s">
        <v>208</v>
      </c>
      <c r="AH46" s="1" t="s">
        <v>208</v>
      </c>
      <c r="AI46" s="1" t="s">
        <v>208</v>
      </c>
    </row>
    <row x14ac:dyDescent="0.25" r="47" customHeight="1" ht="17.25">
      <c r="A47" s="1" t="s">
        <v>2433</v>
      </c>
      <c r="B47" s="61" t="s">
        <v>2434</v>
      </c>
      <c r="C47" s="1" t="s">
        <v>93</v>
      </c>
      <c r="D47" s="1" t="s">
        <v>49</v>
      </c>
      <c r="E47" s="116" t="s">
        <v>2438</v>
      </c>
      <c r="F47" s="1" t="s">
        <v>158</v>
      </c>
      <c r="G47" s="1" t="s">
        <v>170</v>
      </c>
      <c r="H47" s="61">
        <v>32836</v>
      </c>
      <c r="I47" s="1" t="s">
        <v>175</v>
      </c>
      <c r="J47" s="1" t="s">
        <v>365</v>
      </c>
      <c r="K47" s="1" t="s">
        <v>547</v>
      </c>
      <c r="L47" s="119">
        <v>0</v>
      </c>
      <c r="M47" s="117" t="s">
        <v>2437</v>
      </c>
      <c r="N47" s="119">
        <v>0</v>
      </c>
      <c r="O47" s="118">
        <v>0</v>
      </c>
      <c r="P47" s="119">
        <v>0</v>
      </c>
      <c r="Q47" s="118">
        <v>0</v>
      </c>
      <c r="R47" s="1" t="s">
        <v>357</v>
      </c>
      <c r="S47" s="1" t="s">
        <v>206</v>
      </c>
      <c r="T47" s="1" t="s">
        <v>726</v>
      </c>
      <c r="U47" s="1" t="s">
        <v>200</v>
      </c>
      <c r="V47" s="1" t="s">
        <v>2285</v>
      </c>
      <c r="W47" s="1" t="s">
        <v>208</v>
      </c>
      <c r="X47" s="1" t="s">
        <v>208</v>
      </c>
      <c r="Y47" s="1" t="s">
        <v>208</v>
      </c>
      <c r="Z47" s="1" t="s">
        <v>208</v>
      </c>
      <c r="AA47" s="1" t="s">
        <v>208</v>
      </c>
      <c r="AB47" s="1" t="s">
        <v>208</v>
      </c>
      <c r="AC47" s="1" t="s">
        <v>208</v>
      </c>
      <c r="AD47" s="1" t="s">
        <v>208</v>
      </c>
      <c r="AE47" s="1" t="s">
        <v>206</v>
      </c>
      <c r="AF47" s="1" t="s">
        <v>208</v>
      </c>
      <c r="AG47" s="1" t="s">
        <v>208</v>
      </c>
      <c r="AH47" s="1" t="s">
        <v>208</v>
      </c>
      <c r="AI47" s="1" t="s">
        <v>208</v>
      </c>
    </row>
    <row x14ac:dyDescent="0.25" r="48" customHeight="1" ht="17.25">
      <c r="A48" s="1" t="s">
        <v>1407</v>
      </c>
      <c r="B48" s="61" t="s">
        <v>1408</v>
      </c>
      <c r="C48" s="1" t="s">
        <v>139</v>
      </c>
      <c r="D48" s="1" t="s">
        <v>49</v>
      </c>
      <c r="E48" s="116" t="s">
        <v>1409</v>
      </c>
      <c r="F48" s="1" t="s">
        <v>159</v>
      </c>
      <c r="G48" s="1" t="s">
        <v>22</v>
      </c>
      <c r="H48" s="61">
        <v>31336</v>
      </c>
      <c r="I48" s="1" t="s">
        <v>176</v>
      </c>
      <c r="J48" s="1" t="s">
        <v>365</v>
      </c>
      <c r="K48" s="1" t="s">
        <v>1410</v>
      </c>
      <c r="L48" s="117" t="s">
        <v>1411</v>
      </c>
      <c r="M48" s="117" t="s">
        <v>1412</v>
      </c>
      <c r="N48" s="119">
        <v>0</v>
      </c>
      <c r="O48" s="118">
        <v>0</v>
      </c>
      <c r="P48" s="119">
        <v>0</v>
      </c>
      <c r="Q48" s="121" t="s">
        <v>1413</v>
      </c>
      <c r="R48" s="1" t="s">
        <v>357</v>
      </c>
      <c r="S48" s="1" t="s">
        <v>1265</v>
      </c>
      <c r="T48" s="1" t="s">
        <v>1363</v>
      </c>
      <c r="U48" s="1" t="s">
        <v>197</v>
      </c>
      <c r="V48" s="1" t="s">
        <v>357</v>
      </c>
      <c r="W48" s="1" t="s">
        <v>1265</v>
      </c>
      <c r="X48" s="1" t="s">
        <v>206</v>
      </c>
      <c r="Y48" s="1" t="s">
        <v>441</v>
      </c>
      <c r="Z48" s="1" t="s">
        <v>207</v>
      </c>
      <c r="AA48" s="1" t="s">
        <v>28</v>
      </c>
      <c r="AB48" s="1" t="s">
        <v>206</v>
      </c>
      <c r="AC48" s="1" t="s">
        <v>238</v>
      </c>
      <c r="AD48" s="1" t="s">
        <v>441</v>
      </c>
      <c r="AE48" s="1" t="s">
        <v>208</v>
      </c>
      <c r="AF48" s="1" t="s">
        <v>676</v>
      </c>
      <c r="AG48" s="1" t="s">
        <v>386</v>
      </c>
      <c r="AH48" s="1" t="s">
        <v>208</v>
      </c>
      <c r="AI48" s="120" t="s">
        <v>227</v>
      </c>
    </row>
    <row x14ac:dyDescent="0.25" r="49" customHeight="1" ht="17.25">
      <c r="A49" s="1" t="s">
        <v>890</v>
      </c>
      <c r="B49" s="61" t="s">
        <v>891</v>
      </c>
      <c r="C49" s="1" t="s">
        <v>130</v>
      </c>
      <c r="D49" s="1" t="s">
        <v>50</v>
      </c>
      <c r="E49" s="116" t="s">
        <v>892</v>
      </c>
      <c r="F49" s="1" t="s">
        <v>158</v>
      </c>
      <c r="G49" s="1" t="s">
        <v>22</v>
      </c>
      <c r="H49" s="61">
        <v>34568</v>
      </c>
      <c r="I49" s="1" t="s">
        <v>175</v>
      </c>
      <c r="J49" s="1" t="s">
        <v>354</v>
      </c>
      <c r="K49" s="1" t="s">
        <v>366</v>
      </c>
      <c r="L49" s="117" t="s">
        <v>893</v>
      </c>
      <c r="M49" s="119">
        <v>0</v>
      </c>
      <c r="N49" s="117" t="s">
        <v>894</v>
      </c>
      <c r="O49" s="118">
        <v>0</v>
      </c>
      <c r="P49" s="119">
        <v>0</v>
      </c>
      <c r="Q49" s="118">
        <v>0</v>
      </c>
      <c r="R49" s="1" t="s">
        <v>357</v>
      </c>
      <c r="S49" s="1" t="s">
        <v>206</v>
      </c>
      <c r="T49" s="1" t="s">
        <v>853</v>
      </c>
      <c r="U49" s="1" t="s">
        <v>197</v>
      </c>
      <c r="V49" s="1" t="s">
        <v>357</v>
      </c>
      <c r="W49" s="1" t="s">
        <v>208</v>
      </c>
      <c r="X49" s="1" t="s">
        <v>206</v>
      </c>
      <c r="Y49" s="1" t="s">
        <v>441</v>
      </c>
      <c r="Z49" s="1" t="s">
        <v>206</v>
      </c>
      <c r="AA49" s="1" t="s">
        <v>206</v>
      </c>
      <c r="AB49" s="1" t="s">
        <v>206</v>
      </c>
      <c r="AC49" s="1" t="s">
        <v>236</v>
      </c>
      <c r="AD49" s="1" t="s">
        <v>497</v>
      </c>
      <c r="AE49" s="1" t="s">
        <v>208</v>
      </c>
      <c r="AF49" s="1" t="s">
        <v>208</v>
      </c>
      <c r="AG49" s="1" t="s">
        <v>497</v>
      </c>
      <c r="AH49" s="1" t="s">
        <v>35</v>
      </c>
      <c r="AI49" s="1" t="s">
        <v>208</v>
      </c>
    </row>
    <row x14ac:dyDescent="0.25" r="50" customHeight="1" ht="17.25">
      <c r="A50" s="1" t="s">
        <v>2139</v>
      </c>
      <c r="B50" s="61" t="s">
        <v>840</v>
      </c>
      <c r="C50" s="1" t="s">
        <v>86</v>
      </c>
      <c r="D50" s="1" t="s">
        <v>50</v>
      </c>
      <c r="E50" s="116" t="s">
        <v>2140</v>
      </c>
      <c r="F50" s="1" t="s">
        <v>159</v>
      </c>
      <c r="G50" s="1" t="s">
        <v>22</v>
      </c>
      <c r="H50" s="61">
        <v>30218</v>
      </c>
      <c r="I50" s="1" t="s">
        <v>176</v>
      </c>
      <c r="J50" s="1" t="s">
        <v>2141</v>
      </c>
      <c r="K50" s="1" t="s">
        <v>366</v>
      </c>
      <c r="L50" s="119">
        <v>0</v>
      </c>
      <c r="M50" s="117" t="s">
        <v>2142</v>
      </c>
      <c r="N50" s="119">
        <v>0</v>
      </c>
      <c r="O50" s="118">
        <v>0</v>
      </c>
      <c r="P50" s="119">
        <v>0</v>
      </c>
      <c r="Q50" s="118">
        <v>0</v>
      </c>
      <c r="R50" s="1" t="s">
        <v>357</v>
      </c>
      <c r="S50" s="1" t="s">
        <v>206</v>
      </c>
      <c r="T50" s="1" t="s">
        <v>405</v>
      </c>
      <c r="U50" s="1" t="s">
        <v>197</v>
      </c>
      <c r="V50" s="1" t="s">
        <v>357</v>
      </c>
      <c r="W50" s="1" t="s">
        <v>208</v>
      </c>
      <c r="X50" s="1" t="s">
        <v>1994</v>
      </c>
      <c r="Y50" s="1" t="s">
        <v>375</v>
      </c>
      <c r="Z50" s="1" t="s">
        <v>206</v>
      </c>
      <c r="AA50" s="1" t="s">
        <v>206</v>
      </c>
      <c r="AB50" s="1" t="s">
        <v>206</v>
      </c>
      <c r="AC50" s="1" t="s">
        <v>206</v>
      </c>
      <c r="AD50" s="1" t="s">
        <v>375</v>
      </c>
      <c r="AE50" s="1" t="s">
        <v>208</v>
      </c>
      <c r="AF50" s="1" t="s">
        <v>208</v>
      </c>
      <c r="AG50" s="1" t="s">
        <v>375</v>
      </c>
      <c r="AH50" s="1" t="s">
        <v>208</v>
      </c>
      <c r="AI50" s="120" t="s">
        <v>227</v>
      </c>
    </row>
    <row x14ac:dyDescent="0.25" r="51" customHeight="1" ht="17.25">
      <c r="A51" s="1" t="s">
        <v>1634</v>
      </c>
      <c r="B51" s="61" t="s">
        <v>1635</v>
      </c>
      <c r="C51" s="1" t="s">
        <v>86</v>
      </c>
      <c r="D51" s="1" t="s">
        <v>50</v>
      </c>
      <c r="E51" s="116" t="s">
        <v>1636</v>
      </c>
      <c r="F51" s="1" t="s">
        <v>158</v>
      </c>
      <c r="G51" s="1" t="s">
        <v>22</v>
      </c>
      <c r="H51" s="61">
        <v>35522</v>
      </c>
      <c r="I51" s="1" t="s">
        <v>175</v>
      </c>
      <c r="J51" s="1" t="s">
        <v>365</v>
      </c>
      <c r="K51" s="1" t="s">
        <v>1637</v>
      </c>
      <c r="L51" s="117" t="s">
        <v>1638</v>
      </c>
      <c r="M51" s="119">
        <v>0</v>
      </c>
      <c r="N51" s="119">
        <v>0</v>
      </c>
      <c r="O51" s="121" t="s">
        <v>1639</v>
      </c>
      <c r="P51" s="119">
        <v>0</v>
      </c>
      <c r="Q51" s="118">
        <v>0</v>
      </c>
      <c r="R51" s="1" t="s">
        <v>357</v>
      </c>
      <c r="S51" s="1" t="s">
        <v>206</v>
      </c>
      <c r="T51" s="1" t="s">
        <v>1640</v>
      </c>
      <c r="U51" s="1" t="s">
        <v>197</v>
      </c>
      <c r="V51" s="1" t="s">
        <v>357</v>
      </c>
      <c r="W51" s="1" t="s">
        <v>208</v>
      </c>
      <c r="X51" s="1" t="s">
        <v>206</v>
      </c>
      <c r="Y51" s="1" t="s">
        <v>441</v>
      </c>
      <c r="Z51" s="1" t="s">
        <v>206</v>
      </c>
      <c r="AA51" s="1" t="s">
        <v>206</v>
      </c>
      <c r="AB51" s="1" t="s">
        <v>206</v>
      </c>
      <c r="AC51" s="1" t="s">
        <v>206</v>
      </c>
      <c r="AD51" s="1" t="s">
        <v>441</v>
      </c>
      <c r="AE51" s="1" t="s">
        <v>208</v>
      </c>
      <c r="AF51" s="1" t="s">
        <v>208</v>
      </c>
      <c r="AG51" s="1" t="s">
        <v>441</v>
      </c>
      <c r="AH51" s="1" t="s">
        <v>208</v>
      </c>
      <c r="AI51" s="120" t="s">
        <v>227</v>
      </c>
    </row>
    <row x14ac:dyDescent="0.25" r="52" customHeight="1" ht="17.25">
      <c r="A52" s="1" t="s">
        <v>789</v>
      </c>
      <c r="B52" s="61" t="s">
        <v>790</v>
      </c>
      <c r="C52" s="1" t="s">
        <v>130</v>
      </c>
      <c r="D52" s="1" t="s">
        <v>50</v>
      </c>
      <c r="E52" s="116" t="s">
        <v>791</v>
      </c>
      <c r="F52" s="1" t="s">
        <v>158</v>
      </c>
      <c r="G52" s="1" t="s">
        <v>22</v>
      </c>
      <c r="H52" s="61">
        <v>35969</v>
      </c>
      <c r="I52" s="1" t="s">
        <v>175</v>
      </c>
      <c r="J52" s="1" t="s">
        <v>365</v>
      </c>
      <c r="K52" s="1" t="s">
        <v>792</v>
      </c>
      <c r="L52" s="119">
        <v>0</v>
      </c>
      <c r="M52" s="117" t="s">
        <v>793</v>
      </c>
      <c r="N52" s="117" t="s">
        <v>794</v>
      </c>
      <c r="O52" s="118">
        <v>0</v>
      </c>
      <c r="P52" s="119">
        <v>0</v>
      </c>
      <c r="Q52" s="118">
        <v>0</v>
      </c>
      <c r="R52" s="1" t="s">
        <v>357</v>
      </c>
      <c r="S52" s="1" t="s">
        <v>206</v>
      </c>
      <c r="T52" s="1" t="s">
        <v>455</v>
      </c>
      <c r="U52" s="1" t="s">
        <v>197</v>
      </c>
      <c r="V52" s="1" t="s">
        <v>357</v>
      </c>
      <c r="W52" s="1" t="s">
        <v>208</v>
      </c>
      <c r="X52" s="1" t="s">
        <v>206</v>
      </c>
      <c r="Y52" s="1" t="s">
        <v>441</v>
      </c>
      <c r="Z52" s="1" t="s">
        <v>206</v>
      </c>
      <c r="AA52" s="1" t="s">
        <v>206</v>
      </c>
      <c r="AB52" s="1" t="s">
        <v>206</v>
      </c>
      <c r="AC52" s="1" t="s">
        <v>236</v>
      </c>
      <c r="AD52" s="1" t="s">
        <v>497</v>
      </c>
      <c r="AE52" s="1" t="s">
        <v>208</v>
      </c>
      <c r="AF52" s="1" t="s">
        <v>208</v>
      </c>
      <c r="AG52" s="1" t="s">
        <v>497</v>
      </c>
      <c r="AH52" s="1" t="s">
        <v>35</v>
      </c>
      <c r="AI52" s="1" t="s">
        <v>208</v>
      </c>
    </row>
    <row x14ac:dyDescent="0.25" r="53" customHeight="1" ht="17.25">
      <c r="A53" s="1" t="s">
        <v>1459</v>
      </c>
      <c r="B53" s="61" t="s">
        <v>551</v>
      </c>
      <c r="C53" s="1" t="s">
        <v>86</v>
      </c>
      <c r="D53" s="1" t="s">
        <v>50</v>
      </c>
      <c r="E53" s="116" t="s">
        <v>1460</v>
      </c>
      <c r="F53" s="1" t="s">
        <v>158</v>
      </c>
      <c r="G53" s="1" t="s">
        <v>22</v>
      </c>
      <c r="H53" s="61">
        <v>35679</v>
      </c>
      <c r="I53" s="1" t="s">
        <v>175</v>
      </c>
      <c r="J53" s="1" t="s">
        <v>354</v>
      </c>
      <c r="K53" s="1" t="s">
        <v>355</v>
      </c>
      <c r="L53" s="117" t="s">
        <v>1461</v>
      </c>
      <c r="M53" s="117" t="s">
        <v>1462</v>
      </c>
      <c r="N53" s="119">
        <v>0</v>
      </c>
      <c r="O53" s="118">
        <v>0</v>
      </c>
      <c r="P53" s="119">
        <v>0</v>
      </c>
      <c r="Q53" s="118">
        <v>0</v>
      </c>
      <c r="R53" s="1" t="s">
        <v>357</v>
      </c>
      <c r="S53" s="1" t="s">
        <v>206</v>
      </c>
      <c r="T53" s="1" t="s">
        <v>1463</v>
      </c>
      <c r="U53" s="1" t="s">
        <v>197</v>
      </c>
      <c r="V53" s="1" t="s">
        <v>357</v>
      </c>
      <c r="W53" s="1" t="s">
        <v>208</v>
      </c>
      <c r="X53" s="1" t="s">
        <v>206</v>
      </c>
      <c r="Y53" s="1" t="s">
        <v>441</v>
      </c>
      <c r="Z53" s="1" t="s">
        <v>206</v>
      </c>
      <c r="AA53" s="1" t="s">
        <v>206</v>
      </c>
      <c r="AB53" s="1" t="s">
        <v>206</v>
      </c>
      <c r="AC53" s="1" t="s">
        <v>206</v>
      </c>
      <c r="AD53" s="1" t="s">
        <v>441</v>
      </c>
      <c r="AE53" s="1" t="s">
        <v>208</v>
      </c>
      <c r="AF53" s="1" t="s">
        <v>208</v>
      </c>
      <c r="AG53" s="1" t="s">
        <v>441</v>
      </c>
      <c r="AH53" s="1" t="s">
        <v>208</v>
      </c>
      <c r="AI53" s="1" t="s">
        <v>228</v>
      </c>
    </row>
    <row x14ac:dyDescent="0.25" r="54" customHeight="1" ht="17.25">
      <c r="A54" s="1" t="s">
        <v>1223</v>
      </c>
      <c r="B54" s="61" t="s">
        <v>1224</v>
      </c>
      <c r="C54" s="1" t="s">
        <v>86</v>
      </c>
      <c r="D54" s="1" t="s">
        <v>50</v>
      </c>
      <c r="E54" s="116" t="s">
        <v>1225</v>
      </c>
      <c r="F54" s="1" t="s">
        <v>158</v>
      </c>
      <c r="G54" s="1" t="s">
        <v>170</v>
      </c>
      <c r="H54" s="61">
        <v>35920</v>
      </c>
      <c r="I54" s="1" t="s">
        <v>175</v>
      </c>
      <c r="J54" s="1" t="s">
        <v>365</v>
      </c>
      <c r="K54" s="1" t="s">
        <v>1226</v>
      </c>
      <c r="L54" s="117" t="s">
        <v>1227</v>
      </c>
      <c r="M54" s="117" t="s">
        <v>1228</v>
      </c>
      <c r="N54" s="117" t="s">
        <v>1229</v>
      </c>
      <c r="O54" s="118">
        <v>0</v>
      </c>
      <c r="P54" s="119">
        <v>0</v>
      </c>
      <c r="Q54" s="118">
        <v>0</v>
      </c>
      <c r="R54" s="1" t="s">
        <v>357</v>
      </c>
      <c r="S54" s="1" t="s">
        <v>206</v>
      </c>
      <c r="T54" s="1" t="s">
        <v>1230</v>
      </c>
      <c r="U54" s="1" t="s">
        <v>197</v>
      </c>
      <c r="V54" s="1" t="s">
        <v>357</v>
      </c>
      <c r="W54" s="1" t="s">
        <v>208</v>
      </c>
      <c r="X54" s="1" t="s">
        <v>206</v>
      </c>
      <c r="Y54" s="1" t="s">
        <v>441</v>
      </c>
      <c r="Z54" s="1" t="s">
        <v>206</v>
      </c>
      <c r="AA54" s="1" t="s">
        <v>206</v>
      </c>
      <c r="AB54" s="1" t="s">
        <v>30</v>
      </c>
      <c r="AC54" s="1" t="s">
        <v>237</v>
      </c>
      <c r="AD54" s="1" t="s">
        <v>1231</v>
      </c>
      <c r="AE54" s="1" t="s">
        <v>208</v>
      </c>
      <c r="AF54" s="1" t="s">
        <v>208</v>
      </c>
      <c r="AG54" s="1" t="s">
        <v>1231</v>
      </c>
      <c r="AH54" s="1" t="s">
        <v>35</v>
      </c>
      <c r="AI54" s="1" t="s">
        <v>208</v>
      </c>
    </row>
    <row x14ac:dyDescent="0.25" r="55" customHeight="1" ht="17.25">
      <c r="A55" s="1" t="s">
        <v>1223</v>
      </c>
      <c r="B55" s="61" t="s">
        <v>1224</v>
      </c>
      <c r="C55" s="1" t="s">
        <v>86</v>
      </c>
      <c r="D55" s="1" t="s">
        <v>50</v>
      </c>
      <c r="E55" s="116" t="s">
        <v>2277</v>
      </c>
      <c r="F55" s="1" t="s">
        <v>158</v>
      </c>
      <c r="G55" s="1" t="s">
        <v>170</v>
      </c>
      <c r="H55" s="61">
        <v>32002</v>
      </c>
      <c r="I55" s="1" t="s">
        <v>176</v>
      </c>
      <c r="J55" s="1" t="s">
        <v>365</v>
      </c>
      <c r="K55" s="1" t="s">
        <v>2278</v>
      </c>
      <c r="L55" s="119">
        <v>0</v>
      </c>
      <c r="M55" s="119">
        <v>0</v>
      </c>
      <c r="N55" s="119">
        <v>0</v>
      </c>
      <c r="O55" s="118">
        <v>0</v>
      </c>
      <c r="P55" s="119">
        <v>0</v>
      </c>
      <c r="Q55" s="118">
        <v>0</v>
      </c>
      <c r="R55" s="1" t="s">
        <v>357</v>
      </c>
      <c r="S55" s="1" t="s">
        <v>206</v>
      </c>
      <c r="T55" s="1" t="s">
        <v>430</v>
      </c>
      <c r="U55" s="1" t="s">
        <v>199</v>
      </c>
      <c r="V55" s="1" t="s">
        <v>208</v>
      </c>
      <c r="W55" s="1" t="s">
        <v>208</v>
      </c>
      <c r="X55" s="1" t="s">
        <v>208</v>
      </c>
      <c r="Y55" s="1" t="s">
        <v>208</v>
      </c>
      <c r="Z55" s="1" t="s">
        <v>208</v>
      </c>
      <c r="AA55" s="1" t="s">
        <v>208</v>
      </c>
      <c r="AB55" s="1" t="s">
        <v>208</v>
      </c>
      <c r="AC55" s="1" t="s">
        <v>208</v>
      </c>
      <c r="AD55" s="1" t="s">
        <v>208</v>
      </c>
      <c r="AE55" s="1" t="s">
        <v>208</v>
      </c>
      <c r="AF55" s="1" t="s">
        <v>208</v>
      </c>
      <c r="AG55" s="1" t="s">
        <v>208</v>
      </c>
      <c r="AH55" s="1" t="s">
        <v>208</v>
      </c>
      <c r="AI55" s="1" t="s">
        <v>208</v>
      </c>
    </row>
    <row x14ac:dyDescent="0.25" r="56" customHeight="1" ht="17.25">
      <c r="A56" s="1" t="s">
        <v>1884</v>
      </c>
      <c r="B56" s="61" t="s">
        <v>840</v>
      </c>
      <c r="C56" s="1" t="s">
        <v>136</v>
      </c>
      <c r="D56" s="1" t="s">
        <v>50</v>
      </c>
      <c r="E56" s="116" t="s">
        <v>1885</v>
      </c>
      <c r="F56" s="1" t="s">
        <v>158</v>
      </c>
      <c r="G56" s="1" t="s">
        <v>22</v>
      </c>
      <c r="H56" s="61">
        <v>35263</v>
      </c>
      <c r="I56" s="1" t="s">
        <v>176</v>
      </c>
      <c r="J56" s="1" t="s">
        <v>365</v>
      </c>
      <c r="K56" s="1" t="s">
        <v>559</v>
      </c>
      <c r="L56" s="117" t="s">
        <v>1886</v>
      </c>
      <c r="M56" s="119">
        <v>0</v>
      </c>
      <c r="N56" s="119">
        <v>0</v>
      </c>
      <c r="O56" s="118">
        <v>0</v>
      </c>
      <c r="P56" s="119">
        <v>0</v>
      </c>
      <c r="Q56" s="118">
        <v>0</v>
      </c>
      <c r="R56" s="1" t="s">
        <v>357</v>
      </c>
      <c r="S56" s="1" t="s">
        <v>206</v>
      </c>
      <c r="T56" s="1" t="s">
        <v>358</v>
      </c>
      <c r="U56" s="1" t="s">
        <v>197</v>
      </c>
      <c r="V56" s="1" t="s">
        <v>357</v>
      </c>
      <c r="W56" s="1" t="s">
        <v>208</v>
      </c>
      <c r="X56" s="1" t="s">
        <v>406</v>
      </c>
      <c r="Y56" s="1" t="s">
        <v>386</v>
      </c>
      <c r="Z56" s="1" t="s">
        <v>206</v>
      </c>
      <c r="AA56" s="1" t="s">
        <v>206</v>
      </c>
      <c r="AB56" s="1" t="s">
        <v>206</v>
      </c>
      <c r="AC56" s="1" t="s">
        <v>206</v>
      </c>
      <c r="AD56" s="1" t="s">
        <v>386</v>
      </c>
      <c r="AE56" s="1" t="s">
        <v>208</v>
      </c>
      <c r="AF56" s="1" t="s">
        <v>208</v>
      </c>
      <c r="AG56" s="1" t="s">
        <v>386</v>
      </c>
      <c r="AH56" s="1" t="s">
        <v>208</v>
      </c>
      <c r="AI56" s="120" t="s">
        <v>227</v>
      </c>
    </row>
    <row x14ac:dyDescent="0.25" r="57" customHeight="1" ht="17.25">
      <c r="A57" s="1" t="s">
        <v>1884</v>
      </c>
      <c r="B57" s="61" t="s">
        <v>840</v>
      </c>
      <c r="C57" s="1" t="s">
        <v>136</v>
      </c>
      <c r="D57" s="1" t="s">
        <v>50</v>
      </c>
      <c r="E57" s="116" t="s">
        <v>1887</v>
      </c>
      <c r="F57" s="1" t="s">
        <v>158</v>
      </c>
      <c r="G57" s="1" t="s">
        <v>22</v>
      </c>
      <c r="H57" s="61">
        <v>34828</v>
      </c>
      <c r="I57" s="1" t="s">
        <v>176</v>
      </c>
      <c r="J57" s="1" t="s">
        <v>365</v>
      </c>
      <c r="K57" s="1" t="s">
        <v>559</v>
      </c>
      <c r="L57" s="117" t="s">
        <v>1886</v>
      </c>
      <c r="M57" s="119">
        <v>0</v>
      </c>
      <c r="N57" s="119">
        <v>0</v>
      </c>
      <c r="O57" s="118">
        <v>0</v>
      </c>
      <c r="P57" s="119">
        <v>0</v>
      </c>
      <c r="Q57" s="118">
        <v>0</v>
      </c>
      <c r="R57" s="1" t="s">
        <v>357</v>
      </c>
      <c r="S57" s="1" t="s">
        <v>206</v>
      </c>
      <c r="T57" s="1" t="s">
        <v>455</v>
      </c>
      <c r="U57" s="1" t="s">
        <v>197</v>
      </c>
      <c r="V57" s="1" t="s">
        <v>357</v>
      </c>
      <c r="W57" s="1" t="s">
        <v>208</v>
      </c>
      <c r="X57" s="1" t="s">
        <v>406</v>
      </c>
      <c r="Y57" s="1" t="s">
        <v>386</v>
      </c>
      <c r="Z57" s="1" t="s">
        <v>206</v>
      </c>
      <c r="AA57" s="1" t="s">
        <v>206</v>
      </c>
      <c r="AB57" s="1" t="s">
        <v>206</v>
      </c>
      <c r="AC57" s="1" t="s">
        <v>206</v>
      </c>
      <c r="AD57" s="1" t="s">
        <v>386</v>
      </c>
      <c r="AE57" s="1" t="s">
        <v>208</v>
      </c>
      <c r="AF57" s="1" t="s">
        <v>208</v>
      </c>
      <c r="AG57" s="1" t="s">
        <v>386</v>
      </c>
      <c r="AH57" s="1" t="s">
        <v>208</v>
      </c>
      <c r="AI57" s="120" t="s">
        <v>227</v>
      </c>
    </row>
    <row x14ac:dyDescent="0.25" r="58" customHeight="1" ht="17.25">
      <c r="A58" s="1" t="s">
        <v>399</v>
      </c>
      <c r="B58" s="61" t="s">
        <v>400</v>
      </c>
      <c r="C58" s="1" t="s">
        <v>86</v>
      </c>
      <c r="D58" s="1" t="s">
        <v>50</v>
      </c>
      <c r="E58" s="116" t="s">
        <v>401</v>
      </c>
      <c r="F58" s="1" t="s">
        <v>159</v>
      </c>
      <c r="G58" s="1" t="s">
        <v>22</v>
      </c>
      <c r="H58" s="61">
        <v>33769</v>
      </c>
      <c r="I58" s="1" t="s">
        <v>177</v>
      </c>
      <c r="J58" s="1" t="s">
        <v>178</v>
      </c>
      <c r="K58" s="1" t="s">
        <v>402</v>
      </c>
      <c r="L58" s="119">
        <v>0</v>
      </c>
      <c r="M58" s="119">
        <v>0</v>
      </c>
      <c r="N58" s="117" t="s">
        <v>403</v>
      </c>
      <c r="O58" s="118">
        <v>0</v>
      </c>
      <c r="P58" s="119">
        <v>0</v>
      </c>
      <c r="Q58" s="118">
        <v>0</v>
      </c>
      <c r="R58" s="1" t="s">
        <v>357</v>
      </c>
      <c r="S58" s="1" t="s">
        <v>404</v>
      </c>
      <c r="T58" s="1" t="s">
        <v>405</v>
      </c>
      <c r="U58" s="1" t="s">
        <v>198</v>
      </c>
      <c r="V58" s="1" t="s">
        <v>357</v>
      </c>
      <c r="W58" s="1" t="s">
        <v>206</v>
      </c>
      <c r="X58" s="1" t="s">
        <v>406</v>
      </c>
      <c r="Y58" s="1" t="s">
        <v>360</v>
      </c>
      <c r="Z58" s="1" t="s">
        <v>207</v>
      </c>
      <c r="AA58" s="1" t="s">
        <v>206</v>
      </c>
      <c r="AB58" s="1" t="s">
        <v>219</v>
      </c>
      <c r="AC58" s="1" t="s">
        <v>238</v>
      </c>
      <c r="AD58" s="1" t="s">
        <v>407</v>
      </c>
      <c r="AE58" s="1" t="s">
        <v>208</v>
      </c>
      <c r="AF58" s="1" t="s">
        <v>208</v>
      </c>
      <c r="AG58" s="1" t="s">
        <v>407</v>
      </c>
      <c r="AH58" s="1" t="s">
        <v>208</v>
      </c>
      <c r="AI58" s="120" t="s">
        <v>227</v>
      </c>
    </row>
    <row x14ac:dyDescent="0.25" r="59" customHeight="1" ht="17.25">
      <c r="A59" s="1" t="s">
        <v>2392</v>
      </c>
      <c r="B59" s="61" t="s">
        <v>1737</v>
      </c>
      <c r="C59" s="1" t="s">
        <v>86</v>
      </c>
      <c r="D59" s="1" t="s">
        <v>50</v>
      </c>
      <c r="E59" s="116" t="s">
        <v>2393</v>
      </c>
      <c r="F59" s="1" t="s">
        <v>158</v>
      </c>
      <c r="G59" s="1" t="s">
        <v>22</v>
      </c>
      <c r="H59" s="61">
        <v>35526</v>
      </c>
      <c r="I59" s="1" t="s">
        <v>177</v>
      </c>
      <c r="J59" s="1" t="s">
        <v>365</v>
      </c>
      <c r="K59" s="1" t="s">
        <v>773</v>
      </c>
      <c r="L59" s="119">
        <v>0</v>
      </c>
      <c r="M59" s="117" t="s">
        <v>2394</v>
      </c>
      <c r="N59" s="119">
        <v>0</v>
      </c>
      <c r="O59" s="118">
        <v>0</v>
      </c>
      <c r="P59" s="119">
        <v>0</v>
      </c>
      <c r="Q59" s="118">
        <v>0</v>
      </c>
      <c r="R59" s="1" t="s">
        <v>357</v>
      </c>
      <c r="S59" s="1" t="s">
        <v>206</v>
      </c>
      <c r="T59" s="1" t="s">
        <v>2395</v>
      </c>
      <c r="U59" s="1" t="s">
        <v>200</v>
      </c>
      <c r="V59" s="1" t="s">
        <v>2285</v>
      </c>
      <c r="W59" s="1" t="s">
        <v>208</v>
      </c>
      <c r="X59" s="1" t="s">
        <v>208</v>
      </c>
      <c r="Y59" s="1" t="s">
        <v>208</v>
      </c>
      <c r="Z59" s="1" t="s">
        <v>208</v>
      </c>
      <c r="AA59" s="1" t="s">
        <v>208</v>
      </c>
      <c r="AB59" s="1" t="s">
        <v>208</v>
      </c>
      <c r="AC59" s="1" t="s">
        <v>208</v>
      </c>
      <c r="AD59" s="1" t="s">
        <v>208</v>
      </c>
      <c r="AE59" s="1" t="s">
        <v>206</v>
      </c>
      <c r="AF59" s="1" t="s">
        <v>208</v>
      </c>
      <c r="AG59" s="1" t="s">
        <v>208</v>
      </c>
      <c r="AH59" s="1" t="s">
        <v>208</v>
      </c>
      <c r="AI59" s="1" t="s">
        <v>208</v>
      </c>
    </row>
    <row x14ac:dyDescent="0.25" r="60" customHeight="1" ht="17.25">
      <c r="A60" s="1" t="s">
        <v>1668</v>
      </c>
      <c r="B60" s="61" t="s">
        <v>806</v>
      </c>
      <c r="C60" s="1" t="s">
        <v>86</v>
      </c>
      <c r="D60" s="1" t="s">
        <v>50</v>
      </c>
      <c r="E60" s="116" t="s">
        <v>1669</v>
      </c>
      <c r="F60" s="1" t="s">
        <v>158</v>
      </c>
      <c r="G60" s="1" t="s">
        <v>22</v>
      </c>
      <c r="H60" s="61">
        <v>29354</v>
      </c>
      <c r="I60" s="1" t="s">
        <v>175</v>
      </c>
      <c r="J60" s="1" t="s">
        <v>365</v>
      </c>
      <c r="K60" s="1" t="s">
        <v>1670</v>
      </c>
      <c r="L60" s="117" t="s">
        <v>1671</v>
      </c>
      <c r="M60" s="119">
        <v>0</v>
      </c>
      <c r="N60" s="119">
        <v>0</v>
      </c>
      <c r="O60" s="118">
        <v>0</v>
      </c>
      <c r="P60" s="119">
        <v>0</v>
      </c>
      <c r="Q60" s="118">
        <v>0</v>
      </c>
      <c r="R60" s="1" t="s">
        <v>357</v>
      </c>
      <c r="S60" s="1" t="s">
        <v>206</v>
      </c>
      <c r="T60" s="1" t="s">
        <v>476</v>
      </c>
      <c r="U60" s="1" t="s">
        <v>197</v>
      </c>
      <c r="V60" s="1" t="s">
        <v>357</v>
      </c>
      <c r="W60" s="1" t="s">
        <v>208</v>
      </c>
      <c r="X60" s="1" t="s">
        <v>206</v>
      </c>
      <c r="Y60" s="1" t="s">
        <v>441</v>
      </c>
      <c r="Z60" s="1" t="s">
        <v>207</v>
      </c>
      <c r="AA60" s="1" t="s">
        <v>206</v>
      </c>
      <c r="AB60" s="1" t="s">
        <v>206</v>
      </c>
      <c r="AC60" s="1" t="s">
        <v>238</v>
      </c>
      <c r="AD60" s="1" t="s">
        <v>492</v>
      </c>
      <c r="AE60" s="1" t="s">
        <v>208</v>
      </c>
      <c r="AF60" s="1" t="s">
        <v>208</v>
      </c>
      <c r="AG60" s="1" t="s">
        <v>492</v>
      </c>
      <c r="AH60" s="1" t="s">
        <v>208</v>
      </c>
      <c r="AI60" s="120" t="s">
        <v>227</v>
      </c>
    </row>
    <row x14ac:dyDescent="0.25" r="61" customHeight="1" ht="17.25">
      <c r="A61" s="1" t="s">
        <v>1668</v>
      </c>
      <c r="B61" s="61" t="s">
        <v>806</v>
      </c>
      <c r="C61" s="1" t="s">
        <v>86</v>
      </c>
      <c r="D61" s="1" t="s">
        <v>50</v>
      </c>
      <c r="E61" s="116" t="s">
        <v>1921</v>
      </c>
      <c r="F61" s="1" t="s">
        <v>158</v>
      </c>
      <c r="G61" s="1" t="s">
        <v>22</v>
      </c>
      <c r="H61" s="61">
        <v>31515</v>
      </c>
      <c r="I61" s="1" t="s">
        <v>175</v>
      </c>
      <c r="J61" s="1" t="s">
        <v>365</v>
      </c>
      <c r="K61" s="1" t="s">
        <v>1197</v>
      </c>
      <c r="L61" s="117" t="s">
        <v>1922</v>
      </c>
      <c r="M61" s="119">
        <v>0</v>
      </c>
      <c r="N61" s="117" t="s">
        <v>1923</v>
      </c>
      <c r="O61" s="118">
        <v>0</v>
      </c>
      <c r="P61" s="119">
        <v>0</v>
      </c>
      <c r="Q61" s="118">
        <v>0</v>
      </c>
      <c r="R61" s="1" t="s">
        <v>357</v>
      </c>
      <c r="S61" s="1" t="s">
        <v>206</v>
      </c>
      <c r="T61" s="1" t="s">
        <v>476</v>
      </c>
      <c r="U61" s="1" t="s">
        <v>197</v>
      </c>
      <c r="V61" s="1" t="s">
        <v>357</v>
      </c>
      <c r="W61" s="1" t="s">
        <v>208</v>
      </c>
      <c r="X61" s="1" t="s">
        <v>206</v>
      </c>
      <c r="Y61" s="1" t="s">
        <v>441</v>
      </c>
      <c r="Z61" s="1" t="s">
        <v>207</v>
      </c>
      <c r="AA61" s="1" t="s">
        <v>206</v>
      </c>
      <c r="AB61" s="1" t="s">
        <v>206</v>
      </c>
      <c r="AC61" s="1" t="s">
        <v>238</v>
      </c>
      <c r="AD61" s="1" t="s">
        <v>386</v>
      </c>
      <c r="AE61" s="1" t="s">
        <v>208</v>
      </c>
      <c r="AF61" s="1" t="s">
        <v>208</v>
      </c>
      <c r="AG61" s="1" t="s">
        <v>386</v>
      </c>
      <c r="AH61" s="1" t="s">
        <v>208</v>
      </c>
      <c r="AI61" s="120" t="s">
        <v>227</v>
      </c>
    </row>
    <row x14ac:dyDescent="0.25" r="62" customHeight="1" ht="17.25">
      <c r="A62" s="1" t="s">
        <v>1902</v>
      </c>
      <c r="B62" s="61" t="s">
        <v>817</v>
      </c>
      <c r="C62" s="1" t="s">
        <v>136</v>
      </c>
      <c r="D62" s="1" t="s">
        <v>50</v>
      </c>
      <c r="E62" s="116" t="s">
        <v>1903</v>
      </c>
      <c r="F62" s="1" t="s">
        <v>158</v>
      </c>
      <c r="G62" s="1" t="s">
        <v>22</v>
      </c>
      <c r="H62" s="61">
        <v>32079</v>
      </c>
      <c r="I62" s="1" t="s">
        <v>176</v>
      </c>
      <c r="J62" s="1" t="s">
        <v>365</v>
      </c>
      <c r="K62" s="1" t="s">
        <v>1904</v>
      </c>
      <c r="L62" s="117" t="s">
        <v>1905</v>
      </c>
      <c r="M62" s="117" t="s">
        <v>1906</v>
      </c>
      <c r="N62" s="119">
        <v>0</v>
      </c>
      <c r="O62" s="118">
        <v>0</v>
      </c>
      <c r="P62" s="119">
        <v>0</v>
      </c>
      <c r="Q62" s="121" t="s">
        <v>1907</v>
      </c>
      <c r="R62" s="1" t="s">
        <v>357</v>
      </c>
      <c r="S62" s="1" t="s">
        <v>206</v>
      </c>
      <c r="T62" s="1" t="s">
        <v>422</v>
      </c>
      <c r="U62" s="1" t="s">
        <v>197</v>
      </c>
      <c r="V62" s="1" t="s">
        <v>357</v>
      </c>
      <c r="W62" s="1" t="s">
        <v>208</v>
      </c>
      <c r="X62" s="1" t="s">
        <v>206</v>
      </c>
      <c r="Y62" s="1" t="s">
        <v>441</v>
      </c>
      <c r="Z62" s="1" t="s">
        <v>207</v>
      </c>
      <c r="AA62" s="1" t="s">
        <v>206</v>
      </c>
      <c r="AB62" s="1" t="s">
        <v>206</v>
      </c>
      <c r="AC62" s="1" t="s">
        <v>238</v>
      </c>
      <c r="AD62" s="1" t="s">
        <v>386</v>
      </c>
      <c r="AE62" s="1" t="s">
        <v>208</v>
      </c>
      <c r="AF62" s="1" t="s">
        <v>208</v>
      </c>
      <c r="AG62" s="1" t="s">
        <v>386</v>
      </c>
      <c r="AH62" s="1" t="s">
        <v>208</v>
      </c>
      <c r="AI62" s="120" t="s">
        <v>227</v>
      </c>
    </row>
    <row x14ac:dyDescent="0.25" r="63" customHeight="1" ht="17.25">
      <c r="A63" s="1" t="s">
        <v>805</v>
      </c>
      <c r="B63" s="61" t="s">
        <v>806</v>
      </c>
      <c r="C63" s="1" t="s">
        <v>86</v>
      </c>
      <c r="D63" s="1" t="s">
        <v>50</v>
      </c>
      <c r="E63" s="116" t="s">
        <v>807</v>
      </c>
      <c r="F63" s="1" t="s">
        <v>158</v>
      </c>
      <c r="G63" s="1" t="s">
        <v>22</v>
      </c>
      <c r="H63" s="61">
        <v>32855</v>
      </c>
      <c r="I63" s="1" t="s">
        <v>176</v>
      </c>
      <c r="J63" s="1" t="s">
        <v>464</v>
      </c>
      <c r="K63" s="1" t="s">
        <v>366</v>
      </c>
      <c r="L63" s="119">
        <v>0</v>
      </c>
      <c r="M63" s="119">
        <v>0</v>
      </c>
      <c r="N63" s="117" t="s">
        <v>808</v>
      </c>
      <c r="O63" s="118">
        <v>0</v>
      </c>
      <c r="P63" s="119">
        <v>0</v>
      </c>
      <c r="Q63" s="118">
        <v>0</v>
      </c>
      <c r="R63" s="1" t="s">
        <v>357</v>
      </c>
      <c r="S63" s="1" t="s">
        <v>206</v>
      </c>
      <c r="T63" s="1" t="s">
        <v>776</v>
      </c>
      <c r="U63" s="1" t="s">
        <v>197</v>
      </c>
      <c r="V63" s="1" t="s">
        <v>357</v>
      </c>
      <c r="W63" s="1" t="s">
        <v>208</v>
      </c>
      <c r="X63" s="1" t="s">
        <v>206</v>
      </c>
      <c r="Y63" s="1" t="s">
        <v>441</v>
      </c>
      <c r="Z63" s="1" t="s">
        <v>206</v>
      </c>
      <c r="AA63" s="1" t="s">
        <v>206</v>
      </c>
      <c r="AB63" s="1" t="s">
        <v>206</v>
      </c>
      <c r="AC63" s="1" t="s">
        <v>236</v>
      </c>
      <c r="AD63" s="1" t="s">
        <v>497</v>
      </c>
      <c r="AE63" s="1" t="s">
        <v>208</v>
      </c>
      <c r="AF63" s="1" t="s">
        <v>208</v>
      </c>
      <c r="AG63" s="1" t="s">
        <v>497</v>
      </c>
      <c r="AH63" s="1" t="s">
        <v>35</v>
      </c>
      <c r="AI63" s="1" t="s">
        <v>208</v>
      </c>
    </row>
    <row x14ac:dyDescent="0.25" r="64" customHeight="1" ht="17.25">
      <c r="A64" s="1" t="s">
        <v>2021</v>
      </c>
      <c r="B64" s="61" t="s">
        <v>2022</v>
      </c>
      <c r="C64" s="1" t="s">
        <v>142</v>
      </c>
      <c r="D64" s="1" t="s">
        <v>50</v>
      </c>
      <c r="E64" s="116" t="s">
        <v>2023</v>
      </c>
      <c r="F64" s="1" t="s">
        <v>159</v>
      </c>
      <c r="G64" s="1" t="s">
        <v>22</v>
      </c>
      <c r="H64" s="61">
        <v>28439</v>
      </c>
      <c r="I64" s="1" t="s">
        <v>176</v>
      </c>
      <c r="J64" s="1" t="s">
        <v>365</v>
      </c>
      <c r="K64" s="1" t="s">
        <v>366</v>
      </c>
      <c r="L64" s="117" t="s">
        <v>2024</v>
      </c>
      <c r="M64" s="119">
        <v>0</v>
      </c>
      <c r="N64" s="119">
        <v>0</v>
      </c>
      <c r="O64" s="121" t="s">
        <v>2025</v>
      </c>
      <c r="P64" s="119">
        <v>0</v>
      </c>
      <c r="Q64" s="121" t="s">
        <v>2026</v>
      </c>
      <c r="R64" s="1" t="s">
        <v>357</v>
      </c>
      <c r="S64" s="1" t="s">
        <v>206</v>
      </c>
      <c r="T64" s="1" t="s">
        <v>1677</v>
      </c>
      <c r="U64" s="1" t="s">
        <v>197</v>
      </c>
      <c r="V64" s="1" t="s">
        <v>357</v>
      </c>
      <c r="W64" s="1" t="s">
        <v>208</v>
      </c>
      <c r="X64" s="1" t="s">
        <v>206</v>
      </c>
      <c r="Y64" s="1" t="s">
        <v>441</v>
      </c>
      <c r="Z64" s="1" t="s">
        <v>207</v>
      </c>
      <c r="AA64" s="1" t="s">
        <v>206</v>
      </c>
      <c r="AB64" s="1" t="s">
        <v>206</v>
      </c>
      <c r="AC64" s="1" t="s">
        <v>238</v>
      </c>
      <c r="AD64" s="1" t="s">
        <v>1374</v>
      </c>
      <c r="AE64" s="1" t="s">
        <v>208</v>
      </c>
      <c r="AF64" s="1" t="s">
        <v>208</v>
      </c>
      <c r="AG64" s="1" t="s">
        <v>1374</v>
      </c>
      <c r="AH64" s="1" t="s">
        <v>208</v>
      </c>
      <c r="AI64" s="120" t="s">
        <v>227</v>
      </c>
    </row>
    <row x14ac:dyDescent="0.25" r="65" customHeight="1" ht="17.25">
      <c r="A65" s="1" t="s">
        <v>2294</v>
      </c>
      <c r="B65" s="61" t="s">
        <v>2295</v>
      </c>
      <c r="C65" s="1" t="s">
        <v>130</v>
      </c>
      <c r="D65" s="1" t="s">
        <v>50</v>
      </c>
      <c r="E65" s="116" t="s">
        <v>2296</v>
      </c>
      <c r="F65" s="1" t="s">
        <v>158</v>
      </c>
      <c r="G65" s="1" t="s">
        <v>22</v>
      </c>
      <c r="H65" s="61">
        <v>31837</v>
      </c>
      <c r="I65" s="1" t="s">
        <v>176</v>
      </c>
      <c r="J65" s="1" t="s">
        <v>464</v>
      </c>
      <c r="K65" s="1" t="s">
        <v>2297</v>
      </c>
      <c r="L65" s="117" t="s">
        <v>2298</v>
      </c>
      <c r="M65" s="119">
        <v>0</v>
      </c>
      <c r="N65" s="119">
        <v>0</v>
      </c>
      <c r="O65" s="118">
        <v>0</v>
      </c>
      <c r="P65" s="119">
        <v>0</v>
      </c>
      <c r="Q65" s="118">
        <v>0</v>
      </c>
      <c r="R65" s="1" t="s">
        <v>357</v>
      </c>
      <c r="S65" s="1" t="s">
        <v>831</v>
      </c>
      <c r="T65" s="1" t="s">
        <v>2299</v>
      </c>
      <c r="U65" s="1" t="s">
        <v>200</v>
      </c>
      <c r="V65" s="1" t="s">
        <v>2285</v>
      </c>
      <c r="W65" s="1" t="s">
        <v>206</v>
      </c>
      <c r="X65" s="1" t="s">
        <v>208</v>
      </c>
      <c r="Y65" s="1" t="s">
        <v>208</v>
      </c>
      <c r="Z65" s="1" t="s">
        <v>208</v>
      </c>
      <c r="AA65" s="1" t="s">
        <v>208</v>
      </c>
      <c r="AB65" s="1" t="s">
        <v>208</v>
      </c>
      <c r="AC65" s="1" t="s">
        <v>208</v>
      </c>
      <c r="AD65" s="1" t="s">
        <v>208</v>
      </c>
      <c r="AE65" s="1" t="s">
        <v>206</v>
      </c>
      <c r="AF65" s="1" t="s">
        <v>208</v>
      </c>
      <c r="AG65" s="1" t="s">
        <v>208</v>
      </c>
      <c r="AH65" s="1" t="s">
        <v>208</v>
      </c>
      <c r="AI65" s="1" t="s">
        <v>208</v>
      </c>
    </row>
    <row x14ac:dyDescent="0.25" r="66" customHeight="1" ht="17.25">
      <c r="A66" s="1" t="s">
        <v>2190</v>
      </c>
      <c r="B66" s="61" t="s">
        <v>2191</v>
      </c>
      <c r="C66" s="1" t="s">
        <v>114</v>
      </c>
      <c r="D66" s="1" t="s">
        <v>51</v>
      </c>
      <c r="E66" s="116" t="s">
        <v>2192</v>
      </c>
      <c r="F66" s="1" t="s">
        <v>158</v>
      </c>
      <c r="G66" s="1" t="s">
        <v>22</v>
      </c>
      <c r="H66" s="61">
        <v>31416</v>
      </c>
      <c r="I66" s="1" t="s">
        <v>175</v>
      </c>
      <c r="J66" s="1" t="s">
        <v>365</v>
      </c>
      <c r="K66" s="1" t="s">
        <v>2193</v>
      </c>
      <c r="L66" s="117" t="s">
        <v>2194</v>
      </c>
      <c r="M66" s="117" t="s">
        <v>2195</v>
      </c>
      <c r="N66" s="117" t="s">
        <v>2196</v>
      </c>
      <c r="O66" s="118">
        <v>0</v>
      </c>
      <c r="P66" s="119">
        <v>0</v>
      </c>
      <c r="Q66" s="118">
        <v>0</v>
      </c>
      <c r="R66" s="1" t="s">
        <v>357</v>
      </c>
      <c r="S66" s="1" t="s">
        <v>206</v>
      </c>
      <c r="T66" s="1" t="s">
        <v>1166</v>
      </c>
      <c r="U66" s="1" t="s">
        <v>197</v>
      </c>
      <c r="V66" s="1" t="s">
        <v>357</v>
      </c>
      <c r="W66" s="1" t="s">
        <v>208</v>
      </c>
      <c r="X66" s="1" t="s">
        <v>374</v>
      </c>
      <c r="Y66" s="1" t="s">
        <v>654</v>
      </c>
      <c r="Z66" s="1" t="s">
        <v>207</v>
      </c>
      <c r="AA66" s="1" t="s">
        <v>206</v>
      </c>
      <c r="AB66" s="1" t="s">
        <v>206</v>
      </c>
      <c r="AC66" s="1" t="s">
        <v>238</v>
      </c>
      <c r="AD66" s="1" t="s">
        <v>2188</v>
      </c>
      <c r="AE66" s="1" t="s">
        <v>208</v>
      </c>
      <c r="AF66" s="1" t="s">
        <v>208</v>
      </c>
      <c r="AG66" s="1" t="s">
        <v>2188</v>
      </c>
      <c r="AH66" s="1" t="s">
        <v>208</v>
      </c>
      <c r="AI66" s="120" t="s">
        <v>227</v>
      </c>
    </row>
    <row x14ac:dyDescent="0.25" r="67" customHeight="1" ht="17.25">
      <c r="A67" s="1" t="s">
        <v>2222</v>
      </c>
      <c r="B67" s="61" t="s">
        <v>896</v>
      </c>
      <c r="C67" s="1" t="s">
        <v>119</v>
      </c>
      <c r="D67" s="1" t="s">
        <v>51</v>
      </c>
      <c r="E67" s="116" t="s">
        <v>2223</v>
      </c>
      <c r="F67" s="1" t="s">
        <v>158</v>
      </c>
      <c r="G67" s="1" t="s">
        <v>22</v>
      </c>
      <c r="H67" s="61">
        <v>32801</v>
      </c>
      <c r="I67" s="1" t="s">
        <v>175</v>
      </c>
      <c r="J67" s="1" t="s">
        <v>517</v>
      </c>
      <c r="K67" s="1" t="s">
        <v>2224</v>
      </c>
      <c r="L67" s="119">
        <v>0</v>
      </c>
      <c r="M67" s="117" t="s">
        <v>2225</v>
      </c>
      <c r="N67" s="119">
        <v>0</v>
      </c>
      <c r="O67" s="118">
        <v>0</v>
      </c>
      <c r="P67" s="119">
        <v>0</v>
      </c>
      <c r="Q67" s="118">
        <v>0</v>
      </c>
      <c r="R67" s="1" t="s">
        <v>371</v>
      </c>
      <c r="S67" s="1" t="s">
        <v>206</v>
      </c>
      <c r="T67" s="1" t="s">
        <v>2226</v>
      </c>
      <c r="U67" s="1" t="s">
        <v>198</v>
      </c>
      <c r="V67" s="1" t="s">
        <v>357</v>
      </c>
      <c r="W67" s="1" t="s">
        <v>208</v>
      </c>
      <c r="X67" s="120" t="s">
        <v>847</v>
      </c>
      <c r="Y67" s="1" t="s">
        <v>360</v>
      </c>
      <c r="Z67" s="1" t="s">
        <v>206</v>
      </c>
      <c r="AA67" s="1" t="s">
        <v>206</v>
      </c>
      <c r="AB67" s="1" t="s">
        <v>206</v>
      </c>
      <c r="AC67" s="1" t="s">
        <v>206</v>
      </c>
      <c r="AD67" s="1" t="s">
        <v>360</v>
      </c>
      <c r="AE67" s="1" t="s">
        <v>208</v>
      </c>
      <c r="AF67" s="1" t="s">
        <v>208</v>
      </c>
      <c r="AG67" s="1" t="s">
        <v>360</v>
      </c>
      <c r="AH67" s="1" t="s">
        <v>208</v>
      </c>
      <c r="AI67" s="120" t="s">
        <v>227</v>
      </c>
    </row>
    <row x14ac:dyDescent="0.25" r="68" customHeight="1" ht="17.25">
      <c r="A68" s="1" t="s">
        <v>556</v>
      </c>
      <c r="B68" s="61" t="s">
        <v>557</v>
      </c>
      <c r="C68" s="1" t="s">
        <v>119</v>
      </c>
      <c r="D68" s="1" t="s">
        <v>51</v>
      </c>
      <c r="E68" s="116" t="s">
        <v>558</v>
      </c>
      <c r="F68" s="1" t="s">
        <v>158</v>
      </c>
      <c r="G68" s="1" t="s">
        <v>22</v>
      </c>
      <c r="H68" s="61">
        <v>34042</v>
      </c>
      <c r="I68" s="1" t="s">
        <v>176</v>
      </c>
      <c r="J68" s="1" t="s">
        <v>517</v>
      </c>
      <c r="K68" s="1" t="s">
        <v>559</v>
      </c>
      <c r="L68" s="117" t="s">
        <v>560</v>
      </c>
      <c r="M68" s="119">
        <v>0</v>
      </c>
      <c r="N68" s="119">
        <v>0</v>
      </c>
      <c r="O68" s="118">
        <v>0</v>
      </c>
      <c r="P68" s="119">
        <v>0</v>
      </c>
      <c r="Q68" s="118">
        <v>0</v>
      </c>
      <c r="R68" s="1" t="s">
        <v>357</v>
      </c>
      <c r="S68" s="1" t="s">
        <v>206</v>
      </c>
      <c r="T68" s="1" t="s">
        <v>561</v>
      </c>
      <c r="U68" s="1" t="s">
        <v>197</v>
      </c>
      <c r="V68" s="1" t="s">
        <v>357</v>
      </c>
      <c r="W68" s="1" t="s">
        <v>208</v>
      </c>
      <c r="X68" s="1" t="s">
        <v>562</v>
      </c>
      <c r="Y68" s="1" t="s">
        <v>441</v>
      </c>
      <c r="Z68" s="1" t="s">
        <v>206</v>
      </c>
      <c r="AA68" s="1" t="s">
        <v>206</v>
      </c>
      <c r="AB68" s="1" t="s">
        <v>206</v>
      </c>
      <c r="AC68" s="1" t="s">
        <v>236</v>
      </c>
      <c r="AD68" s="1" t="s">
        <v>497</v>
      </c>
      <c r="AE68" s="1" t="s">
        <v>208</v>
      </c>
      <c r="AF68" s="1" t="s">
        <v>208</v>
      </c>
      <c r="AG68" s="1" t="s">
        <v>497</v>
      </c>
      <c r="AH68" s="1" t="s">
        <v>206</v>
      </c>
      <c r="AI68" s="1" t="s">
        <v>229</v>
      </c>
    </row>
    <row x14ac:dyDescent="0.25" r="69" customHeight="1" ht="17.25">
      <c r="A69" s="1" t="s">
        <v>556</v>
      </c>
      <c r="B69" s="61" t="s">
        <v>557</v>
      </c>
      <c r="C69" s="1" t="s">
        <v>119</v>
      </c>
      <c r="D69" s="1" t="s">
        <v>51</v>
      </c>
      <c r="E69" s="116" t="s">
        <v>563</v>
      </c>
      <c r="F69" s="1" t="s">
        <v>158</v>
      </c>
      <c r="G69" s="1" t="s">
        <v>22</v>
      </c>
      <c r="H69" s="61">
        <v>32828</v>
      </c>
      <c r="I69" s="1" t="s">
        <v>176</v>
      </c>
      <c r="J69" s="1" t="s">
        <v>464</v>
      </c>
      <c r="K69" s="1" t="s">
        <v>559</v>
      </c>
      <c r="L69" s="117" t="s">
        <v>560</v>
      </c>
      <c r="M69" s="119">
        <v>0</v>
      </c>
      <c r="N69" s="119">
        <v>0</v>
      </c>
      <c r="O69" s="118">
        <v>0</v>
      </c>
      <c r="P69" s="119">
        <v>0</v>
      </c>
      <c r="Q69" s="118">
        <v>0</v>
      </c>
      <c r="R69" s="1" t="s">
        <v>357</v>
      </c>
      <c r="S69" s="1" t="s">
        <v>206</v>
      </c>
      <c r="T69" s="1" t="s">
        <v>561</v>
      </c>
      <c r="U69" s="1" t="s">
        <v>197</v>
      </c>
      <c r="V69" s="1" t="s">
        <v>357</v>
      </c>
      <c r="W69" s="1" t="s">
        <v>208</v>
      </c>
      <c r="X69" s="1" t="s">
        <v>562</v>
      </c>
      <c r="Y69" s="1" t="s">
        <v>441</v>
      </c>
      <c r="Z69" s="1" t="s">
        <v>206</v>
      </c>
      <c r="AA69" s="1" t="s">
        <v>206</v>
      </c>
      <c r="AB69" s="1" t="s">
        <v>206</v>
      </c>
      <c r="AC69" s="1" t="s">
        <v>236</v>
      </c>
      <c r="AD69" s="1" t="s">
        <v>497</v>
      </c>
      <c r="AE69" s="1" t="s">
        <v>208</v>
      </c>
      <c r="AF69" s="1" t="s">
        <v>208</v>
      </c>
      <c r="AG69" s="1" t="s">
        <v>497</v>
      </c>
      <c r="AH69" s="1" t="s">
        <v>206</v>
      </c>
      <c r="AI69" s="1" t="s">
        <v>229</v>
      </c>
    </row>
    <row x14ac:dyDescent="0.25" r="70" customHeight="1" ht="17.25">
      <c r="A70" s="1" t="s">
        <v>1984</v>
      </c>
      <c r="B70" s="61" t="s">
        <v>1985</v>
      </c>
      <c r="C70" s="1" t="s">
        <v>140</v>
      </c>
      <c r="D70" s="1" t="s">
        <v>51</v>
      </c>
      <c r="E70" s="116" t="s">
        <v>2275</v>
      </c>
      <c r="F70" s="1" t="s">
        <v>158</v>
      </c>
      <c r="G70" s="1" t="s">
        <v>22</v>
      </c>
      <c r="H70" s="61">
        <v>30725</v>
      </c>
      <c r="I70" s="1" t="s">
        <v>177</v>
      </c>
      <c r="J70" s="1" t="s">
        <v>365</v>
      </c>
      <c r="K70" s="1" t="s">
        <v>366</v>
      </c>
      <c r="L70" s="119">
        <v>0</v>
      </c>
      <c r="M70" s="119">
        <v>0</v>
      </c>
      <c r="N70" s="119">
        <v>0</v>
      </c>
      <c r="O70" s="118">
        <v>0</v>
      </c>
      <c r="P70" s="119">
        <v>0</v>
      </c>
      <c r="Q70" s="118">
        <v>0</v>
      </c>
      <c r="R70" s="1" t="s">
        <v>371</v>
      </c>
      <c r="S70" s="1" t="s">
        <v>206</v>
      </c>
      <c r="T70" s="1" t="s">
        <v>1206</v>
      </c>
      <c r="U70" s="1" t="s">
        <v>199</v>
      </c>
      <c r="V70" s="1" t="s">
        <v>208</v>
      </c>
      <c r="W70" s="1" t="s">
        <v>208</v>
      </c>
      <c r="X70" s="1" t="s">
        <v>208</v>
      </c>
      <c r="Y70" s="1" t="s">
        <v>208</v>
      </c>
      <c r="Z70" s="1" t="s">
        <v>208</v>
      </c>
      <c r="AA70" s="1" t="s">
        <v>208</v>
      </c>
      <c r="AB70" s="1" t="s">
        <v>208</v>
      </c>
      <c r="AC70" s="1" t="s">
        <v>208</v>
      </c>
      <c r="AD70" s="1" t="s">
        <v>208</v>
      </c>
      <c r="AE70" s="1" t="s">
        <v>208</v>
      </c>
      <c r="AF70" s="1" t="s">
        <v>208</v>
      </c>
      <c r="AG70" s="1" t="s">
        <v>208</v>
      </c>
      <c r="AH70" s="1" t="s">
        <v>208</v>
      </c>
      <c r="AI70" s="1" t="s">
        <v>208</v>
      </c>
    </row>
    <row x14ac:dyDescent="0.25" r="71" customHeight="1" ht="17.25">
      <c r="A71" s="1" t="s">
        <v>1984</v>
      </c>
      <c r="B71" s="61" t="s">
        <v>1985</v>
      </c>
      <c r="C71" s="1" t="s">
        <v>140</v>
      </c>
      <c r="D71" s="1" t="s">
        <v>51</v>
      </c>
      <c r="E71" s="116" t="s">
        <v>1986</v>
      </c>
      <c r="F71" s="1" t="s">
        <v>158</v>
      </c>
      <c r="G71" s="1" t="s">
        <v>22</v>
      </c>
      <c r="H71" s="61">
        <v>22780</v>
      </c>
      <c r="I71" s="1" t="s">
        <v>176</v>
      </c>
      <c r="J71" s="1" t="s">
        <v>365</v>
      </c>
      <c r="K71" s="1" t="s">
        <v>1987</v>
      </c>
      <c r="L71" s="119">
        <v>0</v>
      </c>
      <c r="M71" s="117" t="s">
        <v>1988</v>
      </c>
      <c r="N71" s="119">
        <v>0</v>
      </c>
      <c r="O71" s="118">
        <v>0</v>
      </c>
      <c r="P71" s="119">
        <v>0</v>
      </c>
      <c r="Q71" s="118">
        <v>0</v>
      </c>
      <c r="R71" s="1" t="s">
        <v>371</v>
      </c>
      <c r="S71" s="1" t="s">
        <v>206</v>
      </c>
      <c r="T71" s="1" t="s">
        <v>1296</v>
      </c>
      <c r="U71" s="1" t="s">
        <v>198</v>
      </c>
      <c r="V71" s="1" t="s">
        <v>357</v>
      </c>
      <c r="W71" s="1" t="s">
        <v>208</v>
      </c>
      <c r="X71" s="1" t="s">
        <v>374</v>
      </c>
      <c r="Y71" s="1" t="s">
        <v>1989</v>
      </c>
      <c r="Z71" s="1" t="s">
        <v>206</v>
      </c>
      <c r="AA71" s="1" t="s">
        <v>206</v>
      </c>
      <c r="AB71" s="1" t="s">
        <v>32</v>
      </c>
      <c r="AC71" s="1" t="s">
        <v>206</v>
      </c>
      <c r="AD71" s="1" t="s">
        <v>1990</v>
      </c>
      <c r="AE71" s="1" t="s">
        <v>208</v>
      </c>
      <c r="AF71" s="1" t="s">
        <v>208</v>
      </c>
      <c r="AG71" s="1" t="s">
        <v>1990</v>
      </c>
      <c r="AH71" s="1" t="s">
        <v>208</v>
      </c>
      <c r="AI71" s="120" t="s">
        <v>227</v>
      </c>
    </row>
    <row x14ac:dyDescent="0.25" r="72" customHeight="1" ht="17.25">
      <c r="A72" s="1" t="s">
        <v>2143</v>
      </c>
      <c r="B72" s="61" t="s">
        <v>1967</v>
      </c>
      <c r="C72" s="1" t="s">
        <v>119</v>
      </c>
      <c r="D72" s="1" t="s">
        <v>51</v>
      </c>
      <c r="E72" s="116" t="s">
        <v>2144</v>
      </c>
      <c r="F72" s="1" t="s">
        <v>158</v>
      </c>
      <c r="G72" s="1" t="s">
        <v>22</v>
      </c>
      <c r="H72" s="61">
        <v>33778</v>
      </c>
      <c r="I72" s="1" t="s">
        <v>175</v>
      </c>
      <c r="J72" s="1" t="s">
        <v>365</v>
      </c>
      <c r="K72" s="1" t="s">
        <v>366</v>
      </c>
      <c r="L72" s="117" t="s">
        <v>2145</v>
      </c>
      <c r="M72" s="117" t="s">
        <v>2146</v>
      </c>
      <c r="N72" s="119">
        <v>0</v>
      </c>
      <c r="O72" s="118">
        <v>0</v>
      </c>
      <c r="P72" s="119">
        <v>0</v>
      </c>
      <c r="Q72" s="118">
        <v>0</v>
      </c>
      <c r="R72" s="1" t="s">
        <v>357</v>
      </c>
      <c r="S72" s="1" t="s">
        <v>206</v>
      </c>
      <c r="T72" s="1" t="s">
        <v>373</v>
      </c>
      <c r="U72" s="1" t="s">
        <v>197</v>
      </c>
      <c r="V72" s="1" t="s">
        <v>357</v>
      </c>
      <c r="W72" s="1" t="s">
        <v>208</v>
      </c>
      <c r="X72" s="1" t="s">
        <v>1994</v>
      </c>
      <c r="Y72" s="1" t="s">
        <v>375</v>
      </c>
      <c r="Z72" s="1" t="s">
        <v>206</v>
      </c>
      <c r="AA72" s="1" t="s">
        <v>206</v>
      </c>
      <c r="AB72" s="1" t="s">
        <v>206</v>
      </c>
      <c r="AC72" s="1" t="s">
        <v>238</v>
      </c>
      <c r="AD72" s="1" t="s">
        <v>375</v>
      </c>
      <c r="AE72" s="1" t="s">
        <v>208</v>
      </c>
      <c r="AF72" s="1" t="s">
        <v>208</v>
      </c>
      <c r="AG72" s="1" t="s">
        <v>375</v>
      </c>
      <c r="AH72" s="1" t="s">
        <v>208</v>
      </c>
      <c r="AI72" s="120" t="s">
        <v>227</v>
      </c>
    </row>
    <row x14ac:dyDescent="0.25" r="73" customHeight="1" ht="17.25">
      <c r="A73" s="1" t="s">
        <v>2197</v>
      </c>
      <c r="B73" s="61" t="s">
        <v>2198</v>
      </c>
      <c r="C73" s="1" t="s">
        <v>145</v>
      </c>
      <c r="D73" s="1" t="s">
        <v>51</v>
      </c>
      <c r="E73" s="116" t="s">
        <v>2199</v>
      </c>
      <c r="F73" s="1" t="s">
        <v>159</v>
      </c>
      <c r="G73" s="1" t="s">
        <v>22</v>
      </c>
      <c r="H73" s="61">
        <v>29627</v>
      </c>
      <c r="I73" s="1" t="s">
        <v>175</v>
      </c>
      <c r="J73" s="1" t="s">
        <v>464</v>
      </c>
      <c r="K73" s="1" t="s">
        <v>366</v>
      </c>
      <c r="L73" s="117" t="s">
        <v>2200</v>
      </c>
      <c r="M73" s="117" t="s">
        <v>2201</v>
      </c>
      <c r="N73" s="117" t="s">
        <v>2202</v>
      </c>
      <c r="O73" s="118">
        <v>0</v>
      </c>
      <c r="P73" s="119">
        <v>0</v>
      </c>
      <c r="Q73" s="118">
        <v>0</v>
      </c>
      <c r="R73" s="1" t="s">
        <v>357</v>
      </c>
      <c r="S73" s="1" t="s">
        <v>206</v>
      </c>
      <c r="T73" s="1" t="s">
        <v>1275</v>
      </c>
      <c r="U73" s="1" t="s">
        <v>197</v>
      </c>
      <c r="V73" s="1" t="s">
        <v>357</v>
      </c>
      <c r="W73" s="1" t="s">
        <v>208</v>
      </c>
      <c r="X73" s="120" t="s">
        <v>847</v>
      </c>
      <c r="Y73" s="1" t="s">
        <v>2188</v>
      </c>
      <c r="Z73" s="1" t="s">
        <v>206</v>
      </c>
      <c r="AA73" s="1" t="s">
        <v>206</v>
      </c>
      <c r="AB73" s="1" t="s">
        <v>206</v>
      </c>
      <c r="AC73" s="1" t="s">
        <v>206</v>
      </c>
      <c r="AD73" s="1" t="s">
        <v>2188</v>
      </c>
      <c r="AE73" s="1" t="s">
        <v>208</v>
      </c>
      <c r="AF73" s="1" t="s">
        <v>208</v>
      </c>
      <c r="AG73" s="1" t="s">
        <v>2188</v>
      </c>
      <c r="AH73" s="1" t="s">
        <v>208</v>
      </c>
      <c r="AI73" s="120" t="s">
        <v>227</v>
      </c>
    </row>
    <row x14ac:dyDescent="0.25" r="74" customHeight="1" ht="17.25">
      <c r="A74" s="1" t="s">
        <v>1775</v>
      </c>
      <c r="B74" s="61" t="s">
        <v>1776</v>
      </c>
      <c r="C74" s="1" t="s">
        <v>114</v>
      </c>
      <c r="D74" s="1" t="s">
        <v>51</v>
      </c>
      <c r="E74" s="116" t="s">
        <v>1777</v>
      </c>
      <c r="F74" s="1" t="s">
        <v>158</v>
      </c>
      <c r="G74" s="1" t="s">
        <v>22</v>
      </c>
      <c r="H74" s="61">
        <v>35247</v>
      </c>
      <c r="I74" s="1" t="s">
        <v>175</v>
      </c>
      <c r="J74" s="1" t="s">
        <v>615</v>
      </c>
      <c r="K74" s="1" t="s">
        <v>1778</v>
      </c>
      <c r="L74" s="117" t="s">
        <v>1779</v>
      </c>
      <c r="M74" s="119">
        <v>0</v>
      </c>
      <c r="N74" s="117" t="s">
        <v>1780</v>
      </c>
      <c r="O74" s="118">
        <v>0</v>
      </c>
      <c r="P74" s="119">
        <v>0</v>
      </c>
      <c r="Q74" s="118">
        <v>0</v>
      </c>
      <c r="R74" s="1" t="s">
        <v>357</v>
      </c>
      <c r="S74" s="1" t="s">
        <v>206</v>
      </c>
      <c r="T74" s="1" t="s">
        <v>645</v>
      </c>
      <c r="U74" s="1" t="s">
        <v>197</v>
      </c>
      <c r="V74" s="1" t="s">
        <v>357</v>
      </c>
      <c r="W74" s="1" t="s">
        <v>208</v>
      </c>
      <c r="X74" s="1" t="s">
        <v>206</v>
      </c>
      <c r="Y74" s="1" t="s">
        <v>441</v>
      </c>
      <c r="Z74" s="1" t="s">
        <v>206</v>
      </c>
      <c r="AA74" s="1" t="s">
        <v>206</v>
      </c>
      <c r="AB74" s="1" t="s">
        <v>34</v>
      </c>
      <c r="AC74" s="1" t="s">
        <v>206</v>
      </c>
      <c r="AD74" s="1" t="s">
        <v>492</v>
      </c>
      <c r="AE74" s="1" t="s">
        <v>208</v>
      </c>
      <c r="AF74" s="1" t="s">
        <v>208</v>
      </c>
      <c r="AG74" s="1" t="s">
        <v>492</v>
      </c>
      <c r="AH74" s="1" t="s">
        <v>208</v>
      </c>
      <c r="AI74" s="120" t="s">
        <v>227</v>
      </c>
    </row>
    <row x14ac:dyDescent="0.25" r="75" customHeight="1" ht="17.25">
      <c r="A75" s="1" t="s">
        <v>1775</v>
      </c>
      <c r="B75" s="61" t="s">
        <v>1776</v>
      </c>
      <c r="C75" s="1" t="s">
        <v>114</v>
      </c>
      <c r="D75" s="1" t="s">
        <v>51</v>
      </c>
      <c r="E75" s="116" t="s">
        <v>2227</v>
      </c>
      <c r="F75" s="1" t="s">
        <v>158</v>
      </c>
      <c r="G75" s="1" t="s">
        <v>170</v>
      </c>
      <c r="H75" s="61">
        <v>33792</v>
      </c>
      <c r="I75" s="1" t="s">
        <v>175</v>
      </c>
      <c r="J75" s="1" t="s">
        <v>354</v>
      </c>
      <c r="K75" s="1" t="s">
        <v>1778</v>
      </c>
      <c r="L75" s="117" t="s">
        <v>1779</v>
      </c>
      <c r="M75" s="119">
        <v>0</v>
      </c>
      <c r="N75" s="117" t="s">
        <v>1780</v>
      </c>
      <c r="O75" s="118">
        <v>0</v>
      </c>
      <c r="P75" s="119">
        <v>0</v>
      </c>
      <c r="Q75" s="118">
        <v>0</v>
      </c>
      <c r="R75" s="1" t="s">
        <v>357</v>
      </c>
      <c r="S75" s="1" t="s">
        <v>206</v>
      </c>
      <c r="T75" s="1" t="s">
        <v>645</v>
      </c>
      <c r="U75" s="1" t="s">
        <v>197</v>
      </c>
      <c r="V75" s="1" t="s">
        <v>357</v>
      </c>
      <c r="W75" s="1" t="s">
        <v>208</v>
      </c>
      <c r="X75" s="1" t="s">
        <v>2228</v>
      </c>
      <c r="Y75" s="1" t="s">
        <v>386</v>
      </c>
      <c r="Z75" s="1" t="s">
        <v>207</v>
      </c>
      <c r="AA75" s="1" t="s">
        <v>206</v>
      </c>
      <c r="AB75" s="1" t="s">
        <v>34</v>
      </c>
      <c r="AC75" s="1" t="s">
        <v>238</v>
      </c>
      <c r="AD75" s="1" t="s">
        <v>2229</v>
      </c>
      <c r="AE75" s="1" t="s">
        <v>208</v>
      </c>
      <c r="AF75" s="1" t="s">
        <v>208</v>
      </c>
      <c r="AG75" s="1" t="s">
        <v>2229</v>
      </c>
      <c r="AH75" s="1" t="s">
        <v>208</v>
      </c>
      <c r="AI75" s="120" t="s">
        <v>227</v>
      </c>
    </row>
    <row x14ac:dyDescent="0.25" r="76" customHeight="1" ht="17.25">
      <c r="A76" s="1" t="s">
        <v>1866</v>
      </c>
      <c r="B76" s="61" t="s">
        <v>571</v>
      </c>
      <c r="C76" s="1" t="s">
        <v>119</v>
      </c>
      <c r="D76" s="1" t="s">
        <v>51</v>
      </c>
      <c r="E76" s="116" t="s">
        <v>1867</v>
      </c>
      <c r="F76" s="1" t="s">
        <v>158</v>
      </c>
      <c r="G76" s="1" t="s">
        <v>22</v>
      </c>
      <c r="H76" s="61">
        <v>33014</v>
      </c>
      <c r="I76" s="1" t="s">
        <v>177</v>
      </c>
      <c r="J76" s="1" t="s">
        <v>354</v>
      </c>
      <c r="K76" s="1" t="s">
        <v>1868</v>
      </c>
      <c r="L76" s="119">
        <v>0</v>
      </c>
      <c r="M76" s="117" t="s">
        <v>1869</v>
      </c>
      <c r="N76" s="119">
        <v>0</v>
      </c>
      <c r="O76" s="118">
        <v>0</v>
      </c>
      <c r="P76" s="119">
        <v>0</v>
      </c>
      <c r="Q76" s="118">
        <v>0</v>
      </c>
      <c r="R76" s="1" t="s">
        <v>357</v>
      </c>
      <c r="S76" s="1" t="s">
        <v>206</v>
      </c>
      <c r="T76" s="1" t="s">
        <v>1136</v>
      </c>
      <c r="U76" s="1" t="s">
        <v>197</v>
      </c>
      <c r="V76" s="1" t="s">
        <v>357</v>
      </c>
      <c r="W76" s="1" t="s">
        <v>208</v>
      </c>
      <c r="X76" s="1" t="s">
        <v>1645</v>
      </c>
      <c r="Y76" s="1" t="s">
        <v>1102</v>
      </c>
      <c r="Z76" s="1" t="s">
        <v>206</v>
      </c>
      <c r="AA76" s="1" t="s">
        <v>206</v>
      </c>
      <c r="AB76" s="1" t="s">
        <v>206</v>
      </c>
      <c r="AC76" s="1" t="s">
        <v>238</v>
      </c>
      <c r="AD76" s="1" t="s">
        <v>1102</v>
      </c>
      <c r="AE76" s="1" t="s">
        <v>208</v>
      </c>
      <c r="AF76" s="1" t="s">
        <v>208</v>
      </c>
      <c r="AG76" s="1" t="s">
        <v>1102</v>
      </c>
      <c r="AH76" s="1" t="s">
        <v>208</v>
      </c>
      <c r="AI76" s="120" t="s">
        <v>227</v>
      </c>
    </row>
    <row x14ac:dyDescent="0.25" r="77" customHeight="1" ht="17.25">
      <c r="A77" s="1" t="s">
        <v>1391</v>
      </c>
      <c r="B77" s="61" t="s">
        <v>1392</v>
      </c>
      <c r="C77" s="1" t="s">
        <v>114</v>
      </c>
      <c r="D77" s="1" t="s">
        <v>51</v>
      </c>
      <c r="E77" s="116" t="s">
        <v>1393</v>
      </c>
      <c r="F77" s="1" t="s">
        <v>158</v>
      </c>
      <c r="G77" s="1" t="s">
        <v>170</v>
      </c>
      <c r="H77" s="61">
        <v>31178</v>
      </c>
      <c r="I77" s="1" t="s">
        <v>175</v>
      </c>
      <c r="J77" s="1" t="s">
        <v>517</v>
      </c>
      <c r="K77" s="1" t="s">
        <v>1394</v>
      </c>
      <c r="L77" s="117" t="s">
        <v>1395</v>
      </c>
      <c r="M77" s="117" t="s">
        <v>1396</v>
      </c>
      <c r="N77" s="119">
        <v>0</v>
      </c>
      <c r="O77" s="118">
        <v>0</v>
      </c>
      <c r="P77" s="119">
        <v>0</v>
      </c>
      <c r="Q77" s="118">
        <v>0</v>
      </c>
      <c r="R77" s="1" t="s">
        <v>357</v>
      </c>
      <c r="S77" s="1" t="s">
        <v>206</v>
      </c>
      <c r="T77" s="1" t="s">
        <v>358</v>
      </c>
      <c r="U77" s="1" t="s">
        <v>197</v>
      </c>
      <c r="V77" s="1" t="s">
        <v>357</v>
      </c>
      <c r="W77" s="1" t="s">
        <v>208</v>
      </c>
      <c r="X77" s="1" t="s">
        <v>206</v>
      </c>
      <c r="Y77" s="1" t="s">
        <v>441</v>
      </c>
      <c r="Z77" s="1" t="s">
        <v>206</v>
      </c>
      <c r="AA77" s="1" t="s">
        <v>206</v>
      </c>
      <c r="AB77" s="1" t="s">
        <v>206</v>
      </c>
      <c r="AC77" s="1" t="s">
        <v>206</v>
      </c>
      <c r="AD77" s="1" t="s">
        <v>441</v>
      </c>
      <c r="AE77" s="1" t="s">
        <v>208</v>
      </c>
      <c r="AF77" s="1" t="s">
        <v>208</v>
      </c>
      <c r="AG77" s="1" t="s">
        <v>441</v>
      </c>
      <c r="AH77" s="1" t="s">
        <v>208</v>
      </c>
      <c r="AI77" s="120" t="s">
        <v>227</v>
      </c>
    </row>
    <row x14ac:dyDescent="0.25" r="78" customHeight="1" ht="17.25">
      <c r="A78" s="1" t="s">
        <v>1496</v>
      </c>
      <c r="B78" s="61" t="s">
        <v>876</v>
      </c>
      <c r="C78" s="1" t="s">
        <v>114</v>
      </c>
      <c r="D78" s="1" t="s">
        <v>51</v>
      </c>
      <c r="E78" s="116" t="s">
        <v>1497</v>
      </c>
      <c r="F78" s="1" t="s">
        <v>158</v>
      </c>
      <c r="G78" s="1" t="s">
        <v>22</v>
      </c>
      <c r="H78" s="61">
        <v>35947</v>
      </c>
      <c r="I78" s="1" t="s">
        <v>176</v>
      </c>
      <c r="J78" s="1" t="s">
        <v>354</v>
      </c>
      <c r="K78" s="1" t="s">
        <v>1498</v>
      </c>
      <c r="L78" s="117" t="s">
        <v>1499</v>
      </c>
      <c r="M78" s="117" t="s">
        <v>1500</v>
      </c>
      <c r="N78" s="119">
        <v>0</v>
      </c>
      <c r="O78" s="118">
        <v>0</v>
      </c>
      <c r="P78" s="119">
        <v>0</v>
      </c>
      <c r="Q78" s="118">
        <v>0</v>
      </c>
      <c r="R78" s="1" t="s">
        <v>357</v>
      </c>
      <c r="S78" s="1" t="s">
        <v>206</v>
      </c>
      <c r="T78" s="1" t="s">
        <v>520</v>
      </c>
      <c r="U78" s="1" t="s">
        <v>197</v>
      </c>
      <c r="V78" s="1" t="s">
        <v>357</v>
      </c>
      <c r="W78" s="1" t="s">
        <v>208</v>
      </c>
      <c r="X78" s="1" t="s">
        <v>374</v>
      </c>
      <c r="Y78" s="1" t="s">
        <v>1501</v>
      </c>
      <c r="Z78" s="1" t="s">
        <v>206</v>
      </c>
      <c r="AA78" s="1" t="s">
        <v>212</v>
      </c>
      <c r="AB78" s="1" t="s">
        <v>206</v>
      </c>
      <c r="AC78" s="1" t="s">
        <v>206</v>
      </c>
      <c r="AD78" s="1" t="s">
        <v>441</v>
      </c>
      <c r="AE78" s="1" t="s">
        <v>208</v>
      </c>
      <c r="AF78" s="1" t="s">
        <v>208</v>
      </c>
      <c r="AG78" s="1" t="s">
        <v>441</v>
      </c>
      <c r="AH78" s="1" t="s">
        <v>208</v>
      </c>
      <c r="AI78" s="120" t="s">
        <v>227</v>
      </c>
    </row>
    <row x14ac:dyDescent="0.25" r="79" customHeight="1" ht="17.25">
      <c r="A79" s="1" t="s">
        <v>2444</v>
      </c>
      <c r="B79" s="61" t="s">
        <v>1673</v>
      </c>
      <c r="C79" s="1" t="s">
        <v>120</v>
      </c>
      <c r="D79" s="1" t="s">
        <v>52</v>
      </c>
      <c r="E79" s="116" t="s">
        <v>2445</v>
      </c>
      <c r="F79" s="1" t="s">
        <v>158</v>
      </c>
      <c r="G79" s="1" t="s">
        <v>170</v>
      </c>
      <c r="H79" s="61">
        <v>31363</v>
      </c>
      <c r="I79" s="1" t="s">
        <v>176</v>
      </c>
      <c r="J79" s="1" t="s">
        <v>464</v>
      </c>
      <c r="K79" s="1" t="s">
        <v>716</v>
      </c>
      <c r="L79" s="119">
        <v>0</v>
      </c>
      <c r="M79" s="117" t="s">
        <v>636</v>
      </c>
      <c r="N79" s="119">
        <v>0</v>
      </c>
      <c r="O79" s="118">
        <v>0</v>
      </c>
      <c r="P79" s="119">
        <v>0</v>
      </c>
      <c r="Q79" s="118">
        <v>0</v>
      </c>
      <c r="R79" s="1" t="s">
        <v>357</v>
      </c>
      <c r="S79" s="1" t="s">
        <v>206</v>
      </c>
      <c r="T79" s="1" t="s">
        <v>358</v>
      </c>
      <c r="U79" s="1" t="s">
        <v>200</v>
      </c>
      <c r="V79" s="1" t="s">
        <v>2285</v>
      </c>
      <c r="W79" s="1" t="s">
        <v>208</v>
      </c>
      <c r="X79" s="1" t="s">
        <v>208</v>
      </c>
      <c r="Y79" s="1" t="s">
        <v>208</v>
      </c>
      <c r="Z79" s="1" t="s">
        <v>208</v>
      </c>
      <c r="AA79" s="1" t="s">
        <v>208</v>
      </c>
      <c r="AB79" s="1" t="s">
        <v>208</v>
      </c>
      <c r="AC79" s="1" t="s">
        <v>208</v>
      </c>
      <c r="AD79" s="1" t="s">
        <v>208</v>
      </c>
      <c r="AE79" s="1" t="s">
        <v>206</v>
      </c>
      <c r="AF79" s="1" t="s">
        <v>208</v>
      </c>
      <c r="AG79" s="1" t="s">
        <v>208</v>
      </c>
      <c r="AH79" s="1" t="s">
        <v>208</v>
      </c>
      <c r="AI79" s="1" t="s">
        <v>208</v>
      </c>
    </row>
    <row x14ac:dyDescent="0.25" r="80" customHeight="1" ht="17.25">
      <c r="A80" s="1" t="s">
        <v>2255</v>
      </c>
      <c r="B80" s="61" t="s">
        <v>1422</v>
      </c>
      <c r="C80" s="1" t="s">
        <v>120</v>
      </c>
      <c r="D80" s="1" t="s">
        <v>52</v>
      </c>
      <c r="E80" s="116" t="s">
        <v>2256</v>
      </c>
      <c r="F80" s="1" t="s">
        <v>158</v>
      </c>
      <c r="G80" s="1" t="s">
        <v>22</v>
      </c>
      <c r="H80" s="61">
        <v>29831</v>
      </c>
      <c r="I80" s="1" t="s">
        <v>175</v>
      </c>
      <c r="J80" s="1" t="s">
        <v>517</v>
      </c>
      <c r="K80" s="1" t="s">
        <v>2257</v>
      </c>
      <c r="L80" s="119">
        <v>0</v>
      </c>
      <c r="M80" s="117" t="s">
        <v>2258</v>
      </c>
      <c r="N80" s="119">
        <v>0</v>
      </c>
      <c r="O80" s="118">
        <v>0</v>
      </c>
      <c r="P80" s="119">
        <v>0</v>
      </c>
      <c r="Q80" s="118">
        <v>0</v>
      </c>
      <c r="R80" s="1" t="s">
        <v>357</v>
      </c>
      <c r="S80" s="1" t="s">
        <v>206</v>
      </c>
      <c r="T80" s="1" t="s">
        <v>1206</v>
      </c>
      <c r="U80" s="1" t="s">
        <v>197</v>
      </c>
      <c r="V80" s="1" t="s">
        <v>357</v>
      </c>
      <c r="W80" s="1" t="s">
        <v>208</v>
      </c>
      <c r="X80" s="1" t="s">
        <v>385</v>
      </c>
      <c r="Y80" s="1" t="s">
        <v>2259</v>
      </c>
      <c r="Z80" s="1" t="s">
        <v>206</v>
      </c>
      <c r="AA80" s="1" t="s">
        <v>206</v>
      </c>
      <c r="AB80" s="1" t="s">
        <v>206</v>
      </c>
      <c r="AC80" s="1" t="s">
        <v>206</v>
      </c>
      <c r="AD80" s="1" t="s">
        <v>2259</v>
      </c>
      <c r="AE80" s="1" t="s">
        <v>208</v>
      </c>
      <c r="AF80" s="1" t="s">
        <v>208</v>
      </c>
      <c r="AG80" s="1" t="s">
        <v>2259</v>
      </c>
      <c r="AH80" s="1" t="s">
        <v>208</v>
      </c>
      <c r="AI80" s="120" t="s">
        <v>227</v>
      </c>
    </row>
    <row x14ac:dyDescent="0.25" r="81" customHeight="1" ht="17.25">
      <c r="A81" s="1" t="s">
        <v>2242</v>
      </c>
      <c r="B81" s="61" t="s">
        <v>1006</v>
      </c>
      <c r="C81" s="1" t="s">
        <v>150</v>
      </c>
      <c r="D81" s="1" t="s">
        <v>52</v>
      </c>
      <c r="E81" s="116" t="s">
        <v>2243</v>
      </c>
      <c r="F81" s="1" t="s">
        <v>158</v>
      </c>
      <c r="G81" s="1" t="s">
        <v>22</v>
      </c>
      <c r="H81" s="61">
        <v>32372</v>
      </c>
      <c r="I81" s="1" t="s">
        <v>176</v>
      </c>
      <c r="J81" s="1" t="s">
        <v>517</v>
      </c>
      <c r="K81" s="1" t="s">
        <v>2244</v>
      </c>
      <c r="L81" s="117" t="s">
        <v>2245</v>
      </c>
      <c r="M81" s="117" t="s">
        <v>2246</v>
      </c>
      <c r="N81" s="117" t="s">
        <v>2247</v>
      </c>
      <c r="O81" s="118">
        <v>0</v>
      </c>
      <c r="P81" s="119">
        <v>0</v>
      </c>
      <c r="Q81" s="118">
        <v>0</v>
      </c>
      <c r="R81" s="1" t="s">
        <v>357</v>
      </c>
      <c r="S81" s="1" t="s">
        <v>372</v>
      </c>
      <c r="T81" s="1" t="s">
        <v>422</v>
      </c>
      <c r="U81" s="1" t="s">
        <v>198</v>
      </c>
      <c r="V81" s="1" t="s">
        <v>357</v>
      </c>
      <c r="W81" s="1" t="s">
        <v>206</v>
      </c>
      <c r="X81" s="1" t="s">
        <v>847</v>
      </c>
      <c r="Y81" s="1" t="s">
        <v>386</v>
      </c>
      <c r="Z81" s="1" t="s">
        <v>207</v>
      </c>
      <c r="AA81" s="1" t="s">
        <v>206</v>
      </c>
      <c r="AB81" s="1" t="s">
        <v>30</v>
      </c>
      <c r="AC81" s="1" t="s">
        <v>238</v>
      </c>
      <c r="AD81" s="1" t="s">
        <v>2233</v>
      </c>
      <c r="AE81" s="1" t="s">
        <v>208</v>
      </c>
      <c r="AF81" s="1" t="s">
        <v>208</v>
      </c>
      <c r="AG81" s="1" t="s">
        <v>2233</v>
      </c>
      <c r="AH81" s="1" t="s">
        <v>208</v>
      </c>
      <c r="AI81" s="120" t="s">
        <v>227</v>
      </c>
    </row>
    <row x14ac:dyDescent="0.25" r="82" customHeight="1" ht="17.25">
      <c r="A82" s="1" t="s">
        <v>2331</v>
      </c>
      <c r="B82" s="61" t="s">
        <v>2332</v>
      </c>
      <c r="C82" s="1" t="s">
        <v>120</v>
      </c>
      <c r="D82" s="1" t="s">
        <v>52</v>
      </c>
      <c r="E82" s="116" t="s">
        <v>2333</v>
      </c>
      <c r="F82" s="1" t="s">
        <v>158</v>
      </c>
      <c r="G82" s="1" t="s">
        <v>22</v>
      </c>
      <c r="H82" s="61">
        <v>34694</v>
      </c>
      <c r="I82" s="1" t="s">
        <v>176</v>
      </c>
      <c r="J82" s="1" t="s">
        <v>365</v>
      </c>
      <c r="K82" s="1" t="s">
        <v>2334</v>
      </c>
      <c r="L82" s="119">
        <v>0</v>
      </c>
      <c r="M82" s="117" t="s">
        <v>2335</v>
      </c>
      <c r="N82" s="119">
        <v>0</v>
      </c>
      <c r="O82" s="118">
        <v>0</v>
      </c>
      <c r="P82" s="119">
        <v>0</v>
      </c>
      <c r="Q82" s="118">
        <v>0</v>
      </c>
      <c r="R82" s="1" t="s">
        <v>357</v>
      </c>
      <c r="S82" s="1" t="s">
        <v>206</v>
      </c>
      <c r="T82" s="1" t="s">
        <v>867</v>
      </c>
      <c r="U82" s="1" t="s">
        <v>200</v>
      </c>
      <c r="V82" s="1" t="s">
        <v>2285</v>
      </c>
      <c r="W82" s="1" t="s">
        <v>208</v>
      </c>
      <c r="X82" s="1" t="s">
        <v>208</v>
      </c>
      <c r="Y82" s="1" t="s">
        <v>208</v>
      </c>
      <c r="Z82" s="1" t="s">
        <v>208</v>
      </c>
      <c r="AA82" s="1" t="s">
        <v>208</v>
      </c>
      <c r="AB82" s="1" t="s">
        <v>208</v>
      </c>
      <c r="AC82" s="1" t="s">
        <v>208</v>
      </c>
      <c r="AD82" s="1" t="s">
        <v>208</v>
      </c>
      <c r="AE82" s="1" t="s">
        <v>206</v>
      </c>
      <c r="AF82" s="1" t="s">
        <v>208</v>
      </c>
      <c r="AG82" s="1" t="s">
        <v>208</v>
      </c>
      <c r="AH82" s="1" t="s">
        <v>208</v>
      </c>
      <c r="AI82" s="1" t="s">
        <v>208</v>
      </c>
    </row>
    <row x14ac:dyDescent="0.25" r="83" customHeight="1" ht="17.25">
      <c r="A83" s="1" t="s">
        <v>2452</v>
      </c>
      <c r="B83" s="61" t="s">
        <v>1338</v>
      </c>
      <c r="C83" s="1" t="s">
        <v>90</v>
      </c>
      <c r="D83" s="1" t="s">
        <v>52</v>
      </c>
      <c r="E83" s="116" t="s">
        <v>2453</v>
      </c>
      <c r="F83" s="1" t="s">
        <v>161</v>
      </c>
      <c r="G83" s="1" t="s">
        <v>22</v>
      </c>
      <c r="H83" s="61">
        <v>35376</v>
      </c>
      <c r="I83" s="1" t="s">
        <v>175</v>
      </c>
      <c r="J83" s="1" t="s">
        <v>464</v>
      </c>
      <c r="K83" s="1" t="s">
        <v>2454</v>
      </c>
      <c r="L83" s="119">
        <v>0</v>
      </c>
      <c r="M83" s="117" t="s">
        <v>2092</v>
      </c>
      <c r="N83" s="119">
        <v>0</v>
      </c>
      <c r="O83" s="118">
        <v>0</v>
      </c>
      <c r="P83" s="119">
        <v>0</v>
      </c>
      <c r="Q83" s="118">
        <v>0</v>
      </c>
      <c r="R83" s="1" t="s">
        <v>357</v>
      </c>
      <c r="S83" s="1" t="s">
        <v>2123</v>
      </c>
      <c r="T83" s="1" t="s">
        <v>776</v>
      </c>
      <c r="U83" s="1" t="s">
        <v>200</v>
      </c>
      <c r="V83" s="1" t="s">
        <v>2285</v>
      </c>
      <c r="W83" s="1" t="s">
        <v>2455</v>
      </c>
      <c r="X83" s="1" t="s">
        <v>208</v>
      </c>
      <c r="Y83" s="1" t="s">
        <v>208</v>
      </c>
      <c r="Z83" s="1" t="s">
        <v>208</v>
      </c>
      <c r="AA83" s="1" t="s">
        <v>208</v>
      </c>
      <c r="AB83" s="1" t="s">
        <v>208</v>
      </c>
      <c r="AC83" s="1" t="s">
        <v>208</v>
      </c>
      <c r="AD83" s="1" t="s">
        <v>208</v>
      </c>
      <c r="AE83" s="1" t="s">
        <v>206</v>
      </c>
      <c r="AF83" s="1" t="s">
        <v>2456</v>
      </c>
      <c r="AG83" s="1" t="s">
        <v>2456</v>
      </c>
      <c r="AH83" s="1" t="s">
        <v>35</v>
      </c>
      <c r="AI83" s="1" t="s">
        <v>208</v>
      </c>
    </row>
    <row x14ac:dyDescent="0.25" r="84" customHeight="1" ht="17.25">
      <c r="A84" s="1" t="s">
        <v>2248</v>
      </c>
      <c r="B84" s="61" t="s">
        <v>2249</v>
      </c>
      <c r="C84" s="1" t="s">
        <v>120</v>
      </c>
      <c r="D84" s="1" t="s">
        <v>52</v>
      </c>
      <c r="E84" s="116" t="s">
        <v>2250</v>
      </c>
      <c r="F84" s="1" t="s">
        <v>158</v>
      </c>
      <c r="G84" s="1" t="s">
        <v>22</v>
      </c>
      <c r="H84" s="61">
        <v>32904</v>
      </c>
      <c r="I84" s="1" t="s">
        <v>175</v>
      </c>
      <c r="J84" s="1" t="s">
        <v>354</v>
      </c>
      <c r="K84" s="1" t="s">
        <v>2251</v>
      </c>
      <c r="L84" s="117" t="s">
        <v>2252</v>
      </c>
      <c r="M84" s="119">
        <v>0</v>
      </c>
      <c r="N84" s="119">
        <v>0</v>
      </c>
      <c r="O84" s="118">
        <v>0</v>
      </c>
      <c r="P84" s="119">
        <v>0</v>
      </c>
      <c r="Q84" s="118">
        <v>0</v>
      </c>
      <c r="R84" s="1" t="s">
        <v>357</v>
      </c>
      <c r="S84" s="1" t="s">
        <v>206</v>
      </c>
      <c r="T84" s="1" t="s">
        <v>2253</v>
      </c>
      <c r="U84" s="1" t="s">
        <v>197</v>
      </c>
      <c r="V84" s="1" t="s">
        <v>357</v>
      </c>
      <c r="W84" s="1" t="s">
        <v>208</v>
      </c>
      <c r="X84" s="1" t="s">
        <v>406</v>
      </c>
      <c r="Y84" s="1" t="s">
        <v>654</v>
      </c>
      <c r="Z84" s="1" t="s">
        <v>207</v>
      </c>
      <c r="AA84" s="1" t="s">
        <v>206</v>
      </c>
      <c r="AB84" s="1" t="s">
        <v>206</v>
      </c>
      <c r="AC84" s="1" t="s">
        <v>238</v>
      </c>
      <c r="AD84" s="1" t="s">
        <v>2254</v>
      </c>
      <c r="AE84" s="1" t="s">
        <v>208</v>
      </c>
      <c r="AF84" s="1" t="s">
        <v>208</v>
      </c>
      <c r="AG84" s="1" t="s">
        <v>2254</v>
      </c>
      <c r="AH84" s="1" t="s">
        <v>208</v>
      </c>
      <c r="AI84" s="120" t="s">
        <v>227</v>
      </c>
    </row>
    <row x14ac:dyDescent="0.25" r="85" customHeight="1" ht="17.25">
      <c r="A85" s="1" t="s">
        <v>2056</v>
      </c>
      <c r="B85" s="61">
        <v>42849</v>
      </c>
      <c r="C85" s="1" t="s">
        <v>128</v>
      </c>
      <c r="D85" s="1" t="s">
        <v>52</v>
      </c>
      <c r="E85" s="1" t="s">
        <v>2057</v>
      </c>
      <c r="F85" s="1" t="s">
        <v>158</v>
      </c>
      <c r="G85" s="1" t="s">
        <v>22</v>
      </c>
      <c r="H85" s="61">
        <v>34241</v>
      </c>
      <c r="I85" s="1" t="s">
        <v>177</v>
      </c>
      <c r="J85" s="1" t="s">
        <v>365</v>
      </c>
      <c r="K85" s="1" t="s">
        <v>1675</v>
      </c>
      <c r="L85" s="117" t="s">
        <v>2058</v>
      </c>
      <c r="M85" s="117" t="s">
        <v>2059</v>
      </c>
      <c r="N85" s="119">
        <v>0</v>
      </c>
      <c r="O85" s="118">
        <v>0</v>
      </c>
      <c r="P85" s="119">
        <v>0</v>
      </c>
      <c r="Q85" s="118">
        <v>0</v>
      </c>
      <c r="R85" s="1" t="s">
        <v>357</v>
      </c>
      <c r="S85" s="1" t="s">
        <v>206</v>
      </c>
      <c r="T85" s="1" t="s">
        <v>430</v>
      </c>
      <c r="U85" s="1" t="s">
        <v>197</v>
      </c>
      <c r="V85" s="1" t="s">
        <v>357</v>
      </c>
      <c r="W85" s="1" t="s">
        <v>208</v>
      </c>
      <c r="X85" s="1" t="s">
        <v>847</v>
      </c>
      <c r="Y85" s="1" t="s">
        <v>492</v>
      </c>
      <c r="Z85" s="1" t="s">
        <v>207</v>
      </c>
      <c r="AA85" s="1" t="s">
        <v>206</v>
      </c>
      <c r="AB85" s="1" t="s">
        <v>206</v>
      </c>
      <c r="AC85" s="1" t="s">
        <v>206</v>
      </c>
      <c r="AD85" s="1" t="s">
        <v>2038</v>
      </c>
      <c r="AE85" s="1" t="s">
        <v>208</v>
      </c>
      <c r="AF85" s="1" t="s">
        <v>208</v>
      </c>
      <c r="AG85" s="1" t="s">
        <v>2038</v>
      </c>
      <c r="AH85" s="1" t="s">
        <v>208</v>
      </c>
      <c r="AI85" s="120" t="s">
        <v>227</v>
      </c>
    </row>
    <row x14ac:dyDescent="0.25" r="86" customHeight="1" ht="17.25">
      <c r="A86" s="1" t="s">
        <v>1966</v>
      </c>
      <c r="B86" s="61" t="s">
        <v>1967</v>
      </c>
      <c r="C86" s="1" t="s">
        <v>128</v>
      </c>
      <c r="D86" s="1" t="s">
        <v>52</v>
      </c>
      <c r="E86" s="1" t="s">
        <v>1968</v>
      </c>
      <c r="F86" s="1" t="s">
        <v>164</v>
      </c>
      <c r="G86" s="1" t="s">
        <v>170</v>
      </c>
      <c r="H86" s="61">
        <v>27765</v>
      </c>
      <c r="I86" s="1" t="s">
        <v>177</v>
      </c>
      <c r="J86" s="1" t="s">
        <v>517</v>
      </c>
      <c r="K86" s="1" t="s">
        <v>1969</v>
      </c>
      <c r="L86" s="119">
        <v>0</v>
      </c>
      <c r="M86" s="117" t="s">
        <v>1970</v>
      </c>
      <c r="N86" s="119">
        <v>0</v>
      </c>
      <c r="O86" s="118">
        <v>0</v>
      </c>
      <c r="P86" s="119">
        <v>0</v>
      </c>
      <c r="Q86" s="118">
        <v>0</v>
      </c>
      <c r="R86" s="1" t="s">
        <v>371</v>
      </c>
      <c r="S86" s="1" t="s">
        <v>206</v>
      </c>
      <c r="T86" s="1" t="s">
        <v>1971</v>
      </c>
      <c r="U86" s="1" t="s">
        <v>198</v>
      </c>
      <c r="V86" s="1" t="s">
        <v>357</v>
      </c>
      <c r="W86" s="1" t="s">
        <v>208</v>
      </c>
      <c r="X86" s="1" t="s">
        <v>847</v>
      </c>
      <c r="Y86" s="1" t="s">
        <v>1374</v>
      </c>
      <c r="Z86" s="1" t="s">
        <v>206</v>
      </c>
      <c r="AA86" s="1" t="s">
        <v>28</v>
      </c>
      <c r="AB86" s="1" t="s">
        <v>32</v>
      </c>
      <c r="AC86" s="1" t="s">
        <v>206</v>
      </c>
      <c r="AD86" s="1" t="s">
        <v>1972</v>
      </c>
      <c r="AE86" s="1" t="s">
        <v>208</v>
      </c>
      <c r="AF86" s="1" t="s">
        <v>208</v>
      </c>
      <c r="AG86" s="1" t="s">
        <v>1972</v>
      </c>
      <c r="AH86" s="1" t="s">
        <v>208</v>
      </c>
      <c r="AI86" s="120" t="s">
        <v>227</v>
      </c>
    </row>
    <row x14ac:dyDescent="0.25" r="87" customHeight="1" ht="17.25">
      <c r="A87" s="1" t="s">
        <v>1966</v>
      </c>
      <c r="B87" s="61" t="s">
        <v>1967</v>
      </c>
      <c r="C87" s="1" t="s">
        <v>128</v>
      </c>
      <c r="D87" s="1" t="s">
        <v>52</v>
      </c>
      <c r="E87" s="1" t="s">
        <v>2218</v>
      </c>
      <c r="F87" s="1" t="s">
        <v>164</v>
      </c>
      <c r="G87" s="1" t="s">
        <v>22</v>
      </c>
      <c r="H87" s="61">
        <v>27590</v>
      </c>
      <c r="I87" s="1" t="s">
        <v>177</v>
      </c>
      <c r="J87" s="1" t="s">
        <v>354</v>
      </c>
      <c r="K87" s="1" t="s">
        <v>1969</v>
      </c>
      <c r="L87" s="119">
        <v>0</v>
      </c>
      <c r="M87" s="117" t="s">
        <v>1970</v>
      </c>
      <c r="N87" s="119">
        <v>0</v>
      </c>
      <c r="O87" s="118">
        <v>0</v>
      </c>
      <c r="P87" s="119">
        <v>0</v>
      </c>
      <c r="Q87" s="118">
        <v>0</v>
      </c>
      <c r="R87" s="1" t="s">
        <v>371</v>
      </c>
      <c r="S87" s="1" t="s">
        <v>206</v>
      </c>
      <c r="T87" s="1" t="s">
        <v>2219</v>
      </c>
      <c r="U87" s="1" t="s">
        <v>198</v>
      </c>
      <c r="V87" s="1" t="s">
        <v>357</v>
      </c>
      <c r="W87" s="1" t="s">
        <v>208</v>
      </c>
      <c r="X87" s="1" t="s">
        <v>847</v>
      </c>
      <c r="Y87" s="1" t="s">
        <v>1374</v>
      </c>
      <c r="Z87" s="1" t="s">
        <v>206</v>
      </c>
      <c r="AA87" s="1" t="s">
        <v>28</v>
      </c>
      <c r="AB87" s="1" t="s">
        <v>32</v>
      </c>
      <c r="AC87" s="1" t="s">
        <v>206</v>
      </c>
      <c r="AD87" s="1" t="s">
        <v>2220</v>
      </c>
      <c r="AE87" s="1" t="s">
        <v>208</v>
      </c>
      <c r="AF87" s="1" t="s">
        <v>208</v>
      </c>
      <c r="AG87" s="1" t="s">
        <v>2220</v>
      </c>
      <c r="AH87" s="1" t="s">
        <v>208</v>
      </c>
      <c r="AI87" s="120" t="s">
        <v>227</v>
      </c>
    </row>
    <row x14ac:dyDescent="0.25" r="88" customHeight="1" ht="17.25">
      <c r="A88" s="120" t="s">
        <v>1414</v>
      </c>
      <c r="B88" s="61">
        <v>42913</v>
      </c>
      <c r="C88" s="1" t="s">
        <v>95</v>
      </c>
      <c r="D88" s="120" t="s">
        <v>53</v>
      </c>
      <c r="E88" s="1" t="s">
        <v>1418</v>
      </c>
      <c r="F88" s="1" t="s">
        <v>158</v>
      </c>
      <c r="G88" s="120" t="s">
        <v>22</v>
      </c>
      <c r="H88" s="61">
        <v>34342</v>
      </c>
      <c r="I88" s="120" t="s">
        <v>176</v>
      </c>
      <c r="J88" s="120" t="s">
        <v>365</v>
      </c>
      <c r="K88" s="120" t="s">
        <v>1419</v>
      </c>
      <c r="L88" s="117" t="s">
        <v>1416</v>
      </c>
      <c r="M88" s="117" t="s">
        <v>1417</v>
      </c>
      <c r="N88" s="119">
        <v>0</v>
      </c>
      <c r="O88" s="118">
        <v>0</v>
      </c>
      <c r="P88" s="119">
        <v>0</v>
      </c>
      <c r="Q88" s="118">
        <v>0</v>
      </c>
      <c r="R88" s="1" t="s">
        <v>371</v>
      </c>
      <c r="S88" s="120" t="s">
        <v>206</v>
      </c>
      <c r="T88" s="120" t="s">
        <v>1420</v>
      </c>
      <c r="U88" s="120" t="s">
        <v>197</v>
      </c>
      <c r="V88" s="1" t="s">
        <v>371</v>
      </c>
      <c r="W88" s="120" t="s">
        <v>208</v>
      </c>
      <c r="X88" s="120" t="s">
        <v>206</v>
      </c>
      <c r="Y88" s="120" t="s">
        <v>441</v>
      </c>
      <c r="Z88" s="120" t="s">
        <v>206</v>
      </c>
      <c r="AA88" s="120" t="s">
        <v>206</v>
      </c>
      <c r="AB88" s="120" t="s">
        <v>206</v>
      </c>
      <c r="AC88" s="1" t="s">
        <v>206</v>
      </c>
      <c r="AD88" s="120" t="s">
        <v>441</v>
      </c>
      <c r="AE88" s="120" t="s">
        <v>1101</v>
      </c>
      <c r="AF88" s="120" t="s">
        <v>208</v>
      </c>
      <c r="AG88" s="120" t="s">
        <v>360</v>
      </c>
      <c r="AH88" s="1" t="s">
        <v>208</v>
      </c>
      <c r="AI88" s="120" t="s">
        <v>227</v>
      </c>
    </row>
    <row x14ac:dyDescent="0.25" r="89" customHeight="1" ht="17.25">
      <c r="A89" s="120" t="s">
        <v>1414</v>
      </c>
      <c r="B89" s="61">
        <v>42913</v>
      </c>
      <c r="C89" s="1" t="s">
        <v>95</v>
      </c>
      <c r="D89" s="120" t="s">
        <v>53</v>
      </c>
      <c r="E89" s="1" t="s">
        <v>1415</v>
      </c>
      <c r="F89" s="1" t="s">
        <v>158</v>
      </c>
      <c r="G89" s="120" t="s">
        <v>22</v>
      </c>
      <c r="H89" s="61">
        <v>35563</v>
      </c>
      <c r="I89" s="120" t="s">
        <v>176</v>
      </c>
      <c r="J89" s="120" t="s">
        <v>365</v>
      </c>
      <c r="K89" s="120" t="s">
        <v>1242</v>
      </c>
      <c r="L89" s="117" t="s">
        <v>1416</v>
      </c>
      <c r="M89" s="117" t="s">
        <v>1417</v>
      </c>
      <c r="N89" s="119">
        <v>0</v>
      </c>
      <c r="O89" s="118">
        <v>0</v>
      </c>
      <c r="P89" s="119">
        <v>0</v>
      </c>
      <c r="Q89" s="118">
        <v>0</v>
      </c>
      <c r="R89" s="1" t="s">
        <v>371</v>
      </c>
      <c r="S89" s="120" t="s">
        <v>206</v>
      </c>
      <c r="T89" s="120" t="s">
        <v>455</v>
      </c>
      <c r="U89" s="120" t="s">
        <v>197</v>
      </c>
      <c r="V89" s="1" t="s">
        <v>371</v>
      </c>
      <c r="W89" s="120" t="s">
        <v>208</v>
      </c>
      <c r="X89" s="120" t="s">
        <v>206</v>
      </c>
      <c r="Y89" s="120" t="s">
        <v>441</v>
      </c>
      <c r="Z89" s="120" t="s">
        <v>206</v>
      </c>
      <c r="AA89" s="120" t="s">
        <v>206</v>
      </c>
      <c r="AB89" s="120" t="s">
        <v>206</v>
      </c>
      <c r="AC89" s="1" t="s">
        <v>206</v>
      </c>
      <c r="AD89" s="120" t="s">
        <v>441</v>
      </c>
      <c r="AE89" s="120" t="s">
        <v>1101</v>
      </c>
      <c r="AF89" s="120" t="s">
        <v>208</v>
      </c>
      <c r="AG89" s="120" t="s">
        <v>360</v>
      </c>
      <c r="AH89" s="1" t="s">
        <v>208</v>
      </c>
      <c r="AI89" s="120" t="s">
        <v>227</v>
      </c>
    </row>
    <row x14ac:dyDescent="0.25" r="90" customHeight="1" ht="17.25">
      <c r="A90" s="120" t="s">
        <v>1828</v>
      </c>
      <c r="B90" s="61">
        <v>42878</v>
      </c>
      <c r="C90" s="1" t="s">
        <v>95</v>
      </c>
      <c r="D90" s="120" t="s">
        <v>53</v>
      </c>
      <c r="E90" s="1" t="s">
        <v>1829</v>
      </c>
      <c r="F90" s="1" t="s">
        <v>158</v>
      </c>
      <c r="G90" s="120" t="s">
        <v>22</v>
      </c>
      <c r="H90" s="61">
        <v>28902</v>
      </c>
      <c r="I90" s="120" t="s">
        <v>177</v>
      </c>
      <c r="J90" s="120" t="s">
        <v>354</v>
      </c>
      <c r="K90" s="120" t="s">
        <v>1830</v>
      </c>
      <c r="L90" s="117" t="s">
        <v>1831</v>
      </c>
      <c r="M90" s="117" t="s">
        <v>1832</v>
      </c>
      <c r="N90" s="117" t="s">
        <v>1833</v>
      </c>
      <c r="O90" s="118">
        <v>0</v>
      </c>
      <c r="P90" s="119">
        <v>0</v>
      </c>
      <c r="Q90" s="118">
        <v>0</v>
      </c>
      <c r="R90" s="1" t="s">
        <v>357</v>
      </c>
      <c r="S90" s="120" t="s">
        <v>206</v>
      </c>
      <c r="T90" s="120" t="s">
        <v>1834</v>
      </c>
      <c r="U90" s="120" t="s">
        <v>197</v>
      </c>
      <c r="V90" s="1" t="s">
        <v>357</v>
      </c>
      <c r="W90" s="120" t="s">
        <v>208</v>
      </c>
      <c r="X90" s="120" t="s">
        <v>206</v>
      </c>
      <c r="Y90" s="120" t="s">
        <v>441</v>
      </c>
      <c r="Z90" s="1" t="s">
        <v>207</v>
      </c>
      <c r="AA90" s="120" t="s">
        <v>206</v>
      </c>
      <c r="AB90" s="120" t="s">
        <v>206</v>
      </c>
      <c r="AC90" s="1" t="s">
        <v>238</v>
      </c>
      <c r="AD90" s="120" t="s">
        <v>492</v>
      </c>
      <c r="AE90" s="120" t="s">
        <v>208</v>
      </c>
      <c r="AF90" s="120" t="s">
        <v>208</v>
      </c>
      <c r="AG90" s="120" t="s">
        <v>492</v>
      </c>
      <c r="AH90" s="1" t="s">
        <v>208</v>
      </c>
      <c r="AI90" s="120" t="s">
        <v>227</v>
      </c>
    </row>
    <row x14ac:dyDescent="0.25" r="91" customHeight="1" ht="17.25">
      <c r="A91" s="120" t="s">
        <v>462</v>
      </c>
      <c r="B91" s="61">
        <v>43017</v>
      </c>
      <c r="C91" s="1" t="s">
        <v>83</v>
      </c>
      <c r="D91" s="120" t="s">
        <v>53</v>
      </c>
      <c r="E91" s="1" t="s">
        <v>463</v>
      </c>
      <c r="F91" s="120" t="s">
        <v>166</v>
      </c>
      <c r="G91" s="120" t="s">
        <v>170</v>
      </c>
      <c r="H91" s="122">
        <v>25190</v>
      </c>
      <c r="I91" s="120" t="s">
        <v>176</v>
      </c>
      <c r="J91" s="120" t="s">
        <v>464</v>
      </c>
      <c r="K91" s="120" t="s">
        <v>465</v>
      </c>
      <c r="L91" s="117" t="s">
        <v>466</v>
      </c>
      <c r="M91" s="119">
        <v>0</v>
      </c>
      <c r="N91" s="117" t="s">
        <v>467</v>
      </c>
      <c r="O91" s="118">
        <v>0</v>
      </c>
      <c r="P91" s="119">
        <v>0</v>
      </c>
      <c r="Q91" s="118">
        <v>0</v>
      </c>
      <c r="R91" s="1" t="s">
        <v>371</v>
      </c>
      <c r="S91" s="120" t="s">
        <v>206</v>
      </c>
      <c r="T91" s="120" t="s">
        <v>468</v>
      </c>
      <c r="U91" s="120" t="s">
        <v>469</v>
      </c>
      <c r="V91" s="1" t="s">
        <v>357</v>
      </c>
      <c r="W91" s="120" t="s">
        <v>208</v>
      </c>
      <c r="X91" s="120" t="s">
        <v>206</v>
      </c>
      <c r="Y91" s="120" t="s">
        <v>441</v>
      </c>
      <c r="Z91" s="120" t="s">
        <v>206</v>
      </c>
      <c r="AA91" s="120" t="s">
        <v>206</v>
      </c>
      <c r="AB91" s="1" t="s">
        <v>34</v>
      </c>
      <c r="AC91" s="1" t="s">
        <v>236</v>
      </c>
      <c r="AD91" s="120" t="s">
        <v>433</v>
      </c>
      <c r="AE91" s="120" t="s">
        <v>208</v>
      </c>
      <c r="AF91" s="120" t="s">
        <v>208</v>
      </c>
      <c r="AG91" s="120" t="s">
        <v>433</v>
      </c>
      <c r="AH91" s="1" t="s">
        <v>35</v>
      </c>
      <c r="AI91" s="1" t="s">
        <v>208</v>
      </c>
    </row>
    <row x14ac:dyDescent="0.25" r="92" customHeight="1" ht="17.25">
      <c r="A92" s="120" t="s">
        <v>462</v>
      </c>
      <c r="B92" s="61">
        <v>43017</v>
      </c>
      <c r="C92" s="1" t="s">
        <v>83</v>
      </c>
      <c r="D92" s="120" t="s">
        <v>53</v>
      </c>
      <c r="E92" s="1" t="s">
        <v>2471</v>
      </c>
      <c r="F92" s="120" t="s">
        <v>166</v>
      </c>
      <c r="G92" s="120" t="s">
        <v>22</v>
      </c>
      <c r="H92" s="61" t="s">
        <v>2472</v>
      </c>
      <c r="I92" s="120" t="s">
        <v>176</v>
      </c>
      <c r="J92" s="120" t="s">
        <v>365</v>
      </c>
      <c r="K92" s="120" t="s">
        <v>366</v>
      </c>
      <c r="L92" s="117" t="s">
        <v>466</v>
      </c>
      <c r="M92" s="119">
        <v>0</v>
      </c>
      <c r="N92" s="117" t="s">
        <v>467</v>
      </c>
      <c r="O92" s="118">
        <v>0</v>
      </c>
      <c r="P92" s="119">
        <v>0</v>
      </c>
      <c r="Q92" s="118">
        <v>0</v>
      </c>
      <c r="R92" s="1" t="s">
        <v>371</v>
      </c>
      <c r="S92" s="120" t="s">
        <v>206</v>
      </c>
      <c r="T92" s="120" t="s">
        <v>555</v>
      </c>
      <c r="U92" s="120" t="s">
        <v>200</v>
      </c>
      <c r="V92" s="1" t="s">
        <v>2285</v>
      </c>
      <c r="W92" s="120" t="s">
        <v>208</v>
      </c>
      <c r="X92" s="120" t="s">
        <v>208</v>
      </c>
      <c r="Y92" s="120" t="s">
        <v>208</v>
      </c>
      <c r="Z92" s="120" t="s">
        <v>208</v>
      </c>
      <c r="AA92" s="120" t="s">
        <v>208</v>
      </c>
      <c r="AB92" s="120" t="s">
        <v>208</v>
      </c>
      <c r="AC92" s="120" t="s">
        <v>208</v>
      </c>
      <c r="AD92" s="120" t="s">
        <v>208</v>
      </c>
      <c r="AE92" s="1" t="s">
        <v>206</v>
      </c>
      <c r="AF92" s="120" t="s">
        <v>208</v>
      </c>
      <c r="AG92" s="120" t="s">
        <v>208</v>
      </c>
      <c r="AH92" s="120" t="s">
        <v>208</v>
      </c>
      <c r="AI92" s="120" t="s">
        <v>208</v>
      </c>
    </row>
    <row x14ac:dyDescent="0.25" r="93" customHeight="1" ht="17.25">
      <c r="A93" s="120" t="s">
        <v>2485</v>
      </c>
      <c r="B93" s="61">
        <v>43040</v>
      </c>
      <c r="C93" s="1" t="s">
        <v>95</v>
      </c>
      <c r="D93" s="120" t="s">
        <v>53</v>
      </c>
      <c r="E93" s="1" t="s">
        <v>2486</v>
      </c>
      <c r="F93" s="1" t="s">
        <v>158</v>
      </c>
      <c r="G93" s="120" t="s">
        <v>22</v>
      </c>
      <c r="H93" s="122">
        <v>35018</v>
      </c>
      <c r="I93" s="120" t="s">
        <v>175</v>
      </c>
      <c r="J93" s="120" t="s">
        <v>178</v>
      </c>
      <c r="K93" s="120" t="s">
        <v>2487</v>
      </c>
      <c r="L93" s="117" t="s">
        <v>2488</v>
      </c>
      <c r="M93" s="117" t="s">
        <v>2489</v>
      </c>
      <c r="N93" s="117" t="s">
        <v>2490</v>
      </c>
      <c r="O93" s="118">
        <v>0</v>
      </c>
      <c r="P93" s="119">
        <v>0</v>
      </c>
      <c r="Q93" s="118">
        <v>0</v>
      </c>
      <c r="R93" s="1" t="s">
        <v>357</v>
      </c>
      <c r="S93" s="120" t="s">
        <v>206</v>
      </c>
      <c r="T93" s="120" t="s">
        <v>2299</v>
      </c>
      <c r="U93" s="120" t="s">
        <v>199</v>
      </c>
      <c r="V93" s="120" t="s">
        <v>208</v>
      </c>
      <c r="W93" s="120" t="s">
        <v>208</v>
      </c>
      <c r="X93" s="120" t="s">
        <v>208</v>
      </c>
      <c r="Y93" s="120" t="s">
        <v>208</v>
      </c>
      <c r="Z93" s="120" t="s">
        <v>208</v>
      </c>
      <c r="AA93" s="120" t="s">
        <v>208</v>
      </c>
      <c r="AB93" s="120" t="s">
        <v>208</v>
      </c>
      <c r="AC93" s="120" t="s">
        <v>208</v>
      </c>
      <c r="AD93" s="120" t="s">
        <v>208</v>
      </c>
      <c r="AE93" s="120" t="s">
        <v>208</v>
      </c>
      <c r="AF93" s="120" t="s">
        <v>208</v>
      </c>
      <c r="AG93" s="120" t="s">
        <v>208</v>
      </c>
      <c r="AH93" s="120" t="s">
        <v>208</v>
      </c>
      <c r="AI93" s="120" t="s">
        <v>208</v>
      </c>
    </row>
    <row x14ac:dyDescent="0.25" r="94" customHeight="1" ht="17.25">
      <c r="A94" s="120" t="s">
        <v>1402</v>
      </c>
      <c r="B94" s="61">
        <v>42801</v>
      </c>
      <c r="C94" s="1" t="s">
        <v>115</v>
      </c>
      <c r="D94" s="120" t="s">
        <v>53</v>
      </c>
      <c r="E94" s="1" t="s">
        <v>1403</v>
      </c>
      <c r="F94" s="1" t="s">
        <v>158</v>
      </c>
      <c r="G94" s="120" t="s">
        <v>22</v>
      </c>
      <c r="H94" s="122">
        <v>35359</v>
      </c>
      <c r="I94" s="120" t="s">
        <v>177</v>
      </c>
      <c r="J94" s="120" t="s">
        <v>354</v>
      </c>
      <c r="K94" s="120" t="s">
        <v>355</v>
      </c>
      <c r="L94" s="117" t="s">
        <v>1404</v>
      </c>
      <c r="M94" s="117" t="s">
        <v>1405</v>
      </c>
      <c r="N94" s="119">
        <v>0</v>
      </c>
      <c r="O94" s="118">
        <v>0</v>
      </c>
      <c r="P94" s="119">
        <v>0</v>
      </c>
      <c r="Q94" s="118">
        <v>0</v>
      </c>
      <c r="R94" s="1" t="s">
        <v>357</v>
      </c>
      <c r="S94" s="120" t="s">
        <v>206</v>
      </c>
      <c r="T94" s="120" t="s">
        <v>1406</v>
      </c>
      <c r="U94" s="120" t="s">
        <v>197</v>
      </c>
      <c r="V94" s="1" t="s">
        <v>357</v>
      </c>
      <c r="W94" s="120" t="s">
        <v>208</v>
      </c>
      <c r="X94" s="120" t="s">
        <v>206</v>
      </c>
      <c r="Y94" s="120" t="s">
        <v>441</v>
      </c>
      <c r="Z94" s="120" t="s">
        <v>206</v>
      </c>
      <c r="AA94" s="120" t="s">
        <v>206</v>
      </c>
      <c r="AB94" s="120" t="s">
        <v>206</v>
      </c>
      <c r="AC94" s="1" t="s">
        <v>206</v>
      </c>
      <c r="AD94" s="120" t="s">
        <v>441</v>
      </c>
      <c r="AE94" s="120" t="s">
        <v>208</v>
      </c>
      <c r="AF94" s="120" t="s">
        <v>208</v>
      </c>
      <c r="AG94" s="120" t="s">
        <v>441</v>
      </c>
      <c r="AH94" s="1" t="s">
        <v>208</v>
      </c>
      <c r="AI94" s="120" t="s">
        <v>227</v>
      </c>
    </row>
    <row x14ac:dyDescent="0.25" r="95" customHeight="1" ht="17.25">
      <c r="A95" s="120" t="s">
        <v>1973</v>
      </c>
      <c r="B95" s="61">
        <v>42907</v>
      </c>
      <c r="C95" s="1" t="s">
        <v>115</v>
      </c>
      <c r="D95" s="120" t="s">
        <v>53</v>
      </c>
      <c r="E95" s="1" t="s">
        <v>1974</v>
      </c>
      <c r="F95" s="120" t="s">
        <v>159</v>
      </c>
      <c r="G95" s="120" t="s">
        <v>22</v>
      </c>
      <c r="H95" s="61">
        <v>34355</v>
      </c>
      <c r="I95" s="120" t="s">
        <v>175</v>
      </c>
      <c r="J95" s="120" t="s">
        <v>365</v>
      </c>
      <c r="K95" s="120" t="s">
        <v>1975</v>
      </c>
      <c r="L95" s="117" t="s">
        <v>1976</v>
      </c>
      <c r="M95" s="117" t="s">
        <v>1977</v>
      </c>
      <c r="N95" s="117" t="s">
        <v>1978</v>
      </c>
      <c r="O95" s="118">
        <v>0</v>
      </c>
      <c r="P95" s="119">
        <v>0</v>
      </c>
      <c r="Q95" s="118">
        <v>0</v>
      </c>
      <c r="R95" s="1" t="s">
        <v>371</v>
      </c>
      <c r="S95" s="120" t="s">
        <v>1979</v>
      </c>
      <c r="T95" s="120" t="s">
        <v>776</v>
      </c>
      <c r="U95" s="120" t="s">
        <v>198</v>
      </c>
      <c r="V95" s="1" t="s">
        <v>357</v>
      </c>
      <c r="W95" s="120" t="s">
        <v>1980</v>
      </c>
      <c r="X95" s="120" t="s">
        <v>385</v>
      </c>
      <c r="Y95" s="120" t="s">
        <v>386</v>
      </c>
      <c r="Z95" s="1" t="s">
        <v>207</v>
      </c>
      <c r="AA95" s="1" t="s">
        <v>28</v>
      </c>
      <c r="AB95" s="120" t="s">
        <v>206</v>
      </c>
      <c r="AC95" s="1" t="s">
        <v>206</v>
      </c>
      <c r="AD95" s="120" t="s">
        <v>1981</v>
      </c>
      <c r="AE95" s="120" t="s">
        <v>208</v>
      </c>
      <c r="AF95" s="120" t="s">
        <v>1982</v>
      </c>
      <c r="AG95" s="120" t="s">
        <v>1983</v>
      </c>
      <c r="AH95" s="1" t="s">
        <v>208</v>
      </c>
      <c r="AI95" s="120" t="s">
        <v>227</v>
      </c>
    </row>
    <row x14ac:dyDescent="0.25" r="96" customHeight="1" ht="17.25">
      <c r="A96" s="120" t="s">
        <v>1934</v>
      </c>
      <c r="B96" s="61">
        <v>42800</v>
      </c>
      <c r="C96" s="1" t="s">
        <v>115</v>
      </c>
      <c r="D96" s="120" t="s">
        <v>53</v>
      </c>
      <c r="E96" s="1" t="s">
        <v>1935</v>
      </c>
      <c r="F96" s="1" t="s">
        <v>158</v>
      </c>
      <c r="G96" s="120" t="s">
        <v>22</v>
      </c>
      <c r="H96" s="122">
        <v>34301</v>
      </c>
      <c r="I96" s="120" t="s">
        <v>177</v>
      </c>
      <c r="J96" s="120" t="s">
        <v>354</v>
      </c>
      <c r="K96" s="120" t="s">
        <v>1936</v>
      </c>
      <c r="L96" s="117" t="s">
        <v>1937</v>
      </c>
      <c r="M96" s="117" t="s">
        <v>1938</v>
      </c>
      <c r="N96" s="117" t="s">
        <v>1939</v>
      </c>
      <c r="O96" s="118">
        <v>0</v>
      </c>
      <c r="P96" s="119">
        <v>0</v>
      </c>
      <c r="Q96" s="121" t="s">
        <v>1940</v>
      </c>
      <c r="R96" s="1" t="s">
        <v>357</v>
      </c>
      <c r="S96" s="120" t="s">
        <v>206</v>
      </c>
      <c r="T96" s="120" t="s">
        <v>1941</v>
      </c>
      <c r="U96" s="120" t="s">
        <v>197</v>
      </c>
      <c r="V96" s="1" t="s">
        <v>357</v>
      </c>
      <c r="W96" s="120" t="s">
        <v>208</v>
      </c>
      <c r="X96" s="120" t="s">
        <v>206</v>
      </c>
      <c r="Y96" s="120" t="s">
        <v>441</v>
      </c>
      <c r="Z96" s="1" t="s">
        <v>207</v>
      </c>
      <c r="AA96" s="120" t="s">
        <v>206</v>
      </c>
      <c r="AB96" s="120" t="s">
        <v>206</v>
      </c>
      <c r="AC96" s="1" t="s">
        <v>238</v>
      </c>
      <c r="AD96" s="120" t="s">
        <v>386</v>
      </c>
      <c r="AE96" s="120" t="s">
        <v>208</v>
      </c>
      <c r="AF96" s="120" t="s">
        <v>208</v>
      </c>
      <c r="AG96" s="120" t="s">
        <v>386</v>
      </c>
      <c r="AH96" s="1" t="s">
        <v>208</v>
      </c>
      <c r="AI96" s="120" t="s">
        <v>227</v>
      </c>
    </row>
    <row x14ac:dyDescent="0.25" r="97" customHeight="1" ht="17.25">
      <c r="A97" s="120" t="s">
        <v>1537</v>
      </c>
      <c r="B97" s="61">
        <v>42769</v>
      </c>
      <c r="C97" s="1" t="s">
        <v>115</v>
      </c>
      <c r="D97" s="120" t="s">
        <v>53</v>
      </c>
      <c r="E97" s="1" t="s">
        <v>1538</v>
      </c>
      <c r="F97" s="1" t="s">
        <v>158</v>
      </c>
      <c r="G97" s="120" t="s">
        <v>22</v>
      </c>
      <c r="H97" s="61">
        <v>35082</v>
      </c>
      <c r="I97" s="120" t="s">
        <v>175</v>
      </c>
      <c r="J97" s="120" t="s">
        <v>365</v>
      </c>
      <c r="K97" s="120" t="s">
        <v>1539</v>
      </c>
      <c r="L97" s="119">
        <v>0</v>
      </c>
      <c r="M97" s="119">
        <v>0</v>
      </c>
      <c r="N97" s="117" t="s">
        <v>1540</v>
      </c>
      <c r="O97" s="118">
        <v>0</v>
      </c>
      <c r="P97" s="119">
        <v>0</v>
      </c>
      <c r="Q97" s="118">
        <v>0</v>
      </c>
      <c r="R97" s="1" t="s">
        <v>357</v>
      </c>
      <c r="S97" s="120" t="s">
        <v>206</v>
      </c>
      <c r="T97" s="120" t="s">
        <v>1541</v>
      </c>
      <c r="U97" s="120" t="s">
        <v>197</v>
      </c>
      <c r="V97" s="1" t="s">
        <v>357</v>
      </c>
      <c r="W97" s="120" t="s">
        <v>208</v>
      </c>
      <c r="X97" s="120" t="s">
        <v>1542</v>
      </c>
      <c r="Y97" s="120" t="s">
        <v>1102</v>
      </c>
      <c r="Z97" s="120" t="s">
        <v>206</v>
      </c>
      <c r="AA97" s="1" t="s">
        <v>28</v>
      </c>
      <c r="AB97" s="120" t="s">
        <v>206</v>
      </c>
      <c r="AC97" s="1" t="s">
        <v>206</v>
      </c>
      <c r="AD97" s="120" t="s">
        <v>441</v>
      </c>
      <c r="AE97" s="120" t="s">
        <v>208</v>
      </c>
      <c r="AF97" s="120" t="s">
        <v>208</v>
      </c>
      <c r="AG97" s="120" t="s">
        <v>441</v>
      </c>
      <c r="AH97" s="1" t="s">
        <v>208</v>
      </c>
      <c r="AI97" s="120" t="s">
        <v>227</v>
      </c>
    </row>
    <row x14ac:dyDescent="0.25" r="98" customHeight="1" ht="17.25">
      <c r="A98" s="120" t="s">
        <v>1863</v>
      </c>
      <c r="B98" s="61">
        <v>42758</v>
      </c>
      <c r="C98" s="1" t="s">
        <v>115</v>
      </c>
      <c r="D98" s="120" t="s">
        <v>53</v>
      </c>
      <c r="E98" s="1" t="s">
        <v>1864</v>
      </c>
      <c r="F98" s="1" t="s">
        <v>158</v>
      </c>
      <c r="G98" s="120" t="s">
        <v>22</v>
      </c>
      <c r="H98" s="61">
        <v>33875</v>
      </c>
      <c r="I98" s="120" t="s">
        <v>175</v>
      </c>
      <c r="J98" s="120" t="s">
        <v>365</v>
      </c>
      <c r="K98" s="120" t="s">
        <v>1146</v>
      </c>
      <c r="L98" s="117" t="s">
        <v>1865</v>
      </c>
      <c r="M98" s="119">
        <v>0</v>
      </c>
      <c r="N98" s="119">
        <v>0</v>
      </c>
      <c r="O98" s="118">
        <v>0</v>
      </c>
      <c r="P98" s="119">
        <v>0</v>
      </c>
      <c r="Q98" s="118">
        <v>0</v>
      </c>
      <c r="R98" s="1" t="s">
        <v>357</v>
      </c>
      <c r="S98" s="120" t="s">
        <v>206</v>
      </c>
      <c r="T98" s="120" t="s">
        <v>485</v>
      </c>
      <c r="U98" s="120" t="s">
        <v>197</v>
      </c>
      <c r="V98" s="1" t="s">
        <v>357</v>
      </c>
      <c r="W98" s="120" t="s">
        <v>208</v>
      </c>
      <c r="X98" s="120" t="s">
        <v>1542</v>
      </c>
      <c r="Y98" s="120" t="s">
        <v>1102</v>
      </c>
      <c r="Z98" s="120" t="s">
        <v>206</v>
      </c>
      <c r="AA98" s="120" t="s">
        <v>206</v>
      </c>
      <c r="AB98" s="120" t="s">
        <v>206</v>
      </c>
      <c r="AC98" s="1" t="s">
        <v>206</v>
      </c>
      <c r="AD98" s="120" t="s">
        <v>1102</v>
      </c>
      <c r="AE98" s="120" t="s">
        <v>208</v>
      </c>
      <c r="AF98" s="120" t="s">
        <v>208</v>
      </c>
      <c r="AG98" s="120" t="s">
        <v>1102</v>
      </c>
      <c r="AH98" s="1" t="s">
        <v>208</v>
      </c>
      <c r="AI98" s="120" t="s">
        <v>227</v>
      </c>
    </row>
    <row x14ac:dyDescent="0.25" r="99" customHeight="1" ht="17.25">
      <c r="A99" s="120" t="s">
        <v>1375</v>
      </c>
      <c r="B99" s="61">
        <v>43013</v>
      </c>
      <c r="C99" s="1" t="s">
        <v>95</v>
      </c>
      <c r="D99" s="120" t="s">
        <v>53</v>
      </c>
      <c r="E99" s="1" t="s">
        <v>1376</v>
      </c>
      <c r="F99" s="1" t="s">
        <v>158</v>
      </c>
      <c r="G99" s="120" t="s">
        <v>22</v>
      </c>
      <c r="H99" s="61">
        <v>34746</v>
      </c>
      <c r="I99" s="120" t="s">
        <v>175</v>
      </c>
      <c r="J99" s="120" t="s">
        <v>365</v>
      </c>
      <c r="K99" s="120" t="s">
        <v>366</v>
      </c>
      <c r="L99" s="117" t="s">
        <v>1377</v>
      </c>
      <c r="M99" s="117" t="s">
        <v>1378</v>
      </c>
      <c r="N99" s="119">
        <v>0</v>
      </c>
      <c r="O99" s="118">
        <v>0</v>
      </c>
      <c r="P99" s="119">
        <v>0</v>
      </c>
      <c r="Q99" s="118">
        <v>0</v>
      </c>
      <c r="R99" s="1" t="s">
        <v>357</v>
      </c>
      <c r="S99" s="120" t="s">
        <v>206</v>
      </c>
      <c r="T99" s="120" t="s">
        <v>1379</v>
      </c>
      <c r="U99" s="120" t="s">
        <v>197</v>
      </c>
      <c r="V99" s="1" t="s">
        <v>357</v>
      </c>
      <c r="W99" s="120" t="s">
        <v>208</v>
      </c>
      <c r="X99" s="120" t="s">
        <v>206</v>
      </c>
      <c r="Y99" s="120" t="s">
        <v>441</v>
      </c>
      <c r="Z99" s="120" t="s">
        <v>206</v>
      </c>
      <c r="AA99" s="120" t="s">
        <v>206</v>
      </c>
      <c r="AB99" s="120" t="s">
        <v>206</v>
      </c>
      <c r="AC99" s="1" t="s">
        <v>238</v>
      </c>
      <c r="AD99" s="120" t="s">
        <v>441</v>
      </c>
      <c r="AE99" s="120" t="s">
        <v>208</v>
      </c>
      <c r="AF99" s="120" t="s">
        <v>208</v>
      </c>
      <c r="AG99" s="120" t="s">
        <v>441</v>
      </c>
      <c r="AH99" s="1" t="s">
        <v>208</v>
      </c>
      <c r="AI99" s="120" t="s">
        <v>227</v>
      </c>
    </row>
    <row x14ac:dyDescent="0.25" r="100" customHeight="1" ht="17.25">
      <c r="A100" s="120" t="s">
        <v>1436</v>
      </c>
      <c r="B100" s="61">
        <v>42958</v>
      </c>
      <c r="C100" s="1" t="s">
        <v>95</v>
      </c>
      <c r="D100" s="120" t="s">
        <v>53</v>
      </c>
      <c r="E100" s="1" t="s">
        <v>1437</v>
      </c>
      <c r="F100" s="1" t="s">
        <v>158</v>
      </c>
      <c r="G100" s="120" t="s">
        <v>22</v>
      </c>
      <c r="H100" s="61">
        <v>30548</v>
      </c>
      <c r="I100" s="120" t="s">
        <v>176</v>
      </c>
      <c r="J100" s="120" t="s">
        <v>464</v>
      </c>
      <c r="K100" s="120" t="s">
        <v>1438</v>
      </c>
      <c r="L100" s="119">
        <v>0</v>
      </c>
      <c r="M100" s="117" t="s">
        <v>1439</v>
      </c>
      <c r="N100" s="119">
        <v>0</v>
      </c>
      <c r="O100" s="118">
        <v>0</v>
      </c>
      <c r="P100" s="119">
        <v>0</v>
      </c>
      <c r="Q100" s="118">
        <v>0</v>
      </c>
      <c r="R100" s="1" t="s">
        <v>371</v>
      </c>
      <c r="S100" s="120" t="s">
        <v>206</v>
      </c>
      <c r="T100" s="120" t="s">
        <v>1440</v>
      </c>
      <c r="U100" s="120" t="s">
        <v>197</v>
      </c>
      <c r="V100" s="1" t="s">
        <v>371</v>
      </c>
      <c r="W100" s="120" t="s">
        <v>208</v>
      </c>
      <c r="X100" s="120" t="s">
        <v>206</v>
      </c>
      <c r="Y100" s="120" t="s">
        <v>441</v>
      </c>
      <c r="Z100" s="120" t="s">
        <v>206</v>
      </c>
      <c r="AA100" s="120" t="s">
        <v>206</v>
      </c>
      <c r="AB100" s="120" t="s">
        <v>206</v>
      </c>
      <c r="AC100" s="1" t="s">
        <v>206</v>
      </c>
      <c r="AD100" s="120" t="s">
        <v>441</v>
      </c>
      <c r="AE100" s="120" t="s">
        <v>1101</v>
      </c>
      <c r="AF100" s="120" t="s">
        <v>208</v>
      </c>
      <c r="AG100" s="120" t="s">
        <v>360</v>
      </c>
      <c r="AH100" s="1" t="s">
        <v>208</v>
      </c>
      <c r="AI100" s="120" t="s">
        <v>227</v>
      </c>
    </row>
    <row x14ac:dyDescent="0.25" r="101" customHeight="1" ht="17.25">
      <c r="A101" s="120" t="s">
        <v>1436</v>
      </c>
      <c r="B101" s="61">
        <v>42958</v>
      </c>
      <c r="C101" s="1" t="s">
        <v>95</v>
      </c>
      <c r="D101" s="120" t="s">
        <v>53</v>
      </c>
      <c r="E101" s="1" t="s">
        <v>1443</v>
      </c>
      <c r="F101" s="1" t="s">
        <v>158</v>
      </c>
      <c r="G101" s="120" t="s">
        <v>22</v>
      </c>
      <c r="H101" s="61">
        <v>32577</v>
      </c>
      <c r="I101" s="120" t="s">
        <v>177</v>
      </c>
      <c r="J101" s="120" t="s">
        <v>354</v>
      </c>
      <c r="K101" s="120" t="s">
        <v>1444</v>
      </c>
      <c r="L101" s="119">
        <v>0</v>
      </c>
      <c r="M101" s="117" t="s">
        <v>1439</v>
      </c>
      <c r="N101" s="119">
        <v>0</v>
      </c>
      <c r="O101" s="118">
        <v>0</v>
      </c>
      <c r="P101" s="119">
        <v>0</v>
      </c>
      <c r="Q101" s="118">
        <v>0</v>
      </c>
      <c r="R101" s="1" t="s">
        <v>371</v>
      </c>
      <c r="S101" s="120" t="s">
        <v>206</v>
      </c>
      <c r="T101" s="120" t="s">
        <v>1445</v>
      </c>
      <c r="U101" s="120" t="s">
        <v>197</v>
      </c>
      <c r="V101" s="1" t="s">
        <v>371</v>
      </c>
      <c r="W101" s="120" t="s">
        <v>208</v>
      </c>
      <c r="X101" s="120" t="s">
        <v>206</v>
      </c>
      <c r="Y101" s="120" t="s">
        <v>441</v>
      </c>
      <c r="Z101" s="120" t="s">
        <v>206</v>
      </c>
      <c r="AA101" s="120" t="s">
        <v>206</v>
      </c>
      <c r="AB101" s="120" t="s">
        <v>206</v>
      </c>
      <c r="AC101" s="1" t="s">
        <v>206</v>
      </c>
      <c r="AD101" s="120" t="s">
        <v>441</v>
      </c>
      <c r="AE101" s="120" t="s">
        <v>1101</v>
      </c>
      <c r="AF101" s="120" t="s">
        <v>208</v>
      </c>
      <c r="AG101" s="120" t="s">
        <v>360</v>
      </c>
      <c r="AH101" s="1" t="s">
        <v>208</v>
      </c>
      <c r="AI101" s="120" t="s">
        <v>227</v>
      </c>
    </row>
    <row x14ac:dyDescent="0.25" r="102" customHeight="1" ht="17.25">
      <c r="A102" s="120" t="s">
        <v>1436</v>
      </c>
      <c r="B102" s="61">
        <v>42958</v>
      </c>
      <c r="C102" s="1" t="s">
        <v>95</v>
      </c>
      <c r="D102" s="120" t="s">
        <v>53</v>
      </c>
      <c r="E102" s="1" t="s">
        <v>1441</v>
      </c>
      <c r="F102" s="1" t="s">
        <v>158</v>
      </c>
      <c r="G102" s="120" t="s">
        <v>22</v>
      </c>
      <c r="H102" s="61">
        <v>30891</v>
      </c>
      <c r="I102" s="120" t="s">
        <v>177</v>
      </c>
      <c r="J102" s="120" t="s">
        <v>354</v>
      </c>
      <c r="K102" s="120" t="s">
        <v>1442</v>
      </c>
      <c r="L102" s="119">
        <v>0</v>
      </c>
      <c r="M102" s="117" t="s">
        <v>1439</v>
      </c>
      <c r="N102" s="119">
        <v>0</v>
      </c>
      <c r="O102" s="118">
        <v>0</v>
      </c>
      <c r="P102" s="119">
        <v>0</v>
      </c>
      <c r="Q102" s="118">
        <v>0</v>
      </c>
      <c r="R102" s="1" t="s">
        <v>371</v>
      </c>
      <c r="S102" s="120" t="s">
        <v>206</v>
      </c>
      <c r="T102" s="120" t="s">
        <v>1440</v>
      </c>
      <c r="U102" s="120" t="s">
        <v>197</v>
      </c>
      <c r="V102" s="1" t="s">
        <v>371</v>
      </c>
      <c r="W102" s="120" t="s">
        <v>208</v>
      </c>
      <c r="X102" s="120" t="s">
        <v>206</v>
      </c>
      <c r="Y102" s="120" t="s">
        <v>441</v>
      </c>
      <c r="Z102" s="120" t="s">
        <v>206</v>
      </c>
      <c r="AA102" s="120" t="s">
        <v>206</v>
      </c>
      <c r="AB102" s="120" t="s">
        <v>206</v>
      </c>
      <c r="AC102" s="1" t="s">
        <v>206</v>
      </c>
      <c r="AD102" s="120" t="s">
        <v>441</v>
      </c>
      <c r="AE102" s="120" t="s">
        <v>1101</v>
      </c>
      <c r="AF102" s="120" t="s">
        <v>208</v>
      </c>
      <c r="AG102" s="120" t="s">
        <v>360</v>
      </c>
      <c r="AH102" s="1" t="s">
        <v>208</v>
      </c>
      <c r="AI102" s="120" t="s">
        <v>227</v>
      </c>
    </row>
    <row x14ac:dyDescent="0.25" r="103" customHeight="1" ht="17.25">
      <c r="A103" s="1" t="s">
        <v>2088</v>
      </c>
      <c r="B103" s="61" t="s">
        <v>2089</v>
      </c>
      <c r="C103" s="1" t="s">
        <v>103</v>
      </c>
      <c r="D103" s="1" t="s">
        <v>54</v>
      </c>
      <c r="E103" s="116" t="s">
        <v>2090</v>
      </c>
      <c r="F103" s="1" t="s">
        <v>158</v>
      </c>
      <c r="G103" s="1" t="s">
        <v>22</v>
      </c>
      <c r="H103" s="61">
        <v>32791</v>
      </c>
      <c r="I103" s="1" t="s">
        <v>177</v>
      </c>
      <c r="J103" s="1" t="s">
        <v>365</v>
      </c>
      <c r="K103" s="1" t="s">
        <v>366</v>
      </c>
      <c r="L103" s="117" t="s">
        <v>2091</v>
      </c>
      <c r="M103" s="117" t="s">
        <v>2092</v>
      </c>
      <c r="N103" s="117" t="s">
        <v>2093</v>
      </c>
      <c r="O103" s="118">
        <v>0</v>
      </c>
      <c r="P103" s="119">
        <v>0</v>
      </c>
      <c r="Q103" s="118">
        <v>0</v>
      </c>
      <c r="R103" s="1" t="s">
        <v>357</v>
      </c>
      <c r="S103" s="1" t="s">
        <v>206</v>
      </c>
      <c r="T103" s="1" t="s">
        <v>520</v>
      </c>
      <c r="U103" s="1" t="s">
        <v>197</v>
      </c>
      <c r="V103" s="1" t="s">
        <v>357</v>
      </c>
      <c r="W103" s="1" t="s">
        <v>208</v>
      </c>
      <c r="X103" s="1" t="s">
        <v>653</v>
      </c>
      <c r="Y103" s="1" t="s">
        <v>492</v>
      </c>
      <c r="Z103" s="1" t="s">
        <v>207</v>
      </c>
      <c r="AA103" s="1" t="s">
        <v>206</v>
      </c>
      <c r="AB103" s="1" t="s">
        <v>206</v>
      </c>
      <c r="AC103" s="1" t="s">
        <v>238</v>
      </c>
      <c r="AD103" s="1" t="s">
        <v>2038</v>
      </c>
      <c r="AE103" s="1" t="s">
        <v>208</v>
      </c>
      <c r="AF103" s="1" t="s">
        <v>208</v>
      </c>
      <c r="AG103" s="1" t="s">
        <v>2038</v>
      </c>
      <c r="AH103" s="1" t="s">
        <v>208</v>
      </c>
      <c r="AI103" s="120" t="s">
        <v>227</v>
      </c>
    </row>
    <row x14ac:dyDescent="0.25" r="104" customHeight="1" ht="17.25">
      <c r="A104" s="1" t="s">
        <v>1616</v>
      </c>
      <c r="B104" s="61" t="s">
        <v>1617</v>
      </c>
      <c r="C104" s="1" t="s">
        <v>103</v>
      </c>
      <c r="D104" s="1" t="s">
        <v>54</v>
      </c>
      <c r="E104" s="116" t="s">
        <v>2276</v>
      </c>
      <c r="F104" s="1" t="s">
        <v>158</v>
      </c>
      <c r="G104" s="1" t="s">
        <v>22</v>
      </c>
      <c r="H104" s="61">
        <v>36023</v>
      </c>
      <c r="I104" s="1" t="s">
        <v>175</v>
      </c>
      <c r="J104" s="1" t="s">
        <v>354</v>
      </c>
      <c r="K104" s="1" t="s">
        <v>366</v>
      </c>
      <c r="L104" s="119">
        <v>0</v>
      </c>
      <c r="M104" s="119">
        <v>0</v>
      </c>
      <c r="N104" s="119">
        <v>0</v>
      </c>
      <c r="O104" s="118">
        <v>0</v>
      </c>
      <c r="P104" s="119">
        <v>0</v>
      </c>
      <c r="Q104" s="118">
        <v>0</v>
      </c>
      <c r="R104" s="1" t="s">
        <v>357</v>
      </c>
      <c r="S104" s="1" t="s">
        <v>206</v>
      </c>
      <c r="T104" s="1" t="s">
        <v>555</v>
      </c>
      <c r="U104" s="1" t="s">
        <v>199</v>
      </c>
      <c r="V104" s="1" t="s">
        <v>208</v>
      </c>
      <c r="W104" s="1" t="s">
        <v>208</v>
      </c>
      <c r="X104" s="1" t="s">
        <v>208</v>
      </c>
      <c r="Y104" s="1" t="s">
        <v>208</v>
      </c>
      <c r="Z104" s="1" t="s">
        <v>208</v>
      </c>
      <c r="AA104" s="1" t="s">
        <v>208</v>
      </c>
      <c r="AB104" s="1" t="s">
        <v>208</v>
      </c>
      <c r="AC104" s="1" t="s">
        <v>208</v>
      </c>
      <c r="AD104" s="1" t="s">
        <v>208</v>
      </c>
      <c r="AE104" s="1" t="s">
        <v>208</v>
      </c>
      <c r="AF104" s="1" t="s">
        <v>208</v>
      </c>
      <c r="AG104" s="1" t="s">
        <v>208</v>
      </c>
      <c r="AH104" s="1" t="s">
        <v>208</v>
      </c>
      <c r="AI104" s="1" t="s">
        <v>208</v>
      </c>
    </row>
    <row x14ac:dyDescent="0.25" r="105" customHeight="1" ht="17.25">
      <c r="A105" s="1" t="s">
        <v>1616</v>
      </c>
      <c r="B105" s="61" t="s">
        <v>1617</v>
      </c>
      <c r="C105" s="1" t="s">
        <v>103</v>
      </c>
      <c r="D105" s="1" t="s">
        <v>54</v>
      </c>
      <c r="E105" s="116" t="s">
        <v>1618</v>
      </c>
      <c r="F105" s="1" t="s">
        <v>158</v>
      </c>
      <c r="G105" s="1" t="s">
        <v>170</v>
      </c>
      <c r="H105" s="61">
        <v>29881</v>
      </c>
      <c r="I105" s="1" t="s">
        <v>176</v>
      </c>
      <c r="J105" s="1" t="s">
        <v>464</v>
      </c>
      <c r="K105" s="1" t="s">
        <v>1619</v>
      </c>
      <c r="L105" s="119">
        <v>0</v>
      </c>
      <c r="M105" s="119">
        <v>0</v>
      </c>
      <c r="N105" s="117" t="s">
        <v>1620</v>
      </c>
      <c r="O105" s="118">
        <v>0</v>
      </c>
      <c r="P105" s="119">
        <v>0</v>
      </c>
      <c r="Q105" s="118">
        <v>0</v>
      </c>
      <c r="R105" s="1" t="s">
        <v>357</v>
      </c>
      <c r="S105" s="1" t="s">
        <v>206</v>
      </c>
      <c r="T105" s="1" t="s">
        <v>1621</v>
      </c>
      <c r="U105" s="1" t="s">
        <v>197</v>
      </c>
      <c r="V105" s="1" t="s">
        <v>357</v>
      </c>
      <c r="W105" s="1" t="s">
        <v>208</v>
      </c>
      <c r="X105" s="1" t="s">
        <v>206</v>
      </c>
      <c r="Y105" s="1" t="s">
        <v>441</v>
      </c>
      <c r="Z105" s="1" t="s">
        <v>206</v>
      </c>
      <c r="AA105" s="1" t="s">
        <v>206</v>
      </c>
      <c r="AB105" s="1" t="s">
        <v>206</v>
      </c>
      <c r="AC105" s="1" t="s">
        <v>206</v>
      </c>
      <c r="AD105" s="1" t="s">
        <v>441</v>
      </c>
      <c r="AE105" s="1" t="s">
        <v>208</v>
      </c>
      <c r="AF105" s="1" t="s">
        <v>208</v>
      </c>
      <c r="AG105" s="1" t="s">
        <v>441</v>
      </c>
      <c r="AH105" s="1" t="s">
        <v>208</v>
      </c>
      <c r="AI105" s="120" t="s">
        <v>227</v>
      </c>
    </row>
    <row x14ac:dyDescent="0.25" r="106" customHeight="1" ht="17.25">
      <c r="A106" s="1" t="s">
        <v>920</v>
      </c>
      <c r="B106" s="61" t="s">
        <v>921</v>
      </c>
      <c r="C106" s="1" t="s">
        <v>99</v>
      </c>
      <c r="D106" s="1" t="s">
        <v>54</v>
      </c>
      <c r="E106" s="116" t="s">
        <v>922</v>
      </c>
      <c r="F106" s="1" t="s">
        <v>158</v>
      </c>
      <c r="G106" s="1" t="s">
        <v>22</v>
      </c>
      <c r="H106" s="61">
        <v>35339</v>
      </c>
      <c r="I106" s="1" t="s">
        <v>178</v>
      </c>
      <c r="J106" s="1" t="s">
        <v>365</v>
      </c>
      <c r="K106" s="1" t="s">
        <v>923</v>
      </c>
      <c r="L106" s="119">
        <v>0</v>
      </c>
      <c r="M106" s="117" t="s">
        <v>924</v>
      </c>
      <c r="N106" s="117" t="s">
        <v>925</v>
      </c>
      <c r="O106" s="118">
        <v>0</v>
      </c>
      <c r="P106" s="119">
        <v>0</v>
      </c>
      <c r="Q106" s="118">
        <v>0</v>
      </c>
      <c r="R106" s="1" t="s">
        <v>357</v>
      </c>
      <c r="S106" s="1" t="s">
        <v>206</v>
      </c>
      <c r="T106" s="1" t="s">
        <v>926</v>
      </c>
      <c r="U106" s="1" t="s">
        <v>197</v>
      </c>
      <c r="V106" s="1" t="s">
        <v>357</v>
      </c>
      <c r="W106" s="1" t="s">
        <v>208</v>
      </c>
      <c r="X106" s="1" t="s">
        <v>206</v>
      </c>
      <c r="Y106" s="1" t="s">
        <v>441</v>
      </c>
      <c r="Z106" s="1" t="s">
        <v>206</v>
      </c>
      <c r="AA106" s="1" t="s">
        <v>206</v>
      </c>
      <c r="AB106" s="1" t="s">
        <v>206</v>
      </c>
      <c r="AC106" s="1" t="s">
        <v>236</v>
      </c>
      <c r="AD106" s="1" t="s">
        <v>497</v>
      </c>
      <c r="AE106" s="1" t="s">
        <v>208</v>
      </c>
      <c r="AF106" s="1" t="s">
        <v>208</v>
      </c>
      <c r="AG106" s="1" t="s">
        <v>497</v>
      </c>
      <c r="AH106" s="1" t="s">
        <v>35</v>
      </c>
      <c r="AI106" s="1" t="s">
        <v>208</v>
      </c>
    </row>
    <row x14ac:dyDescent="0.25" r="107" customHeight="1" ht="17.25">
      <c r="A107" s="1" t="s">
        <v>493</v>
      </c>
      <c r="B107" s="61" t="s">
        <v>494</v>
      </c>
      <c r="C107" s="1" t="s">
        <v>99</v>
      </c>
      <c r="D107" s="1" t="s">
        <v>54</v>
      </c>
      <c r="E107" s="116" t="s">
        <v>1715</v>
      </c>
      <c r="F107" s="1" t="s">
        <v>158</v>
      </c>
      <c r="G107" s="1" t="s">
        <v>22</v>
      </c>
      <c r="H107" s="61">
        <v>34777</v>
      </c>
      <c r="I107" s="1" t="s">
        <v>175</v>
      </c>
      <c r="J107" s="1" t="s">
        <v>365</v>
      </c>
      <c r="K107" s="1" t="s">
        <v>1716</v>
      </c>
      <c r="L107" s="119">
        <v>0</v>
      </c>
      <c r="M107" s="117" t="s">
        <v>1717</v>
      </c>
      <c r="N107" s="119">
        <v>0</v>
      </c>
      <c r="O107" s="118">
        <v>0</v>
      </c>
      <c r="P107" s="119">
        <v>0</v>
      </c>
      <c r="Q107" s="118">
        <v>0</v>
      </c>
      <c r="R107" s="1" t="s">
        <v>357</v>
      </c>
      <c r="S107" s="1" t="s">
        <v>206</v>
      </c>
      <c r="T107" s="1" t="s">
        <v>430</v>
      </c>
      <c r="U107" s="1" t="s">
        <v>197</v>
      </c>
      <c r="V107" s="1" t="s">
        <v>357</v>
      </c>
      <c r="W107" s="1" t="s">
        <v>208</v>
      </c>
      <c r="X107" s="1" t="s">
        <v>206</v>
      </c>
      <c r="Y107" s="1" t="s">
        <v>441</v>
      </c>
      <c r="Z107" s="1" t="s">
        <v>207</v>
      </c>
      <c r="AA107" s="1" t="s">
        <v>206</v>
      </c>
      <c r="AB107" s="1" t="s">
        <v>206</v>
      </c>
      <c r="AC107" s="1" t="s">
        <v>238</v>
      </c>
      <c r="AD107" s="1" t="s">
        <v>492</v>
      </c>
      <c r="AE107" s="1" t="s">
        <v>208</v>
      </c>
      <c r="AF107" s="1" t="s">
        <v>208</v>
      </c>
      <c r="AG107" s="1" t="s">
        <v>492</v>
      </c>
      <c r="AH107" s="1" t="s">
        <v>208</v>
      </c>
      <c r="AI107" s="120" t="s">
        <v>227</v>
      </c>
    </row>
    <row x14ac:dyDescent="0.25" r="108" customHeight="1" ht="17.25">
      <c r="A108" s="1" t="s">
        <v>493</v>
      </c>
      <c r="B108" s="61" t="s">
        <v>494</v>
      </c>
      <c r="C108" s="1" t="s">
        <v>99</v>
      </c>
      <c r="D108" s="1" t="s">
        <v>54</v>
      </c>
      <c r="E108" s="116" t="s">
        <v>495</v>
      </c>
      <c r="F108" s="1" t="s">
        <v>158</v>
      </c>
      <c r="G108" s="1" t="s">
        <v>22</v>
      </c>
      <c r="H108" s="61">
        <v>35908</v>
      </c>
      <c r="I108" s="1" t="s">
        <v>176</v>
      </c>
      <c r="J108" s="1" t="s">
        <v>365</v>
      </c>
      <c r="K108" s="1" t="s">
        <v>496</v>
      </c>
      <c r="L108" s="119">
        <v>0</v>
      </c>
      <c r="M108" s="119">
        <v>0</v>
      </c>
      <c r="N108" s="119">
        <v>0</v>
      </c>
      <c r="O108" s="118">
        <v>0</v>
      </c>
      <c r="P108" s="119">
        <v>0</v>
      </c>
      <c r="Q108" s="118">
        <v>0</v>
      </c>
      <c r="R108" s="1" t="s">
        <v>357</v>
      </c>
      <c r="S108" s="1" t="s">
        <v>206</v>
      </c>
      <c r="T108" s="1" t="s">
        <v>430</v>
      </c>
      <c r="U108" s="1" t="s">
        <v>197</v>
      </c>
      <c r="V108" s="1" t="s">
        <v>357</v>
      </c>
      <c r="W108" s="1" t="s">
        <v>208</v>
      </c>
      <c r="X108" s="1" t="s">
        <v>206</v>
      </c>
      <c r="Y108" s="1" t="s">
        <v>441</v>
      </c>
      <c r="Z108" s="1" t="s">
        <v>206</v>
      </c>
      <c r="AA108" s="1" t="s">
        <v>206</v>
      </c>
      <c r="AB108" s="1" t="s">
        <v>206</v>
      </c>
      <c r="AC108" s="1" t="s">
        <v>236</v>
      </c>
      <c r="AD108" s="1" t="s">
        <v>497</v>
      </c>
      <c r="AE108" s="1" t="s">
        <v>208</v>
      </c>
      <c r="AF108" s="1" t="s">
        <v>208</v>
      </c>
      <c r="AG108" s="1" t="s">
        <v>497</v>
      </c>
      <c r="AH108" s="1" t="s">
        <v>35</v>
      </c>
      <c r="AI108" s="1" t="s">
        <v>208</v>
      </c>
    </row>
    <row x14ac:dyDescent="0.25" r="109" customHeight="1" ht="17.25">
      <c r="A109" s="1" t="s">
        <v>1428</v>
      </c>
      <c r="B109" s="61" t="s">
        <v>1429</v>
      </c>
      <c r="C109" s="1" t="s">
        <v>103</v>
      </c>
      <c r="D109" s="1" t="s">
        <v>54</v>
      </c>
      <c r="E109" s="116" t="s">
        <v>1430</v>
      </c>
      <c r="F109" s="1" t="s">
        <v>158</v>
      </c>
      <c r="G109" s="1" t="s">
        <v>22</v>
      </c>
      <c r="H109" s="61">
        <v>35549</v>
      </c>
      <c r="I109" s="1" t="s">
        <v>175</v>
      </c>
      <c r="J109" s="1" t="s">
        <v>354</v>
      </c>
      <c r="K109" s="1" t="s">
        <v>1431</v>
      </c>
      <c r="L109" s="117" t="s">
        <v>1432</v>
      </c>
      <c r="M109" s="117" t="s">
        <v>1433</v>
      </c>
      <c r="N109" s="119">
        <v>0</v>
      </c>
      <c r="O109" s="118">
        <v>0</v>
      </c>
      <c r="P109" s="119">
        <v>0</v>
      </c>
      <c r="Q109" s="118">
        <v>0</v>
      </c>
      <c r="R109" s="1" t="s">
        <v>357</v>
      </c>
      <c r="S109" s="1" t="s">
        <v>206</v>
      </c>
      <c r="T109" s="1" t="s">
        <v>1100</v>
      </c>
      <c r="U109" s="1" t="s">
        <v>197</v>
      </c>
      <c r="V109" s="1" t="s">
        <v>357</v>
      </c>
      <c r="W109" s="1" t="s">
        <v>208</v>
      </c>
      <c r="X109" s="1" t="s">
        <v>206</v>
      </c>
      <c r="Y109" s="1" t="s">
        <v>441</v>
      </c>
      <c r="Z109" s="1" t="s">
        <v>207</v>
      </c>
      <c r="AA109" s="1" t="s">
        <v>29</v>
      </c>
      <c r="AB109" s="1" t="s">
        <v>206</v>
      </c>
      <c r="AC109" s="1" t="s">
        <v>238</v>
      </c>
      <c r="AD109" s="1" t="s">
        <v>441</v>
      </c>
      <c r="AE109" s="1" t="s">
        <v>208</v>
      </c>
      <c r="AF109" s="1" t="s">
        <v>208</v>
      </c>
      <c r="AG109" s="1" t="s">
        <v>441</v>
      </c>
      <c r="AH109" s="1" t="s">
        <v>208</v>
      </c>
      <c r="AI109" s="120" t="s">
        <v>227</v>
      </c>
    </row>
    <row x14ac:dyDescent="0.25" r="110" customHeight="1" ht="17.25">
      <c r="A110" s="1" t="s">
        <v>1070</v>
      </c>
      <c r="B110" s="61" t="s">
        <v>1011</v>
      </c>
      <c r="C110" s="1" t="s">
        <v>99</v>
      </c>
      <c r="D110" s="1" t="s">
        <v>54</v>
      </c>
      <c r="E110" s="116" t="s">
        <v>1071</v>
      </c>
      <c r="F110" s="1" t="s">
        <v>158</v>
      </c>
      <c r="G110" s="1" t="s">
        <v>22</v>
      </c>
      <c r="H110" s="61">
        <v>36071</v>
      </c>
      <c r="I110" s="1" t="s">
        <v>175</v>
      </c>
      <c r="J110" s="1" t="s">
        <v>365</v>
      </c>
      <c r="K110" s="1" t="s">
        <v>1072</v>
      </c>
      <c r="L110" s="117" t="s">
        <v>1073</v>
      </c>
      <c r="M110" s="117" t="s">
        <v>1074</v>
      </c>
      <c r="N110" s="119">
        <v>0</v>
      </c>
      <c r="O110" s="118">
        <v>0</v>
      </c>
      <c r="P110" s="119">
        <v>0</v>
      </c>
      <c r="Q110" s="118">
        <v>0</v>
      </c>
      <c r="R110" s="1" t="s">
        <v>357</v>
      </c>
      <c r="S110" s="1" t="s">
        <v>206</v>
      </c>
      <c r="T110" s="1" t="s">
        <v>776</v>
      </c>
      <c r="U110" s="1" t="s">
        <v>197</v>
      </c>
      <c r="V110" s="1" t="s">
        <v>357</v>
      </c>
      <c r="W110" s="1" t="s">
        <v>208</v>
      </c>
      <c r="X110" s="1" t="s">
        <v>206</v>
      </c>
      <c r="Y110" s="1" t="s">
        <v>441</v>
      </c>
      <c r="Z110" s="1" t="s">
        <v>206</v>
      </c>
      <c r="AA110" s="1" t="s">
        <v>206</v>
      </c>
      <c r="AB110" s="1" t="s">
        <v>206</v>
      </c>
      <c r="AC110" s="1" t="s">
        <v>237</v>
      </c>
      <c r="AD110" s="1" t="s">
        <v>1052</v>
      </c>
      <c r="AE110" s="1" t="s">
        <v>208</v>
      </c>
      <c r="AF110" s="1" t="s">
        <v>208</v>
      </c>
      <c r="AG110" s="1" t="s">
        <v>1052</v>
      </c>
      <c r="AH110" s="1" t="s">
        <v>35</v>
      </c>
      <c r="AI110" s="1" t="s">
        <v>208</v>
      </c>
    </row>
    <row x14ac:dyDescent="0.25" r="111" customHeight="1" ht="17.25">
      <c r="A111" s="1" t="s">
        <v>1508</v>
      </c>
      <c r="B111" s="61" t="s">
        <v>1144</v>
      </c>
      <c r="C111" s="1" t="s">
        <v>99</v>
      </c>
      <c r="D111" s="1" t="s">
        <v>54</v>
      </c>
      <c r="E111" s="116" t="s">
        <v>1509</v>
      </c>
      <c r="F111" s="1" t="s">
        <v>158</v>
      </c>
      <c r="G111" s="1" t="s">
        <v>22</v>
      </c>
      <c r="H111" s="61">
        <v>35041</v>
      </c>
      <c r="I111" s="1" t="s">
        <v>177</v>
      </c>
      <c r="J111" s="1" t="s">
        <v>365</v>
      </c>
      <c r="K111" s="1" t="s">
        <v>511</v>
      </c>
      <c r="L111" s="117" t="s">
        <v>1510</v>
      </c>
      <c r="M111" s="117" t="s">
        <v>837</v>
      </c>
      <c r="N111" s="117" t="s">
        <v>1511</v>
      </c>
      <c r="O111" s="118">
        <v>0</v>
      </c>
      <c r="P111" s="119">
        <v>0</v>
      </c>
      <c r="Q111" s="118">
        <v>0</v>
      </c>
      <c r="R111" s="1" t="s">
        <v>357</v>
      </c>
      <c r="S111" s="1" t="s">
        <v>206</v>
      </c>
      <c r="T111" s="1" t="s">
        <v>1512</v>
      </c>
      <c r="U111" s="1" t="s">
        <v>197</v>
      </c>
      <c r="V111" s="1" t="s">
        <v>357</v>
      </c>
      <c r="W111" s="1" t="s">
        <v>208</v>
      </c>
      <c r="X111" s="1" t="s">
        <v>206</v>
      </c>
      <c r="Y111" s="1" t="s">
        <v>441</v>
      </c>
      <c r="Z111" s="1" t="s">
        <v>206</v>
      </c>
      <c r="AA111" s="1" t="s">
        <v>206</v>
      </c>
      <c r="AB111" s="1" t="s">
        <v>206</v>
      </c>
      <c r="AC111" s="1" t="s">
        <v>206</v>
      </c>
      <c r="AD111" s="1" t="s">
        <v>441</v>
      </c>
      <c r="AE111" s="1" t="s">
        <v>208</v>
      </c>
      <c r="AF111" s="1" t="s">
        <v>208</v>
      </c>
      <c r="AG111" s="1" t="s">
        <v>441</v>
      </c>
      <c r="AH111" s="1" t="s">
        <v>208</v>
      </c>
      <c r="AI111" s="120" t="s">
        <v>227</v>
      </c>
    </row>
    <row x14ac:dyDescent="0.25" r="112" customHeight="1" ht="17.25">
      <c r="A112" s="1" t="s">
        <v>1126</v>
      </c>
      <c r="B112" s="61" t="s">
        <v>1049</v>
      </c>
      <c r="C112" s="1" t="s">
        <v>99</v>
      </c>
      <c r="D112" s="1" t="s">
        <v>54</v>
      </c>
      <c r="E112" s="116" t="s">
        <v>1127</v>
      </c>
      <c r="F112" s="1" t="s">
        <v>163</v>
      </c>
      <c r="G112" s="1" t="s">
        <v>22</v>
      </c>
      <c r="H112" s="61">
        <v>32274</v>
      </c>
      <c r="I112" s="1" t="s">
        <v>176</v>
      </c>
      <c r="J112" s="1" t="s">
        <v>365</v>
      </c>
      <c r="K112" s="1" t="s">
        <v>366</v>
      </c>
      <c r="L112" s="117" t="s">
        <v>1128</v>
      </c>
      <c r="M112" s="117" t="s">
        <v>1129</v>
      </c>
      <c r="N112" s="117" t="s">
        <v>1130</v>
      </c>
      <c r="O112" s="118">
        <v>0</v>
      </c>
      <c r="P112" s="119">
        <v>0</v>
      </c>
      <c r="Q112" s="118">
        <v>0</v>
      </c>
      <c r="R112" s="1" t="s">
        <v>357</v>
      </c>
      <c r="S112" s="1" t="s">
        <v>206</v>
      </c>
      <c r="T112" s="1" t="s">
        <v>430</v>
      </c>
      <c r="U112" s="1" t="s">
        <v>197</v>
      </c>
      <c r="V112" s="1" t="s">
        <v>357</v>
      </c>
      <c r="W112" s="1" t="s">
        <v>208</v>
      </c>
      <c r="X112" s="1" t="s">
        <v>206</v>
      </c>
      <c r="Y112" s="1" t="s">
        <v>441</v>
      </c>
      <c r="Z112" s="1" t="s">
        <v>206</v>
      </c>
      <c r="AA112" s="1" t="s">
        <v>206</v>
      </c>
      <c r="AB112" s="1" t="s">
        <v>206</v>
      </c>
      <c r="AC112" s="1" t="s">
        <v>237</v>
      </c>
      <c r="AD112" s="1" t="s">
        <v>1052</v>
      </c>
      <c r="AE112" s="1" t="s">
        <v>208</v>
      </c>
      <c r="AF112" s="1" t="s">
        <v>208</v>
      </c>
      <c r="AG112" s="1" t="s">
        <v>1052</v>
      </c>
      <c r="AH112" s="1" t="s">
        <v>35</v>
      </c>
      <c r="AI112" s="1" t="s">
        <v>208</v>
      </c>
    </row>
    <row x14ac:dyDescent="0.25" r="113" customHeight="1" ht="17.25">
      <c r="A113" s="1" t="s">
        <v>1084</v>
      </c>
      <c r="B113" s="61" t="s">
        <v>1085</v>
      </c>
      <c r="C113" s="1" t="s">
        <v>103</v>
      </c>
      <c r="D113" s="1" t="s">
        <v>54</v>
      </c>
      <c r="E113" s="116" t="s">
        <v>1086</v>
      </c>
      <c r="F113" s="1" t="s">
        <v>158</v>
      </c>
      <c r="G113" s="1" t="s">
        <v>22</v>
      </c>
      <c r="H113" s="61">
        <v>35621</v>
      </c>
      <c r="I113" s="1" t="s">
        <v>176</v>
      </c>
      <c r="J113" s="1" t="s">
        <v>365</v>
      </c>
      <c r="K113" s="1" t="s">
        <v>1008</v>
      </c>
      <c r="L113" s="117" t="s">
        <v>1087</v>
      </c>
      <c r="M113" s="117" t="s">
        <v>1088</v>
      </c>
      <c r="N113" s="119">
        <v>0</v>
      </c>
      <c r="O113" s="118">
        <v>0</v>
      </c>
      <c r="P113" s="119">
        <v>0</v>
      </c>
      <c r="Q113" s="118">
        <v>0</v>
      </c>
      <c r="R113" s="1" t="s">
        <v>357</v>
      </c>
      <c r="S113" s="1" t="s">
        <v>206</v>
      </c>
      <c r="T113" s="1" t="s">
        <v>853</v>
      </c>
      <c r="U113" s="1" t="s">
        <v>197</v>
      </c>
      <c r="V113" s="1" t="s">
        <v>357</v>
      </c>
      <c r="W113" s="1" t="s">
        <v>208</v>
      </c>
      <c r="X113" s="1" t="s">
        <v>206</v>
      </c>
      <c r="Y113" s="1" t="s">
        <v>441</v>
      </c>
      <c r="Z113" s="1" t="s">
        <v>206</v>
      </c>
      <c r="AA113" s="1" t="s">
        <v>206</v>
      </c>
      <c r="AB113" s="1" t="s">
        <v>206</v>
      </c>
      <c r="AC113" s="1" t="s">
        <v>237</v>
      </c>
      <c r="AD113" s="1" t="s">
        <v>1052</v>
      </c>
      <c r="AE113" s="1" t="s">
        <v>208</v>
      </c>
      <c r="AF113" s="1" t="s">
        <v>208</v>
      </c>
      <c r="AG113" s="1" t="s">
        <v>1052</v>
      </c>
      <c r="AH113" s="1" t="s">
        <v>206</v>
      </c>
      <c r="AI113" s="1" t="s">
        <v>228</v>
      </c>
    </row>
    <row x14ac:dyDescent="0.25" r="114" customHeight="1" ht="17.25">
      <c r="A114" s="1" t="s">
        <v>1084</v>
      </c>
      <c r="B114" s="61" t="s">
        <v>1085</v>
      </c>
      <c r="C114" s="1" t="s">
        <v>103</v>
      </c>
      <c r="D114" s="1" t="s">
        <v>54</v>
      </c>
      <c r="E114" s="116" t="s">
        <v>1089</v>
      </c>
      <c r="F114" s="1" t="s">
        <v>158</v>
      </c>
      <c r="G114" s="1" t="s">
        <v>22</v>
      </c>
      <c r="H114" s="61">
        <v>35631</v>
      </c>
      <c r="I114" s="1" t="s">
        <v>176</v>
      </c>
      <c r="J114" s="1" t="s">
        <v>365</v>
      </c>
      <c r="K114" s="1" t="s">
        <v>1008</v>
      </c>
      <c r="L114" s="117" t="s">
        <v>1087</v>
      </c>
      <c r="M114" s="117" t="s">
        <v>1088</v>
      </c>
      <c r="N114" s="119">
        <v>0</v>
      </c>
      <c r="O114" s="118">
        <v>0</v>
      </c>
      <c r="P114" s="119">
        <v>0</v>
      </c>
      <c r="Q114" s="118">
        <v>0</v>
      </c>
      <c r="R114" s="1" t="s">
        <v>357</v>
      </c>
      <c r="S114" s="1" t="s">
        <v>206</v>
      </c>
      <c r="T114" s="1" t="s">
        <v>853</v>
      </c>
      <c r="U114" s="1" t="s">
        <v>197</v>
      </c>
      <c r="V114" s="1" t="s">
        <v>357</v>
      </c>
      <c r="W114" s="1" t="s">
        <v>208</v>
      </c>
      <c r="X114" s="1" t="s">
        <v>206</v>
      </c>
      <c r="Y114" s="1" t="s">
        <v>441</v>
      </c>
      <c r="Z114" s="1" t="s">
        <v>206</v>
      </c>
      <c r="AA114" s="1" t="s">
        <v>206</v>
      </c>
      <c r="AB114" s="1" t="s">
        <v>206</v>
      </c>
      <c r="AC114" s="1" t="s">
        <v>237</v>
      </c>
      <c r="AD114" s="1" t="s">
        <v>1052</v>
      </c>
      <c r="AE114" s="1" t="s">
        <v>208</v>
      </c>
      <c r="AF114" s="1" t="s">
        <v>208</v>
      </c>
      <c r="AG114" s="1" t="s">
        <v>1052</v>
      </c>
      <c r="AH114" s="1" t="s">
        <v>206</v>
      </c>
      <c r="AI114" s="1" t="s">
        <v>228</v>
      </c>
    </row>
    <row x14ac:dyDescent="0.25" r="115" customHeight="1" ht="17.25">
      <c r="A115" s="1" t="s">
        <v>1732</v>
      </c>
      <c r="B115" s="61" t="s">
        <v>861</v>
      </c>
      <c r="C115" s="1" t="s">
        <v>103</v>
      </c>
      <c r="D115" s="1" t="s">
        <v>54</v>
      </c>
      <c r="E115" s="116" t="s">
        <v>1733</v>
      </c>
      <c r="F115" s="1" t="s">
        <v>158</v>
      </c>
      <c r="G115" s="1" t="s">
        <v>22</v>
      </c>
      <c r="H115" s="61">
        <v>29790</v>
      </c>
      <c r="I115" s="1" t="s">
        <v>176</v>
      </c>
      <c r="J115" s="1" t="s">
        <v>365</v>
      </c>
      <c r="K115" s="1" t="s">
        <v>642</v>
      </c>
      <c r="L115" s="117" t="s">
        <v>1734</v>
      </c>
      <c r="M115" s="117" t="s">
        <v>1735</v>
      </c>
      <c r="N115" s="119">
        <v>0</v>
      </c>
      <c r="O115" s="118">
        <v>0</v>
      </c>
      <c r="P115" s="119">
        <v>0</v>
      </c>
      <c r="Q115" s="118">
        <v>0</v>
      </c>
      <c r="R115" s="1" t="s">
        <v>357</v>
      </c>
      <c r="S115" s="1" t="s">
        <v>206</v>
      </c>
      <c r="T115" s="1" t="s">
        <v>373</v>
      </c>
      <c r="U115" s="1" t="s">
        <v>197</v>
      </c>
      <c r="V115" s="1" t="s">
        <v>357</v>
      </c>
      <c r="W115" s="1" t="s">
        <v>208</v>
      </c>
      <c r="X115" s="1" t="s">
        <v>206</v>
      </c>
      <c r="Y115" s="1" t="s">
        <v>441</v>
      </c>
      <c r="Z115" s="1" t="s">
        <v>207</v>
      </c>
      <c r="AA115" s="1" t="s">
        <v>206</v>
      </c>
      <c r="AB115" s="1" t="s">
        <v>206</v>
      </c>
      <c r="AC115" s="1" t="s">
        <v>238</v>
      </c>
      <c r="AD115" s="1" t="s">
        <v>492</v>
      </c>
      <c r="AE115" s="1" t="s">
        <v>208</v>
      </c>
      <c r="AF115" s="1" t="s">
        <v>208</v>
      </c>
      <c r="AG115" s="1" t="s">
        <v>492</v>
      </c>
      <c r="AH115" s="1" t="s">
        <v>208</v>
      </c>
      <c r="AI115" s="120" t="s">
        <v>227</v>
      </c>
    </row>
    <row x14ac:dyDescent="0.25" r="116" customHeight="1" ht="17.25">
      <c r="A116" s="1" t="s">
        <v>2150</v>
      </c>
      <c r="B116" s="61" t="s">
        <v>1049</v>
      </c>
      <c r="C116" s="1" t="s">
        <v>99</v>
      </c>
      <c r="D116" s="1" t="s">
        <v>54</v>
      </c>
      <c r="E116" s="116" t="s">
        <v>2151</v>
      </c>
      <c r="F116" s="1" t="s">
        <v>159</v>
      </c>
      <c r="G116" s="1" t="s">
        <v>22</v>
      </c>
      <c r="H116" s="61">
        <v>32178</v>
      </c>
      <c r="I116" s="1" t="s">
        <v>177</v>
      </c>
      <c r="J116" s="1" t="s">
        <v>354</v>
      </c>
      <c r="K116" s="1" t="s">
        <v>2152</v>
      </c>
      <c r="L116" s="117" t="s">
        <v>2153</v>
      </c>
      <c r="M116" s="119">
        <v>0</v>
      </c>
      <c r="N116" s="117" t="s">
        <v>2154</v>
      </c>
      <c r="O116" s="118">
        <v>0</v>
      </c>
      <c r="P116" s="119">
        <v>0</v>
      </c>
      <c r="Q116" s="118">
        <v>0</v>
      </c>
      <c r="R116" s="1" t="s">
        <v>357</v>
      </c>
      <c r="S116" s="1" t="s">
        <v>206</v>
      </c>
      <c r="T116" s="1" t="s">
        <v>1677</v>
      </c>
      <c r="U116" s="1" t="s">
        <v>197</v>
      </c>
      <c r="V116" s="1" t="s">
        <v>357</v>
      </c>
      <c r="W116" s="1" t="s">
        <v>208</v>
      </c>
      <c r="X116" s="1" t="s">
        <v>406</v>
      </c>
      <c r="Y116" s="1" t="s">
        <v>386</v>
      </c>
      <c r="Z116" s="1" t="s">
        <v>207</v>
      </c>
      <c r="AA116" s="1" t="s">
        <v>206</v>
      </c>
      <c r="AB116" s="1" t="s">
        <v>206</v>
      </c>
      <c r="AC116" s="1" t="s">
        <v>238</v>
      </c>
      <c r="AD116" s="1" t="s">
        <v>375</v>
      </c>
      <c r="AE116" s="1" t="s">
        <v>208</v>
      </c>
      <c r="AF116" s="1" t="s">
        <v>208</v>
      </c>
      <c r="AG116" s="1" t="s">
        <v>375</v>
      </c>
      <c r="AH116" s="1" t="s">
        <v>208</v>
      </c>
      <c r="AI116" s="120" t="s">
        <v>227</v>
      </c>
    </row>
    <row x14ac:dyDescent="0.25" r="117" customHeight="1" ht="17.25">
      <c r="A117" s="1" t="s">
        <v>1661</v>
      </c>
      <c r="B117" s="61" t="s">
        <v>1662</v>
      </c>
      <c r="C117" s="1" t="s">
        <v>99</v>
      </c>
      <c r="D117" s="1" t="s">
        <v>54</v>
      </c>
      <c r="E117" s="116" t="s">
        <v>1663</v>
      </c>
      <c r="F117" s="1" t="s">
        <v>158</v>
      </c>
      <c r="G117" s="1" t="s">
        <v>22</v>
      </c>
      <c r="H117" s="61">
        <v>33948</v>
      </c>
      <c r="I117" s="1" t="s">
        <v>175</v>
      </c>
      <c r="J117" s="1" t="s">
        <v>354</v>
      </c>
      <c r="K117" s="1" t="s">
        <v>1664</v>
      </c>
      <c r="L117" s="117" t="s">
        <v>1665</v>
      </c>
      <c r="M117" s="117" t="s">
        <v>1666</v>
      </c>
      <c r="N117" s="117" t="s">
        <v>1667</v>
      </c>
      <c r="O117" s="118">
        <v>0</v>
      </c>
      <c r="P117" s="119">
        <v>0</v>
      </c>
      <c r="Q117" s="118">
        <v>0</v>
      </c>
      <c r="R117" s="1" t="s">
        <v>357</v>
      </c>
      <c r="S117" s="1" t="s">
        <v>206</v>
      </c>
      <c r="T117" s="1" t="s">
        <v>926</v>
      </c>
      <c r="U117" s="1" t="s">
        <v>197</v>
      </c>
      <c r="V117" s="1" t="s">
        <v>357</v>
      </c>
      <c r="W117" s="1" t="s">
        <v>208</v>
      </c>
      <c r="X117" s="1" t="s">
        <v>206</v>
      </c>
      <c r="Y117" s="1" t="s">
        <v>441</v>
      </c>
      <c r="Z117" s="1" t="s">
        <v>206</v>
      </c>
      <c r="AA117" s="1" t="s">
        <v>206</v>
      </c>
      <c r="AB117" s="1" t="s">
        <v>206</v>
      </c>
      <c r="AC117" s="1" t="s">
        <v>206</v>
      </c>
      <c r="AD117" s="1" t="s">
        <v>1660</v>
      </c>
      <c r="AE117" s="1" t="s">
        <v>208</v>
      </c>
      <c r="AF117" s="1" t="s">
        <v>208</v>
      </c>
      <c r="AG117" s="1" t="s">
        <v>1660</v>
      </c>
      <c r="AH117" s="1" t="s">
        <v>208</v>
      </c>
      <c r="AI117" s="120" t="s">
        <v>227</v>
      </c>
    </row>
    <row x14ac:dyDescent="0.25" r="118" customHeight="1" ht="17.25">
      <c r="A118" s="1" t="s">
        <v>771</v>
      </c>
      <c r="B118" s="61" t="s">
        <v>764</v>
      </c>
      <c r="C118" s="1" t="s">
        <v>106</v>
      </c>
      <c r="D118" s="1" t="s">
        <v>55</v>
      </c>
      <c r="E118" s="116" t="s">
        <v>772</v>
      </c>
      <c r="F118" s="1" t="s">
        <v>158</v>
      </c>
      <c r="G118" s="1" t="s">
        <v>22</v>
      </c>
      <c r="H118" s="61">
        <v>34849</v>
      </c>
      <c r="I118" s="1" t="s">
        <v>175</v>
      </c>
      <c r="J118" s="1" t="s">
        <v>464</v>
      </c>
      <c r="K118" s="1" t="s">
        <v>773</v>
      </c>
      <c r="L118" s="117" t="s">
        <v>774</v>
      </c>
      <c r="M118" s="117" t="s">
        <v>775</v>
      </c>
      <c r="N118" s="119">
        <v>0</v>
      </c>
      <c r="O118" s="118">
        <v>0</v>
      </c>
      <c r="P118" s="119">
        <v>0</v>
      </c>
      <c r="Q118" s="118">
        <v>0</v>
      </c>
      <c r="R118" s="1" t="s">
        <v>357</v>
      </c>
      <c r="S118" s="1" t="s">
        <v>206</v>
      </c>
      <c r="T118" s="1" t="s">
        <v>776</v>
      </c>
      <c r="U118" s="1" t="s">
        <v>197</v>
      </c>
      <c r="V118" s="1" t="s">
        <v>357</v>
      </c>
      <c r="W118" s="1" t="s">
        <v>208</v>
      </c>
      <c r="X118" s="1" t="s">
        <v>206</v>
      </c>
      <c r="Y118" s="1" t="s">
        <v>441</v>
      </c>
      <c r="Z118" s="1" t="s">
        <v>206</v>
      </c>
      <c r="AA118" s="1" t="s">
        <v>206</v>
      </c>
      <c r="AB118" s="1" t="s">
        <v>206</v>
      </c>
      <c r="AC118" s="1" t="s">
        <v>236</v>
      </c>
      <c r="AD118" s="1" t="s">
        <v>497</v>
      </c>
      <c r="AE118" s="1" t="s">
        <v>208</v>
      </c>
      <c r="AF118" s="1" t="s">
        <v>208</v>
      </c>
      <c r="AG118" s="1" t="s">
        <v>497</v>
      </c>
      <c r="AH118" s="1" t="s">
        <v>206</v>
      </c>
      <c r="AI118" s="1" t="s">
        <v>229</v>
      </c>
    </row>
    <row x14ac:dyDescent="0.25" r="119" customHeight="1" ht="17.25">
      <c r="A119" s="1" t="s">
        <v>1137</v>
      </c>
      <c r="B119" s="61" t="s">
        <v>790</v>
      </c>
      <c r="C119" s="1" t="s">
        <v>84</v>
      </c>
      <c r="D119" s="1" t="s">
        <v>55</v>
      </c>
      <c r="E119" s="116" t="s">
        <v>1138</v>
      </c>
      <c r="F119" s="120" t="s">
        <v>160</v>
      </c>
      <c r="G119" s="1" t="s">
        <v>22</v>
      </c>
      <c r="H119" s="61">
        <v>34420</v>
      </c>
      <c r="I119" s="1" t="s">
        <v>176</v>
      </c>
      <c r="J119" s="1" t="s">
        <v>178</v>
      </c>
      <c r="K119" s="1" t="s">
        <v>1139</v>
      </c>
      <c r="L119" s="117" t="s">
        <v>1140</v>
      </c>
      <c r="M119" s="117" t="s">
        <v>1141</v>
      </c>
      <c r="N119" s="117" t="s">
        <v>1142</v>
      </c>
      <c r="O119" s="118">
        <v>0</v>
      </c>
      <c r="P119" s="119">
        <v>0</v>
      </c>
      <c r="Q119" s="118">
        <v>0</v>
      </c>
      <c r="R119" s="1" t="s">
        <v>371</v>
      </c>
      <c r="S119" s="1" t="s">
        <v>206</v>
      </c>
      <c r="T119" s="1" t="s">
        <v>430</v>
      </c>
      <c r="U119" s="1" t="s">
        <v>198</v>
      </c>
      <c r="V119" s="1" t="s">
        <v>357</v>
      </c>
      <c r="W119" s="1" t="s">
        <v>208</v>
      </c>
      <c r="X119" s="1" t="s">
        <v>206</v>
      </c>
      <c r="Y119" s="1" t="s">
        <v>441</v>
      </c>
      <c r="Z119" s="1" t="s">
        <v>206</v>
      </c>
      <c r="AA119" s="1" t="s">
        <v>206</v>
      </c>
      <c r="AB119" s="1" t="s">
        <v>206</v>
      </c>
      <c r="AC119" s="1" t="s">
        <v>237</v>
      </c>
      <c r="AD119" s="1" t="s">
        <v>1052</v>
      </c>
      <c r="AE119" s="1" t="s">
        <v>208</v>
      </c>
      <c r="AF119" s="1" t="s">
        <v>208</v>
      </c>
      <c r="AG119" s="1" t="s">
        <v>1052</v>
      </c>
      <c r="AH119" s="1" t="s">
        <v>206</v>
      </c>
      <c r="AI119" s="120" t="s">
        <v>227</v>
      </c>
    </row>
    <row x14ac:dyDescent="0.25" r="120" customHeight="1" ht="17.25">
      <c r="A120" s="1" t="s">
        <v>1137</v>
      </c>
      <c r="B120" s="61" t="s">
        <v>790</v>
      </c>
      <c r="C120" s="1" t="s">
        <v>84</v>
      </c>
      <c r="D120" s="1" t="s">
        <v>55</v>
      </c>
      <c r="E120" s="116" t="s">
        <v>1578</v>
      </c>
      <c r="F120" s="120" t="s">
        <v>160</v>
      </c>
      <c r="G120" s="1" t="s">
        <v>22</v>
      </c>
      <c r="H120" s="61">
        <v>31639</v>
      </c>
      <c r="I120" s="1" t="s">
        <v>177</v>
      </c>
      <c r="J120" s="1" t="s">
        <v>354</v>
      </c>
      <c r="K120" s="1" t="s">
        <v>1139</v>
      </c>
      <c r="L120" s="117" t="s">
        <v>1140</v>
      </c>
      <c r="M120" s="117" t="s">
        <v>1141</v>
      </c>
      <c r="N120" s="117" t="s">
        <v>1142</v>
      </c>
      <c r="O120" s="118">
        <v>0</v>
      </c>
      <c r="P120" s="119">
        <v>0</v>
      </c>
      <c r="Q120" s="118">
        <v>0</v>
      </c>
      <c r="R120" s="1" t="s">
        <v>371</v>
      </c>
      <c r="S120" s="1" t="s">
        <v>206</v>
      </c>
      <c r="T120" s="1" t="s">
        <v>1579</v>
      </c>
      <c r="U120" s="1" t="s">
        <v>198</v>
      </c>
      <c r="V120" s="1" t="s">
        <v>357</v>
      </c>
      <c r="W120" s="1" t="s">
        <v>208</v>
      </c>
      <c r="X120" s="1" t="s">
        <v>206</v>
      </c>
      <c r="Y120" s="1" t="s">
        <v>441</v>
      </c>
      <c r="Z120" s="1" t="s">
        <v>207</v>
      </c>
      <c r="AA120" s="1" t="s">
        <v>28</v>
      </c>
      <c r="AB120" s="1" t="s">
        <v>206</v>
      </c>
      <c r="AC120" s="1" t="s">
        <v>238</v>
      </c>
      <c r="AD120" s="1" t="s">
        <v>441</v>
      </c>
      <c r="AE120" s="1" t="s">
        <v>208</v>
      </c>
      <c r="AF120" s="1" t="s">
        <v>208</v>
      </c>
      <c r="AG120" s="1" t="s">
        <v>441</v>
      </c>
      <c r="AH120" s="1" t="s">
        <v>208</v>
      </c>
      <c r="AI120" s="120" t="s">
        <v>227</v>
      </c>
    </row>
    <row x14ac:dyDescent="0.25" r="121" customHeight="1" ht="17.25">
      <c r="A121" s="1" t="s">
        <v>1043</v>
      </c>
      <c r="B121" s="61" t="s">
        <v>764</v>
      </c>
      <c r="C121" s="1" t="s">
        <v>84</v>
      </c>
      <c r="D121" s="1" t="s">
        <v>55</v>
      </c>
      <c r="E121" s="116" t="s">
        <v>1044</v>
      </c>
      <c r="F121" s="1" t="s">
        <v>158</v>
      </c>
      <c r="G121" s="1" t="s">
        <v>22</v>
      </c>
      <c r="H121" s="61">
        <v>34944</v>
      </c>
      <c r="I121" s="1" t="s">
        <v>175</v>
      </c>
      <c r="J121" s="1" t="s">
        <v>354</v>
      </c>
      <c r="K121" s="1" t="s">
        <v>366</v>
      </c>
      <c r="L121" s="117" t="s">
        <v>1045</v>
      </c>
      <c r="M121" s="117" t="s">
        <v>1046</v>
      </c>
      <c r="N121" s="117" t="s">
        <v>1047</v>
      </c>
      <c r="O121" s="118">
        <v>0</v>
      </c>
      <c r="P121" s="119">
        <v>0</v>
      </c>
      <c r="Q121" s="118">
        <v>0</v>
      </c>
      <c r="R121" s="1" t="s">
        <v>357</v>
      </c>
      <c r="S121" s="1" t="s">
        <v>206</v>
      </c>
      <c r="T121" s="1" t="s">
        <v>358</v>
      </c>
      <c r="U121" s="1" t="s">
        <v>197</v>
      </c>
      <c r="V121" s="1" t="s">
        <v>357</v>
      </c>
      <c r="W121" s="1" t="s">
        <v>208</v>
      </c>
      <c r="X121" s="1" t="s">
        <v>206</v>
      </c>
      <c r="Y121" s="1" t="s">
        <v>441</v>
      </c>
      <c r="Z121" s="1" t="s">
        <v>206</v>
      </c>
      <c r="AA121" s="1" t="s">
        <v>206</v>
      </c>
      <c r="AB121" s="1" t="s">
        <v>30</v>
      </c>
      <c r="AC121" s="1" t="s">
        <v>237</v>
      </c>
      <c r="AD121" s="1" t="s">
        <v>1026</v>
      </c>
      <c r="AE121" s="1" t="s">
        <v>208</v>
      </c>
      <c r="AF121" s="1" t="s">
        <v>208</v>
      </c>
      <c r="AG121" s="1" t="s">
        <v>1026</v>
      </c>
      <c r="AH121" s="1" t="s">
        <v>206</v>
      </c>
      <c r="AI121" s="120" t="s">
        <v>227</v>
      </c>
    </row>
    <row x14ac:dyDescent="0.25" r="122" customHeight="1" ht="17.25">
      <c r="A122" s="1" t="s">
        <v>1628</v>
      </c>
      <c r="B122" s="61" t="s">
        <v>531</v>
      </c>
      <c r="C122" s="1" t="s">
        <v>106</v>
      </c>
      <c r="D122" s="1" t="s">
        <v>55</v>
      </c>
      <c r="E122" s="116" t="s">
        <v>1629</v>
      </c>
      <c r="F122" s="1" t="s">
        <v>158</v>
      </c>
      <c r="G122" s="1" t="s">
        <v>22</v>
      </c>
      <c r="H122" s="61">
        <v>33584</v>
      </c>
      <c r="I122" s="1" t="s">
        <v>177</v>
      </c>
      <c r="J122" s="1" t="s">
        <v>354</v>
      </c>
      <c r="K122" s="1" t="s">
        <v>1630</v>
      </c>
      <c r="L122" s="119">
        <v>0</v>
      </c>
      <c r="M122" s="117" t="s">
        <v>1631</v>
      </c>
      <c r="N122" s="117" t="s">
        <v>1632</v>
      </c>
      <c r="O122" s="118">
        <v>0</v>
      </c>
      <c r="P122" s="119">
        <v>0</v>
      </c>
      <c r="Q122" s="118">
        <v>0</v>
      </c>
      <c r="R122" s="1" t="s">
        <v>357</v>
      </c>
      <c r="S122" s="1" t="s">
        <v>206</v>
      </c>
      <c r="T122" s="1" t="s">
        <v>1633</v>
      </c>
      <c r="U122" s="1" t="s">
        <v>197</v>
      </c>
      <c r="V122" s="1" t="s">
        <v>357</v>
      </c>
      <c r="W122" s="1" t="s">
        <v>208</v>
      </c>
      <c r="X122" s="1" t="s">
        <v>206</v>
      </c>
      <c r="Y122" s="1" t="s">
        <v>441</v>
      </c>
      <c r="Z122" s="1" t="s">
        <v>206</v>
      </c>
      <c r="AA122" s="1" t="s">
        <v>206</v>
      </c>
      <c r="AB122" s="1" t="s">
        <v>206</v>
      </c>
      <c r="AC122" s="1" t="s">
        <v>238</v>
      </c>
      <c r="AD122" s="1" t="s">
        <v>441</v>
      </c>
      <c r="AE122" s="1" t="s">
        <v>208</v>
      </c>
      <c r="AF122" s="1" t="s">
        <v>208</v>
      </c>
      <c r="AG122" s="1" t="s">
        <v>441</v>
      </c>
      <c r="AH122" s="1" t="s">
        <v>208</v>
      </c>
      <c r="AI122" s="120" t="s">
        <v>227</v>
      </c>
    </row>
    <row x14ac:dyDescent="0.25" r="123" customHeight="1" ht="17.25">
      <c r="A123" s="1" t="s">
        <v>504</v>
      </c>
      <c r="B123" s="61" t="s">
        <v>505</v>
      </c>
      <c r="C123" s="1" t="s">
        <v>84</v>
      </c>
      <c r="D123" s="1" t="s">
        <v>55</v>
      </c>
      <c r="E123" s="116" t="s">
        <v>506</v>
      </c>
      <c r="F123" s="1" t="s">
        <v>158</v>
      </c>
      <c r="G123" s="1" t="s">
        <v>22</v>
      </c>
      <c r="H123" s="61">
        <v>27849</v>
      </c>
      <c r="I123" s="1" t="s">
        <v>175</v>
      </c>
      <c r="J123" s="1" t="s">
        <v>365</v>
      </c>
      <c r="K123" s="1" t="s">
        <v>507</v>
      </c>
      <c r="L123" s="117" t="s">
        <v>508</v>
      </c>
      <c r="M123" s="119">
        <v>0</v>
      </c>
      <c r="N123" s="119">
        <v>0</v>
      </c>
      <c r="O123" s="118">
        <v>0</v>
      </c>
      <c r="P123" s="119">
        <v>0</v>
      </c>
      <c r="Q123" s="118">
        <v>0</v>
      </c>
      <c r="R123" s="1" t="s">
        <v>357</v>
      </c>
      <c r="S123" s="1" t="s">
        <v>206</v>
      </c>
      <c r="T123" s="1" t="s">
        <v>476</v>
      </c>
      <c r="U123" s="1" t="s">
        <v>197</v>
      </c>
      <c r="V123" s="1" t="s">
        <v>357</v>
      </c>
      <c r="W123" s="1" t="s">
        <v>208</v>
      </c>
      <c r="X123" s="1" t="s">
        <v>206</v>
      </c>
      <c r="Y123" s="1" t="s">
        <v>441</v>
      </c>
      <c r="Z123" s="1" t="s">
        <v>206</v>
      </c>
      <c r="AA123" s="1" t="s">
        <v>206</v>
      </c>
      <c r="AB123" s="1" t="s">
        <v>206</v>
      </c>
      <c r="AC123" s="1" t="s">
        <v>236</v>
      </c>
      <c r="AD123" s="1" t="s">
        <v>497</v>
      </c>
      <c r="AE123" s="1" t="s">
        <v>208</v>
      </c>
      <c r="AF123" s="1" t="s">
        <v>208</v>
      </c>
      <c r="AG123" s="1" t="s">
        <v>497</v>
      </c>
      <c r="AH123" s="1" t="s">
        <v>35</v>
      </c>
      <c r="AI123" s="1" t="s">
        <v>208</v>
      </c>
    </row>
    <row x14ac:dyDescent="0.25" r="124" customHeight="1" ht="17.25">
      <c r="A124" s="1" t="s">
        <v>1792</v>
      </c>
      <c r="B124" s="61" t="s">
        <v>728</v>
      </c>
      <c r="C124" s="1" t="s">
        <v>84</v>
      </c>
      <c r="D124" s="1" t="s">
        <v>55</v>
      </c>
      <c r="E124" s="116" t="s">
        <v>1793</v>
      </c>
      <c r="F124" s="1" t="s">
        <v>158</v>
      </c>
      <c r="G124" s="1" t="s">
        <v>22</v>
      </c>
      <c r="H124" s="61">
        <v>32580</v>
      </c>
      <c r="I124" s="1" t="s">
        <v>176</v>
      </c>
      <c r="J124" s="1" t="s">
        <v>365</v>
      </c>
      <c r="K124" s="1" t="s">
        <v>1794</v>
      </c>
      <c r="L124" s="119">
        <v>0</v>
      </c>
      <c r="M124" s="117" t="s">
        <v>1795</v>
      </c>
      <c r="N124" s="117" t="s">
        <v>1796</v>
      </c>
      <c r="O124" s="118">
        <v>0</v>
      </c>
      <c r="P124" s="119">
        <v>0</v>
      </c>
      <c r="Q124" s="118">
        <v>0</v>
      </c>
      <c r="R124" s="1" t="s">
        <v>357</v>
      </c>
      <c r="S124" s="1" t="s">
        <v>206</v>
      </c>
      <c r="T124" s="1" t="s">
        <v>405</v>
      </c>
      <c r="U124" s="1" t="s">
        <v>197</v>
      </c>
      <c r="V124" s="1" t="s">
        <v>357</v>
      </c>
      <c r="W124" s="1" t="s">
        <v>208</v>
      </c>
      <c r="X124" s="1" t="s">
        <v>206</v>
      </c>
      <c r="Y124" s="1" t="s">
        <v>441</v>
      </c>
      <c r="Z124" s="1" t="s">
        <v>207</v>
      </c>
      <c r="AA124" s="1" t="s">
        <v>206</v>
      </c>
      <c r="AB124" s="1" t="s">
        <v>206</v>
      </c>
      <c r="AC124" s="1" t="s">
        <v>238</v>
      </c>
      <c r="AD124" s="1" t="s">
        <v>492</v>
      </c>
      <c r="AE124" s="1" t="s">
        <v>208</v>
      </c>
      <c r="AF124" s="1" t="s">
        <v>208</v>
      </c>
      <c r="AG124" s="1" t="s">
        <v>492</v>
      </c>
      <c r="AH124" s="1" t="s">
        <v>208</v>
      </c>
      <c r="AI124" s="120" t="s">
        <v>227</v>
      </c>
    </row>
    <row x14ac:dyDescent="0.25" r="125" customHeight="1" ht="17.25">
      <c r="A125" s="1" t="s">
        <v>1924</v>
      </c>
      <c r="B125" s="61" t="s">
        <v>1925</v>
      </c>
      <c r="C125" s="1" t="s">
        <v>106</v>
      </c>
      <c r="D125" s="1" t="s">
        <v>55</v>
      </c>
      <c r="E125" s="116" t="s">
        <v>1926</v>
      </c>
      <c r="F125" s="1" t="s">
        <v>158</v>
      </c>
      <c r="G125" s="1" t="s">
        <v>22</v>
      </c>
      <c r="H125" s="61">
        <v>33720</v>
      </c>
      <c r="I125" s="1" t="s">
        <v>175</v>
      </c>
      <c r="J125" s="1" t="s">
        <v>354</v>
      </c>
      <c r="K125" s="1" t="s">
        <v>1927</v>
      </c>
      <c r="L125" s="119">
        <v>0</v>
      </c>
      <c r="M125" s="117" t="s">
        <v>1928</v>
      </c>
      <c r="N125" s="117" t="s">
        <v>1929</v>
      </c>
      <c r="O125" s="118">
        <v>0</v>
      </c>
      <c r="P125" s="119">
        <v>0</v>
      </c>
      <c r="Q125" s="121" t="s">
        <v>1930</v>
      </c>
      <c r="R125" s="1" t="s">
        <v>357</v>
      </c>
      <c r="S125" s="1" t="s">
        <v>206</v>
      </c>
      <c r="T125" s="1" t="s">
        <v>358</v>
      </c>
      <c r="U125" s="1" t="s">
        <v>197</v>
      </c>
      <c r="V125" s="1" t="s">
        <v>357</v>
      </c>
      <c r="W125" s="1" t="s">
        <v>208</v>
      </c>
      <c r="X125" s="1" t="s">
        <v>206</v>
      </c>
      <c r="Y125" s="1" t="s">
        <v>441</v>
      </c>
      <c r="Z125" s="1" t="s">
        <v>207</v>
      </c>
      <c r="AA125" s="1" t="s">
        <v>206</v>
      </c>
      <c r="AB125" s="1" t="s">
        <v>206</v>
      </c>
      <c r="AC125" s="1" t="s">
        <v>238</v>
      </c>
      <c r="AD125" s="1" t="s">
        <v>386</v>
      </c>
      <c r="AE125" s="1" t="s">
        <v>208</v>
      </c>
      <c r="AF125" s="1" t="s">
        <v>208</v>
      </c>
      <c r="AG125" s="1" t="s">
        <v>386</v>
      </c>
      <c r="AH125" s="1" t="s">
        <v>208</v>
      </c>
      <c r="AI125" s="120" t="s">
        <v>227</v>
      </c>
    </row>
    <row x14ac:dyDescent="0.25" r="126" customHeight="1" ht="17.25">
      <c r="A126" s="1" t="s">
        <v>1513</v>
      </c>
      <c r="B126" s="61" t="s">
        <v>1422</v>
      </c>
      <c r="C126" s="1" t="s">
        <v>84</v>
      </c>
      <c r="D126" s="1" t="s">
        <v>55</v>
      </c>
      <c r="E126" s="116" t="s">
        <v>1514</v>
      </c>
      <c r="F126" s="1" t="s">
        <v>158</v>
      </c>
      <c r="G126" s="1" t="s">
        <v>22</v>
      </c>
      <c r="H126" s="61">
        <v>29509</v>
      </c>
      <c r="I126" s="1" t="s">
        <v>175</v>
      </c>
      <c r="J126" s="1" t="s">
        <v>354</v>
      </c>
      <c r="K126" s="1" t="s">
        <v>1515</v>
      </c>
      <c r="L126" s="117" t="s">
        <v>1516</v>
      </c>
      <c r="M126" s="117" t="s">
        <v>1517</v>
      </c>
      <c r="N126" s="117" t="s">
        <v>1518</v>
      </c>
      <c r="O126" s="118">
        <v>0</v>
      </c>
      <c r="P126" s="119">
        <v>0</v>
      </c>
      <c r="Q126" s="118">
        <v>0</v>
      </c>
      <c r="R126" s="1" t="s">
        <v>357</v>
      </c>
      <c r="S126" s="1" t="s">
        <v>206</v>
      </c>
      <c r="T126" s="1" t="s">
        <v>1519</v>
      </c>
      <c r="U126" s="1" t="s">
        <v>197</v>
      </c>
      <c r="V126" s="1" t="s">
        <v>357</v>
      </c>
      <c r="W126" s="1" t="s">
        <v>208</v>
      </c>
      <c r="X126" s="1" t="s">
        <v>206</v>
      </c>
      <c r="Y126" s="1" t="s">
        <v>441</v>
      </c>
      <c r="Z126" s="1" t="s">
        <v>207</v>
      </c>
      <c r="AA126" s="1" t="s">
        <v>28</v>
      </c>
      <c r="AB126" s="1" t="s">
        <v>206</v>
      </c>
      <c r="AC126" s="1" t="s">
        <v>238</v>
      </c>
      <c r="AD126" s="1" t="s">
        <v>441</v>
      </c>
      <c r="AE126" s="1" t="s">
        <v>208</v>
      </c>
      <c r="AF126" s="1" t="s">
        <v>208</v>
      </c>
      <c r="AG126" s="1" t="s">
        <v>441</v>
      </c>
      <c r="AH126" s="1" t="s">
        <v>208</v>
      </c>
      <c r="AI126" s="120" t="s">
        <v>227</v>
      </c>
    </row>
    <row x14ac:dyDescent="0.25" r="127" customHeight="1" ht="17.25">
      <c r="A127" s="1" t="s">
        <v>1502</v>
      </c>
      <c r="B127" s="61" t="s">
        <v>1503</v>
      </c>
      <c r="C127" s="1" t="s">
        <v>84</v>
      </c>
      <c r="D127" s="1" t="s">
        <v>55</v>
      </c>
      <c r="E127" s="116" t="s">
        <v>1504</v>
      </c>
      <c r="F127" s="1" t="s">
        <v>158</v>
      </c>
      <c r="G127" s="1" t="s">
        <v>22</v>
      </c>
      <c r="H127" s="61">
        <v>34363</v>
      </c>
      <c r="I127" s="1" t="s">
        <v>177</v>
      </c>
      <c r="J127" s="1" t="s">
        <v>354</v>
      </c>
      <c r="K127" s="1" t="s">
        <v>1419</v>
      </c>
      <c r="L127" s="117" t="s">
        <v>1505</v>
      </c>
      <c r="M127" s="117" t="s">
        <v>1506</v>
      </c>
      <c r="N127" s="117" t="s">
        <v>1507</v>
      </c>
      <c r="O127" s="118">
        <v>0</v>
      </c>
      <c r="P127" s="119">
        <v>0</v>
      </c>
      <c r="Q127" s="118">
        <v>0</v>
      </c>
      <c r="R127" s="1" t="s">
        <v>357</v>
      </c>
      <c r="S127" s="1" t="s">
        <v>206</v>
      </c>
      <c r="T127" s="1" t="s">
        <v>503</v>
      </c>
      <c r="U127" s="1" t="s">
        <v>197</v>
      </c>
      <c r="V127" s="1" t="s">
        <v>357</v>
      </c>
      <c r="W127" s="1" t="s">
        <v>208</v>
      </c>
      <c r="X127" s="1" t="s">
        <v>206</v>
      </c>
      <c r="Y127" s="1" t="s">
        <v>441</v>
      </c>
      <c r="Z127" s="1" t="s">
        <v>206</v>
      </c>
      <c r="AA127" s="1" t="s">
        <v>206</v>
      </c>
      <c r="AB127" s="1" t="s">
        <v>206</v>
      </c>
      <c r="AC127" s="1" t="s">
        <v>206</v>
      </c>
      <c r="AD127" s="1" t="s">
        <v>441</v>
      </c>
      <c r="AE127" s="1" t="s">
        <v>208</v>
      </c>
      <c r="AF127" s="1" t="s">
        <v>208</v>
      </c>
      <c r="AG127" s="1" t="s">
        <v>441</v>
      </c>
      <c r="AH127" s="1" t="s">
        <v>208</v>
      </c>
      <c r="AI127" s="120" t="s">
        <v>227</v>
      </c>
    </row>
    <row x14ac:dyDescent="0.25" r="128" customHeight="1" ht="17.25">
      <c r="A128" s="1" t="s">
        <v>1530</v>
      </c>
      <c r="B128" s="61" t="s">
        <v>1531</v>
      </c>
      <c r="C128" s="1" t="s">
        <v>106</v>
      </c>
      <c r="D128" s="1" t="s">
        <v>55</v>
      </c>
      <c r="E128" s="116" t="s">
        <v>1532</v>
      </c>
      <c r="F128" s="1" t="s">
        <v>158</v>
      </c>
      <c r="G128" s="1" t="s">
        <v>22</v>
      </c>
      <c r="H128" s="61">
        <v>33734</v>
      </c>
      <c r="I128" s="1" t="s">
        <v>177</v>
      </c>
      <c r="J128" s="1" t="s">
        <v>365</v>
      </c>
      <c r="K128" s="1" t="s">
        <v>1533</v>
      </c>
      <c r="L128" s="117" t="s">
        <v>1534</v>
      </c>
      <c r="M128" s="117" t="s">
        <v>1535</v>
      </c>
      <c r="N128" s="117" t="s">
        <v>1536</v>
      </c>
      <c r="O128" s="118">
        <v>0</v>
      </c>
      <c r="P128" s="119">
        <v>0</v>
      </c>
      <c r="Q128" s="118">
        <v>0</v>
      </c>
      <c r="R128" s="1" t="s">
        <v>357</v>
      </c>
      <c r="S128" s="1" t="s">
        <v>206</v>
      </c>
      <c r="T128" s="1" t="s">
        <v>776</v>
      </c>
      <c r="U128" s="1" t="s">
        <v>197</v>
      </c>
      <c r="V128" s="1" t="s">
        <v>357</v>
      </c>
      <c r="W128" s="1" t="s">
        <v>208</v>
      </c>
      <c r="X128" s="1" t="s">
        <v>206</v>
      </c>
      <c r="Y128" s="1" t="s">
        <v>441</v>
      </c>
      <c r="Z128" s="1" t="s">
        <v>206</v>
      </c>
      <c r="AA128" s="1" t="s">
        <v>206</v>
      </c>
      <c r="AB128" s="1" t="s">
        <v>206</v>
      </c>
      <c r="AC128" s="1" t="s">
        <v>238</v>
      </c>
      <c r="AD128" s="1" t="s">
        <v>441</v>
      </c>
      <c r="AE128" s="1" t="s">
        <v>208</v>
      </c>
      <c r="AF128" s="1" t="s">
        <v>208</v>
      </c>
      <c r="AG128" s="1" t="s">
        <v>441</v>
      </c>
      <c r="AH128" s="1" t="s">
        <v>208</v>
      </c>
      <c r="AI128" s="120" t="s">
        <v>227</v>
      </c>
    </row>
    <row x14ac:dyDescent="0.25" r="129" customHeight="1" ht="17.25">
      <c r="A129" s="1" t="s">
        <v>1005</v>
      </c>
      <c r="B129" s="61" t="s">
        <v>1006</v>
      </c>
      <c r="C129" s="1" t="s">
        <v>106</v>
      </c>
      <c r="D129" s="1" t="s">
        <v>55</v>
      </c>
      <c r="E129" s="116" t="s">
        <v>1007</v>
      </c>
      <c r="F129" s="1" t="s">
        <v>158</v>
      </c>
      <c r="G129" s="1" t="s">
        <v>22</v>
      </c>
      <c r="H129" s="61">
        <v>35484</v>
      </c>
      <c r="I129" s="1" t="s">
        <v>175</v>
      </c>
      <c r="J129" s="1" t="s">
        <v>365</v>
      </c>
      <c r="K129" s="1" t="s">
        <v>1008</v>
      </c>
      <c r="L129" s="119">
        <v>0</v>
      </c>
      <c r="M129" s="117" t="s">
        <v>1009</v>
      </c>
      <c r="N129" s="119">
        <v>0</v>
      </c>
      <c r="O129" s="118">
        <v>0</v>
      </c>
      <c r="P129" s="119">
        <v>0</v>
      </c>
      <c r="Q129" s="118">
        <v>0</v>
      </c>
      <c r="R129" s="1" t="s">
        <v>357</v>
      </c>
      <c r="S129" s="1" t="s">
        <v>206</v>
      </c>
      <c r="T129" s="1" t="s">
        <v>776</v>
      </c>
      <c r="U129" s="1" t="s">
        <v>197</v>
      </c>
      <c r="V129" s="1" t="s">
        <v>357</v>
      </c>
      <c r="W129" s="1" t="s">
        <v>208</v>
      </c>
      <c r="X129" s="1" t="s">
        <v>206</v>
      </c>
      <c r="Y129" s="1" t="s">
        <v>441</v>
      </c>
      <c r="Z129" s="1" t="s">
        <v>206</v>
      </c>
      <c r="AA129" s="1" t="s">
        <v>206</v>
      </c>
      <c r="AB129" s="1" t="s">
        <v>206</v>
      </c>
      <c r="AC129" s="1" t="s">
        <v>237</v>
      </c>
      <c r="AD129" s="1" t="s">
        <v>661</v>
      </c>
      <c r="AE129" s="1" t="s">
        <v>208</v>
      </c>
      <c r="AF129" s="1" t="s">
        <v>208</v>
      </c>
      <c r="AG129" s="1" t="s">
        <v>661</v>
      </c>
      <c r="AH129" s="1" t="s">
        <v>206</v>
      </c>
      <c r="AI129" s="120" t="s">
        <v>227</v>
      </c>
    </row>
    <row x14ac:dyDescent="0.25" r="130" customHeight="1" ht="17.25">
      <c r="A130" s="1" t="s">
        <v>570</v>
      </c>
      <c r="B130" s="61" t="s">
        <v>571</v>
      </c>
      <c r="C130" s="1" t="s">
        <v>84</v>
      </c>
      <c r="D130" s="1" t="s">
        <v>55</v>
      </c>
      <c r="E130" s="116" t="s">
        <v>572</v>
      </c>
      <c r="F130" s="1" t="s">
        <v>158</v>
      </c>
      <c r="G130" s="1" t="s">
        <v>22</v>
      </c>
      <c r="H130" s="61">
        <v>34757</v>
      </c>
      <c r="I130" s="1" t="s">
        <v>175</v>
      </c>
      <c r="J130" s="1" t="s">
        <v>354</v>
      </c>
      <c r="K130" s="1" t="s">
        <v>573</v>
      </c>
      <c r="L130" s="117" t="s">
        <v>574</v>
      </c>
      <c r="M130" s="119">
        <v>0</v>
      </c>
      <c r="N130" s="119">
        <v>0</v>
      </c>
      <c r="O130" s="118">
        <v>0</v>
      </c>
      <c r="P130" s="119">
        <v>0</v>
      </c>
      <c r="Q130" s="118">
        <v>0</v>
      </c>
      <c r="R130" s="1" t="s">
        <v>357</v>
      </c>
      <c r="S130" s="1" t="s">
        <v>206</v>
      </c>
      <c r="T130" s="1" t="s">
        <v>575</v>
      </c>
      <c r="U130" s="1" t="s">
        <v>197</v>
      </c>
      <c r="V130" s="1" t="s">
        <v>357</v>
      </c>
      <c r="W130" s="1" t="s">
        <v>208</v>
      </c>
      <c r="X130" s="1" t="s">
        <v>206</v>
      </c>
      <c r="Y130" s="1" t="s">
        <v>441</v>
      </c>
      <c r="Z130" s="1" t="s">
        <v>206</v>
      </c>
      <c r="AA130" s="1" t="s">
        <v>206</v>
      </c>
      <c r="AB130" s="1" t="s">
        <v>206</v>
      </c>
      <c r="AC130" s="1" t="s">
        <v>236</v>
      </c>
      <c r="AD130" s="1" t="s">
        <v>497</v>
      </c>
      <c r="AE130" s="1" t="s">
        <v>208</v>
      </c>
      <c r="AF130" s="1" t="s">
        <v>208</v>
      </c>
      <c r="AG130" s="1" t="s">
        <v>497</v>
      </c>
      <c r="AH130" s="1" t="s">
        <v>35</v>
      </c>
      <c r="AI130" s="1" t="s">
        <v>208</v>
      </c>
    </row>
    <row x14ac:dyDescent="0.25" r="131" customHeight="1" ht="17.25">
      <c r="A131" s="1" t="s">
        <v>1010</v>
      </c>
      <c r="B131" s="61" t="s">
        <v>1011</v>
      </c>
      <c r="C131" s="1" t="s">
        <v>106</v>
      </c>
      <c r="D131" s="1" t="s">
        <v>55</v>
      </c>
      <c r="E131" s="116" t="s">
        <v>1486</v>
      </c>
      <c r="F131" s="120" t="s">
        <v>160</v>
      </c>
      <c r="G131" s="1" t="s">
        <v>22</v>
      </c>
      <c r="H131" s="61">
        <v>31363</v>
      </c>
      <c r="I131" s="1" t="s">
        <v>175</v>
      </c>
      <c r="J131" s="1" t="s">
        <v>178</v>
      </c>
      <c r="K131" s="1" t="s">
        <v>1013</v>
      </c>
      <c r="L131" s="119">
        <v>0</v>
      </c>
      <c r="M131" s="117" t="s">
        <v>1014</v>
      </c>
      <c r="N131" s="119">
        <v>0</v>
      </c>
      <c r="O131" s="118">
        <v>0</v>
      </c>
      <c r="P131" s="119">
        <v>0</v>
      </c>
      <c r="Q131" s="118">
        <v>0</v>
      </c>
      <c r="R131" s="1" t="s">
        <v>371</v>
      </c>
      <c r="S131" s="1" t="s">
        <v>206</v>
      </c>
      <c r="T131" s="1" t="s">
        <v>520</v>
      </c>
      <c r="U131" s="1" t="s">
        <v>198</v>
      </c>
      <c r="V131" s="1" t="s">
        <v>357</v>
      </c>
      <c r="W131" s="1" t="s">
        <v>208</v>
      </c>
      <c r="X131" s="1" t="s">
        <v>206</v>
      </c>
      <c r="Y131" s="1" t="s">
        <v>441</v>
      </c>
      <c r="Z131" s="1" t="s">
        <v>206</v>
      </c>
      <c r="AA131" s="1" t="s">
        <v>206</v>
      </c>
      <c r="AB131" s="1" t="s">
        <v>206</v>
      </c>
      <c r="AC131" s="1" t="s">
        <v>238</v>
      </c>
      <c r="AD131" s="1" t="s">
        <v>441</v>
      </c>
      <c r="AE131" s="1" t="s">
        <v>208</v>
      </c>
      <c r="AF131" s="1" t="s">
        <v>208</v>
      </c>
      <c r="AG131" s="1" t="s">
        <v>441</v>
      </c>
      <c r="AH131" s="1" t="s">
        <v>208</v>
      </c>
      <c r="AI131" s="120" t="s">
        <v>227</v>
      </c>
    </row>
    <row x14ac:dyDescent="0.25" r="132" customHeight="1" ht="17.25">
      <c r="A132" s="1" t="s">
        <v>1010</v>
      </c>
      <c r="B132" s="61" t="s">
        <v>1011</v>
      </c>
      <c r="C132" s="1" t="s">
        <v>106</v>
      </c>
      <c r="D132" s="1" t="s">
        <v>55</v>
      </c>
      <c r="E132" s="116" t="s">
        <v>1012</v>
      </c>
      <c r="F132" s="120" t="s">
        <v>160</v>
      </c>
      <c r="G132" s="1" t="s">
        <v>22</v>
      </c>
      <c r="H132" s="61">
        <v>28937</v>
      </c>
      <c r="I132" s="1" t="s">
        <v>175</v>
      </c>
      <c r="J132" s="1" t="s">
        <v>517</v>
      </c>
      <c r="K132" s="1" t="s">
        <v>1013</v>
      </c>
      <c r="L132" s="119">
        <v>0</v>
      </c>
      <c r="M132" s="117" t="s">
        <v>1014</v>
      </c>
      <c r="N132" s="119">
        <v>0</v>
      </c>
      <c r="O132" s="118">
        <v>0</v>
      </c>
      <c r="P132" s="119">
        <v>0</v>
      </c>
      <c r="Q132" s="118">
        <v>0</v>
      </c>
      <c r="R132" s="1" t="s">
        <v>371</v>
      </c>
      <c r="S132" s="1" t="s">
        <v>206</v>
      </c>
      <c r="T132" s="1" t="s">
        <v>594</v>
      </c>
      <c r="U132" s="1" t="s">
        <v>198</v>
      </c>
      <c r="V132" s="1" t="s">
        <v>357</v>
      </c>
      <c r="W132" s="1" t="s">
        <v>208</v>
      </c>
      <c r="X132" s="1" t="s">
        <v>206</v>
      </c>
      <c r="Y132" s="1" t="s">
        <v>441</v>
      </c>
      <c r="Z132" s="1" t="s">
        <v>206</v>
      </c>
      <c r="AA132" s="1" t="s">
        <v>206</v>
      </c>
      <c r="AB132" s="1" t="s">
        <v>206</v>
      </c>
      <c r="AC132" s="1" t="s">
        <v>237</v>
      </c>
      <c r="AD132" s="1" t="s">
        <v>661</v>
      </c>
      <c r="AE132" s="1" t="s">
        <v>208</v>
      </c>
      <c r="AF132" s="1" t="s">
        <v>208</v>
      </c>
      <c r="AG132" s="1" t="s">
        <v>661</v>
      </c>
      <c r="AH132" s="1" t="s">
        <v>206</v>
      </c>
      <c r="AI132" s="1" t="s">
        <v>228</v>
      </c>
    </row>
    <row x14ac:dyDescent="0.25" r="133" customHeight="1" ht="17.25">
      <c r="A133" s="1" t="s">
        <v>1346</v>
      </c>
      <c r="B133" s="61" t="s">
        <v>597</v>
      </c>
      <c r="C133" s="1" t="s">
        <v>84</v>
      </c>
      <c r="D133" s="1" t="s">
        <v>55</v>
      </c>
      <c r="E133" s="116" t="s">
        <v>1347</v>
      </c>
      <c r="F133" s="1" t="s">
        <v>158</v>
      </c>
      <c r="G133" s="1" t="s">
        <v>22</v>
      </c>
      <c r="H133" s="61">
        <v>35340</v>
      </c>
      <c r="I133" s="1" t="s">
        <v>175</v>
      </c>
      <c r="J133" s="1" t="s">
        <v>365</v>
      </c>
      <c r="K133" s="1" t="s">
        <v>1348</v>
      </c>
      <c r="L133" s="117" t="s">
        <v>1349</v>
      </c>
      <c r="M133" s="119">
        <v>0</v>
      </c>
      <c r="N133" s="119">
        <v>0</v>
      </c>
      <c r="O133" s="118">
        <v>0</v>
      </c>
      <c r="P133" s="119">
        <v>0</v>
      </c>
      <c r="Q133" s="118">
        <v>0</v>
      </c>
      <c r="R133" s="1" t="s">
        <v>357</v>
      </c>
      <c r="S133" s="1" t="s">
        <v>206</v>
      </c>
      <c r="T133" s="1" t="s">
        <v>358</v>
      </c>
      <c r="U133" s="1" t="s">
        <v>197</v>
      </c>
      <c r="V133" s="1" t="s">
        <v>357</v>
      </c>
      <c r="W133" s="1" t="s">
        <v>208</v>
      </c>
      <c r="X133" s="1" t="s">
        <v>206</v>
      </c>
      <c r="Y133" s="1" t="s">
        <v>441</v>
      </c>
      <c r="Z133" s="1" t="s">
        <v>206</v>
      </c>
      <c r="AA133" s="1" t="s">
        <v>206</v>
      </c>
      <c r="AB133" s="1" t="s">
        <v>206</v>
      </c>
      <c r="AC133" s="1" t="s">
        <v>238</v>
      </c>
      <c r="AD133" s="1" t="s">
        <v>441</v>
      </c>
      <c r="AE133" s="1" t="s">
        <v>208</v>
      </c>
      <c r="AF133" s="1" t="s">
        <v>208</v>
      </c>
      <c r="AG133" s="1" t="s">
        <v>441</v>
      </c>
      <c r="AH133" s="1" t="s">
        <v>208</v>
      </c>
      <c r="AI133" s="120" t="s">
        <v>227</v>
      </c>
    </row>
    <row x14ac:dyDescent="0.25" r="134" customHeight="1" ht="17.25">
      <c r="A134" s="1" t="s">
        <v>2336</v>
      </c>
      <c r="B134" s="61" t="s">
        <v>721</v>
      </c>
      <c r="C134" s="1" t="s">
        <v>84</v>
      </c>
      <c r="D134" s="1" t="s">
        <v>55</v>
      </c>
      <c r="E134" s="1" t="s">
        <v>2337</v>
      </c>
      <c r="F134" s="1" t="s">
        <v>158</v>
      </c>
      <c r="G134" s="1" t="s">
        <v>22</v>
      </c>
      <c r="H134" s="61">
        <v>29833</v>
      </c>
      <c r="I134" s="1" t="s">
        <v>176</v>
      </c>
      <c r="J134" s="1" t="s">
        <v>178</v>
      </c>
      <c r="K134" s="1" t="s">
        <v>2338</v>
      </c>
      <c r="L134" s="117" t="s">
        <v>2339</v>
      </c>
      <c r="M134" s="117" t="s">
        <v>2340</v>
      </c>
      <c r="N134" s="119">
        <v>0</v>
      </c>
      <c r="O134" s="118">
        <v>0</v>
      </c>
      <c r="P134" s="119">
        <v>0</v>
      </c>
      <c r="Q134" s="118">
        <v>0</v>
      </c>
      <c r="R134" s="1" t="s">
        <v>2210</v>
      </c>
      <c r="S134" s="1" t="s">
        <v>1265</v>
      </c>
      <c r="T134" s="1" t="s">
        <v>555</v>
      </c>
      <c r="U134" s="1" t="s">
        <v>200</v>
      </c>
      <c r="V134" s="1" t="s">
        <v>2285</v>
      </c>
      <c r="W134" s="1" t="s">
        <v>1265</v>
      </c>
      <c r="X134" s="1" t="s">
        <v>208</v>
      </c>
      <c r="Y134" s="1" t="s">
        <v>208</v>
      </c>
      <c r="Z134" s="1" t="s">
        <v>208</v>
      </c>
      <c r="AA134" s="1" t="s">
        <v>208</v>
      </c>
      <c r="AB134" s="1" t="s">
        <v>208</v>
      </c>
      <c r="AC134" s="1" t="s">
        <v>208</v>
      </c>
      <c r="AD134" s="1" t="s">
        <v>208</v>
      </c>
      <c r="AE134" s="1" t="s">
        <v>206</v>
      </c>
      <c r="AF134" s="1" t="s">
        <v>676</v>
      </c>
      <c r="AG134" s="1" t="s">
        <v>676</v>
      </c>
      <c r="AH134" s="1" t="s">
        <v>35</v>
      </c>
      <c r="AI134" s="1" t="s">
        <v>208</v>
      </c>
    </row>
    <row x14ac:dyDescent="0.25" r="135" customHeight="1" ht="17.25">
      <c r="A135" s="1" t="s">
        <v>1015</v>
      </c>
      <c r="B135" s="61" t="s">
        <v>1016</v>
      </c>
      <c r="C135" s="1" t="s">
        <v>129</v>
      </c>
      <c r="D135" s="1" t="s">
        <v>39</v>
      </c>
      <c r="E135" s="116" t="s">
        <v>1017</v>
      </c>
      <c r="F135" s="1" t="s">
        <v>158</v>
      </c>
      <c r="G135" s="1" t="s">
        <v>22</v>
      </c>
      <c r="H135" s="61">
        <v>30921</v>
      </c>
      <c r="I135" s="1" t="s">
        <v>176</v>
      </c>
      <c r="J135" s="1" t="s">
        <v>517</v>
      </c>
      <c r="K135" s="1" t="s">
        <v>1018</v>
      </c>
      <c r="L135" s="119">
        <v>0</v>
      </c>
      <c r="M135" s="119">
        <v>0</v>
      </c>
      <c r="N135" s="117" t="s">
        <v>1019</v>
      </c>
      <c r="O135" s="118">
        <v>0</v>
      </c>
      <c r="P135" s="119">
        <v>0</v>
      </c>
      <c r="Q135" s="118">
        <v>0</v>
      </c>
      <c r="R135" s="1" t="s">
        <v>357</v>
      </c>
      <c r="S135" s="1" t="s">
        <v>206</v>
      </c>
      <c r="T135" s="1" t="s">
        <v>405</v>
      </c>
      <c r="U135" s="1" t="s">
        <v>197</v>
      </c>
      <c r="V135" s="1" t="s">
        <v>357</v>
      </c>
      <c r="W135" s="1" t="s">
        <v>208</v>
      </c>
      <c r="X135" s="1" t="s">
        <v>832</v>
      </c>
      <c r="Y135" s="1" t="s">
        <v>386</v>
      </c>
      <c r="Z135" s="1" t="s">
        <v>206</v>
      </c>
      <c r="AA135" s="1" t="s">
        <v>206</v>
      </c>
      <c r="AB135" s="1" t="s">
        <v>206</v>
      </c>
      <c r="AC135" s="1" t="s">
        <v>236</v>
      </c>
      <c r="AD135" s="1" t="s">
        <v>661</v>
      </c>
      <c r="AE135" s="1" t="s">
        <v>208</v>
      </c>
      <c r="AF135" s="1" t="s">
        <v>208</v>
      </c>
      <c r="AG135" s="1" t="s">
        <v>661</v>
      </c>
      <c r="AH135" s="1" t="s">
        <v>206</v>
      </c>
      <c r="AI135" s="1" t="s">
        <v>229</v>
      </c>
    </row>
    <row x14ac:dyDescent="0.25" r="136" customHeight="1" ht="17.25">
      <c r="A136" s="1" t="s">
        <v>2534</v>
      </c>
      <c r="B136" s="61" t="s">
        <v>2535</v>
      </c>
      <c r="C136" s="1" t="s">
        <v>105</v>
      </c>
      <c r="D136" s="1" t="s">
        <v>39</v>
      </c>
      <c r="E136" s="116" t="s">
        <v>2536</v>
      </c>
      <c r="F136" s="1" t="s">
        <v>158</v>
      </c>
      <c r="G136" s="1" t="s">
        <v>22</v>
      </c>
      <c r="H136" s="61">
        <v>32760</v>
      </c>
      <c r="I136" s="1" t="s">
        <v>177</v>
      </c>
      <c r="J136" s="1" t="s">
        <v>354</v>
      </c>
      <c r="K136" s="1" t="s">
        <v>2181</v>
      </c>
      <c r="L136" s="117" t="s">
        <v>2537</v>
      </c>
      <c r="M136" s="117" t="s">
        <v>2538</v>
      </c>
      <c r="N136" s="117" t="s">
        <v>2539</v>
      </c>
      <c r="O136" s="121" t="s">
        <v>2540</v>
      </c>
      <c r="P136" s="119">
        <v>0</v>
      </c>
      <c r="Q136" s="118">
        <v>0</v>
      </c>
      <c r="R136" s="1" t="s">
        <v>371</v>
      </c>
      <c r="S136" s="1" t="s">
        <v>372</v>
      </c>
      <c r="T136" s="1" t="s">
        <v>373</v>
      </c>
      <c r="U136" s="1" t="s">
        <v>199</v>
      </c>
      <c r="V136" s="1" t="s">
        <v>208</v>
      </c>
      <c r="W136" s="1" t="s">
        <v>208</v>
      </c>
      <c r="X136" s="1" t="s">
        <v>208</v>
      </c>
      <c r="Y136" s="1" t="s">
        <v>208</v>
      </c>
      <c r="Z136" s="1" t="s">
        <v>208</v>
      </c>
      <c r="AA136" s="1" t="s">
        <v>208</v>
      </c>
      <c r="AB136" s="1" t="s">
        <v>208</v>
      </c>
      <c r="AC136" s="1" t="s">
        <v>208</v>
      </c>
      <c r="AD136" s="1" t="s">
        <v>208</v>
      </c>
      <c r="AE136" s="1" t="s">
        <v>208</v>
      </c>
      <c r="AF136" s="1" t="s">
        <v>208</v>
      </c>
      <c r="AG136" s="1" t="s">
        <v>208</v>
      </c>
      <c r="AH136" s="1" t="s">
        <v>208</v>
      </c>
      <c r="AI136" s="1" t="s">
        <v>208</v>
      </c>
    </row>
    <row x14ac:dyDescent="0.25" r="137" customHeight="1" ht="17.25">
      <c r="A137" s="1" t="s">
        <v>763</v>
      </c>
      <c r="B137" s="61" t="s">
        <v>764</v>
      </c>
      <c r="C137" s="1" t="s">
        <v>105</v>
      </c>
      <c r="D137" s="1" t="s">
        <v>39</v>
      </c>
      <c r="E137" s="116" t="s">
        <v>765</v>
      </c>
      <c r="F137" s="1" t="s">
        <v>158</v>
      </c>
      <c r="G137" s="1" t="s">
        <v>22</v>
      </c>
      <c r="H137" s="61">
        <v>34820</v>
      </c>
      <c r="I137" s="1" t="s">
        <v>175</v>
      </c>
      <c r="J137" s="1" t="s">
        <v>365</v>
      </c>
      <c r="K137" s="1" t="s">
        <v>766</v>
      </c>
      <c r="L137" s="117" t="s">
        <v>767</v>
      </c>
      <c r="M137" s="117" t="s">
        <v>768</v>
      </c>
      <c r="N137" s="119">
        <v>0</v>
      </c>
      <c r="O137" s="118">
        <v>0</v>
      </c>
      <c r="P137" s="119">
        <v>0</v>
      </c>
      <c r="Q137" s="121" t="s">
        <v>769</v>
      </c>
      <c r="R137" s="1" t="s">
        <v>357</v>
      </c>
      <c r="S137" s="1" t="s">
        <v>206</v>
      </c>
      <c r="T137" s="1" t="s">
        <v>770</v>
      </c>
      <c r="U137" s="1" t="s">
        <v>197</v>
      </c>
      <c r="V137" s="1" t="s">
        <v>357</v>
      </c>
      <c r="W137" s="1" t="s">
        <v>208</v>
      </c>
      <c r="X137" s="1" t="s">
        <v>206</v>
      </c>
      <c r="Y137" s="1" t="s">
        <v>441</v>
      </c>
      <c r="Z137" s="1" t="s">
        <v>206</v>
      </c>
      <c r="AA137" s="1" t="s">
        <v>206</v>
      </c>
      <c r="AB137" s="1" t="s">
        <v>206</v>
      </c>
      <c r="AC137" s="1" t="s">
        <v>236</v>
      </c>
      <c r="AD137" s="1" t="s">
        <v>497</v>
      </c>
      <c r="AE137" s="1" t="s">
        <v>208</v>
      </c>
      <c r="AF137" s="1" t="s">
        <v>208</v>
      </c>
      <c r="AG137" s="1" t="s">
        <v>497</v>
      </c>
      <c r="AH137" s="1" t="s">
        <v>206</v>
      </c>
      <c r="AI137" s="120" t="s">
        <v>227</v>
      </c>
    </row>
    <row x14ac:dyDescent="0.25" r="138" customHeight="1" ht="17.25">
      <c r="A138" s="1" t="s">
        <v>824</v>
      </c>
      <c r="B138" s="61" t="s">
        <v>825</v>
      </c>
      <c r="C138" s="1" t="s">
        <v>129</v>
      </c>
      <c r="D138" s="1" t="s">
        <v>39</v>
      </c>
      <c r="E138" s="116" t="s">
        <v>826</v>
      </c>
      <c r="F138" s="1" t="s">
        <v>158</v>
      </c>
      <c r="G138" s="1" t="s">
        <v>22</v>
      </c>
      <c r="H138" s="61">
        <v>36287</v>
      </c>
      <c r="I138" s="1" t="s">
        <v>176</v>
      </c>
      <c r="J138" s="1" t="s">
        <v>365</v>
      </c>
      <c r="K138" s="1" t="s">
        <v>827</v>
      </c>
      <c r="L138" s="117" t="s">
        <v>828</v>
      </c>
      <c r="M138" s="117" t="s">
        <v>829</v>
      </c>
      <c r="N138" s="117" t="s">
        <v>830</v>
      </c>
      <c r="O138" s="118">
        <v>0</v>
      </c>
      <c r="P138" s="119">
        <v>0</v>
      </c>
      <c r="Q138" s="118">
        <v>0</v>
      </c>
      <c r="R138" s="1" t="s">
        <v>357</v>
      </c>
      <c r="S138" s="1" t="s">
        <v>831</v>
      </c>
      <c r="T138" s="1" t="s">
        <v>373</v>
      </c>
      <c r="U138" s="1" t="s">
        <v>469</v>
      </c>
      <c r="V138" s="1" t="s">
        <v>357</v>
      </c>
      <c r="W138" s="1" t="s">
        <v>206</v>
      </c>
      <c r="X138" s="1" t="s">
        <v>832</v>
      </c>
      <c r="Y138" s="1" t="s">
        <v>386</v>
      </c>
      <c r="Z138" s="1" t="s">
        <v>206</v>
      </c>
      <c r="AA138" s="1" t="s">
        <v>29</v>
      </c>
      <c r="AB138" s="1" t="s">
        <v>206</v>
      </c>
      <c r="AC138" s="1" t="s">
        <v>236</v>
      </c>
      <c r="AD138" s="1" t="s">
        <v>497</v>
      </c>
      <c r="AE138" s="1" t="s">
        <v>208</v>
      </c>
      <c r="AF138" s="1" t="s">
        <v>208</v>
      </c>
      <c r="AG138" s="1" t="s">
        <v>497</v>
      </c>
      <c r="AH138" s="1" t="s">
        <v>206</v>
      </c>
      <c r="AI138" s="1" t="s">
        <v>228</v>
      </c>
    </row>
    <row x14ac:dyDescent="0.25" r="139" customHeight="1" ht="17.25">
      <c r="A139" s="1" t="s">
        <v>2016</v>
      </c>
      <c r="B139" s="61" t="s">
        <v>1617</v>
      </c>
      <c r="C139" s="1" t="s">
        <v>105</v>
      </c>
      <c r="D139" s="1" t="s">
        <v>39</v>
      </c>
      <c r="E139" s="116" t="s">
        <v>2017</v>
      </c>
      <c r="F139" s="1" t="s">
        <v>158</v>
      </c>
      <c r="G139" s="1" t="s">
        <v>22</v>
      </c>
      <c r="H139" s="61">
        <v>34295</v>
      </c>
      <c r="I139" s="1" t="s">
        <v>175</v>
      </c>
      <c r="J139" s="1" t="s">
        <v>354</v>
      </c>
      <c r="K139" s="1" t="s">
        <v>2018</v>
      </c>
      <c r="L139" s="117" t="s">
        <v>2019</v>
      </c>
      <c r="M139" s="117" t="s">
        <v>2020</v>
      </c>
      <c r="N139" s="117" t="s">
        <v>822</v>
      </c>
      <c r="O139" s="118">
        <v>0</v>
      </c>
      <c r="P139" s="119">
        <v>0</v>
      </c>
      <c r="Q139" s="118">
        <v>0</v>
      </c>
      <c r="R139" s="1" t="s">
        <v>357</v>
      </c>
      <c r="S139" s="1" t="s">
        <v>206</v>
      </c>
      <c r="T139" s="1" t="s">
        <v>520</v>
      </c>
      <c r="U139" s="1" t="s">
        <v>197</v>
      </c>
      <c r="V139" s="1" t="s">
        <v>357</v>
      </c>
      <c r="W139" s="1" t="s">
        <v>208</v>
      </c>
      <c r="X139" s="1" t="s">
        <v>206</v>
      </c>
      <c r="Y139" s="1" t="s">
        <v>441</v>
      </c>
      <c r="Z139" s="1" t="s">
        <v>207</v>
      </c>
      <c r="AA139" s="1" t="s">
        <v>206</v>
      </c>
      <c r="AB139" s="1" t="s">
        <v>206</v>
      </c>
      <c r="AC139" s="1" t="s">
        <v>238</v>
      </c>
      <c r="AD139" s="1" t="s">
        <v>1374</v>
      </c>
      <c r="AE139" s="1" t="s">
        <v>208</v>
      </c>
      <c r="AF139" s="1" t="s">
        <v>208</v>
      </c>
      <c r="AG139" s="1" t="s">
        <v>1374</v>
      </c>
      <c r="AH139" s="1" t="s">
        <v>208</v>
      </c>
      <c r="AI139" s="120" t="s">
        <v>227</v>
      </c>
    </row>
    <row x14ac:dyDescent="0.25" r="140" customHeight="1" ht="17.25">
      <c r="A140" s="1" t="s">
        <v>2010</v>
      </c>
      <c r="B140" s="61" t="s">
        <v>1589</v>
      </c>
      <c r="C140" s="1" t="s">
        <v>105</v>
      </c>
      <c r="D140" s="1" t="s">
        <v>39</v>
      </c>
      <c r="E140" s="116" t="s">
        <v>2011</v>
      </c>
      <c r="F140" s="1" t="s">
        <v>158</v>
      </c>
      <c r="G140" s="1" t="s">
        <v>22</v>
      </c>
      <c r="H140" s="61">
        <v>34985</v>
      </c>
      <c r="I140" s="1" t="s">
        <v>175</v>
      </c>
      <c r="J140" s="1" t="s">
        <v>464</v>
      </c>
      <c r="K140" s="1" t="s">
        <v>773</v>
      </c>
      <c r="L140" s="119">
        <v>0</v>
      </c>
      <c r="M140" s="117" t="s">
        <v>2012</v>
      </c>
      <c r="N140" s="119">
        <v>0</v>
      </c>
      <c r="O140" s="118">
        <v>0</v>
      </c>
      <c r="P140" s="119">
        <v>0</v>
      </c>
      <c r="Q140" s="118">
        <v>0</v>
      </c>
      <c r="R140" s="1" t="s">
        <v>357</v>
      </c>
      <c r="S140" s="1" t="s">
        <v>206</v>
      </c>
      <c r="T140" s="1" t="s">
        <v>358</v>
      </c>
      <c r="U140" s="1" t="s">
        <v>197</v>
      </c>
      <c r="V140" s="1" t="s">
        <v>357</v>
      </c>
      <c r="W140" s="1" t="s">
        <v>208</v>
      </c>
      <c r="X140" s="1" t="s">
        <v>206</v>
      </c>
      <c r="Y140" s="1" t="s">
        <v>441</v>
      </c>
      <c r="Z140" s="1" t="s">
        <v>207</v>
      </c>
      <c r="AA140" s="1" t="s">
        <v>206</v>
      </c>
      <c r="AB140" s="1" t="s">
        <v>206</v>
      </c>
      <c r="AC140" s="1" t="s">
        <v>238</v>
      </c>
      <c r="AD140" s="1" t="s">
        <v>1374</v>
      </c>
      <c r="AE140" s="1" t="s">
        <v>208</v>
      </c>
      <c r="AF140" s="1" t="s">
        <v>208</v>
      </c>
      <c r="AG140" s="1" t="s">
        <v>1374</v>
      </c>
      <c r="AH140" s="1" t="s">
        <v>208</v>
      </c>
      <c r="AI140" s="120" t="s">
        <v>227</v>
      </c>
    </row>
    <row x14ac:dyDescent="0.25" r="141" customHeight="1" ht="17.25">
      <c r="A141" s="1" t="s">
        <v>655</v>
      </c>
      <c r="B141" s="61" t="s">
        <v>656</v>
      </c>
      <c r="C141" s="1" t="s">
        <v>105</v>
      </c>
      <c r="D141" s="1" t="s">
        <v>39</v>
      </c>
      <c r="E141" s="116" t="s">
        <v>657</v>
      </c>
      <c r="F141" s="1" t="s">
        <v>158</v>
      </c>
      <c r="G141" s="1" t="s">
        <v>22</v>
      </c>
      <c r="H141" s="61">
        <v>35006</v>
      </c>
      <c r="I141" s="1" t="s">
        <v>177</v>
      </c>
      <c r="J141" s="1" t="s">
        <v>354</v>
      </c>
      <c r="K141" s="1" t="s">
        <v>658</v>
      </c>
      <c r="L141" s="119">
        <v>0</v>
      </c>
      <c r="M141" s="117" t="s">
        <v>659</v>
      </c>
      <c r="N141" s="119">
        <v>0</v>
      </c>
      <c r="O141" s="118">
        <v>0</v>
      </c>
      <c r="P141" s="119">
        <v>0</v>
      </c>
      <c r="Q141" s="118">
        <v>0</v>
      </c>
      <c r="R141" s="1" t="s">
        <v>357</v>
      </c>
      <c r="S141" s="1" t="s">
        <v>404</v>
      </c>
      <c r="T141" s="1" t="s">
        <v>405</v>
      </c>
      <c r="U141" s="1" t="s">
        <v>198</v>
      </c>
      <c r="V141" s="1" t="s">
        <v>357</v>
      </c>
      <c r="W141" s="1" t="s">
        <v>206</v>
      </c>
      <c r="X141" s="1" t="s">
        <v>206</v>
      </c>
      <c r="Y141" s="1" t="s">
        <v>441</v>
      </c>
      <c r="Z141" s="1" t="s">
        <v>206</v>
      </c>
      <c r="AA141" s="1" t="s">
        <v>206</v>
      </c>
      <c r="AB141" s="1" t="s">
        <v>206</v>
      </c>
      <c r="AC141" s="1" t="s">
        <v>236</v>
      </c>
      <c r="AD141" s="1" t="s">
        <v>497</v>
      </c>
      <c r="AE141" s="1" t="s">
        <v>208</v>
      </c>
      <c r="AF141" s="1" t="s">
        <v>208</v>
      </c>
      <c r="AG141" s="1" t="s">
        <v>497</v>
      </c>
      <c r="AH141" s="1" t="s">
        <v>206</v>
      </c>
      <c r="AI141" s="120" t="s">
        <v>227</v>
      </c>
    </row>
    <row x14ac:dyDescent="0.25" r="142" customHeight="1" ht="17.25">
      <c r="A142" s="1" t="s">
        <v>655</v>
      </c>
      <c r="B142" s="61" t="s">
        <v>656</v>
      </c>
      <c r="C142" s="1" t="s">
        <v>105</v>
      </c>
      <c r="D142" s="1" t="s">
        <v>39</v>
      </c>
      <c r="E142" s="116" t="s">
        <v>660</v>
      </c>
      <c r="F142" s="1" t="s">
        <v>158</v>
      </c>
      <c r="G142" s="1" t="s">
        <v>22</v>
      </c>
      <c r="H142" s="61">
        <v>33137</v>
      </c>
      <c r="I142" s="1" t="s">
        <v>176</v>
      </c>
      <c r="J142" s="1" t="s">
        <v>464</v>
      </c>
      <c r="K142" s="1" t="s">
        <v>658</v>
      </c>
      <c r="L142" s="119">
        <v>0</v>
      </c>
      <c r="M142" s="117" t="s">
        <v>659</v>
      </c>
      <c r="N142" s="119">
        <v>0</v>
      </c>
      <c r="O142" s="118">
        <v>0</v>
      </c>
      <c r="P142" s="119">
        <v>0</v>
      </c>
      <c r="Q142" s="118">
        <v>0</v>
      </c>
      <c r="R142" s="1" t="s">
        <v>357</v>
      </c>
      <c r="S142" s="1" t="s">
        <v>404</v>
      </c>
      <c r="T142" s="1" t="s">
        <v>405</v>
      </c>
      <c r="U142" s="1" t="s">
        <v>197</v>
      </c>
      <c r="V142" s="1" t="s">
        <v>357</v>
      </c>
      <c r="W142" s="1" t="s">
        <v>404</v>
      </c>
      <c r="X142" s="1" t="s">
        <v>206</v>
      </c>
      <c r="Y142" s="1" t="s">
        <v>441</v>
      </c>
      <c r="Z142" s="1" t="s">
        <v>206</v>
      </c>
      <c r="AA142" s="1" t="s">
        <v>206</v>
      </c>
      <c r="AB142" s="1" t="s">
        <v>206</v>
      </c>
      <c r="AC142" s="1" t="s">
        <v>236</v>
      </c>
      <c r="AD142" s="1" t="s">
        <v>497</v>
      </c>
      <c r="AE142" s="1" t="s">
        <v>208</v>
      </c>
      <c r="AF142" s="1" t="s">
        <v>661</v>
      </c>
      <c r="AG142" s="1" t="s">
        <v>662</v>
      </c>
      <c r="AH142" s="1" t="s">
        <v>206</v>
      </c>
      <c r="AI142" s="120" t="s">
        <v>227</v>
      </c>
    </row>
    <row x14ac:dyDescent="0.25" r="143" customHeight="1" ht="17.25">
      <c r="A143" s="1" t="s">
        <v>927</v>
      </c>
      <c r="B143" s="61" t="s">
        <v>928</v>
      </c>
      <c r="C143" s="1" t="s">
        <v>129</v>
      </c>
      <c r="D143" s="1" t="s">
        <v>39</v>
      </c>
      <c r="E143" s="116" t="s">
        <v>929</v>
      </c>
      <c r="F143" s="1" t="s">
        <v>158</v>
      </c>
      <c r="G143" s="1" t="s">
        <v>22</v>
      </c>
      <c r="H143" s="61">
        <v>34963</v>
      </c>
      <c r="I143" s="1" t="s">
        <v>176</v>
      </c>
      <c r="J143" s="1" t="s">
        <v>464</v>
      </c>
      <c r="K143" s="1" t="s">
        <v>930</v>
      </c>
      <c r="L143" s="117" t="s">
        <v>931</v>
      </c>
      <c r="M143" s="117" t="s">
        <v>932</v>
      </c>
      <c r="N143" s="117" t="s">
        <v>933</v>
      </c>
      <c r="O143" s="118">
        <v>0</v>
      </c>
      <c r="P143" s="119">
        <v>0</v>
      </c>
      <c r="Q143" s="118">
        <v>0</v>
      </c>
      <c r="R143" s="1" t="s">
        <v>357</v>
      </c>
      <c r="S143" s="1" t="s">
        <v>206</v>
      </c>
      <c r="T143" s="1" t="s">
        <v>934</v>
      </c>
      <c r="U143" s="1" t="s">
        <v>197</v>
      </c>
      <c r="V143" s="1" t="s">
        <v>357</v>
      </c>
      <c r="W143" s="1" t="s">
        <v>208</v>
      </c>
      <c r="X143" s="1" t="s">
        <v>935</v>
      </c>
      <c r="Y143" s="1" t="s">
        <v>386</v>
      </c>
      <c r="Z143" s="1" t="s">
        <v>206</v>
      </c>
      <c r="AA143" s="1" t="s">
        <v>28</v>
      </c>
      <c r="AB143" s="1" t="s">
        <v>206</v>
      </c>
      <c r="AC143" s="1" t="s">
        <v>236</v>
      </c>
      <c r="AD143" s="1" t="s">
        <v>497</v>
      </c>
      <c r="AE143" s="1" t="s">
        <v>208</v>
      </c>
      <c r="AF143" s="1" t="s">
        <v>208</v>
      </c>
      <c r="AG143" s="1" t="s">
        <v>497</v>
      </c>
      <c r="AH143" s="1" t="s">
        <v>206</v>
      </c>
      <c r="AI143" s="1" t="s">
        <v>229</v>
      </c>
    </row>
    <row x14ac:dyDescent="0.25" r="144" customHeight="1" ht="17.25">
      <c r="A144" s="1" t="s">
        <v>883</v>
      </c>
      <c r="B144" s="61" t="s">
        <v>704</v>
      </c>
      <c r="C144" s="1" t="s">
        <v>148</v>
      </c>
      <c r="D144" s="1" t="s">
        <v>39</v>
      </c>
      <c r="E144" s="116" t="s">
        <v>884</v>
      </c>
      <c r="F144" s="1" t="s">
        <v>158</v>
      </c>
      <c r="G144" s="1" t="s">
        <v>22</v>
      </c>
      <c r="H144" s="61">
        <v>35867</v>
      </c>
      <c r="I144" s="1" t="s">
        <v>175</v>
      </c>
      <c r="J144" s="1" t="s">
        <v>365</v>
      </c>
      <c r="K144" s="1" t="s">
        <v>885</v>
      </c>
      <c r="L144" s="117" t="s">
        <v>886</v>
      </c>
      <c r="M144" s="117" t="s">
        <v>887</v>
      </c>
      <c r="N144" s="117" t="s">
        <v>888</v>
      </c>
      <c r="O144" s="118">
        <v>0</v>
      </c>
      <c r="P144" s="119">
        <v>0</v>
      </c>
      <c r="Q144" s="118">
        <v>0</v>
      </c>
      <c r="R144" s="1" t="s">
        <v>357</v>
      </c>
      <c r="S144" s="1" t="s">
        <v>206</v>
      </c>
      <c r="T144" s="1" t="s">
        <v>889</v>
      </c>
      <c r="U144" s="1" t="s">
        <v>197</v>
      </c>
      <c r="V144" s="1" t="s">
        <v>357</v>
      </c>
      <c r="W144" s="1" t="s">
        <v>208</v>
      </c>
      <c r="X144" s="1" t="s">
        <v>206</v>
      </c>
      <c r="Y144" s="1" t="s">
        <v>441</v>
      </c>
      <c r="Z144" s="1" t="s">
        <v>206</v>
      </c>
      <c r="AA144" s="1" t="s">
        <v>206</v>
      </c>
      <c r="AB144" s="1" t="s">
        <v>206</v>
      </c>
      <c r="AC144" s="1" t="s">
        <v>236</v>
      </c>
      <c r="AD144" s="1" t="s">
        <v>497</v>
      </c>
      <c r="AE144" s="1" t="s">
        <v>208</v>
      </c>
      <c r="AF144" s="1" t="s">
        <v>208</v>
      </c>
      <c r="AG144" s="1" t="s">
        <v>497</v>
      </c>
      <c r="AH144" s="1" t="s">
        <v>206</v>
      </c>
      <c r="AI144" s="120" t="s">
        <v>227</v>
      </c>
    </row>
    <row x14ac:dyDescent="0.25" r="145" customHeight="1" ht="17.25">
      <c r="A145" s="1" t="s">
        <v>536</v>
      </c>
      <c r="B145" s="61">
        <v>42893</v>
      </c>
      <c r="C145" s="1" t="s">
        <v>105</v>
      </c>
      <c r="D145" s="1" t="s">
        <v>39</v>
      </c>
      <c r="E145" s="116" t="s">
        <v>537</v>
      </c>
      <c r="F145" s="1" t="s">
        <v>158</v>
      </c>
      <c r="G145" s="1" t="s">
        <v>22</v>
      </c>
      <c r="H145" s="61">
        <v>30297</v>
      </c>
      <c r="I145" s="1" t="s">
        <v>177</v>
      </c>
      <c r="J145" s="1" t="s">
        <v>365</v>
      </c>
      <c r="K145" s="1" t="s">
        <v>538</v>
      </c>
      <c r="L145" s="117" t="s">
        <v>539</v>
      </c>
      <c r="M145" s="119">
        <v>0</v>
      </c>
      <c r="N145" s="119">
        <v>0</v>
      </c>
      <c r="O145" s="118">
        <v>0</v>
      </c>
      <c r="P145" s="119">
        <v>0</v>
      </c>
      <c r="Q145" s="118">
        <v>0</v>
      </c>
      <c r="R145" s="1" t="s">
        <v>357</v>
      </c>
      <c r="S145" s="1" t="s">
        <v>206</v>
      </c>
      <c r="T145" s="1" t="s">
        <v>540</v>
      </c>
      <c r="U145" s="1" t="s">
        <v>197</v>
      </c>
      <c r="V145" s="1" t="s">
        <v>357</v>
      </c>
      <c r="W145" s="1" t="s">
        <v>208</v>
      </c>
      <c r="X145" s="1" t="s">
        <v>206</v>
      </c>
      <c r="Y145" s="1" t="s">
        <v>441</v>
      </c>
      <c r="Z145" s="1" t="s">
        <v>206</v>
      </c>
      <c r="AA145" s="1" t="s">
        <v>206</v>
      </c>
      <c r="AB145" s="1" t="s">
        <v>206</v>
      </c>
      <c r="AC145" s="1" t="s">
        <v>236</v>
      </c>
      <c r="AD145" s="1" t="s">
        <v>497</v>
      </c>
      <c r="AE145" s="1" t="s">
        <v>208</v>
      </c>
      <c r="AF145" s="1" t="s">
        <v>208</v>
      </c>
      <c r="AG145" s="1" t="s">
        <v>497</v>
      </c>
      <c r="AH145" s="1" t="s">
        <v>206</v>
      </c>
      <c r="AI145" s="120" t="s">
        <v>227</v>
      </c>
    </row>
    <row x14ac:dyDescent="0.25" r="146" customHeight="1" ht="17.25">
      <c r="A146" s="1" t="s">
        <v>417</v>
      </c>
      <c r="B146" s="61" t="s">
        <v>418</v>
      </c>
      <c r="C146" s="1" t="s">
        <v>97</v>
      </c>
      <c r="D146" s="1" t="s">
        <v>57</v>
      </c>
      <c r="E146" s="116" t="s">
        <v>419</v>
      </c>
      <c r="F146" s="1" t="s">
        <v>158</v>
      </c>
      <c r="G146" s="1" t="s">
        <v>170</v>
      </c>
      <c r="H146" s="61">
        <v>34880</v>
      </c>
      <c r="I146" s="1" t="s">
        <v>175</v>
      </c>
      <c r="J146" s="1" t="s">
        <v>365</v>
      </c>
      <c r="K146" s="1" t="s">
        <v>420</v>
      </c>
      <c r="L146" s="119">
        <v>0</v>
      </c>
      <c r="M146" s="119">
        <v>0</v>
      </c>
      <c r="N146" s="117" t="s">
        <v>421</v>
      </c>
      <c r="O146" s="118">
        <v>0</v>
      </c>
      <c r="P146" s="119">
        <v>0</v>
      </c>
      <c r="Q146" s="118">
        <v>0</v>
      </c>
      <c r="R146" s="1" t="s">
        <v>357</v>
      </c>
      <c r="S146" s="1" t="s">
        <v>206</v>
      </c>
      <c r="T146" s="1" t="s">
        <v>422</v>
      </c>
      <c r="U146" s="1" t="s">
        <v>197</v>
      </c>
      <c r="V146" s="1" t="s">
        <v>357</v>
      </c>
      <c r="W146" s="1" t="s">
        <v>208</v>
      </c>
      <c r="X146" s="1" t="s">
        <v>423</v>
      </c>
      <c r="Y146" s="1" t="s">
        <v>424</v>
      </c>
      <c r="Z146" s="1" t="s">
        <v>207</v>
      </c>
      <c r="AA146" s="1" t="s">
        <v>206</v>
      </c>
      <c r="AB146" s="1" t="s">
        <v>206</v>
      </c>
      <c r="AC146" s="1" t="s">
        <v>238</v>
      </c>
      <c r="AD146" s="1" t="s">
        <v>425</v>
      </c>
      <c r="AE146" s="1" t="s">
        <v>208</v>
      </c>
      <c r="AF146" s="1" t="s">
        <v>208</v>
      </c>
      <c r="AG146" s="1" t="s">
        <v>425</v>
      </c>
      <c r="AH146" s="1" t="s">
        <v>208</v>
      </c>
      <c r="AI146" s="120" t="s">
        <v>227</v>
      </c>
    </row>
    <row x14ac:dyDescent="0.25" r="147" customHeight="1" ht="17.25">
      <c r="A147" s="1" t="s">
        <v>2473</v>
      </c>
      <c r="B147" s="61" t="s">
        <v>679</v>
      </c>
      <c r="C147" s="1" t="s">
        <v>92</v>
      </c>
      <c r="D147" s="1" t="s">
        <v>57</v>
      </c>
      <c r="E147" s="116" t="s">
        <v>2474</v>
      </c>
      <c r="F147" s="1" t="s">
        <v>158</v>
      </c>
      <c r="G147" s="1" t="s">
        <v>22</v>
      </c>
      <c r="H147" s="61">
        <v>34390</v>
      </c>
      <c r="I147" s="1" t="s">
        <v>176</v>
      </c>
      <c r="J147" s="1" t="s">
        <v>464</v>
      </c>
      <c r="K147" s="1" t="s">
        <v>2475</v>
      </c>
      <c r="L147" s="117" t="s">
        <v>2476</v>
      </c>
      <c r="M147" s="117" t="s">
        <v>2477</v>
      </c>
      <c r="N147" s="117" t="s">
        <v>2478</v>
      </c>
      <c r="O147" s="118">
        <v>0</v>
      </c>
      <c r="P147" s="119">
        <v>0</v>
      </c>
      <c r="Q147" s="118">
        <v>0</v>
      </c>
      <c r="R147" s="1" t="s">
        <v>357</v>
      </c>
      <c r="S147" s="1" t="s">
        <v>206</v>
      </c>
      <c r="T147" s="1" t="s">
        <v>373</v>
      </c>
      <c r="U147" s="1" t="s">
        <v>199</v>
      </c>
      <c r="V147" s="1" t="s">
        <v>208</v>
      </c>
      <c r="W147" s="1" t="s">
        <v>208</v>
      </c>
      <c r="X147" s="1" t="s">
        <v>208</v>
      </c>
      <c r="Y147" s="1" t="s">
        <v>208</v>
      </c>
      <c r="Z147" s="1" t="s">
        <v>208</v>
      </c>
      <c r="AA147" s="1" t="s">
        <v>208</v>
      </c>
      <c r="AB147" s="1" t="s">
        <v>208</v>
      </c>
      <c r="AC147" s="1" t="s">
        <v>208</v>
      </c>
      <c r="AD147" s="1" t="s">
        <v>208</v>
      </c>
      <c r="AE147" s="1" t="s">
        <v>208</v>
      </c>
      <c r="AF147" s="1" t="s">
        <v>208</v>
      </c>
      <c r="AG147" s="1" t="s">
        <v>208</v>
      </c>
      <c r="AH147" s="1" t="s">
        <v>208</v>
      </c>
      <c r="AI147" s="1" t="s">
        <v>208</v>
      </c>
    </row>
    <row x14ac:dyDescent="0.25" r="148" customHeight="1" ht="17.25">
      <c r="A148" s="1" t="s">
        <v>514</v>
      </c>
      <c r="B148" s="61" t="s">
        <v>515</v>
      </c>
      <c r="C148" s="1" t="s">
        <v>97</v>
      </c>
      <c r="D148" s="1" t="s">
        <v>57</v>
      </c>
      <c r="E148" s="116" t="s">
        <v>516</v>
      </c>
      <c r="F148" s="1" t="s">
        <v>158</v>
      </c>
      <c r="G148" s="1" t="s">
        <v>22</v>
      </c>
      <c r="H148" s="61">
        <v>35651</v>
      </c>
      <c r="I148" s="1" t="s">
        <v>176</v>
      </c>
      <c r="J148" s="1" t="s">
        <v>517</v>
      </c>
      <c r="K148" s="1" t="s">
        <v>518</v>
      </c>
      <c r="L148" s="117" t="s">
        <v>519</v>
      </c>
      <c r="M148" s="119">
        <v>0</v>
      </c>
      <c r="N148" s="119">
        <v>0</v>
      </c>
      <c r="O148" s="118">
        <v>0</v>
      </c>
      <c r="P148" s="119">
        <v>0</v>
      </c>
      <c r="Q148" s="118">
        <v>0</v>
      </c>
      <c r="R148" s="1" t="s">
        <v>357</v>
      </c>
      <c r="S148" s="1" t="s">
        <v>206</v>
      </c>
      <c r="T148" s="1" t="s">
        <v>520</v>
      </c>
      <c r="U148" s="1" t="s">
        <v>197</v>
      </c>
      <c r="V148" s="1" t="s">
        <v>357</v>
      </c>
      <c r="W148" s="1" t="s">
        <v>208</v>
      </c>
      <c r="X148" s="1" t="s">
        <v>206</v>
      </c>
      <c r="Y148" s="1" t="s">
        <v>441</v>
      </c>
      <c r="Z148" s="1" t="s">
        <v>206</v>
      </c>
      <c r="AA148" s="1" t="s">
        <v>206</v>
      </c>
      <c r="AB148" s="1" t="s">
        <v>206</v>
      </c>
      <c r="AC148" s="1" t="s">
        <v>236</v>
      </c>
      <c r="AD148" s="1" t="s">
        <v>497</v>
      </c>
      <c r="AE148" s="1" t="s">
        <v>208</v>
      </c>
      <c r="AF148" s="1" t="s">
        <v>208</v>
      </c>
      <c r="AG148" s="1" t="s">
        <v>497</v>
      </c>
      <c r="AH148" s="1" t="s">
        <v>206</v>
      </c>
      <c r="AI148" s="120" t="s">
        <v>227</v>
      </c>
    </row>
    <row x14ac:dyDescent="0.25" r="149" customHeight="1" ht="17.25">
      <c r="A149" s="1" t="s">
        <v>576</v>
      </c>
      <c r="B149" s="61" t="s">
        <v>577</v>
      </c>
      <c r="C149" s="1" t="s">
        <v>97</v>
      </c>
      <c r="D149" s="1" t="s">
        <v>57</v>
      </c>
      <c r="E149" s="116" t="s">
        <v>578</v>
      </c>
      <c r="F149" s="1" t="s">
        <v>161</v>
      </c>
      <c r="G149" s="1" t="s">
        <v>22</v>
      </c>
      <c r="H149" s="61">
        <v>32802</v>
      </c>
      <c r="I149" s="1" t="s">
        <v>177</v>
      </c>
      <c r="J149" s="1" t="s">
        <v>365</v>
      </c>
      <c r="K149" s="1" t="s">
        <v>579</v>
      </c>
      <c r="L149" s="117" t="s">
        <v>580</v>
      </c>
      <c r="M149" s="119">
        <v>0</v>
      </c>
      <c r="N149" s="119">
        <v>0</v>
      </c>
      <c r="O149" s="118">
        <v>0</v>
      </c>
      <c r="P149" s="119">
        <v>0</v>
      </c>
      <c r="Q149" s="118">
        <v>0</v>
      </c>
      <c r="R149" s="1" t="s">
        <v>357</v>
      </c>
      <c r="S149" s="1" t="s">
        <v>206</v>
      </c>
      <c r="T149" s="1" t="s">
        <v>581</v>
      </c>
      <c r="U149" s="1" t="s">
        <v>197</v>
      </c>
      <c r="V149" s="1" t="s">
        <v>357</v>
      </c>
      <c r="W149" s="1" t="s">
        <v>208</v>
      </c>
      <c r="X149" s="1" t="s">
        <v>206</v>
      </c>
      <c r="Y149" s="1" t="s">
        <v>441</v>
      </c>
      <c r="Z149" s="1" t="s">
        <v>206</v>
      </c>
      <c r="AA149" s="1" t="s">
        <v>206</v>
      </c>
      <c r="AB149" s="1" t="s">
        <v>206</v>
      </c>
      <c r="AC149" s="1" t="s">
        <v>236</v>
      </c>
      <c r="AD149" s="1" t="s">
        <v>497</v>
      </c>
      <c r="AE149" s="1" t="s">
        <v>208</v>
      </c>
      <c r="AF149" s="1" t="s">
        <v>208</v>
      </c>
      <c r="AG149" s="1" t="s">
        <v>497</v>
      </c>
      <c r="AH149" s="1" t="s">
        <v>206</v>
      </c>
      <c r="AI149" s="120" t="s">
        <v>227</v>
      </c>
    </row>
    <row x14ac:dyDescent="0.25" r="150" customHeight="1" ht="17.25">
      <c r="A150" s="1" t="s">
        <v>612</v>
      </c>
      <c r="B150" s="61" t="s">
        <v>613</v>
      </c>
      <c r="C150" s="1" t="s">
        <v>97</v>
      </c>
      <c r="D150" s="1" t="s">
        <v>57</v>
      </c>
      <c r="E150" s="116" t="s">
        <v>621</v>
      </c>
      <c r="F150" s="1" t="s">
        <v>158</v>
      </c>
      <c r="G150" s="1" t="s">
        <v>22</v>
      </c>
      <c r="H150" s="61">
        <v>32985</v>
      </c>
      <c r="I150" s="1" t="s">
        <v>175</v>
      </c>
      <c r="J150" s="1" t="s">
        <v>615</v>
      </c>
      <c r="K150" s="1" t="s">
        <v>599</v>
      </c>
      <c r="L150" s="117" t="s">
        <v>616</v>
      </c>
      <c r="M150" s="117" t="s">
        <v>617</v>
      </c>
      <c r="N150" s="119">
        <v>0</v>
      </c>
      <c r="O150" s="118">
        <v>0</v>
      </c>
      <c r="P150" s="119">
        <v>0</v>
      </c>
      <c r="Q150" s="121" t="s">
        <v>618</v>
      </c>
      <c r="R150" s="1" t="s">
        <v>371</v>
      </c>
      <c r="S150" s="1" t="s">
        <v>206</v>
      </c>
      <c r="T150" s="1" t="s">
        <v>619</v>
      </c>
      <c r="U150" s="1" t="s">
        <v>198</v>
      </c>
      <c r="V150" s="1" t="s">
        <v>357</v>
      </c>
      <c r="W150" s="1" t="s">
        <v>208</v>
      </c>
      <c r="X150" s="1" t="s">
        <v>620</v>
      </c>
      <c r="Y150" s="1" t="s">
        <v>492</v>
      </c>
      <c r="Z150" s="1" t="s">
        <v>206</v>
      </c>
      <c r="AA150" s="1" t="s">
        <v>28</v>
      </c>
      <c r="AB150" s="1" t="s">
        <v>206</v>
      </c>
      <c r="AC150" s="1" t="s">
        <v>236</v>
      </c>
      <c r="AD150" s="1" t="s">
        <v>497</v>
      </c>
      <c r="AE150" s="1" t="s">
        <v>208</v>
      </c>
      <c r="AF150" s="1" t="s">
        <v>208</v>
      </c>
      <c r="AG150" s="1" t="s">
        <v>497</v>
      </c>
      <c r="AH150" s="1" t="s">
        <v>206</v>
      </c>
      <c r="AI150" s="1" t="s">
        <v>229</v>
      </c>
    </row>
    <row x14ac:dyDescent="0.25" r="151" customHeight="1" ht="17.25">
      <c r="A151" s="1" t="s">
        <v>612</v>
      </c>
      <c r="B151" s="61" t="s">
        <v>613</v>
      </c>
      <c r="C151" s="1" t="s">
        <v>97</v>
      </c>
      <c r="D151" s="1" t="s">
        <v>57</v>
      </c>
      <c r="E151" s="116" t="s">
        <v>614</v>
      </c>
      <c r="F151" s="1" t="s">
        <v>158</v>
      </c>
      <c r="G151" s="1" t="s">
        <v>22</v>
      </c>
      <c r="H151" s="61">
        <v>36055</v>
      </c>
      <c r="I151" s="1" t="s">
        <v>176</v>
      </c>
      <c r="J151" s="1" t="s">
        <v>615</v>
      </c>
      <c r="K151" s="1" t="s">
        <v>599</v>
      </c>
      <c r="L151" s="117" t="s">
        <v>616</v>
      </c>
      <c r="M151" s="117" t="s">
        <v>617</v>
      </c>
      <c r="N151" s="119">
        <v>0</v>
      </c>
      <c r="O151" s="118">
        <v>0</v>
      </c>
      <c r="P151" s="119">
        <v>0</v>
      </c>
      <c r="Q151" s="121" t="s">
        <v>618</v>
      </c>
      <c r="R151" s="1" t="s">
        <v>371</v>
      </c>
      <c r="S151" s="1" t="s">
        <v>206</v>
      </c>
      <c r="T151" s="1" t="s">
        <v>619</v>
      </c>
      <c r="U151" s="1" t="s">
        <v>198</v>
      </c>
      <c r="V151" s="1" t="s">
        <v>357</v>
      </c>
      <c r="W151" s="1" t="s">
        <v>208</v>
      </c>
      <c r="X151" s="1" t="s">
        <v>620</v>
      </c>
      <c r="Y151" s="1" t="s">
        <v>492</v>
      </c>
      <c r="Z151" s="1" t="s">
        <v>206</v>
      </c>
      <c r="AA151" s="1" t="s">
        <v>212</v>
      </c>
      <c r="AB151" s="1" t="s">
        <v>206</v>
      </c>
      <c r="AC151" s="1" t="s">
        <v>236</v>
      </c>
      <c r="AD151" s="1" t="s">
        <v>497</v>
      </c>
      <c r="AE151" s="1" t="s">
        <v>208</v>
      </c>
      <c r="AF151" s="1" t="s">
        <v>208</v>
      </c>
      <c r="AG151" s="1" t="s">
        <v>497</v>
      </c>
      <c r="AH151" s="1" t="s">
        <v>206</v>
      </c>
      <c r="AI151" s="1" t="s">
        <v>229</v>
      </c>
    </row>
    <row x14ac:dyDescent="0.25" r="152" customHeight="1" ht="17.25">
      <c r="A152" s="1" t="s">
        <v>2439</v>
      </c>
      <c r="B152" s="61" t="s">
        <v>704</v>
      </c>
      <c r="C152" s="1" t="s">
        <v>97</v>
      </c>
      <c r="D152" s="1" t="s">
        <v>57</v>
      </c>
      <c r="E152" s="116" t="s">
        <v>2440</v>
      </c>
      <c r="F152" s="1" t="s">
        <v>158</v>
      </c>
      <c r="G152" s="1" t="s">
        <v>22</v>
      </c>
      <c r="H152" s="61">
        <v>33143</v>
      </c>
      <c r="I152" s="1" t="s">
        <v>175</v>
      </c>
      <c r="J152" s="1" t="s">
        <v>354</v>
      </c>
      <c r="K152" s="1" t="s">
        <v>2441</v>
      </c>
      <c r="L152" s="117" t="s">
        <v>2442</v>
      </c>
      <c r="M152" s="117" t="s">
        <v>2443</v>
      </c>
      <c r="N152" s="119">
        <v>0</v>
      </c>
      <c r="O152" s="118">
        <v>0</v>
      </c>
      <c r="P152" s="119">
        <v>0</v>
      </c>
      <c r="Q152" s="118">
        <v>0</v>
      </c>
      <c r="R152" s="1" t="s">
        <v>357</v>
      </c>
      <c r="S152" s="1" t="s">
        <v>206</v>
      </c>
      <c r="T152" s="1" t="s">
        <v>373</v>
      </c>
      <c r="U152" s="1" t="s">
        <v>200</v>
      </c>
      <c r="V152" s="1" t="s">
        <v>2285</v>
      </c>
      <c r="W152" s="1" t="s">
        <v>208</v>
      </c>
      <c r="X152" s="1" t="s">
        <v>208</v>
      </c>
      <c r="Y152" s="1" t="s">
        <v>208</v>
      </c>
      <c r="Z152" s="1" t="s">
        <v>208</v>
      </c>
      <c r="AA152" s="1" t="s">
        <v>208</v>
      </c>
      <c r="AB152" s="1" t="s">
        <v>208</v>
      </c>
      <c r="AC152" s="1" t="s">
        <v>208</v>
      </c>
      <c r="AD152" s="1" t="s">
        <v>208</v>
      </c>
      <c r="AE152" s="1" t="s">
        <v>206</v>
      </c>
      <c r="AF152" s="1" t="s">
        <v>208</v>
      </c>
      <c r="AG152" s="1" t="s">
        <v>208</v>
      </c>
      <c r="AH152" s="1" t="s">
        <v>208</v>
      </c>
      <c r="AI152" s="1" t="s">
        <v>208</v>
      </c>
    </row>
    <row x14ac:dyDescent="0.25" r="153" customHeight="1" ht="17.25">
      <c r="A153" s="1" t="s">
        <v>1314</v>
      </c>
      <c r="B153" s="61" t="s">
        <v>1132</v>
      </c>
      <c r="C153" s="1" t="s">
        <v>97</v>
      </c>
      <c r="D153" s="1" t="s">
        <v>57</v>
      </c>
      <c r="E153" s="116" t="s">
        <v>1315</v>
      </c>
      <c r="F153" s="1" t="s">
        <v>158</v>
      </c>
      <c r="G153" s="1" t="s">
        <v>22</v>
      </c>
      <c r="H153" s="61">
        <v>34984</v>
      </c>
      <c r="I153" s="1" t="s">
        <v>177</v>
      </c>
      <c r="J153" s="1" t="s">
        <v>178</v>
      </c>
      <c r="K153" s="1" t="s">
        <v>1316</v>
      </c>
      <c r="L153" s="117" t="s">
        <v>1317</v>
      </c>
      <c r="M153" s="117" t="s">
        <v>1318</v>
      </c>
      <c r="N153" s="119">
        <v>0</v>
      </c>
      <c r="O153" s="118">
        <v>0</v>
      </c>
      <c r="P153" s="119">
        <v>0</v>
      </c>
      <c r="Q153" s="118">
        <v>0</v>
      </c>
      <c r="R153" s="1" t="s">
        <v>357</v>
      </c>
      <c r="S153" s="1" t="s">
        <v>831</v>
      </c>
      <c r="T153" s="1" t="s">
        <v>520</v>
      </c>
      <c r="U153" s="1" t="s">
        <v>197</v>
      </c>
      <c r="V153" s="1" t="s">
        <v>357</v>
      </c>
      <c r="W153" s="1" t="s">
        <v>831</v>
      </c>
      <c r="X153" s="1" t="s">
        <v>847</v>
      </c>
      <c r="Y153" s="1" t="s">
        <v>654</v>
      </c>
      <c r="Z153" s="1" t="s">
        <v>206</v>
      </c>
      <c r="AA153" s="1" t="s">
        <v>29</v>
      </c>
      <c r="AB153" s="1" t="s">
        <v>206</v>
      </c>
      <c r="AC153" s="1" t="s">
        <v>237</v>
      </c>
      <c r="AD153" s="1" t="s">
        <v>1319</v>
      </c>
      <c r="AE153" s="1" t="s">
        <v>208</v>
      </c>
      <c r="AF153" s="1" t="s">
        <v>1320</v>
      </c>
      <c r="AG153" s="1" t="s">
        <v>1321</v>
      </c>
      <c r="AH153" s="1" t="s">
        <v>208</v>
      </c>
      <c r="AI153" s="120" t="s">
        <v>227</v>
      </c>
    </row>
    <row x14ac:dyDescent="0.25" r="154" customHeight="1" ht="17.25">
      <c r="A154" s="1" t="s">
        <v>2013</v>
      </c>
      <c r="B154" s="61" t="s">
        <v>1085</v>
      </c>
      <c r="C154" s="1" t="s">
        <v>97</v>
      </c>
      <c r="D154" s="1" t="s">
        <v>57</v>
      </c>
      <c r="E154" s="116" t="s">
        <v>2014</v>
      </c>
      <c r="F154" s="1" t="s">
        <v>158</v>
      </c>
      <c r="G154" s="1" t="s">
        <v>22</v>
      </c>
      <c r="H154" s="61">
        <v>27099</v>
      </c>
      <c r="I154" s="1" t="s">
        <v>177</v>
      </c>
      <c r="J154" s="1" t="s">
        <v>365</v>
      </c>
      <c r="K154" s="1" t="s">
        <v>1382</v>
      </c>
      <c r="L154" s="119">
        <v>0</v>
      </c>
      <c r="M154" s="119">
        <v>0</v>
      </c>
      <c r="N154" s="117" t="s">
        <v>2015</v>
      </c>
      <c r="O154" s="118">
        <v>0</v>
      </c>
      <c r="P154" s="119">
        <v>0</v>
      </c>
      <c r="Q154" s="118">
        <v>0</v>
      </c>
      <c r="R154" s="1" t="s">
        <v>357</v>
      </c>
      <c r="S154" s="1" t="s">
        <v>206</v>
      </c>
      <c r="T154" s="1" t="s">
        <v>503</v>
      </c>
      <c r="U154" s="1" t="s">
        <v>197</v>
      </c>
      <c r="V154" s="1" t="s">
        <v>357</v>
      </c>
      <c r="W154" s="1" t="s">
        <v>208</v>
      </c>
      <c r="X154" s="1" t="s">
        <v>847</v>
      </c>
      <c r="Y154" s="1" t="s">
        <v>1374</v>
      </c>
      <c r="Z154" s="1" t="s">
        <v>206</v>
      </c>
      <c r="AA154" s="1" t="s">
        <v>206</v>
      </c>
      <c r="AB154" s="1" t="s">
        <v>206</v>
      </c>
      <c r="AC154" s="1" t="s">
        <v>206</v>
      </c>
      <c r="AD154" s="1" t="s">
        <v>1374</v>
      </c>
      <c r="AE154" s="1" t="s">
        <v>208</v>
      </c>
      <c r="AF154" s="1" t="s">
        <v>208</v>
      </c>
      <c r="AG154" s="1" t="s">
        <v>1374</v>
      </c>
      <c r="AH154" s="1" t="s">
        <v>208</v>
      </c>
      <c r="AI154" s="120" t="s">
        <v>227</v>
      </c>
    </row>
    <row x14ac:dyDescent="0.25" r="155" customHeight="1" ht="17.25">
      <c r="A155" s="1" t="s">
        <v>2286</v>
      </c>
      <c r="B155" s="61" t="s">
        <v>531</v>
      </c>
      <c r="C155" s="1" t="s">
        <v>92</v>
      </c>
      <c r="D155" s="1" t="s">
        <v>57</v>
      </c>
      <c r="E155" s="116" t="s">
        <v>2287</v>
      </c>
      <c r="F155" s="1" t="s">
        <v>158</v>
      </c>
      <c r="G155" s="1" t="s">
        <v>22</v>
      </c>
      <c r="H155" s="61">
        <v>25664</v>
      </c>
      <c r="I155" s="1" t="s">
        <v>175</v>
      </c>
      <c r="J155" s="1" t="s">
        <v>365</v>
      </c>
      <c r="K155" s="1" t="s">
        <v>903</v>
      </c>
      <c r="L155" s="117" t="s">
        <v>2288</v>
      </c>
      <c r="M155" s="119">
        <v>0</v>
      </c>
      <c r="N155" s="119">
        <v>0</v>
      </c>
      <c r="O155" s="118">
        <v>0</v>
      </c>
      <c r="P155" s="119">
        <v>0</v>
      </c>
      <c r="Q155" s="118">
        <v>0</v>
      </c>
      <c r="R155" s="1" t="s">
        <v>357</v>
      </c>
      <c r="S155" s="1" t="s">
        <v>206</v>
      </c>
      <c r="T155" s="1" t="s">
        <v>726</v>
      </c>
      <c r="U155" s="1" t="s">
        <v>200</v>
      </c>
      <c r="V155" s="1" t="s">
        <v>2285</v>
      </c>
      <c r="W155" s="1" t="s">
        <v>208</v>
      </c>
      <c r="X155" s="1" t="s">
        <v>208</v>
      </c>
      <c r="Y155" s="1" t="s">
        <v>208</v>
      </c>
      <c r="Z155" s="1" t="s">
        <v>208</v>
      </c>
      <c r="AA155" s="1" t="s">
        <v>208</v>
      </c>
      <c r="AB155" s="1" t="s">
        <v>208</v>
      </c>
      <c r="AC155" s="1" t="s">
        <v>208</v>
      </c>
      <c r="AD155" s="1" t="s">
        <v>208</v>
      </c>
      <c r="AE155" s="1" t="s">
        <v>206</v>
      </c>
      <c r="AF155" s="1" t="s">
        <v>208</v>
      </c>
      <c r="AG155" s="1" t="s">
        <v>208</v>
      </c>
      <c r="AH155" s="1" t="s">
        <v>208</v>
      </c>
      <c r="AI155" s="1" t="s">
        <v>208</v>
      </c>
    </row>
    <row x14ac:dyDescent="0.25" r="156" customHeight="1" ht="17.25">
      <c r="A156" s="1" t="s">
        <v>2357</v>
      </c>
      <c r="B156" s="61">
        <v>42922</v>
      </c>
      <c r="C156" s="1" t="s">
        <v>92</v>
      </c>
      <c r="D156" s="1" t="s">
        <v>57</v>
      </c>
      <c r="E156" s="116" t="s">
        <v>2358</v>
      </c>
      <c r="F156" s="1" t="s">
        <v>158</v>
      </c>
      <c r="G156" s="1" t="s">
        <v>22</v>
      </c>
      <c r="H156" s="61">
        <v>30314</v>
      </c>
      <c r="I156" s="1" t="s">
        <v>175</v>
      </c>
      <c r="J156" s="1" t="s">
        <v>615</v>
      </c>
      <c r="K156" s="1" t="s">
        <v>2325</v>
      </c>
      <c r="L156" s="117" t="s">
        <v>2359</v>
      </c>
      <c r="M156" s="117" t="s">
        <v>2360</v>
      </c>
      <c r="N156" s="119">
        <v>0</v>
      </c>
      <c r="O156" s="118">
        <v>0</v>
      </c>
      <c r="P156" s="119">
        <v>0</v>
      </c>
      <c r="Q156" s="118">
        <v>0</v>
      </c>
      <c r="R156" s="1" t="s">
        <v>357</v>
      </c>
      <c r="S156" s="1" t="s">
        <v>206</v>
      </c>
      <c r="T156" s="1" t="s">
        <v>2361</v>
      </c>
      <c r="U156" s="1" t="s">
        <v>200</v>
      </c>
      <c r="V156" s="1" t="s">
        <v>2285</v>
      </c>
      <c r="W156" s="1" t="s">
        <v>208</v>
      </c>
      <c r="X156" s="1" t="s">
        <v>208</v>
      </c>
      <c r="Y156" s="1" t="s">
        <v>208</v>
      </c>
      <c r="Z156" s="1" t="s">
        <v>208</v>
      </c>
      <c r="AA156" s="1" t="s">
        <v>208</v>
      </c>
      <c r="AB156" s="1" t="s">
        <v>208</v>
      </c>
      <c r="AC156" s="1" t="s">
        <v>208</v>
      </c>
      <c r="AD156" s="1" t="s">
        <v>208</v>
      </c>
      <c r="AE156" s="1" t="s">
        <v>206</v>
      </c>
      <c r="AF156" s="1" t="s">
        <v>208</v>
      </c>
      <c r="AG156" s="1" t="s">
        <v>208</v>
      </c>
      <c r="AH156" s="1" t="s">
        <v>208</v>
      </c>
      <c r="AI156" s="1" t="s">
        <v>208</v>
      </c>
    </row>
    <row x14ac:dyDescent="0.25" r="157" customHeight="1" ht="17.25">
      <c r="A157" s="1" t="s">
        <v>1835</v>
      </c>
      <c r="B157" s="61" t="s">
        <v>948</v>
      </c>
      <c r="C157" s="1" t="s">
        <v>92</v>
      </c>
      <c r="D157" s="1" t="s">
        <v>57</v>
      </c>
      <c r="E157" s="116" t="s">
        <v>1836</v>
      </c>
      <c r="F157" s="1" t="s">
        <v>158</v>
      </c>
      <c r="G157" s="1" t="s">
        <v>22</v>
      </c>
      <c r="H157" s="61">
        <v>34627</v>
      </c>
      <c r="I157" s="1" t="s">
        <v>176</v>
      </c>
      <c r="J157" s="1" t="s">
        <v>365</v>
      </c>
      <c r="K157" s="1" t="s">
        <v>1837</v>
      </c>
      <c r="L157" s="117" t="s">
        <v>1838</v>
      </c>
      <c r="M157" s="117" t="s">
        <v>1839</v>
      </c>
      <c r="N157" s="117" t="s">
        <v>1840</v>
      </c>
      <c r="O157" s="121" t="s">
        <v>1841</v>
      </c>
      <c r="P157" s="119">
        <v>0</v>
      </c>
      <c r="Q157" s="118">
        <v>0</v>
      </c>
      <c r="R157" s="1" t="s">
        <v>371</v>
      </c>
      <c r="S157" s="1" t="s">
        <v>206</v>
      </c>
      <c r="T157" s="1" t="s">
        <v>1842</v>
      </c>
      <c r="U157" s="1" t="s">
        <v>198</v>
      </c>
      <c r="V157" s="1" t="s">
        <v>357</v>
      </c>
      <c r="W157" s="1" t="s">
        <v>208</v>
      </c>
      <c r="X157" s="1" t="s">
        <v>206</v>
      </c>
      <c r="Y157" s="1" t="s">
        <v>441</v>
      </c>
      <c r="Z157" s="1" t="s">
        <v>206</v>
      </c>
      <c r="AA157" s="1" t="s">
        <v>206</v>
      </c>
      <c r="AB157" s="1" t="s">
        <v>34</v>
      </c>
      <c r="AC157" s="1" t="s">
        <v>206</v>
      </c>
      <c r="AD157" s="1" t="s">
        <v>492</v>
      </c>
      <c r="AE157" s="1" t="s">
        <v>208</v>
      </c>
      <c r="AF157" s="1" t="s">
        <v>208</v>
      </c>
      <c r="AG157" s="1" t="s">
        <v>492</v>
      </c>
      <c r="AH157" s="1" t="s">
        <v>208</v>
      </c>
      <c r="AI157" s="120" t="s">
        <v>227</v>
      </c>
    </row>
    <row x14ac:dyDescent="0.25" r="158" customHeight="1" ht="17.25">
      <c r="A158" s="1" t="s">
        <v>2466</v>
      </c>
      <c r="B158" s="61" t="s">
        <v>522</v>
      </c>
      <c r="C158" s="1" t="s">
        <v>92</v>
      </c>
      <c r="D158" s="1" t="s">
        <v>57</v>
      </c>
      <c r="E158" s="116" t="s">
        <v>2467</v>
      </c>
      <c r="F158" s="1" t="s">
        <v>158</v>
      </c>
      <c r="G158" s="1" t="s">
        <v>22</v>
      </c>
      <c r="H158" s="61">
        <v>35486</v>
      </c>
      <c r="I158" s="1" t="s">
        <v>175</v>
      </c>
      <c r="J158" s="1" t="s">
        <v>517</v>
      </c>
      <c r="K158" s="1" t="s">
        <v>2468</v>
      </c>
      <c r="L158" s="119">
        <v>0</v>
      </c>
      <c r="M158" s="117" t="s">
        <v>2469</v>
      </c>
      <c r="N158" s="119">
        <v>0</v>
      </c>
      <c r="O158" s="118">
        <v>0</v>
      </c>
      <c r="P158" s="119">
        <v>0</v>
      </c>
      <c r="Q158" s="118">
        <v>0</v>
      </c>
      <c r="R158" s="1" t="s">
        <v>357</v>
      </c>
      <c r="S158" s="1" t="s">
        <v>206</v>
      </c>
      <c r="T158" s="1" t="s">
        <v>2374</v>
      </c>
      <c r="U158" s="1" t="s">
        <v>200</v>
      </c>
      <c r="V158" s="1" t="s">
        <v>2285</v>
      </c>
      <c r="W158" s="1" t="s">
        <v>208</v>
      </c>
      <c r="X158" s="1" t="s">
        <v>208</v>
      </c>
      <c r="Y158" s="1" t="s">
        <v>208</v>
      </c>
      <c r="Z158" s="1" t="s">
        <v>208</v>
      </c>
      <c r="AA158" s="1" t="s">
        <v>208</v>
      </c>
      <c r="AB158" s="1" t="s">
        <v>208</v>
      </c>
      <c r="AC158" s="1" t="s">
        <v>208</v>
      </c>
      <c r="AD158" s="1" t="s">
        <v>208</v>
      </c>
      <c r="AE158" s="1" t="s">
        <v>206</v>
      </c>
      <c r="AF158" s="1" t="s">
        <v>208</v>
      </c>
      <c r="AG158" s="1" t="s">
        <v>208</v>
      </c>
      <c r="AH158" s="1" t="s">
        <v>208</v>
      </c>
      <c r="AI158" s="1" t="s">
        <v>208</v>
      </c>
    </row>
    <row x14ac:dyDescent="0.25" r="159" customHeight="1" ht="17.25">
      <c r="A159" s="1" t="s">
        <v>2162</v>
      </c>
      <c r="B159" s="61" t="s">
        <v>1765</v>
      </c>
      <c r="C159" s="1" t="s">
        <v>92</v>
      </c>
      <c r="D159" s="1" t="s">
        <v>57</v>
      </c>
      <c r="E159" s="116" t="s">
        <v>2163</v>
      </c>
      <c r="F159" s="1" t="s">
        <v>158</v>
      </c>
      <c r="G159" s="1" t="s">
        <v>22</v>
      </c>
      <c r="H159" s="61">
        <v>33703</v>
      </c>
      <c r="I159" s="1" t="s">
        <v>176</v>
      </c>
      <c r="J159" s="1" t="s">
        <v>365</v>
      </c>
      <c r="K159" s="1" t="s">
        <v>2164</v>
      </c>
      <c r="L159" s="117" t="s">
        <v>2165</v>
      </c>
      <c r="M159" s="117" t="s">
        <v>2166</v>
      </c>
      <c r="N159" s="117" t="s">
        <v>2167</v>
      </c>
      <c r="O159" s="118">
        <v>0</v>
      </c>
      <c r="P159" s="119">
        <v>0</v>
      </c>
      <c r="Q159" s="118">
        <v>0</v>
      </c>
      <c r="R159" s="1" t="s">
        <v>357</v>
      </c>
      <c r="S159" s="1" t="s">
        <v>206</v>
      </c>
      <c r="T159" s="1" t="s">
        <v>455</v>
      </c>
      <c r="U159" s="1" t="s">
        <v>197</v>
      </c>
      <c r="V159" s="1" t="s">
        <v>357</v>
      </c>
      <c r="W159" s="1" t="s">
        <v>208</v>
      </c>
      <c r="X159" s="1" t="s">
        <v>1608</v>
      </c>
      <c r="Y159" s="1" t="s">
        <v>375</v>
      </c>
      <c r="Z159" s="1" t="s">
        <v>206</v>
      </c>
      <c r="AA159" s="1" t="s">
        <v>206</v>
      </c>
      <c r="AB159" s="1" t="s">
        <v>206</v>
      </c>
      <c r="AC159" s="1" t="s">
        <v>206</v>
      </c>
      <c r="AD159" s="1" t="s">
        <v>375</v>
      </c>
      <c r="AE159" s="1" t="s">
        <v>208</v>
      </c>
      <c r="AF159" s="1" t="s">
        <v>208</v>
      </c>
      <c r="AG159" s="1" t="s">
        <v>375</v>
      </c>
      <c r="AH159" s="1" t="s">
        <v>208</v>
      </c>
      <c r="AI159" s="120" t="s">
        <v>227</v>
      </c>
    </row>
    <row x14ac:dyDescent="0.25" r="160" customHeight="1" ht="17.25">
      <c r="A160" s="1" t="s">
        <v>1758</v>
      </c>
      <c r="B160" s="61" t="s">
        <v>1662</v>
      </c>
      <c r="C160" s="1" t="s">
        <v>92</v>
      </c>
      <c r="D160" s="1" t="s">
        <v>57</v>
      </c>
      <c r="E160" s="116" t="s">
        <v>1759</v>
      </c>
      <c r="F160" s="1" t="s">
        <v>158</v>
      </c>
      <c r="G160" s="1" t="s">
        <v>22</v>
      </c>
      <c r="H160" s="61">
        <v>32284</v>
      </c>
      <c r="I160" s="1" t="s">
        <v>176</v>
      </c>
      <c r="J160" s="1" t="s">
        <v>464</v>
      </c>
      <c r="K160" s="1" t="s">
        <v>1760</v>
      </c>
      <c r="L160" s="117" t="s">
        <v>1761</v>
      </c>
      <c r="M160" s="117" t="s">
        <v>1762</v>
      </c>
      <c r="N160" s="119">
        <v>0</v>
      </c>
      <c r="O160" s="118">
        <v>0</v>
      </c>
      <c r="P160" s="119">
        <v>0</v>
      </c>
      <c r="Q160" s="118">
        <v>0</v>
      </c>
      <c r="R160" s="1" t="s">
        <v>357</v>
      </c>
      <c r="S160" s="1" t="s">
        <v>206</v>
      </c>
      <c r="T160" s="1" t="s">
        <v>1763</v>
      </c>
      <c r="U160" s="1" t="s">
        <v>197</v>
      </c>
      <c r="V160" s="1" t="s">
        <v>357</v>
      </c>
      <c r="W160" s="1" t="s">
        <v>208</v>
      </c>
      <c r="X160" s="1" t="s">
        <v>206</v>
      </c>
      <c r="Y160" s="1" t="s">
        <v>441</v>
      </c>
      <c r="Z160" s="1" t="s">
        <v>206</v>
      </c>
      <c r="AA160" s="1" t="s">
        <v>206</v>
      </c>
      <c r="AB160" s="1" t="s">
        <v>34</v>
      </c>
      <c r="AC160" s="1" t="s">
        <v>206</v>
      </c>
      <c r="AD160" s="1" t="s">
        <v>492</v>
      </c>
      <c r="AE160" s="1" t="s">
        <v>208</v>
      </c>
      <c r="AF160" s="1" t="s">
        <v>208</v>
      </c>
      <c r="AG160" s="1" t="s">
        <v>492</v>
      </c>
      <c r="AH160" s="1" t="s">
        <v>208</v>
      </c>
      <c r="AI160" s="120" t="s">
        <v>227</v>
      </c>
    </row>
    <row x14ac:dyDescent="0.25" r="161" customHeight="1" ht="17.25">
      <c r="A161" s="1" t="s">
        <v>758</v>
      </c>
      <c r="B161" s="61" t="s">
        <v>759</v>
      </c>
      <c r="C161" s="1" t="s">
        <v>92</v>
      </c>
      <c r="D161" s="1" t="s">
        <v>57</v>
      </c>
      <c r="E161" s="1" t="s">
        <v>760</v>
      </c>
      <c r="F161" s="1" t="s">
        <v>158</v>
      </c>
      <c r="G161" s="1" t="s">
        <v>22</v>
      </c>
      <c r="H161" s="61">
        <v>34845</v>
      </c>
      <c r="I161" s="1" t="s">
        <v>175</v>
      </c>
      <c r="J161" s="1" t="s">
        <v>365</v>
      </c>
      <c r="K161" s="1" t="s">
        <v>761</v>
      </c>
      <c r="L161" s="119">
        <v>0</v>
      </c>
      <c r="M161" s="117" t="s">
        <v>762</v>
      </c>
      <c r="N161" s="119">
        <v>0</v>
      </c>
      <c r="O161" s="118">
        <v>0</v>
      </c>
      <c r="P161" s="119">
        <v>0</v>
      </c>
      <c r="Q161" s="118">
        <v>0</v>
      </c>
      <c r="R161" s="1" t="s">
        <v>357</v>
      </c>
      <c r="S161" s="1" t="s">
        <v>206</v>
      </c>
      <c r="T161" s="1" t="s">
        <v>430</v>
      </c>
      <c r="U161" s="1" t="s">
        <v>197</v>
      </c>
      <c r="V161" s="1" t="s">
        <v>357</v>
      </c>
      <c r="W161" s="1" t="s">
        <v>208</v>
      </c>
      <c r="X161" s="1" t="s">
        <v>206</v>
      </c>
      <c r="Y161" s="1" t="s">
        <v>441</v>
      </c>
      <c r="Z161" s="1" t="s">
        <v>206</v>
      </c>
      <c r="AA161" s="1" t="s">
        <v>206</v>
      </c>
      <c r="AB161" s="1" t="s">
        <v>206</v>
      </c>
      <c r="AC161" s="1" t="s">
        <v>236</v>
      </c>
      <c r="AD161" s="1" t="s">
        <v>497</v>
      </c>
      <c r="AE161" s="1" t="s">
        <v>208</v>
      </c>
      <c r="AF161" s="1" t="s">
        <v>208</v>
      </c>
      <c r="AG161" s="1" t="s">
        <v>497</v>
      </c>
      <c r="AH161" s="1" t="s">
        <v>35</v>
      </c>
      <c r="AI161" s="1" t="s">
        <v>208</v>
      </c>
    </row>
    <row x14ac:dyDescent="0.25" r="162" customHeight="1" ht="17.25">
      <c r="A162" s="1" t="s">
        <v>1298</v>
      </c>
      <c r="B162" s="61" t="s">
        <v>389</v>
      </c>
      <c r="C162" s="1" t="s">
        <v>124</v>
      </c>
      <c r="D162" s="1" t="s">
        <v>58</v>
      </c>
      <c r="E162" s="116" t="s">
        <v>1299</v>
      </c>
      <c r="F162" s="1" t="s">
        <v>158</v>
      </c>
      <c r="G162" s="1" t="s">
        <v>22</v>
      </c>
      <c r="H162" s="61">
        <v>34999</v>
      </c>
      <c r="I162" s="1" t="s">
        <v>176</v>
      </c>
      <c r="J162" s="1" t="s">
        <v>464</v>
      </c>
      <c r="K162" s="1" t="s">
        <v>366</v>
      </c>
      <c r="L162" s="117" t="s">
        <v>1300</v>
      </c>
      <c r="M162" s="117" t="s">
        <v>1301</v>
      </c>
      <c r="N162" s="117" t="s">
        <v>1302</v>
      </c>
      <c r="O162" s="118">
        <v>0</v>
      </c>
      <c r="P162" s="119">
        <v>0</v>
      </c>
      <c r="Q162" s="121" t="s">
        <v>1303</v>
      </c>
      <c r="R162" s="1" t="s">
        <v>357</v>
      </c>
      <c r="S162" s="1" t="s">
        <v>372</v>
      </c>
      <c r="T162" s="1" t="s">
        <v>975</v>
      </c>
      <c r="U162" s="1" t="s">
        <v>197</v>
      </c>
      <c r="V162" s="1" t="s">
        <v>357</v>
      </c>
      <c r="W162" s="1" t="s">
        <v>372</v>
      </c>
      <c r="X162" s="1" t="s">
        <v>206</v>
      </c>
      <c r="Y162" s="1" t="s">
        <v>441</v>
      </c>
      <c r="Z162" s="1" t="s">
        <v>206</v>
      </c>
      <c r="AA162" s="1" t="s">
        <v>206</v>
      </c>
      <c r="AB162" s="1" t="s">
        <v>206</v>
      </c>
      <c r="AC162" s="1" t="s">
        <v>237</v>
      </c>
      <c r="AD162" s="1" t="s">
        <v>1297</v>
      </c>
      <c r="AE162" s="1" t="s">
        <v>208</v>
      </c>
      <c r="AF162" s="1" t="s">
        <v>676</v>
      </c>
      <c r="AG162" s="1" t="s">
        <v>1304</v>
      </c>
      <c r="AH162" s="1" t="s">
        <v>208</v>
      </c>
      <c r="AI162" s="120" t="s">
        <v>227</v>
      </c>
    </row>
    <row x14ac:dyDescent="0.25" r="163" customHeight="1" ht="17.25">
      <c r="A163" s="1" t="s">
        <v>733</v>
      </c>
      <c r="B163" s="61" t="s">
        <v>734</v>
      </c>
      <c r="C163" s="1" t="s">
        <v>123</v>
      </c>
      <c r="D163" s="1" t="s">
        <v>58</v>
      </c>
      <c r="E163" s="116" t="s">
        <v>735</v>
      </c>
      <c r="F163" s="1" t="s">
        <v>158</v>
      </c>
      <c r="G163" s="1" t="s">
        <v>22</v>
      </c>
      <c r="H163" s="61">
        <v>27582</v>
      </c>
      <c r="I163" s="1" t="s">
        <v>176</v>
      </c>
      <c r="J163" s="1" t="s">
        <v>615</v>
      </c>
      <c r="K163" s="1" t="s">
        <v>736</v>
      </c>
      <c r="L163" s="117" t="s">
        <v>737</v>
      </c>
      <c r="M163" s="117" t="s">
        <v>738</v>
      </c>
      <c r="N163" s="119">
        <v>0</v>
      </c>
      <c r="O163" s="118">
        <v>0</v>
      </c>
      <c r="P163" s="119">
        <v>0</v>
      </c>
      <c r="Q163" s="118">
        <v>0</v>
      </c>
      <c r="R163" s="1" t="s">
        <v>357</v>
      </c>
      <c r="S163" s="1" t="s">
        <v>206</v>
      </c>
      <c r="T163" s="1" t="s">
        <v>430</v>
      </c>
      <c r="U163" s="1" t="s">
        <v>197</v>
      </c>
      <c r="V163" s="1" t="s">
        <v>357</v>
      </c>
      <c r="W163" s="1" t="s">
        <v>208</v>
      </c>
      <c r="X163" s="1" t="s">
        <v>206</v>
      </c>
      <c r="Y163" s="1" t="s">
        <v>441</v>
      </c>
      <c r="Z163" s="1" t="s">
        <v>206</v>
      </c>
      <c r="AA163" s="1" t="s">
        <v>206</v>
      </c>
      <c r="AB163" s="1" t="s">
        <v>206</v>
      </c>
      <c r="AC163" s="1" t="s">
        <v>236</v>
      </c>
      <c r="AD163" s="1" t="s">
        <v>497</v>
      </c>
      <c r="AE163" s="1" t="s">
        <v>208</v>
      </c>
      <c r="AF163" s="1" t="s">
        <v>208</v>
      </c>
      <c r="AG163" s="1" t="s">
        <v>497</v>
      </c>
      <c r="AH163" s="1" t="s">
        <v>206</v>
      </c>
      <c r="AI163" s="120" t="s">
        <v>227</v>
      </c>
    </row>
    <row x14ac:dyDescent="0.25" r="164" customHeight="1" ht="17.25">
      <c r="A164" s="1" t="s">
        <v>2262</v>
      </c>
      <c r="B164" s="61" t="s">
        <v>1021</v>
      </c>
      <c r="C164" s="1" t="s">
        <v>137</v>
      </c>
      <c r="D164" s="1" t="s">
        <v>58</v>
      </c>
      <c r="E164" s="116" t="s">
        <v>2263</v>
      </c>
      <c r="F164" s="1" t="s">
        <v>159</v>
      </c>
      <c r="G164" s="1" t="s">
        <v>22</v>
      </c>
      <c r="H164" s="61">
        <v>33554</v>
      </c>
      <c r="I164" s="1" t="s">
        <v>175</v>
      </c>
      <c r="J164" s="1" t="s">
        <v>354</v>
      </c>
      <c r="K164" s="1" t="s">
        <v>2264</v>
      </c>
      <c r="L164" s="117" t="s">
        <v>2265</v>
      </c>
      <c r="M164" s="117" t="s">
        <v>2266</v>
      </c>
      <c r="N164" s="119">
        <v>0</v>
      </c>
      <c r="O164" s="118">
        <v>0</v>
      </c>
      <c r="P164" s="119">
        <v>0</v>
      </c>
      <c r="Q164" s="118">
        <v>0</v>
      </c>
      <c r="R164" s="120" t="s">
        <v>1220</v>
      </c>
      <c r="S164" s="1" t="s">
        <v>1221</v>
      </c>
      <c r="T164" s="1" t="s">
        <v>373</v>
      </c>
      <c r="U164" s="1" t="s">
        <v>197</v>
      </c>
      <c r="V164" s="1" t="s">
        <v>1220</v>
      </c>
      <c r="W164" s="1" t="s">
        <v>1221</v>
      </c>
      <c r="X164" s="1" t="s">
        <v>406</v>
      </c>
      <c r="Y164" s="1" t="s">
        <v>375</v>
      </c>
      <c r="Z164" s="1" t="s">
        <v>207</v>
      </c>
      <c r="AA164" s="1" t="s">
        <v>206</v>
      </c>
      <c r="AB164" s="1" t="s">
        <v>206</v>
      </c>
      <c r="AC164" s="1" t="s">
        <v>238</v>
      </c>
      <c r="AD164" s="1" t="s">
        <v>1822</v>
      </c>
      <c r="AE164" s="1" t="s">
        <v>1276</v>
      </c>
      <c r="AF164" s="1" t="s">
        <v>677</v>
      </c>
      <c r="AG164" s="1" t="s">
        <v>2267</v>
      </c>
      <c r="AH164" s="1" t="s">
        <v>208</v>
      </c>
      <c r="AI164" s="120" t="s">
        <v>227</v>
      </c>
    </row>
    <row x14ac:dyDescent="0.25" r="165" customHeight="1" ht="17.25">
      <c r="A165" s="1" t="s">
        <v>545</v>
      </c>
      <c r="B165" s="61">
        <v>42871</v>
      </c>
      <c r="C165" s="1" t="s">
        <v>124</v>
      </c>
      <c r="D165" s="1" t="s">
        <v>58</v>
      </c>
      <c r="E165" s="1" t="s">
        <v>546</v>
      </c>
      <c r="F165" s="1" t="s">
        <v>158</v>
      </c>
      <c r="G165" s="1" t="s">
        <v>22</v>
      </c>
      <c r="H165" s="61">
        <v>35825</v>
      </c>
      <c r="I165" s="1" t="s">
        <v>176</v>
      </c>
      <c r="J165" s="1" t="s">
        <v>354</v>
      </c>
      <c r="K165" s="1" t="s">
        <v>547</v>
      </c>
      <c r="L165" s="117" t="s">
        <v>548</v>
      </c>
      <c r="M165" s="119">
        <v>0</v>
      </c>
      <c r="N165" s="119">
        <v>0</v>
      </c>
      <c r="O165" s="118">
        <v>0</v>
      </c>
      <c r="P165" s="119">
        <v>0</v>
      </c>
      <c r="Q165" s="118">
        <v>0</v>
      </c>
      <c r="R165" s="1" t="s">
        <v>357</v>
      </c>
      <c r="S165" s="1" t="s">
        <v>206</v>
      </c>
      <c r="T165" s="1" t="s">
        <v>549</v>
      </c>
      <c r="U165" s="1" t="s">
        <v>197</v>
      </c>
      <c r="V165" s="1" t="s">
        <v>357</v>
      </c>
      <c r="W165" s="1" t="s">
        <v>208</v>
      </c>
      <c r="X165" s="1" t="s">
        <v>206</v>
      </c>
      <c r="Y165" s="1" t="s">
        <v>441</v>
      </c>
      <c r="Z165" s="1" t="s">
        <v>206</v>
      </c>
      <c r="AA165" s="1" t="s">
        <v>206</v>
      </c>
      <c r="AB165" s="1" t="s">
        <v>206</v>
      </c>
      <c r="AC165" s="1" t="s">
        <v>236</v>
      </c>
      <c r="AD165" s="1" t="s">
        <v>497</v>
      </c>
      <c r="AE165" s="1" t="s">
        <v>208</v>
      </c>
      <c r="AF165" s="1" t="s">
        <v>208</v>
      </c>
      <c r="AG165" s="1" t="s">
        <v>497</v>
      </c>
      <c r="AH165" s="1" t="s">
        <v>206</v>
      </c>
      <c r="AI165" s="1" t="s">
        <v>228</v>
      </c>
    </row>
    <row x14ac:dyDescent="0.25" r="166" customHeight="1" ht="17.25">
      <c r="A166" s="1" t="s">
        <v>905</v>
      </c>
      <c r="B166" s="61" t="s">
        <v>906</v>
      </c>
      <c r="C166" s="1" t="s">
        <v>124</v>
      </c>
      <c r="D166" s="1" t="s">
        <v>58</v>
      </c>
      <c r="E166" s="116" t="s">
        <v>907</v>
      </c>
      <c r="F166" s="1" t="s">
        <v>158</v>
      </c>
      <c r="G166" s="1" t="s">
        <v>22</v>
      </c>
      <c r="H166" s="61">
        <v>34854</v>
      </c>
      <c r="I166" s="1" t="s">
        <v>175</v>
      </c>
      <c r="J166" s="1" t="s">
        <v>178</v>
      </c>
      <c r="K166" s="1" t="s">
        <v>908</v>
      </c>
      <c r="L166" s="117" t="s">
        <v>909</v>
      </c>
      <c r="M166" s="117" t="s">
        <v>910</v>
      </c>
      <c r="N166" s="117" t="s">
        <v>911</v>
      </c>
      <c r="O166" s="118">
        <v>0</v>
      </c>
      <c r="P166" s="119">
        <v>0</v>
      </c>
      <c r="Q166" s="121" t="s">
        <v>912</v>
      </c>
      <c r="R166" s="1" t="s">
        <v>371</v>
      </c>
      <c r="S166" s="1" t="s">
        <v>206</v>
      </c>
      <c r="T166" s="1" t="s">
        <v>549</v>
      </c>
      <c r="U166" s="1" t="s">
        <v>198</v>
      </c>
      <c r="V166" s="1" t="s">
        <v>357</v>
      </c>
      <c r="W166" s="1" t="s">
        <v>208</v>
      </c>
      <c r="X166" s="1" t="s">
        <v>206</v>
      </c>
      <c r="Y166" s="1" t="s">
        <v>441</v>
      </c>
      <c r="Z166" s="1" t="s">
        <v>206</v>
      </c>
      <c r="AA166" s="1" t="s">
        <v>206</v>
      </c>
      <c r="AB166" s="1" t="s">
        <v>206</v>
      </c>
      <c r="AC166" s="1" t="s">
        <v>236</v>
      </c>
      <c r="AD166" s="1" t="s">
        <v>497</v>
      </c>
      <c r="AE166" s="1" t="s">
        <v>208</v>
      </c>
      <c r="AF166" s="1" t="s">
        <v>208</v>
      </c>
      <c r="AG166" s="1" t="s">
        <v>497</v>
      </c>
      <c r="AH166" s="1" t="s">
        <v>206</v>
      </c>
      <c r="AI166" s="120" t="s">
        <v>227</v>
      </c>
    </row>
    <row x14ac:dyDescent="0.25" r="167" customHeight="1" ht="17.25">
      <c r="A167" s="1" t="s">
        <v>905</v>
      </c>
      <c r="B167" s="61" t="s">
        <v>906</v>
      </c>
      <c r="C167" s="1" t="s">
        <v>124</v>
      </c>
      <c r="D167" s="1" t="s">
        <v>58</v>
      </c>
      <c r="E167" s="116" t="s">
        <v>913</v>
      </c>
      <c r="F167" s="1" t="s">
        <v>158</v>
      </c>
      <c r="G167" s="1" t="s">
        <v>22</v>
      </c>
      <c r="H167" s="61">
        <v>33541</v>
      </c>
      <c r="I167" s="1" t="s">
        <v>175</v>
      </c>
      <c r="J167" s="1" t="s">
        <v>517</v>
      </c>
      <c r="K167" s="1" t="s">
        <v>908</v>
      </c>
      <c r="L167" s="117" t="s">
        <v>909</v>
      </c>
      <c r="M167" s="117" t="s">
        <v>910</v>
      </c>
      <c r="N167" s="117" t="s">
        <v>911</v>
      </c>
      <c r="O167" s="118">
        <v>0</v>
      </c>
      <c r="P167" s="119">
        <v>0</v>
      </c>
      <c r="Q167" s="121" t="s">
        <v>912</v>
      </c>
      <c r="R167" s="1" t="s">
        <v>371</v>
      </c>
      <c r="S167" s="1" t="s">
        <v>206</v>
      </c>
      <c r="T167" s="1" t="s">
        <v>549</v>
      </c>
      <c r="U167" s="1" t="s">
        <v>198</v>
      </c>
      <c r="V167" s="1" t="s">
        <v>357</v>
      </c>
      <c r="W167" s="1" t="s">
        <v>208</v>
      </c>
      <c r="X167" s="1" t="s">
        <v>206</v>
      </c>
      <c r="Y167" s="1" t="s">
        <v>441</v>
      </c>
      <c r="Z167" s="1" t="s">
        <v>206</v>
      </c>
      <c r="AA167" s="1" t="s">
        <v>206</v>
      </c>
      <c r="AB167" s="1" t="s">
        <v>206</v>
      </c>
      <c r="AC167" s="1" t="s">
        <v>236</v>
      </c>
      <c r="AD167" s="1" t="s">
        <v>497</v>
      </c>
      <c r="AE167" s="1" t="s">
        <v>208</v>
      </c>
      <c r="AF167" s="1" t="s">
        <v>208</v>
      </c>
      <c r="AG167" s="1" t="s">
        <v>497</v>
      </c>
      <c r="AH167" s="1" t="s">
        <v>206</v>
      </c>
      <c r="AI167" s="120" t="s">
        <v>227</v>
      </c>
    </row>
    <row x14ac:dyDescent="0.25" r="168" customHeight="1" ht="17.25">
      <c r="A168" s="1" t="s">
        <v>442</v>
      </c>
      <c r="B168" s="61" t="s">
        <v>443</v>
      </c>
      <c r="C168" s="1" t="s">
        <v>123</v>
      </c>
      <c r="D168" s="1" t="s">
        <v>58</v>
      </c>
      <c r="E168" s="116" t="s">
        <v>444</v>
      </c>
      <c r="F168" s="1" t="s">
        <v>158</v>
      </c>
      <c r="G168" s="1" t="s">
        <v>170</v>
      </c>
      <c r="H168" s="61">
        <v>34740</v>
      </c>
      <c r="I168" s="1" t="s">
        <v>175</v>
      </c>
      <c r="J168" s="1" t="s">
        <v>365</v>
      </c>
      <c r="K168" s="1" t="s">
        <v>445</v>
      </c>
      <c r="L168" s="119">
        <v>0</v>
      </c>
      <c r="M168" s="117" t="s">
        <v>446</v>
      </c>
      <c r="N168" s="119">
        <v>0</v>
      </c>
      <c r="O168" s="118">
        <v>0</v>
      </c>
      <c r="P168" s="119">
        <v>0</v>
      </c>
      <c r="Q168" s="118">
        <v>0</v>
      </c>
      <c r="R168" s="1" t="s">
        <v>371</v>
      </c>
      <c r="S168" s="1" t="s">
        <v>206</v>
      </c>
      <c r="T168" s="1" t="s">
        <v>447</v>
      </c>
      <c r="U168" s="1" t="s">
        <v>198</v>
      </c>
      <c r="V168" s="1" t="s">
        <v>357</v>
      </c>
      <c r="W168" s="1" t="s">
        <v>208</v>
      </c>
      <c r="X168" s="1" t="s">
        <v>206</v>
      </c>
      <c r="Y168" s="1" t="s">
        <v>441</v>
      </c>
      <c r="Z168" s="1" t="s">
        <v>206</v>
      </c>
      <c r="AA168" s="1" t="s">
        <v>206</v>
      </c>
      <c r="AB168" s="1" t="s">
        <v>30</v>
      </c>
      <c r="AC168" s="1" t="s">
        <v>236</v>
      </c>
      <c r="AD168" s="1" t="s">
        <v>433</v>
      </c>
      <c r="AE168" s="1" t="s">
        <v>208</v>
      </c>
      <c r="AF168" s="1" t="s">
        <v>208</v>
      </c>
      <c r="AG168" s="1" t="s">
        <v>433</v>
      </c>
      <c r="AH168" s="1" t="s">
        <v>206</v>
      </c>
      <c r="AI168" s="120" t="s">
        <v>227</v>
      </c>
    </row>
    <row x14ac:dyDescent="0.25" r="169" customHeight="1" ht="17.25">
      <c r="A169" s="1" t="s">
        <v>442</v>
      </c>
      <c r="B169" s="61" t="s">
        <v>443</v>
      </c>
      <c r="C169" s="1" t="s">
        <v>123</v>
      </c>
      <c r="D169" s="1" t="s">
        <v>58</v>
      </c>
      <c r="E169" s="116" t="s">
        <v>1757</v>
      </c>
      <c r="F169" s="1" t="s">
        <v>158</v>
      </c>
      <c r="G169" s="1" t="s">
        <v>22</v>
      </c>
      <c r="H169" s="61">
        <v>34143</v>
      </c>
      <c r="I169" s="1" t="s">
        <v>176</v>
      </c>
      <c r="J169" s="1" t="s">
        <v>464</v>
      </c>
      <c r="K169" s="1" t="s">
        <v>445</v>
      </c>
      <c r="L169" s="119">
        <v>0</v>
      </c>
      <c r="M169" s="117" t="s">
        <v>446</v>
      </c>
      <c r="N169" s="119">
        <v>0</v>
      </c>
      <c r="O169" s="118">
        <v>0</v>
      </c>
      <c r="P169" s="119">
        <v>0</v>
      </c>
      <c r="Q169" s="118">
        <v>0</v>
      </c>
      <c r="R169" s="1" t="s">
        <v>371</v>
      </c>
      <c r="S169" s="1" t="s">
        <v>206</v>
      </c>
      <c r="T169" s="1" t="s">
        <v>447</v>
      </c>
      <c r="U169" s="1" t="s">
        <v>198</v>
      </c>
      <c r="V169" s="1" t="s">
        <v>357</v>
      </c>
      <c r="W169" s="1" t="s">
        <v>208</v>
      </c>
      <c r="X169" s="1" t="s">
        <v>206</v>
      </c>
      <c r="Y169" s="1" t="s">
        <v>441</v>
      </c>
      <c r="Z169" s="1" t="s">
        <v>206</v>
      </c>
      <c r="AA169" s="1" t="s">
        <v>206</v>
      </c>
      <c r="AB169" s="1" t="s">
        <v>30</v>
      </c>
      <c r="AC169" s="1" t="s">
        <v>206</v>
      </c>
      <c r="AD169" s="1" t="s">
        <v>492</v>
      </c>
      <c r="AE169" s="1" t="s">
        <v>208</v>
      </c>
      <c r="AF169" s="1" t="s">
        <v>208</v>
      </c>
      <c r="AG169" s="1" t="s">
        <v>492</v>
      </c>
      <c r="AH169" s="1" t="s">
        <v>208</v>
      </c>
      <c r="AI169" s="120" t="s">
        <v>227</v>
      </c>
    </row>
    <row x14ac:dyDescent="0.25" r="170" customHeight="1" ht="17.25">
      <c r="A170" s="1" t="s">
        <v>550</v>
      </c>
      <c r="B170" s="61" t="s">
        <v>551</v>
      </c>
      <c r="C170" s="1" t="s">
        <v>141</v>
      </c>
      <c r="D170" s="1" t="s">
        <v>58</v>
      </c>
      <c r="E170" s="116" t="s">
        <v>552</v>
      </c>
      <c r="F170" s="1" t="s">
        <v>158</v>
      </c>
      <c r="G170" s="1" t="s">
        <v>22</v>
      </c>
      <c r="H170" s="61">
        <v>32978</v>
      </c>
      <c r="I170" s="1" t="s">
        <v>175</v>
      </c>
      <c r="J170" s="1" t="s">
        <v>354</v>
      </c>
      <c r="K170" s="1" t="s">
        <v>553</v>
      </c>
      <c r="L170" s="117" t="s">
        <v>554</v>
      </c>
      <c r="M170" s="119">
        <v>0</v>
      </c>
      <c r="N170" s="119">
        <v>0</v>
      </c>
      <c r="O170" s="118">
        <v>0</v>
      </c>
      <c r="P170" s="119">
        <v>0</v>
      </c>
      <c r="Q170" s="118">
        <v>0</v>
      </c>
      <c r="R170" s="1" t="s">
        <v>357</v>
      </c>
      <c r="S170" s="1" t="s">
        <v>206</v>
      </c>
      <c r="T170" s="1" t="s">
        <v>555</v>
      </c>
      <c r="U170" s="1" t="s">
        <v>197</v>
      </c>
      <c r="V170" s="1" t="s">
        <v>357</v>
      </c>
      <c r="W170" s="1" t="s">
        <v>208</v>
      </c>
      <c r="X170" s="1" t="s">
        <v>206</v>
      </c>
      <c r="Y170" s="1" t="s">
        <v>441</v>
      </c>
      <c r="Z170" s="1" t="s">
        <v>206</v>
      </c>
      <c r="AA170" s="1" t="s">
        <v>206</v>
      </c>
      <c r="AB170" s="1" t="s">
        <v>206</v>
      </c>
      <c r="AC170" s="1" t="s">
        <v>236</v>
      </c>
      <c r="AD170" s="1" t="s">
        <v>497</v>
      </c>
      <c r="AE170" s="1" t="s">
        <v>208</v>
      </c>
      <c r="AF170" s="1" t="s">
        <v>208</v>
      </c>
      <c r="AG170" s="1" t="s">
        <v>497</v>
      </c>
      <c r="AH170" s="1" t="s">
        <v>206</v>
      </c>
      <c r="AI170" s="1" t="s">
        <v>229</v>
      </c>
    </row>
    <row x14ac:dyDescent="0.25" r="171" customHeight="1" ht="17.25">
      <c r="A171" s="1" t="s">
        <v>377</v>
      </c>
      <c r="B171" s="61" t="s">
        <v>378</v>
      </c>
      <c r="C171" s="1" t="s">
        <v>137</v>
      </c>
      <c r="D171" s="1" t="s">
        <v>58</v>
      </c>
      <c r="E171" s="116" t="s">
        <v>379</v>
      </c>
      <c r="F171" s="1" t="s">
        <v>158</v>
      </c>
      <c r="G171" s="1" t="s">
        <v>22</v>
      </c>
      <c r="H171" s="61">
        <v>33108</v>
      </c>
      <c r="I171" s="1" t="s">
        <v>175</v>
      </c>
      <c r="J171" s="1" t="s">
        <v>365</v>
      </c>
      <c r="K171" s="1" t="s">
        <v>380</v>
      </c>
      <c r="L171" s="117" t="s">
        <v>381</v>
      </c>
      <c r="M171" s="117" t="s">
        <v>382</v>
      </c>
      <c r="N171" s="117" t="s">
        <v>383</v>
      </c>
      <c r="O171" s="118">
        <v>0</v>
      </c>
      <c r="P171" s="119">
        <v>0</v>
      </c>
      <c r="Q171" s="118">
        <v>0</v>
      </c>
      <c r="R171" s="1" t="s">
        <v>357</v>
      </c>
      <c r="S171" s="1" t="s">
        <v>372</v>
      </c>
      <c r="T171" s="1" t="s">
        <v>384</v>
      </c>
      <c r="U171" s="1" t="s">
        <v>198</v>
      </c>
      <c r="V171" s="1" t="s">
        <v>357</v>
      </c>
      <c r="W171" s="1" t="s">
        <v>206</v>
      </c>
      <c r="X171" s="1" t="s">
        <v>385</v>
      </c>
      <c r="Y171" s="1" t="s">
        <v>386</v>
      </c>
      <c r="Z171" s="1" t="s">
        <v>207</v>
      </c>
      <c r="AA171" s="1" t="s">
        <v>206</v>
      </c>
      <c r="AB171" s="1" t="s">
        <v>30</v>
      </c>
      <c r="AC171" s="1" t="s">
        <v>238</v>
      </c>
      <c r="AD171" s="1" t="s">
        <v>387</v>
      </c>
      <c r="AE171" s="1" t="s">
        <v>208</v>
      </c>
      <c r="AF171" s="1" t="s">
        <v>208</v>
      </c>
      <c r="AG171" s="1" t="s">
        <v>387</v>
      </c>
      <c r="AH171" s="1" t="s">
        <v>208</v>
      </c>
      <c r="AI171" s="120" t="s">
        <v>227</v>
      </c>
    </row>
    <row x14ac:dyDescent="0.25" r="172" customHeight="1" ht="17.25">
      <c r="A172" s="1" t="s">
        <v>2068</v>
      </c>
      <c r="B172" s="61" t="s">
        <v>790</v>
      </c>
      <c r="C172" s="1" t="s">
        <v>123</v>
      </c>
      <c r="D172" s="1" t="s">
        <v>58</v>
      </c>
      <c r="E172" s="116" t="s">
        <v>2069</v>
      </c>
      <c r="F172" s="1" t="s">
        <v>158</v>
      </c>
      <c r="G172" s="1" t="s">
        <v>22</v>
      </c>
      <c r="H172" s="61">
        <v>34530</v>
      </c>
      <c r="I172" s="1" t="s">
        <v>175</v>
      </c>
      <c r="J172" s="1" t="s">
        <v>354</v>
      </c>
      <c r="K172" s="1" t="s">
        <v>1419</v>
      </c>
      <c r="L172" s="117" t="s">
        <v>2070</v>
      </c>
      <c r="M172" s="117" t="s">
        <v>2071</v>
      </c>
      <c r="N172" s="119">
        <v>0</v>
      </c>
      <c r="O172" s="118">
        <v>0</v>
      </c>
      <c r="P172" s="119">
        <v>0</v>
      </c>
      <c r="Q172" s="118">
        <v>0</v>
      </c>
      <c r="R172" s="1" t="s">
        <v>371</v>
      </c>
      <c r="S172" s="1" t="s">
        <v>206</v>
      </c>
      <c r="T172" s="1" t="s">
        <v>2072</v>
      </c>
      <c r="U172" s="1" t="s">
        <v>198</v>
      </c>
      <c r="V172" s="1" t="s">
        <v>357</v>
      </c>
      <c r="W172" s="1" t="s">
        <v>208</v>
      </c>
      <c r="X172" s="1" t="s">
        <v>206</v>
      </c>
      <c r="Y172" s="1" t="s">
        <v>441</v>
      </c>
      <c r="Z172" s="1" t="s">
        <v>207</v>
      </c>
      <c r="AA172" s="1" t="s">
        <v>206</v>
      </c>
      <c r="AB172" s="1" t="s">
        <v>30</v>
      </c>
      <c r="AC172" s="1" t="s">
        <v>238</v>
      </c>
      <c r="AD172" s="1" t="s">
        <v>2038</v>
      </c>
      <c r="AE172" s="1" t="s">
        <v>208</v>
      </c>
      <c r="AF172" s="1" t="s">
        <v>208</v>
      </c>
      <c r="AG172" s="1" t="s">
        <v>2038</v>
      </c>
      <c r="AH172" s="1" t="s">
        <v>208</v>
      </c>
      <c r="AI172" s="120" t="s">
        <v>227</v>
      </c>
    </row>
    <row x14ac:dyDescent="0.25" r="173" customHeight="1" ht="17.25">
      <c r="A173" s="1" t="s">
        <v>2506</v>
      </c>
      <c r="B173" s="61" t="s">
        <v>2507</v>
      </c>
      <c r="C173" s="1" t="s">
        <v>101</v>
      </c>
      <c r="D173" s="1" t="s">
        <v>59</v>
      </c>
      <c r="E173" s="116" t="s">
        <v>2508</v>
      </c>
      <c r="F173" s="1" t="s">
        <v>158</v>
      </c>
      <c r="G173" s="1" t="s">
        <v>22</v>
      </c>
      <c r="H173" s="61">
        <v>33630</v>
      </c>
      <c r="I173" s="1" t="s">
        <v>177</v>
      </c>
      <c r="J173" s="1" t="s">
        <v>365</v>
      </c>
      <c r="K173" s="1" t="s">
        <v>366</v>
      </c>
      <c r="L173" s="117" t="s">
        <v>2509</v>
      </c>
      <c r="M173" s="117" t="s">
        <v>2510</v>
      </c>
      <c r="N173" s="117" t="s">
        <v>2511</v>
      </c>
      <c r="O173" s="118">
        <v>0</v>
      </c>
      <c r="P173" s="119">
        <v>0</v>
      </c>
      <c r="Q173" s="121" t="s">
        <v>2512</v>
      </c>
      <c r="R173" s="1" t="s">
        <v>357</v>
      </c>
      <c r="S173" s="1" t="s">
        <v>206</v>
      </c>
      <c r="T173" s="1" t="s">
        <v>373</v>
      </c>
      <c r="U173" s="1" t="s">
        <v>200</v>
      </c>
      <c r="V173" s="1" t="s">
        <v>2285</v>
      </c>
      <c r="W173" s="1" t="s">
        <v>208</v>
      </c>
      <c r="X173" s="1" t="s">
        <v>208</v>
      </c>
      <c r="Y173" s="1" t="s">
        <v>208</v>
      </c>
      <c r="Z173" s="1" t="s">
        <v>208</v>
      </c>
      <c r="AA173" s="1" t="s">
        <v>208</v>
      </c>
      <c r="AB173" s="1" t="s">
        <v>208</v>
      </c>
      <c r="AC173" s="1" t="s">
        <v>208</v>
      </c>
      <c r="AD173" s="1" t="s">
        <v>208</v>
      </c>
      <c r="AE173" s="1" t="s">
        <v>206</v>
      </c>
      <c r="AF173" s="1" t="s">
        <v>208</v>
      </c>
      <c r="AG173" s="1" t="s">
        <v>208</v>
      </c>
      <c r="AH173" s="35" t="s">
        <v>208</v>
      </c>
      <c r="AI173" s="35" t="s">
        <v>208</v>
      </c>
    </row>
    <row x14ac:dyDescent="0.25" r="174" customHeight="1" ht="17.25">
      <c r="A174" s="1" t="s">
        <v>1173</v>
      </c>
      <c r="B174" s="61" t="s">
        <v>1174</v>
      </c>
      <c r="C174" s="1" t="s">
        <v>101</v>
      </c>
      <c r="D174" s="1" t="s">
        <v>59</v>
      </c>
      <c r="E174" s="116" t="s">
        <v>1175</v>
      </c>
      <c r="F174" s="1" t="s">
        <v>158</v>
      </c>
      <c r="G174" s="1" t="s">
        <v>22</v>
      </c>
      <c r="H174" s="61">
        <v>30038</v>
      </c>
      <c r="I174" s="1" t="s">
        <v>176</v>
      </c>
      <c r="J174" s="1" t="s">
        <v>517</v>
      </c>
      <c r="K174" s="1" t="s">
        <v>1161</v>
      </c>
      <c r="L174" s="119">
        <v>0</v>
      </c>
      <c r="M174" s="117" t="s">
        <v>1176</v>
      </c>
      <c r="N174" s="117" t="s">
        <v>1177</v>
      </c>
      <c r="O174" s="118">
        <v>0</v>
      </c>
      <c r="P174" s="119">
        <v>0</v>
      </c>
      <c r="Q174" s="118">
        <v>0</v>
      </c>
      <c r="R174" s="1" t="s">
        <v>357</v>
      </c>
      <c r="S174" s="1" t="s">
        <v>206</v>
      </c>
      <c r="T174" s="1" t="s">
        <v>1178</v>
      </c>
      <c r="U174" s="1" t="s">
        <v>197</v>
      </c>
      <c r="V174" s="1" t="s">
        <v>357</v>
      </c>
      <c r="W174" s="1" t="s">
        <v>208</v>
      </c>
      <c r="X174" s="1" t="s">
        <v>206</v>
      </c>
      <c r="Y174" s="1" t="s">
        <v>441</v>
      </c>
      <c r="Z174" s="1" t="s">
        <v>206</v>
      </c>
      <c r="AA174" s="1" t="s">
        <v>206</v>
      </c>
      <c r="AB174" s="1" t="s">
        <v>206</v>
      </c>
      <c r="AC174" s="1" t="s">
        <v>237</v>
      </c>
      <c r="AD174" s="1" t="s">
        <v>1052</v>
      </c>
      <c r="AE174" s="1" t="s">
        <v>208</v>
      </c>
      <c r="AF174" s="1" t="s">
        <v>208</v>
      </c>
      <c r="AG174" s="1" t="s">
        <v>1052</v>
      </c>
      <c r="AH174" s="1" t="s">
        <v>206</v>
      </c>
      <c r="AI174" s="120" t="s">
        <v>227</v>
      </c>
    </row>
    <row x14ac:dyDescent="0.25" r="175" customHeight="1" ht="17.25">
      <c r="A175" s="1" t="s">
        <v>2133</v>
      </c>
      <c r="B175" s="61" t="s">
        <v>400</v>
      </c>
      <c r="C175" s="1" t="s">
        <v>101</v>
      </c>
      <c r="D175" s="1" t="s">
        <v>59</v>
      </c>
      <c r="E175" s="116" t="s">
        <v>2134</v>
      </c>
      <c r="F175" s="1" t="s">
        <v>158</v>
      </c>
      <c r="G175" s="1" t="s">
        <v>22</v>
      </c>
      <c r="H175" s="61">
        <v>33546</v>
      </c>
      <c r="I175" s="1" t="s">
        <v>175</v>
      </c>
      <c r="J175" s="1" t="s">
        <v>365</v>
      </c>
      <c r="K175" s="1" t="s">
        <v>2135</v>
      </c>
      <c r="L175" s="117" t="s">
        <v>2136</v>
      </c>
      <c r="M175" s="117" t="s">
        <v>2137</v>
      </c>
      <c r="N175" s="119">
        <v>0</v>
      </c>
      <c r="O175" s="118">
        <v>0</v>
      </c>
      <c r="P175" s="119">
        <v>0</v>
      </c>
      <c r="Q175" s="118">
        <v>0</v>
      </c>
      <c r="R175" s="1" t="s">
        <v>357</v>
      </c>
      <c r="S175" s="1" t="s">
        <v>206</v>
      </c>
      <c r="T175" s="1" t="s">
        <v>1579</v>
      </c>
      <c r="U175" s="1" t="s">
        <v>197</v>
      </c>
      <c r="V175" s="1" t="s">
        <v>357</v>
      </c>
      <c r="W175" s="1" t="s">
        <v>208</v>
      </c>
      <c r="X175" s="1" t="s">
        <v>653</v>
      </c>
      <c r="Y175" s="1" t="s">
        <v>386</v>
      </c>
      <c r="Z175" s="1" t="s">
        <v>207</v>
      </c>
      <c r="AA175" s="1" t="s">
        <v>28</v>
      </c>
      <c r="AB175" s="1" t="s">
        <v>34</v>
      </c>
      <c r="AC175" s="1" t="s">
        <v>238</v>
      </c>
      <c r="AD175" s="1" t="s">
        <v>375</v>
      </c>
      <c r="AE175" s="1" t="s">
        <v>208</v>
      </c>
      <c r="AF175" s="1" t="s">
        <v>208</v>
      </c>
      <c r="AG175" s="1" t="s">
        <v>375</v>
      </c>
      <c r="AH175" s="1" t="s">
        <v>208</v>
      </c>
      <c r="AI175" s="120" t="s">
        <v>227</v>
      </c>
    </row>
    <row x14ac:dyDescent="0.25" r="176" customHeight="1" ht="17.25">
      <c r="A176" s="1" t="s">
        <v>839</v>
      </c>
      <c r="B176" s="61" t="s">
        <v>840</v>
      </c>
      <c r="C176" s="1" t="s">
        <v>82</v>
      </c>
      <c r="D176" s="1" t="s">
        <v>59</v>
      </c>
      <c r="E176" s="116" t="s">
        <v>841</v>
      </c>
      <c r="F176" s="1" t="s">
        <v>158</v>
      </c>
      <c r="G176" s="1" t="s">
        <v>22</v>
      </c>
      <c r="H176" s="61">
        <v>27854</v>
      </c>
      <c r="I176" s="1" t="s">
        <v>175</v>
      </c>
      <c r="J176" s="1" t="s">
        <v>354</v>
      </c>
      <c r="K176" s="1" t="s">
        <v>842</v>
      </c>
      <c r="L176" s="117" t="s">
        <v>843</v>
      </c>
      <c r="M176" s="117" t="s">
        <v>844</v>
      </c>
      <c r="N176" s="117" t="s">
        <v>845</v>
      </c>
      <c r="O176" s="118">
        <v>0</v>
      </c>
      <c r="P176" s="119">
        <v>0</v>
      </c>
      <c r="Q176" s="118">
        <v>0</v>
      </c>
      <c r="R176" s="1" t="s">
        <v>357</v>
      </c>
      <c r="S176" s="1" t="s">
        <v>206</v>
      </c>
      <c r="T176" s="1" t="s">
        <v>846</v>
      </c>
      <c r="U176" s="1" t="s">
        <v>197</v>
      </c>
      <c r="V176" s="1" t="s">
        <v>357</v>
      </c>
      <c r="W176" s="1" t="s">
        <v>208</v>
      </c>
      <c r="X176" s="1" t="s">
        <v>847</v>
      </c>
      <c r="Y176" s="1" t="s">
        <v>386</v>
      </c>
      <c r="Z176" s="1" t="s">
        <v>206</v>
      </c>
      <c r="AA176" s="1" t="s">
        <v>28</v>
      </c>
      <c r="AB176" s="1" t="s">
        <v>206</v>
      </c>
      <c r="AC176" s="1" t="s">
        <v>236</v>
      </c>
      <c r="AD176" s="1" t="s">
        <v>497</v>
      </c>
      <c r="AE176" s="1" t="s">
        <v>208</v>
      </c>
      <c r="AF176" s="1" t="s">
        <v>208</v>
      </c>
      <c r="AG176" s="1" t="s">
        <v>497</v>
      </c>
      <c r="AH176" s="1" t="s">
        <v>206</v>
      </c>
      <c r="AI176" s="1" t="s">
        <v>229</v>
      </c>
    </row>
    <row x14ac:dyDescent="0.25" r="177" customHeight="1" ht="17.25">
      <c r="A177" s="1" t="s">
        <v>408</v>
      </c>
      <c r="B177" s="61" t="s">
        <v>409</v>
      </c>
      <c r="C177" s="1" t="s">
        <v>82</v>
      </c>
      <c r="D177" s="1" t="s">
        <v>59</v>
      </c>
      <c r="E177" s="116" t="s">
        <v>410</v>
      </c>
      <c r="F177" s="1" t="s">
        <v>159</v>
      </c>
      <c r="G177" s="1" t="s">
        <v>22</v>
      </c>
      <c r="H177" s="61">
        <v>26835</v>
      </c>
      <c r="I177" s="1" t="s">
        <v>175</v>
      </c>
      <c r="J177" s="1" t="s">
        <v>354</v>
      </c>
      <c r="K177" s="1" t="s">
        <v>411</v>
      </c>
      <c r="L177" s="117" t="s">
        <v>412</v>
      </c>
      <c r="M177" s="117" t="s">
        <v>413</v>
      </c>
      <c r="N177" s="117" t="s">
        <v>414</v>
      </c>
      <c r="O177" s="118">
        <v>0</v>
      </c>
      <c r="P177" s="119">
        <v>0</v>
      </c>
      <c r="Q177" s="118">
        <v>0</v>
      </c>
      <c r="R177" s="1" t="s">
        <v>371</v>
      </c>
      <c r="S177" s="1" t="s">
        <v>206</v>
      </c>
      <c r="T177" s="1" t="s">
        <v>415</v>
      </c>
      <c r="U177" s="1" t="s">
        <v>198</v>
      </c>
      <c r="V177" s="1" t="s">
        <v>357</v>
      </c>
      <c r="W177" s="1" t="s">
        <v>208</v>
      </c>
      <c r="X177" s="1" t="s">
        <v>359</v>
      </c>
      <c r="Y177" s="1" t="s">
        <v>361</v>
      </c>
      <c r="Z177" s="1" t="s">
        <v>207</v>
      </c>
      <c r="AA177" s="1" t="s">
        <v>206</v>
      </c>
      <c r="AB177" s="1" t="s">
        <v>206</v>
      </c>
      <c r="AC177" s="1" t="s">
        <v>238</v>
      </c>
      <c r="AD177" s="1" t="s">
        <v>416</v>
      </c>
      <c r="AE177" s="1" t="s">
        <v>208</v>
      </c>
      <c r="AF177" s="1" t="s">
        <v>208</v>
      </c>
      <c r="AG177" s="1" t="s">
        <v>416</v>
      </c>
      <c r="AH177" s="1" t="s">
        <v>208</v>
      </c>
      <c r="AI177" s="120" t="s">
        <v>227</v>
      </c>
    </row>
    <row x14ac:dyDescent="0.25" r="178" customHeight="1" ht="17.25">
      <c r="A178" s="1" t="s">
        <v>408</v>
      </c>
      <c r="B178" s="61" t="s">
        <v>409</v>
      </c>
      <c r="C178" s="1" t="s">
        <v>82</v>
      </c>
      <c r="D178" s="1" t="s">
        <v>59</v>
      </c>
      <c r="E178" s="116" t="s">
        <v>1931</v>
      </c>
      <c r="F178" s="1" t="s">
        <v>159</v>
      </c>
      <c r="G178" s="1" t="s">
        <v>22</v>
      </c>
      <c r="H178" s="61">
        <v>33821</v>
      </c>
      <c r="I178" s="1" t="s">
        <v>175</v>
      </c>
      <c r="J178" s="1" t="s">
        <v>354</v>
      </c>
      <c r="K178" s="1" t="s">
        <v>366</v>
      </c>
      <c r="L178" s="119">
        <v>0</v>
      </c>
      <c r="M178" s="119">
        <v>0</v>
      </c>
      <c r="N178" s="117" t="s">
        <v>1932</v>
      </c>
      <c r="O178" s="118">
        <v>0</v>
      </c>
      <c r="P178" s="119">
        <v>0</v>
      </c>
      <c r="Q178" s="118">
        <v>0</v>
      </c>
      <c r="R178" s="1" t="s">
        <v>371</v>
      </c>
      <c r="S178" s="1" t="s">
        <v>206</v>
      </c>
      <c r="T178" s="1" t="s">
        <v>1933</v>
      </c>
      <c r="U178" s="1" t="s">
        <v>198</v>
      </c>
      <c r="V178" s="1" t="s">
        <v>357</v>
      </c>
      <c r="W178" s="1" t="s">
        <v>208</v>
      </c>
      <c r="X178" s="1" t="s">
        <v>847</v>
      </c>
      <c r="Y178" s="1" t="s">
        <v>386</v>
      </c>
      <c r="Z178" s="1" t="s">
        <v>206</v>
      </c>
      <c r="AA178" s="1" t="s">
        <v>206</v>
      </c>
      <c r="AB178" s="1" t="s">
        <v>206</v>
      </c>
      <c r="AC178" s="1" t="s">
        <v>206</v>
      </c>
      <c r="AD178" s="1" t="s">
        <v>386</v>
      </c>
      <c r="AE178" s="1" t="s">
        <v>208</v>
      </c>
      <c r="AF178" s="1" t="s">
        <v>208</v>
      </c>
      <c r="AG178" s="1" t="s">
        <v>386</v>
      </c>
      <c r="AH178" s="1" t="s">
        <v>208</v>
      </c>
      <c r="AI178" s="120" t="s">
        <v>227</v>
      </c>
    </row>
    <row x14ac:dyDescent="0.25" r="179" customHeight="1" ht="17.25">
      <c r="A179" s="1" t="s">
        <v>1450</v>
      </c>
      <c r="B179" s="61" t="s">
        <v>817</v>
      </c>
      <c r="C179" s="1" t="s">
        <v>101</v>
      </c>
      <c r="D179" s="1" t="s">
        <v>59</v>
      </c>
      <c r="E179" s="116" t="s">
        <v>1451</v>
      </c>
      <c r="F179" s="1" t="s">
        <v>158</v>
      </c>
      <c r="G179" s="1" t="s">
        <v>22</v>
      </c>
      <c r="H179" s="61">
        <v>34914</v>
      </c>
      <c r="I179" s="1" t="s">
        <v>176</v>
      </c>
      <c r="J179" s="1" t="s">
        <v>365</v>
      </c>
      <c r="K179" s="1" t="s">
        <v>1452</v>
      </c>
      <c r="L179" s="117" t="s">
        <v>1453</v>
      </c>
      <c r="M179" s="117" t="s">
        <v>1454</v>
      </c>
      <c r="N179" s="119">
        <v>0</v>
      </c>
      <c r="O179" s="118">
        <v>0</v>
      </c>
      <c r="P179" s="119">
        <v>0</v>
      </c>
      <c r="Q179" s="118">
        <v>0</v>
      </c>
      <c r="R179" s="1" t="s">
        <v>357</v>
      </c>
      <c r="S179" s="120" t="s">
        <v>674</v>
      </c>
      <c r="T179" s="1" t="s">
        <v>1108</v>
      </c>
      <c r="U179" s="1" t="s">
        <v>198</v>
      </c>
      <c r="V179" s="1" t="s">
        <v>357</v>
      </c>
      <c r="W179" s="1" t="s">
        <v>206</v>
      </c>
      <c r="X179" s="1" t="s">
        <v>406</v>
      </c>
      <c r="Y179" s="1" t="s">
        <v>386</v>
      </c>
      <c r="Z179" s="1" t="s">
        <v>206</v>
      </c>
      <c r="AA179" s="1" t="s">
        <v>28</v>
      </c>
      <c r="AB179" s="1" t="s">
        <v>206</v>
      </c>
      <c r="AC179" s="1" t="s">
        <v>206</v>
      </c>
      <c r="AD179" s="1" t="s">
        <v>441</v>
      </c>
      <c r="AE179" s="1" t="s">
        <v>208</v>
      </c>
      <c r="AF179" s="1" t="s">
        <v>208</v>
      </c>
      <c r="AG179" s="1" t="s">
        <v>441</v>
      </c>
      <c r="AH179" s="1" t="s">
        <v>208</v>
      </c>
      <c r="AI179" s="120" t="s">
        <v>227</v>
      </c>
    </row>
    <row x14ac:dyDescent="0.25" r="180" customHeight="1" ht="17.25">
      <c r="A180" s="1" t="s">
        <v>1322</v>
      </c>
      <c r="B180" s="61" t="s">
        <v>1039</v>
      </c>
      <c r="C180" s="1" t="s">
        <v>101</v>
      </c>
      <c r="D180" s="1" t="s">
        <v>59</v>
      </c>
      <c r="E180" s="116" t="s">
        <v>1323</v>
      </c>
      <c r="F180" s="1" t="s">
        <v>158</v>
      </c>
      <c r="G180" s="1" t="s">
        <v>22</v>
      </c>
      <c r="H180" s="61">
        <v>31945</v>
      </c>
      <c r="I180" s="1" t="s">
        <v>175</v>
      </c>
      <c r="J180" s="1" t="s">
        <v>354</v>
      </c>
      <c r="K180" s="1" t="s">
        <v>547</v>
      </c>
      <c r="L180" s="117" t="s">
        <v>1324</v>
      </c>
      <c r="M180" s="119">
        <v>0</v>
      </c>
      <c r="N180" s="119">
        <v>0</v>
      </c>
      <c r="O180" s="118">
        <v>0</v>
      </c>
      <c r="P180" s="119">
        <v>0</v>
      </c>
      <c r="Q180" s="118">
        <v>0</v>
      </c>
      <c r="R180" s="1" t="s">
        <v>357</v>
      </c>
      <c r="S180" s="1" t="s">
        <v>206</v>
      </c>
      <c r="T180" s="1" t="s">
        <v>1079</v>
      </c>
      <c r="U180" s="1" t="s">
        <v>197</v>
      </c>
      <c r="V180" s="1" t="s">
        <v>357</v>
      </c>
      <c r="W180" s="1" t="s">
        <v>208</v>
      </c>
      <c r="X180" s="1" t="s">
        <v>206</v>
      </c>
      <c r="Y180" s="1" t="s">
        <v>441</v>
      </c>
      <c r="Z180" s="1" t="s">
        <v>207</v>
      </c>
      <c r="AA180" s="1" t="s">
        <v>28</v>
      </c>
      <c r="AB180" s="1" t="s">
        <v>206</v>
      </c>
      <c r="AC180" s="1" t="s">
        <v>238</v>
      </c>
      <c r="AD180" s="1" t="s">
        <v>441</v>
      </c>
      <c r="AE180" s="1" t="s">
        <v>208</v>
      </c>
      <c r="AF180" s="1" t="s">
        <v>208</v>
      </c>
      <c r="AG180" s="1" t="s">
        <v>441</v>
      </c>
      <c r="AH180" s="1" t="s">
        <v>208</v>
      </c>
      <c r="AI180" s="120" t="s">
        <v>227</v>
      </c>
    </row>
    <row x14ac:dyDescent="0.25" r="181" customHeight="1" ht="17.25">
      <c r="A181" s="1" t="s">
        <v>1899</v>
      </c>
      <c r="B181" s="61" t="s">
        <v>1635</v>
      </c>
      <c r="C181" s="1" t="s">
        <v>101</v>
      </c>
      <c r="D181" s="1" t="s">
        <v>59</v>
      </c>
      <c r="E181" s="116" t="s">
        <v>1900</v>
      </c>
      <c r="F181" s="1" t="s">
        <v>158</v>
      </c>
      <c r="G181" s="1" t="s">
        <v>22</v>
      </c>
      <c r="H181" s="61">
        <v>26390</v>
      </c>
      <c r="I181" s="1" t="s">
        <v>177</v>
      </c>
      <c r="J181" s="1" t="s">
        <v>365</v>
      </c>
      <c r="K181" s="1" t="s">
        <v>366</v>
      </c>
      <c r="L181" s="119">
        <v>0</v>
      </c>
      <c r="M181" s="117" t="s">
        <v>1901</v>
      </c>
      <c r="N181" s="119">
        <v>0</v>
      </c>
      <c r="O181" s="118">
        <v>0</v>
      </c>
      <c r="P181" s="119">
        <v>0</v>
      </c>
      <c r="Q181" s="118">
        <v>0</v>
      </c>
      <c r="R181" s="1" t="s">
        <v>357</v>
      </c>
      <c r="S181" s="1" t="s">
        <v>206</v>
      </c>
      <c r="T181" s="1" t="s">
        <v>358</v>
      </c>
      <c r="U181" s="1" t="s">
        <v>197</v>
      </c>
      <c r="V181" s="1" t="s">
        <v>357</v>
      </c>
      <c r="W181" s="1" t="s">
        <v>208</v>
      </c>
      <c r="X181" s="1" t="s">
        <v>206</v>
      </c>
      <c r="Y181" s="1" t="s">
        <v>441</v>
      </c>
      <c r="Z181" s="1" t="s">
        <v>207</v>
      </c>
      <c r="AA181" s="1" t="s">
        <v>206</v>
      </c>
      <c r="AB181" s="1" t="s">
        <v>206</v>
      </c>
      <c r="AC181" s="1" t="s">
        <v>238</v>
      </c>
      <c r="AD181" s="1" t="s">
        <v>386</v>
      </c>
      <c r="AE181" s="1" t="s">
        <v>208</v>
      </c>
      <c r="AF181" s="1" t="s">
        <v>208</v>
      </c>
      <c r="AG181" s="1" t="s">
        <v>386</v>
      </c>
      <c r="AH181" s="1" t="s">
        <v>208</v>
      </c>
      <c r="AI181" s="120" t="s">
        <v>227</v>
      </c>
    </row>
    <row x14ac:dyDescent="0.25" r="182" customHeight="1" ht="17.25">
      <c r="A182" s="1" t="s">
        <v>2094</v>
      </c>
      <c r="B182" s="61" t="s">
        <v>487</v>
      </c>
      <c r="C182" s="1" t="s">
        <v>82</v>
      </c>
      <c r="D182" s="1" t="s">
        <v>59</v>
      </c>
      <c r="E182" s="116" t="s">
        <v>2095</v>
      </c>
      <c r="F182" s="1" t="s">
        <v>158</v>
      </c>
      <c r="G182" s="1" t="s">
        <v>22</v>
      </c>
      <c r="H182" s="61">
        <v>32589</v>
      </c>
      <c r="I182" s="1" t="s">
        <v>175</v>
      </c>
      <c r="J182" s="1" t="s">
        <v>365</v>
      </c>
      <c r="K182" s="1" t="s">
        <v>2096</v>
      </c>
      <c r="L182" s="119">
        <v>0</v>
      </c>
      <c r="M182" s="117" t="s">
        <v>2097</v>
      </c>
      <c r="N182" s="117" t="s">
        <v>2098</v>
      </c>
      <c r="O182" s="118">
        <v>0</v>
      </c>
      <c r="P182" s="119">
        <v>0</v>
      </c>
      <c r="Q182" s="118">
        <v>0</v>
      </c>
      <c r="R182" s="1" t="s">
        <v>357</v>
      </c>
      <c r="S182" s="1" t="s">
        <v>206</v>
      </c>
      <c r="T182" s="1" t="s">
        <v>1480</v>
      </c>
      <c r="U182" s="1" t="s">
        <v>197</v>
      </c>
      <c r="V182" s="1" t="s">
        <v>357</v>
      </c>
      <c r="W182" s="1" t="s">
        <v>208</v>
      </c>
      <c r="X182" s="1" t="s">
        <v>847</v>
      </c>
      <c r="Y182" s="1" t="s">
        <v>492</v>
      </c>
      <c r="Z182" s="1" t="s">
        <v>207</v>
      </c>
      <c r="AA182" s="1" t="s">
        <v>206</v>
      </c>
      <c r="AB182" s="1" t="s">
        <v>206</v>
      </c>
      <c r="AC182" s="1" t="s">
        <v>238</v>
      </c>
      <c r="AD182" s="1" t="s">
        <v>2038</v>
      </c>
      <c r="AE182" s="1" t="s">
        <v>208</v>
      </c>
      <c r="AF182" s="1" t="s">
        <v>208</v>
      </c>
      <c r="AG182" s="1" t="s">
        <v>2038</v>
      </c>
      <c r="AH182" s="1" t="s">
        <v>208</v>
      </c>
      <c r="AI182" s="120" t="s">
        <v>227</v>
      </c>
    </row>
    <row x14ac:dyDescent="0.25" r="183" customHeight="1" ht="17.25">
      <c r="A183" s="1" t="s">
        <v>1469</v>
      </c>
      <c r="B183" s="61" t="s">
        <v>1470</v>
      </c>
      <c r="C183" s="1" t="s">
        <v>82</v>
      </c>
      <c r="D183" s="1" t="s">
        <v>59</v>
      </c>
      <c r="E183" s="116" t="s">
        <v>2424</v>
      </c>
      <c r="F183" s="1" t="s">
        <v>158</v>
      </c>
      <c r="G183" s="1" t="s">
        <v>22</v>
      </c>
      <c r="H183" s="61">
        <v>31701</v>
      </c>
      <c r="I183" s="1" t="s">
        <v>175</v>
      </c>
      <c r="J183" s="1" t="s">
        <v>615</v>
      </c>
      <c r="K183" s="1" t="s">
        <v>1472</v>
      </c>
      <c r="L183" s="119">
        <v>0</v>
      </c>
      <c r="M183" s="117" t="s">
        <v>1473</v>
      </c>
      <c r="N183" s="119">
        <v>0</v>
      </c>
      <c r="O183" s="118">
        <v>0</v>
      </c>
      <c r="P183" s="119">
        <v>0</v>
      </c>
      <c r="Q183" s="118">
        <v>0</v>
      </c>
      <c r="R183" s="1" t="s">
        <v>371</v>
      </c>
      <c r="S183" s="1" t="s">
        <v>206</v>
      </c>
      <c r="T183" s="1" t="s">
        <v>2374</v>
      </c>
      <c r="U183" s="1" t="s">
        <v>199</v>
      </c>
      <c r="V183" s="1" t="s">
        <v>208</v>
      </c>
      <c r="W183" s="1" t="s">
        <v>208</v>
      </c>
      <c r="X183" s="1" t="s">
        <v>208</v>
      </c>
      <c r="Y183" s="1" t="s">
        <v>208</v>
      </c>
      <c r="Z183" s="1" t="s">
        <v>208</v>
      </c>
      <c r="AA183" s="1" t="s">
        <v>208</v>
      </c>
      <c r="AB183" s="1" t="s">
        <v>208</v>
      </c>
      <c r="AC183" s="1" t="s">
        <v>208</v>
      </c>
      <c r="AD183" s="1" t="s">
        <v>208</v>
      </c>
      <c r="AE183" s="1" t="s">
        <v>208</v>
      </c>
      <c r="AF183" s="1" t="s">
        <v>208</v>
      </c>
      <c r="AG183" s="1" t="s">
        <v>208</v>
      </c>
      <c r="AH183" s="1" t="s">
        <v>208</v>
      </c>
      <c r="AI183" s="1" t="s">
        <v>208</v>
      </c>
    </row>
    <row x14ac:dyDescent="0.25" r="184" customHeight="1" ht="17.25">
      <c r="A184" s="1" t="s">
        <v>1469</v>
      </c>
      <c r="B184" s="61" t="s">
        <v>1470</v>
      </c>
      <c r="C184" s="1" t="s">
        <v>82</v>
      </c>
      <c r="D184" s="1" t="s">
        <v>59</v>
      </c>
      <c r="E184" s="116" t="s">
        <v>2427</v>
      </c>
      <c r="F184" s="1" t="s">
        <v>158</v>
      </c>
      <c r="G184" s="1" t="s">
        <v>22</v>
      </c>
      <c r="H184" s="61">
        <v>30628</v>
      </c>
      <c r="I184" s="1" t="s">
        <v>175</v>
      </c>
      <c r="J184" s="1" t="s">
        <v>615</v>
      </c>
      <c r="K184" s="1" t="s">
        <v>1472</v>
      </c>
      <c r="L184" s="119">
        <v>0</v>
      </c>
      <c r="M184" s="117" t="s">
        <v>1473</v>
      </c>
      <c r="N184" s="119">
        <v>0</v>
      </c>
      <c r="O184" s="118">
        <v>0</v>
      </c>
      <c r="P184" s="119">
        <v>0</v>
      </c>
      <c r="Q184" s="118">
        <v>0</v>
      </c>
      <c r="R184" s="1" t="s">
        <v>371</v>
      </c>
      <c r="S184" s="1" t="s">
        <v>206</v>
      </c>
      <c r="T184" s="1" t="s">
        <v>2374</v>
      </c>
      <c r="U184" s="1" t="s">
        <v>199</v>
      </c>
      <c r="V184" s="1" t="s">
        <v>208</v>
      </c>
      <c r="W184" s="1" t="s">
        <v>208</v>
      </c>
      <c r="X184" s="1" t="s">
        <v>208</v>
      </c>
      <c r="Y184" s="1" t="s">
        <v>208</v>
      </c>
      <c r="Z184" s="1" t="s">
        <v>208</v>
      </c>
      <c r="AA184" s="1" t="s">
        <v>208</v>
      </c>
      <c r="AB184" s="1" t="s">
        <v>208</v>
      </c>
      <c r="AC184" s="1" t="s">
        <v>208</v>
      </c>
      <c r="AD184" s="1" t="s">
        <v>208</v>
      </c>
      <c r="AE184" s="1" t="s">
        <v>208</v>
      </c>
      <c r="AF184" s="1" t="s">
        <v>208</v>
      </c>
      <c r="AG184" s="1" t="s">
        <v>208</v>
      </c>
      <c r="AH184" s="1" t="s">
        <v>208</v>
      </c>
      <c r="AI184" s="1" t="s">
        <v>208</v>
      </c>
    </row>
    <row x14ac:dyDescent="0.25" r="185" customHeight="1" ht="17.25">
      <c r="A185" s="1" t="s">
        <v>1469</v>
      </c>
      <c r="B185" s="61" t="s">
        <v>1470</v>
      </c>
      <c r="C185" s="1" t="s">
        <v>82</v>
      </c>
      <c r="D185" s="1" t="s">
        <v>59</v>
      </c>
      <c r="E185" s="116" t="s">
        <v>1471</v>
      </c>
      <c r="F185" s="1" t="s">
        <v>158</v>
      </c>
      <c r="G185" s="1" t="s">
        <v>22</v>
      </c>
      <c r="H185" s="61">
        <v>24993</v>
      </c>
      <c r="I185" s="1" t="s">
        <v>176</v>
      </c>
      <c r="J185" s="1" t="s">
        <v>464</v>
      </c>
      <c r="K185" s="1" t="s">
        <v>1472</v>
      </c>
      <c r="L185" s="119">
        <v>0</v>
      </c>
      <c r="M185" s="117" t="s">
        <v>1473</v>
      </c>
      <c r="N185" s="119">
        <v>0</v>
      </c>
      <c r="O185" s="118">
        <v>0</v>
      </c>
      <c r="P185" s="119">
        <v>0</v>
      </c>
      <c r="Q185" s="118">
        <v>0</v>
      </c>
      <c r="R185" s="1" t="s">
        <v>371</v>
      </c>
      <c r="S185" s="1" t="s">
        <v>206</v>
      </c>
      <c r="T185" s="1" t="s">
        <v>1474</v>
      </c>
      <c r="U185" s="1" t="s">
        <v>198</v>
      </c>
      <c r="V185" s="1" t="s">
        <v>357</v>
      </c>
      <c r="W185" s="1" t="s">
        <v>208</v>
      </c>
      <c r="X185" s="1" t="s">
        <v>206</v>
      </c>
      <c r="Y185" s="1" t="s">
        <v>441</v>
      </c>
      <c r="Z185" s="1" t="s">
        <v>207</v>
      </c>
      <c r="AA185" s="1" t="s">
        <v>28</v>
      </c>
      <c r="AB185" s="1" t="s">
        <v>206</v>
      </c>
      <c r="AC185" s="1" t="s">
        <v>238</v>
      </c>
      <c r="AD185" s="1" t="s">
        <v>441</v>
      </c>
      <c r="AE185" s="1" t="s">
        <v>208</v>
      </c>
      <c r="AF185" s="1" t="s">
        <v>208</v>
      </c>
      <c r="AG185" s="1" t="s">
        <v>441</v>
      </c>
      <c r="AH185" s="1" t="s">
        <v>208</v>
      </c>
      <c r="AI185" s="120" t="s">
        <v>227</v>
      </c>
    </row>
    <row x14ac:dyDescent="0.25" r="186" customHeight="1" ht="17.25">
      <c r="A186" s="1" t="s">
        <v>1469</v>
      </c>
      <c r="B186" s="61" t="s">
        <v>1470</v>
      </c>
      <c r="C186" s="1" t="s">
        <v>82</v>
      </c>
      <c r="D186" s="1" t="s">
        <v>59</v>
      </c>
      <c r="E186" s="116" t="s">
        <v>2425</v>
      </c>
      <c r="F186" s="1" t="s">
        <v>158</v>
      </c>
      <c r="G186" s="1" t="s">
        <v>22</v>
      </c>
      <c r="H186" s="61">
        <v>28859</v>
      </c>
      <c r="I186" s="1" t="s">
        <v>175</v>
      </c>
      <c r="J186" s="1" t="s">
        <v>517</v>
      </c>
      <c r="K186" s="1" t="s">
        <v>1472</v>
      </c>
      <c r="L186" s="119">
        <v>0</v>
      </c>
      <c r="M186" s="117" t="s">
        <v>1473</v>
      </c>
      <c r="N186" s="119">
        <v>0</v>
      </c>
      <c r="O186" s="118">
        <v>0</v>
      </c>
      <c r="P186" s="119">
        <v>0</v>
      </c>
      <c r="Q186" s="118">
        <v>0</v>
      </c>
      <c r="R186" s="1" t="s">
        <v>371</v>
      </c>
      <c r="S186" s="1" t="s">
        <v>206</v>
      </c>
      <c r="T186" s="1" t="s">
        <v>726</v>
      </c>
      <c r="U186" s="1" t="s">
        <v>199</v>
      </c>
      <c r="V186" s="1" t="s">
        <v>208</v>
      </c>
      <c r="W186" s="1" t="s">
        <v>208</v>
      </c>
      <c r="X186" s="1" t="s">
        <v>208</v>
      </c>
      <c r="Y186" s="1" t="s">
        <v>208</v>
      </c>
      <c r="Z186" s="1" t="s">
        <v>208</v>
      </c>
      <c r="AA186" s="1" t="s">
        <v>208</v>
      </c>
      <c r="AB186" s="1" t="s">
        <v>208</v>
      </c>
      <c r="AC186" s="1" t="s">
        <v>208</v>
      </c>
      <c r="AD186" s="1" t="s">
        <v>208</v>
      </c>
      <c r="AE186" s="1" t="s">
        <v>208</v>
      </c>
      <c r="AF186" s="1" t="s">
        <v>208</v>
      </c>
      <c r="AG186" s="1" t="s">
        <v>208</v>
      </c>
      <c r="AH186" s="1" t="s">
        <v>208</v>
      </c>
      <c r="AI186" s="1" t="s">
        <v>208</v>
      </c>
    </row>
    <row x14ac:dyDescent="0.25" r="187" customHeight="1" ht="17.25">
      <c r="A187" s="1" t="s">
        <v>1469</v>
      </c>
      <c r="B187" s="61" t="s">
        <v>1470</v>
      </c>
      <c r="C187" s="1" t="s">
        <v>82</v>
      </c>
      <c r="D187" s="1" t="s">
        <v>59</v>
      </c>
      <c r="E187" s="116" t="s">
        <v>2426</v>
      </c>
      <c r="F187" s="1" t="s">
        <v>158</v>
      </c>
      <c r="G187" s="1" t="s">
        <v>22</v>
      </c>
      <c r="H187" s="61">
        <v>32617</v>
      </c>
      <c r="I187" s="1" t="s">
        <v>176</v>
      </c>
      <c r="J187" s="1" t="s">
        <v>464</v>
      </c>
      <c r="K187" s="1" t="s">
        <v>1472</v>
      </c>
      <c r="L187" s="119">
        <v>0</v>
      </c>
      <c r="M187" s="117" t="s">
        <v>1473</v>
      </c>
      <c r="N187" s="119">
        <v>0</v>
      </c>
      <c r="O187" s="118">
        <v>0</v>
      </c>
      <c r="P187" s="119">
        <v>0</v>
      </c>
      <c r="Q187" s="118">
        <v>0</v>
      </c>
      <c r="R187" s="1" t="s">
        <v>371</v>
      </c>
      <c r="S187" s="1" t="s">
        <v>206</v>
      </c>
      <c r="T187" s="1" t="s">
        <v>726</v>
      </c>
      <c r="U187" s="1" t="s">
        <v>199</v>
      </c>
      <c r="V187" s="1" t="s">
        <v>208</v>
      </c>
      <c r="W187" s="1" t="s">
        <v>208</v>
      </c>
      <c r="X187" s="1" t="s">
        <v>208</v>
      </c>
      <c r="Y187" s="1" t="s">
        <v>208</v>
      </c>
      <c r="Z187" s="1" t="s">
        <v>208</v>
      </c>
      <c r="AA187" s="1" t="s">
        <v>208</v>
      </c>
      <c r="AB187" s="1" t="s">
        <v>208</v>
      </c>
      <c r="AC187" s="1" t="s">
        <v>208</v>
      </c>
      <c r="AD187" s="1" t="s">
        <v>208</v>
      </c>
      <c r="AE187" s="1" t="s">
        <v>208</v>
      </c>
      <c r="AF187" s="1" t="s">
        <v>208</v>
      </c>
      <c r="AG187" s="1" t="s">
        <v>208</v>
      </c>
      <c r="AH187" s="1" t="s">
        <v>208</v>
      </c>
      <c r="AI187" s="1" t="s">
        <v>208</v>
      </c>
    </row>
    <row x14ac:dyDescent="0.25" r="188" customHeight="1" ht="17.25">
      <c r="A188" s="1" t="s">
        <v>2120</v>
      </c>
      <c r="B188" s="61" t="s">
        <v>557</v>
      </c>
      <c r="C188" s="1" t="s">
        <v>101</v>
      </c>
      <c r="D188" s="1" t="s">
        <v>59</v>
      </c>
      <c r="E188" s="116" t="s">
        <v>2121</v>
      </c>
      <c r="F188" s="1" t="s">
        <v>158</v>
      </c>
      <c r="G188" s="1" t="s">
        <v>22</v>
      </c>
      <c r="H188" s="61">
        <v>33937</v>
      </c>
      <c r="I188" s="1" t="s">
        <v>175</v>
      </c>
      <c r="J188" s="1" t="s">
        <v>365</v>
      </c>
      <c r="K188" s="1" t="s">
        <v>1637</v>
      </c>
      <c r="L188" s="119">
        <v>0</v>
      </c>
      <c r="M188" s="117" t="s">
        <v>2122</v>
      </c>
      <c r="N188" s="119">
        <v>0</v>
      </c>
      <c r="O188" s="118">
        <v>0</v>
      </c>
      <c r="P188" s="119">
        <v>0</v>
      </c>
      <c r="Q188" s="118">
        <v>0</v>
      </c>
      <c r="R188" s="1" t="s">
        <v>357</v>
      </c>
      <c r="S188" s="1" t="s">
        <v>2123</v>
      </c>
      <c r="T188" s="1" t="s">
        <v>373</v>
      </c>
      <c r="U188" s="1" t="s">
        <v>197</v>
      </c>
      <c r="V188" s="1" t="s">
        <v>357</v>
      </c>
      <c r="W188" s="1" t="s">
        <v>2123</v>
      </c>
      <c r="X188" s="1" t="s">
        <v>406</v>
      </c>
      <c r="Y188" s="1" t="s">
        <v>386</v>
      </c>
      <c r="Z188" s="1" t="s">
        <v>207</v>
      </c>
      <c r="AA188" s="1" t="s">
        <v>206</v>
      </c>
      <c r="AB188" s="1" t="s">
        <v>206</v>
      </c>
      <c r="AC188" s="1" t="s">
        <v>238</v>
      </c>
      <c r="AD188" s="1" t="s">
        <v>375</v>
      </c>
      <c r="AE188" s="1" t="s">
        <v>208</v>
      </c>
      <c r="AF188" s="1" t="s">
        <v>206</v>
      </c>
      <c r="AG188" s="1" t="s">
        <v>375</v>
      </c>
      <c r="AH188" s="1" t="s">
        <v>208</v>
      </c>
      <c r="AI188" s="120" t="s">
        <v>227</v>
      </c>
    </row>
    <row x14ac:dyDescent="0.25" r="189" customHeight="1" ht="17.25">
      <c r="A189" s="1" t="s">
        <v>2457</v>
      </c>
      <c r="B189" s="61" t="s">
        <v>2458</v>
      </c>
      <c r="C189" s="1" t="s">
        <v>82</v>
      </c>
      <c r="D189" s="1" t="s">
        <v>59</v>
      </c>
      <c r="E189" s="116" t="s">
        <v>2459</v>
      </c>
      <c r="F189" s="1" t="s">
        <v>158</v>
      </c>
      <c r="G189" s="1" t="s">
        <v>22</v>
      </c>
      <c r="H189" s="61">
        <v>31664</v>
      </c>
      <c r="I189" s="1" t="s">
        <v>176</v>
      </c>
      <c r="J189" s="1" t="s">
        <v>464</v>
      </c>
      <c r="K189" s="1" t="s">
        <v>366</v>
      </c>
      <c r="L189" s="119">
        <v>0</v>
      </c>
      <c r="M189" s="117" t="s">
        <v>2460</v>
      </c>
      <c r="N189" s="119">
        <v>0</v>
      </c>
      <c r="O189" s="118">
        <v>0</v>
      </c>
      <c r="P189" s="119">
        <v>0</v>
      </c>
      <c r="Q189" s="118">
        <v>0</v>
      </c>
      <c r="R189" s="1" t="s">
        <v>357</v>
      </c>
      <c r="S189" s="1" t="s">
        <v>206</v>
      </c>
      <c r="T189" s="1" t="s">
        <v>853</v>
      </c>
      <c r="U189" s="1" t="s">
        <v>200</v>
      </c>
      <c r="V189" s="1" t="s">
        <v>2285</v>
      </c>
      <c r="W189" s="1" t="s">
        <v>208</v>
      </c>
      <c r="X189" s="1" t="s">
        <v>208</v>
      </c>
      <c r="Y189" s="1" t="s">
        <v>208</v>
      </c>
      <c r="Z189" s="1" t="s">
        <v>208</v>
      </c>
      <c r="AA189" s="1" t="s">
        <v>208</v>
      </c>
      <c r="AB189" s="1" t="s">
        <v>208</v>
      </c>
      <c r="AC189" s="1" t="s">
        <v>208</v>
      </c>
      <c r="AD189" s="1" t="s">
        <v>208</v>
      </c>
      <c r="AE189" s="1" t="s">
        <v>206</v>
      </c>
      <c r="AF189" s="1" t="s">
        <v>208</v>
      </c>
      <c r="AG189" s="1" t="s">
        <v>208</v>
      </c>
      <c r="AH189" s="35" t="s">
        <v>208</v>
      </c>
      <c r="AI189" s="35" t="s">
        <v>208</v>
      </c>
    </row>
    <row x14ac:dyDescent="0.25" r="190" customHeight="1" ht="17.25">
      <c r="A190" s="1" t="s">
        <v>1764</v>
      </c>
      <c r="B190" s="61" t="s">
        <v>1765</v>
      </c>
      <c r="C190" s="1" t="s">
        <v>76</v>
      </c>
      <c r="D190" s="1" t="s">
        <v>60</v>
      </c>
      <c r="E190" s="116" t="s">
        <v>1766</v>
      </c>
      <c r="F190" s="1" t="s">
        <v>158</v>
      </c>
      <c r="G190" s="1" t="s">
        <v>22</v>
      </c>
      <c r="H190" s="61">
        <v>30958</v>
      </c>
      <c r="I190" s="1" t="s">
        <v>176</v>
      </c>
      <c r="J190" s="1" t="s">
        <v>464</v>
      </c>
      <c r="K190" s="1" t="s">
        <v>1767</v>
      </c>
      <c r="L190" s="117" t="s">
        <v>1768</v>
      </c>
      <c r="M190" s="117" t="s">
        <v>1769</v>
      </c>
      <c r="N190" s="119">
        <v>0</v>
      </c>
      <c r="O190" s="118">
        <v>0</v>
      </c>
      <c r="P190" s="119">
        <v>0</v>
      </c>
      <c r="Q190" s="118">
        <v>0</v>
      </c>
      <c r="R190" s="1" t="s">
        <v>357</v>
      </c>
      <c r="S190" s="1" t="s">
        <v>206</v>
      </c>
      <c r="T190" s="1" t="s">
        <v>1166</v>
      </c>
      <c r="U190" s="1" t="s">
        <v>197</v>
      </c>
      <c r="V190" s="1" t="s">
        <v>357</v>
      </c>
      <c r="W190" s="1" t="s">
        <v>208</v>
      </c>
      <c r="X190" s="1" t="s">
        <v>206</v>
      </c>
      <c r="Y190" s="1" t="s">
        <v>441</v>
      </c>
      <c r="Z190" s="1" t="s">
        <v>207</v>
      </c>
      <c r="AA190" s="1" t="s">
        <v>206</v>
      </c>
      <c r="AB190" s="1" t="s">
        <v>206</v>
      </c>
      <c r="AC190" s="1" t="s">
        <v>238</v>
      </c>
      <c r="AD190" s="1" t="s">
        <v>492</v>
      </c>
      <c r="AE190" s="1" t="s">
        <v>208</v>
      </c>
      <c r="AF190" s="1" t="s">
        <v>208</v>
      </c>
      <c r="AG190" s="1" t="s">
        <v>492</v>
      </c>
      <c r="AH190" s="1" t="s">
        <v>208</v>
      </c>
      <c r="AI190" s="120" t="s">
        <v>227</v>
      </c>
    </row>
    <row x14ac:dyDescent="0.25" r="191" customHeight="1" ht="17.25">
      <c r="A191" s="1" t="s">
        <v>993</v>
      </c>
      <c r="B191" s="61" t="s">
        <v>994</v>
      </c>
      <c r="C191" s="1" t="s">
        <v>76</v>
      </c>
      <c r="D191" s="1" t="s">
        <v>60</v>
      </c>
      <c r="E191" s="116" t="s">
        <v>995</v>
      </c>
      <c r="F191" s="1" t="s">
        <v>158</v>
      </c>
      <c r="G191" s="1" t="s">
        <v>22</v>
      </c>
      <c r="H191" s="61">
        <v>35590</v>
      </c>
      <c r="I191" s="1" t="s">
        <v>176</v>
      </c>
      <c r="J191" s="1" t="s">
        <v>365</v>
      </c>
      <c r="K191" s="1" t="s">
        <v>996</v>
      </c>
      <c r="L191" s="119">
        <v>0</v>
      </c>
      <c r="M191" s="117" t="s">
        <v>997</v>
      </c>
      <c r="N191" s="119">
        <v>0</v>
      </c>
      <c r="O191" s="118">
        <v>0</v>
      </c>
      <c r="P191" s="119">
        <v>0</v>
      </c>
      <c r="Q191" s="118">
        <v>0</v>
      </c>
      <c r="R191" s="1" t="s">
        <v>371</v>
      </c>
      <c r="S191" s="1" t="s">
        <v>206</v>
      </c>
      <c r="T191" s="1" t="s">
        <v>430</v>
      </c>
      <c r="U191" s="1" t="s">
        <v>198</v>
      </c>
      <c r="V191" s="1" t="s">
        <v>357</v>
      </c>
      <c r="W191" s="1" t="s">
        <v>208</v>
      </c>
      <c r="X191" s="1" t="s">
        <v>206</v>
      </c>
      <c r="Y191" s="1" t="s">
        <v>441</v>
      </c>
      <c r="Z191" s="1" t="s">
        <v>206</v>
      </c>
      <c r="AA191" s="1" t="s">
        <v>206</v>
      </c>
      <c r="AB191" s="1" t="s">
        <v>206</v>
      </c>
      <c r="AC191" s="1" t="s">
        <v>236</v>
      </c>
      <c r="AD191" s="1" t="s">
        <v>987</v>
      </c>
      <c r="AE191" s="1" t="s">
        <v>208</v>
      </c>
      <c r="AF191" s="1" t="s">
        <v>208</v>
      </c>
      <c r="AG191" s="1" t="s">
        <v>987</v>
      </c>
      <c r="AH191" s="1" t="s">
        <v>206</v>
      </c>
      <c r="AI191" s="120" t="s">
        <v>227</v>
      </c>
    </row>
    <row x14ac:dyDescent="0.25" r="192" customHeight="1" ht="17.25">
      <c r="A192" s="1" t="s">
        <v>993</v>
      </c>
      <c r="B192" s="61" t="s">
        <v>994</v>
      </c>
      <c r="C192" s="1" t="s">
        <v>76</v>
      </c>
      <c r="D192" s="1" t="s">
        <v>60</v>
      </c>
      <c r="E192" s="116" t="s">
        <v>998</v>
      </c>
      <c r="F192" s="1" t="s">
        <v>158</v>
      </c>
      <c r="G192" s="1" t="s">
        <v>22</v>
      </c>
      <c r="H192" s="61">
        <v>33050</v>
      </c>
      <c r="I192" s="1" t="s">
        <v>175</v>
      </c>
      <c r="J192" s="1" t="s">
        <v>365</v>
      </c>
      <c r="K192" s="1" t="s">
        <v>366</v>
      </c>
      <c r="L192" s="119">
        <v>0</v>
      </c>
      <c r="M192" s="117" t="s">
        <v>997</v>
      </c>
      <c r="N192" s="117" t="s">
        <v>999</v>
      </c>
      <c r="O192" s="118">
        <v>0</v>
      </c>
      <c r="P192" s="119">
        <v>0</v>
      </c>
      <c r="Q192" s="118">
        <v>0</v>
      </c>
      <c r="R192" s="1" t="s">
        <v>371</v>
      </c>
      <c r="S192" s="1" t="s">
        <v>206</v>
      </c>
      <c r="T192" s="1" t="s">
        <v>430</v>
      </c>
      <c r="U192" s="1" t="s">
        <v>198</v>
      </c>
      <c r="V192" s="1" t="s">
        <v>357</v>
      </c>
      <c r="W192" s="1" t="s">
        <v>208</v>
      </c>
      <c r="X192" s="1" t="s">
        <v>206</v>
      </c>
      <c r="Y192" s="1" t="s">
        <v>441</v>
      </c>
      <c r="Z192" s="1" t="s">
        <v>206</v>
      </c>
      <c r="AA192" s="1" t="s">
        <v>206</v>
      </c>
      <c r="AB192" s="1" t="s">
        <v>206</v>
      </c>
      <c r="AC192" s="1" t="s">
        <v>236</v>
      </c>
      <c r="AD192" s="1" t="s">
        <v>987</v>
      </c>
      <c r="AE192" s="1" t="s">
        <v>208</v>
      </c>
      <c r="AF192" s="1" t="s">
        <v>208</v>
      </c>
      <c r="AG192" s="1" t="s">
        <v>987</v>
      </c>
      <c r="AH192" s="1" t="s">
        <v>206</v>
      </c>
      <c r="AI192" s="120" t="s">
        <v>227</v>
      </c>
    </row>
    <row x14ac:dyDescent="0.25" r="193" customHeight="1" ht="17.25">
      <c r="A193" s="1" t="s">
        <v>993</v>
      </c>
      <c r="B193" s="61" t="s">
        <v>994</v>
      </c>
      <c r="C193" s="1" t="s">
        <v>76</v>
      </c>
      <c r="D193" s="1" t="s">
        <v>60</v>
      </c>
      <c r="E193" s="116" t="s">
        <v>2321</v>
      </c>
      <c r="F193" s="1" t="s">
        <v>158</v>
      </c>
      <c r="G193" s="1" t="s">
        <v>22</v>
      </c>
      <c r="H193" s="61">
        <v>33856</v>
      </c>
      <c r="I193" s="1" t="s">
        <v>175</v>
      </c>
      <c r="J193" s="1" t="s">
        <v>365</v>
      </c>
      <c r="K193" s="1" t="s">
        <v>366</v>
      </c>
      <c r="L193" s="119">
        <v>0</v>
      </c>
      <c r="M193" s="117" t="s">
        <v>2322</v>
      </c>
      <c r="N193" s="119">
        <v>0</v>
      </c>
      <c r="O193" s="118">
        <v>0</v>
      </c>
      <c r="P193" s="119">
        <v>0</v>
      </c>
      <c r="Q193" s="118">
        <v>0</v>
      </c>
      <c r="R193" s="1" t="s">
        <v>371</v>
      </c>
      <c r="S193" s="1" t="s">
        <v>206</v>
      </c>
      <c r="T193" s="1" t="s">
        <v>430</v>
      </c>
      <c r="U193" s="1" t="s">
        <v>200</v>
      </c>
      <c r="V193" s="1" t="s">
        <v>2285</v>
      </c>
      <c r="W193" s="1" t="s">
        <v>208</v>
      </c>
      <c r="X193" s="1" t="s">
        <v>208</v>
      </c>
      <c r="Y193" s="1" t="s">
        <v>208</v>
      </c>
      <c r="Z193" s="1" t="s">
        <v>208</v>
      </c>
      <c r="AA193" s="1" t="s">
        <v>208</v>
      </c>
      <c r="AB193" s="1" t="s">
        <v>208</v>
      </c>
      <c r="AC193" s="1" t="s">
        <v>208</v>
      </c>
      <c r="AD193" s="1" t="s">
        <v>208</v>
      </c>
      <c r="AE193" s="1" t="s">
        <v>206</v>
      </c>
      <c r="AF193" s="1" t="s">
        <v>208</v>
      </c>
      <c r="AG193" s="1" t="s">
        <v>208</v>
      </c>
      <c r="AH193" s="1" t="s">
        <v>208</v>
      </c>
      <c r="AI193" s="1" t="s">
        <v>208</v>
      </c>
    </row>
    <row x14ac:dyDescent="0.25" r="194" customHeight="1" ht="17.25">
      <c r="A194" s="1" t="s">
        <v>1809</v>
      </c>
      <c r="B194" s="61" t="s">
        <v>1810</v>
      </c>
      <c r="C194" s="1" t="s">
        <v>76</v>
      </c>
      <c r="D194" s="1" t="s">
        <v>60</v>
      </c>
      <c r="E194" s="116" t="s">
        <v>1811</v>
      </c>
      <c r="F194" s="1" t="s">
        <v>158</v>
      </c>
      <c r="G194" s="1" t="s">
        <v>22</v>
      </c>
      <c r="H194" s="61">
        <v>33719</v>
      </c>
      <c r="I194" s="1" t="s">
        <v>177</v>
      </c>
      <c r="J194" s="1" t="s">
        <v>354</v>
      </c>
      <c r="K194" s="1" t="s">
        <v>761</v>
      </c>
      <c r="L194" s="119">
        <v>0</v>
      </c>
      <c r="M194" s="119">
        <v>0</v>
      </c>
      <c r="N194" s="117" t="s">
        <v>1812</v>
      </c>
      <c r="O194" s="118">
        <v>0</v>
      </c>
      <c r="P194" s="119">
        <v>0</v>
      </c>
      <c r="Q194" s="118">
        <v>0</v>
      </c>
      <c r="R194" s="1" t="s">
        <v>357</v>
      </c>
      <c r="S194" s="1" t="s">
        <v>206</v>
      </c>
      <c r="T194" s="1" t="s">
        <v>1214</v>
      </c>
      <c r="U194" s="1" t="s">
        <v>197</v>
      </c>
      <c r="V194" s="1" t="s">
        <v>357</v>
      </c>
      <c r="W194" s="1" t="s">
        <v>208</v>
      </c>
      <c r="X194" s="1" t="s">
        <v>206</v>
      </c>
      <c r="Y194" s="1" t="s">
        <v>441</v>
      </c>
      <c r="Z194" s="1" t="s">
        <v>207</v>
      </c>
      <c r="AA194" s="1" t="s">
        <v>206</v>
      </c>
      <c r="AB194" s="1" t="s">
        <v>206</v>
      </c>
      <c r="AC194" s="1" t="s">
        <v>238</v>
      </c>
      <c r="AD194" s="1" t="s">
        <v>492</v>
      </c>
      <c r="AE194" s="1" t="s">
        <v>208</v>
      </c>
      <c r="AF194" s="1" t="s">
        <v>208</v>
      </c>
      <c r="AG194" s="1" t="s">
        <v>492</v>
      </c>
      <c r="AH194" s="1" t="s">
        <v>208</v>
      </c>
      <c r="AI194" s="120" t="s">
        <v>227</v>
      </c>
    </row>
    <row x14ac:dyDescent="0.25" r="195" customHeight="1" ht="17.25">
      <c r="A195" s="1" t="s">
        <v>1020</v>
      </c>
      <c r="B195" s="61" t="s">
        <v>1021</v>
      </c>
      <c r="C195" s="1" t="s">
        <v>127</v>
      </c>
      <c r="D195" s="1" t="s">
        <v>60</v>
      </c>
      <c r="E195" s="116" t="s">
        <v>1022</v>
      </c>
      <c r="F195" s="1" t="s">
        <v>158</v>
      </c>
      <c r="G195" s="1" t="s">
        <v>170</v>
      </c>
      <c r="H195" s="61">
        <v>31158</v>
      </c>
      <c r="I195" s="1" t="s">
        <v>175</v>
      </c>
      <c r="J195" s="1" t="s">
        <v>365</v>
      </c>
      <c r="K195" s="1" t="s">
        <v>1023</v>
      </c>
      <c r="L195" s="117" t="s">
        <v>1024</v>
      </c>
      <c r="M195" s="117" t="s">
        <v>1025</v>
      </c>
      <c r="N195" s="119">
        <v>0</v>
      </c>
      <c r="O195" s="118">
        <v>0</v>
      </c>
      <c r="P195" s="119">
        <v>0</v>
      </c>
      <c r="Q195" s="118">
        <v>0</v>
      </c>
      <c r="R195" s="1" t="s">
        <v>357</v>
      </c>
      <c r="S195" s="1" t="s">
        <v>206</v>
      </c>
      <c r="T195" s="1" t="s">
        <v>520</v>
      </c>
      <c r="U195" s="1" t="s">
        <v>197</v>
      </c>
      <c r="V195" s="1" t="s">
        <v>357</v>
      </c>
      <c r="W195" s="1" t="s">
        <v>208</v>
      </c>
      <c r="X195" s="1" t="s">
        <v>206</v>
      </c>
      <c r="Y195" s="1" t="s">
        <v>441</v>
      </c>
      <c r="Z195" s="1" t="s">
        <v>206</v>
      </c>
      <c r="AA195" s="1" t="s">
        <v>206</v>
      </c>
      <c r="AB195" s="1" t="s">
        <v>30</v>
      </c>
      <c r="AC195" s="1" t="s">
        <v>237</v>
      </c>
      <c r="AD195" s="1" t="s">
        <v>1026</v>
      </c>
      <c r="AE195" s="1" t="s">
        <v>208</v>
      </c>
      <c r="AF195" s="1" t="s">
        <v>208</v>
      </c>
      <c r="AG195" s="1" t="s">
        <v>1026</v>
      </c>
      <c r="AH195" s="1" t="s">
        <v>206</v>
      </c>
      <c r="AI195" s="1" t="s">
        <v>228</v>
      </c>
    </row>
    <row x14ac:dyDescent="0.25" r="196" customHeight="1" ht="17.25">
      <c r="A196" s="1" t="s">
        <v>2384</v>
      </c>
      <c r="B196" s="61" t="s">
        <v>2385</v>
      </c>
      <c r="C196" s="1" t="s">
        <v>76</v>
      </c>
      <c r="D196" s="1" t="s">
        <v>60</v>
      </c>
      <c r="E196" s="116" t="s">
        <v>2386</v>
      </c>
      <c r="F196" s="1" t="s">
        <v>158</v>
      </c>
      <c r="G196" s="1" t="s">
        <v>22</v>
      </c>
      <c r="H196" s="61">
        <v>29218</v>
      </c>
      <c r="I196" s="1" t="s">
        <v>175</v>
      </c>
      <c r="J196" s="1" t="s">
        <v>365</v>
      </c>
      <c r="K196" s="1" t="s">
        <v>445</v>
      </c>
      <c r="L196" s="119">
        <v>0</v>
      </c>
      <c r="M196" s="117" t="s">
        <v>2387</v>
      </c>
      <c r="N196" s="119">
        <v>0</v>
      </c>
      <c r="O196" s="118">
        <v>0</v>
      </c>
      <c r="P196" s="119">
        <v>0</v>
      </c>
      <c r="Q196" s="118">
        <v>0</v>
      </c>
      <c r="R196" s="1" t="s">
        <v>357</v>
      </c>
      <c r="S196" s="1" t="s">
        <v>206</v>
      </c>
      <c r="T196" s="1" t="s">
        <v>2299</v>
      </c>
      <c r="U196" s="1" t="s">
        <v>200</v>
      </c>
      <c r="V196" s="1" t="s">
        <v>2285</v>
      </c>
      <c r="W196" s="1" t="s">
        <v>208</v>
      </c>
      <c r="X196" s="1" t="s">
        <v>208</v>
      </c>
      <c r="Y196" s="1" t="s">
        <v>208</v>
      </c>
      <c r="Z196" s="1" t="s">
        <v>208</v>
      </c>
      <c r="AA196" s="1" t="s">
        <v>208</v>
      </c>
      <c r="AB196" s="1" t="s">
        <v>208</v>
      </c>
      <c r="AC196" s="1" t="s">
        <v>208</v>
      </c>
      <c r="AD196" s="1" t="s">
        <v>208</v>
      </c>
      <c r="AE196" s="1" t="s">
        <v>206</v>
      </c>
      <c r="AF196" s="1" t="s">
        <v>208</v>
      </c>
      <c r="AG196" s="1" t="s">
        <v>208</v>
      </c>
      <c r="AH196" s="1" t="s">
        <v>208</v>
      </c>
      <c r="AI196" s="1" t="s">
        <v>208</v>
      </c>
    </row>
    <row x14ac:dyDescent="0.25" r="197" customHeight="1" ht="17.25">
      <c r="A197" s="1" t="s">
        <v>982</v>
      </c>
      <c r="B197" s="61" t="s">
        <v>983</v>
      </c>
      <c r="C197" s="1" t="s">
        <v>76</v>
      </c>
      <c r="D197" s="1" t="s">
        <v>60</v>
      </c>
      <c r="E197" s="116" t="s">
        <v>984</v>
      </c>
      <c r="F197" s="1" t="s">
        <v>158</v>
      </c>
      <c r="G197" s="1" t="s">
        <v>22</v>
      </c>
      <c r="H197" s="61">
        <v>31401</v>
      </c>
      <c r="I197" s="1" t="s">
        <v>177</v>
      </c>
      <c r="J197" s="1" t="s">
        <v>365</v>
      </c>
      <c r="K197" s="1" t="s">
        <v>579</v>
      </c>
      <c r="L197" s="117" t="s">
        <v>985</v>
      </c>
      <c r="M197" s="119">
        <v>0</v>
      </c>
      <c r="N197" s="119">
        <v>0</v>
      </c>
      <c r="O197" s="118">
        <v>0</v>
      </c>
      <c r="P197" s="119">
        <v>0</v>
      </c>
      <c r="Q197" s="118">
        <v>0</v>
      </c>
      <c r="R197" s="1" t="s">
        <v>357</v>
      </c>
      <c r="S197" s="1" t="s">
        <v>206</v>
      </c>
      <c r="T197" s="1" t="s">
        <v>986</v>
      </c>
      <c r="U197" s="1" t="s">
        <v>197</v>
      </c>
      <c r="V197" s="1" t="s">
        <v>357</v>
      </c>
      <c r="W197" s="1" t="s">
        <v>208</v>
      </c>
      <c r="X197" s="1" t="s">
        <v>206</v>
      </c>
      <c r="Y197" s="1" t="s">
        <v>441</v>
      </c>
      <c r="Z197" s="1" t="s">
        <v>206</v>
      </c>
      <c r="AA197" s="1" t="s">
        <v>206</v>
      </c>
      <c r="AB197" s="1" t="s">
        <v>206</v>
      </c>
      <c r="AC197" s="1" t="s">
        <v>236</v>
      </c>
      <c r="AD197" s="1" t="s">
        <v>987</v>
      </c>
      <c r="AE197" s="1" t="s">
        <v>208</v>
      </c>
      <c r="AF197" s="1" t="s">
        <v>208</v>
      </c>
      <c r="AG197" s="1" t="s">
        <v>987</v>
      </c>
      <c r="AH197" s="1" t="s">
        <v>206</v>
      </c>
      <c r="AI197" s="120" t="s">
        <v>227</v>
      </c>
    </row>
    <row x14ac:dyDescent="0.25" r="198" customHeight="1" ht="17.25">
      <c r="A198" s="1" t="s">
        <v>988</v>
      </c>
      <c r="B198" s="61" t="s">
        <v>989</v>
      </c>
      <c r="C198" s="1" t="s">
        <v>76</v>
      </c>
      <c r="D198" s="1" t="s">
        <v>60</v>
      </c>
      <c r="E198" s="116" t="s">
        <v>990</v>
      </c>
      <c r="F198" s="1" t="s">
        <v>158</v>
      </c>
      <c r="G198" s="1" t="s">
        <v>22</v>
      </c>
      <c r="H198" s="61">
        <v>35667</v>
      </c>
      <c r="I198" s="1" t="s">
        <v>175</v>
      </c>
      <c r="J198" s="1" t="s">
        <v>365</v>
      </c>
      <c r="K198" s="1" t="s">
        <v>366</v>
      </c>
      <c r="L198" s="119">
        <v>0</v>
      </c>
      <c r="M198" s="117" t="s">
        <v>991</v>
      </c>
      <c r="N198" s="119">
        <v>0</v>
      </c>
      <c r="O198" s="118">
        <v>0</v>
      </c>
      <c r="P198" s="119">
        <v>0</v>
      </c>
      <c r="Q198" s="118">
        <v>0</v>
      </c>
      <c r="R198" s="1" t="s">
        <v>357</v>
      </c>
      <c r="S198" s="1" t="s">
        <v>206</v>
      </c>
      <c r="T198" s="1" t="s">
        <v>992</v>
      </c>
      <c r="U198" s="1" t="s">
        <v>197</v>
      </c>
      <c r="V198" s="1" t="s">
        <v>357</v>
      </c>
      <c r="W198" s="1" t="s">
        <v>208</v>
      </c>
      <c r="X198" s="1" t="s">
        <v>206</v>
      </c>
      <c r="Y198" s="1" t="s">
        <v>441</v>
      </c>
      <c r="Z198" s="1" t="s">
        <v>206</v>
      </c>
      <c r="AA198" s="1" t="s">
        <v>206</v>
      </c>
      <c r="AB198" s="1" t="s">
        <v>206</v>
      </c>
      <c r="AC198" s="1" t="s">
        <v>236</v>
      </c>
      <c r="AD198" s="1" t="s">
        <v>987</v>
      </c>
      <c r="AE198" s="1" t="s">
        <v>208</v>
      </c>
      <c r="AF198" s="1" t="s">
        <v>208</v>
      </c>
      <c r="AG198" s="1" t="s">
        <v>987</v>
      </c>
      <c r="AH198" s="1" t="s">
        <v>206</v>
      </c>
      <c r="AI198" s="120" t="s">
        <v>227</v>
      </c>
    </row>
    <row x14ac:dyDescent="0.25" r="199" customHeight="1" ht="17.25">
      <c r="A199" s="1" t="s">
        <v>1446</v>
      </c>
      <c r="B199" s="61" t="s">
        <v>1016</v>
      </c>
      <c r="C199" s="1" t="s">
        <v>127</v>
      </c>
      <c r="D199" s="1" t="s">
        <v>60</v>
      </c>
      <c r="E199" s="116" t="s">
        <v>1447</v>
      </c>
      <c r="F199" s="120" t="s">
        <v>160</v>
      </c>
      <c r="G199" s="1" t="s">
        <v>22</v>
      </c>
      <c r="H199" s="61">
        <v>32618</v>
      </c>
      <c r="I199" s="1" t="s">
        <v>176</v>
      </c>
      <c r="J199" s="1" t="s">
        <v>615</v>
      </c>
      <c r="K199" s="1" t="s">
        <v>1448</v>
      </c>
      <c r="L199" s="119">
        <v>0</v>
      </c>
      <c r="M199" s="117" t="s">
        <v>1449</v>
      </c>
      <c r="N199" s="119">
        <v>0</v>
      </c>
      <c r="O199" s="118">
        <v>0</v>
      </c>
      <c r="P199" s="119">
        <v>0</v>
      </c>
      <c r="Q199" s="118">
        <v>0</v>
      </c>
      <c r="R199" s="1" t="s">
        <v>357</v>
      </c>
      <c r="S199" s="1" t="s">
        <v>206</v>
      </c>
      <c r="T199" s="1" t="s">
        <v>476</v>
      </c>
      <c r="U199" s="1" t="s">
        <v>197</v>
      </c>
      <c r="V199" s="1" t="s">
        <v>357</v>
      </c>
      <c r="W199" s="1" t="s">
        <v>208</v>
      </c>
      <c r="X199" s="1" t="s">
        <v>206</v>
      </c>
      <c r="Y199" s="1" t="s">
        <v>441</v>
      </c>
      <c r="Z199" s="1" t="s">
        <v>206</v>
      </c>
      <c r="AA199" s="1" t="s">
        <v>206</v>
      </c>
      <c r="AB199" s="1" t="s">
        <v>206</v>
      </c>
      <c r="AC199" s="1" t="s">
        <v>206</v>
      </c>
      <c r="AD199" s="1" t="s">
        <v>441</v>
      </c>
      <c r="AE199" s="1" t="s">
        <v>208</v>
      </c>
      <c r="AF199" s="1" t="s">
        <v>208</v>
      </c>
      <c r="AG199" s="1" t="s">
        <v>441</v>
      </c>
      <c r="AH199" s="1" t="s">
        <v>208</v>
      </c>
      <c r="AI199" s="120" t="s">
        <v>227</v>
      </c>
    </row>
    <row x14ac:dyDescent="0.25" r="200" customHeight="1" ht="17.25">
      <c r="A200" s="1" t="s">
        <v>1870</v>
      </c>
      <c r="B200" s="61">
        <v>42769</v>
      </c>
      <c r="C200" s="1" t="s">
        <v>127</v>
      </c>
      <c r="D200" s="1" t="s">
        <v>60</v>
      </c>
      <c r="E200" s="116" t="s">
        <v>1871</v>
      </c>
      <c r="F200" s="1" t="s">
        <v>158</v>
      </c>
      <c r="G200" s="1" t="s">
        <v>22</v>
      </c>
      <c r="H200" s="61">
        <v>31634</v>
      </c>
      <c r="I200" s="1" t="s">
        <v>175</v>
      </c>
      <c r="J200" s="1" t="s">
        <v>464</v>
      </c>
      <c r="K200" s="1" t="s">
        <v>1872</v>
      </c>
      <c r="L200" s="117" t="s">
        <v>1873</v>
      </c>
      <c r="M200" s="117" t="s">
        <v>1874</v>
      </c>
      <c r="N200" s="117" t="s">
        <v>1875</v>
      </c>
      <c r="O200" s="118">
        <v>0</v>
      </c>
      <c r="P200" s="119">
        <v>0</v>
      </c>
      <c r="Q200" s="121" t="s">
        <v>1876</v>
      </c>
      <c r="R200" s="1" t="s">
        <v>357</v>
      </c>
      <c r="S200" s="1" t="s">
        <v>206</v>
      </c>
      <c r="T200" s="1" t="s">
        <v>1877</v>
      </c>
      <c r="U200" s="1" t="s">
        <v>197</v>
      </c>
      <c r="V200" s="1" t="s">
        <v>357</v>
      </c>
      <c r="W200" s="1" t="s">
        <v>208</v>
      </c>
      <c r="X200" s="1" t="s">
        <v>206</v>
      </c>
      <c r="Y200" s="1" t="s">
        <v>441</v>
      </c>
      <c r="Z200" s="1" t="s">
        <v>207</v>
      </c>
      <c r="AA200" s="1" t="s">
        <v>28</v>
      </c>
      <c r="AB200" s="1" t="s">
        <v>206</v>
      </c>
      <c r="AC200" s="1" t="s">
        <v>206</v>
      </c>
      <c r="AD200" s="1" t="s">
        <v>1102</v>
      </c>
      <c r="AE200" s="1" t="s">
        <v>208</v>
      </c>
      <c r="AF200" s="1" t="s">
        <v>208</v>
      </c>
      <c r="AG200" s="1" t="s">
        <v>1102</v>
      </c>
      <c r="AH200" s="1" t="s">
        <v>208</v>
      </c>
      <c r="AI200" s="120" t="s">
        <v>227</v>
      </c>
    </row>
    <row x14ac:dyDescent="0.25" r="201" customHeight="1" ht="17.25">
      <c r="A201" s="1" t="s">
        <v>434</v>
      </c>
      <c r="B201" s="61" t="s">
        <v>435</v>
      </c>
      <c r="C201" s="1" t="s">
        <v>76</v>
      </c>
      <c r="D201" s="1" t="s">
        <v>60</v>
      </c>
      <c r="E201" s="116" t="s">
        <v>436</v>
      </c>
      <c r="F201" s="1" t="s">
        <v>158</v>
      </c>
      <c r="G201" s="1" t="s">
        <v>22</v>
      </c>
      <c r="H201" s="61">
        <v>32304</v>
      </c>
      <c r="I201" s="1" t="s">
        <v>175</v>
      </c>
      <c r="J201" s="1" t="s">
        <v>365</v>
      </c>
      <c r="K201" s="1" t="s">
        <v>437</v>
      </c>
      <c r="L201" s="117" t="s">
        <v>438</v>
      </c>
      <c r="M201" s="117" t="s">
        <v>439</v>
      </c>
      <c r="N201" s="119">
        <v>0</v>
      </c>
      <c r="O201" s="118">
        <v>0</v>
      </c>
      <c r="P201" s="119">
        <v>0</v>
      </c>
      <c r="Q201" s="118">
        <v>0</v>
      </c>
      <c r="R201" s="1" t="s">
        <v>357</v>
      </c>
      <c r="S201" s="1" t="s">
        <v>206</v>
      </c>
      <c r="T201" s="1" t="s">
        <v>440</v>
      </c>
      <c r="U201" s="1" t="s">
        <v>197</v>
      </c>
      <c r="V201" s="1" t="s">
        <v>357</v>
      </c>
      <c r="W201" s="1" t="s">
        <v>208</v>
      </c>
      <c r="X201" s="1" t="s">
        <v>206</v>
      </c>
      <c r="Y201" s="1" t="s">
        <v>441</v>
      </c>
      <c r="Z201" s="1" t="s">
        <v>206</v>
      </c>
      <c r="AA201" s="1" t="s">
        <v>206</v>
      </c>
      <c r="AB201" s="1" t="s">
        <v>30</v>
      </c>
      <c r="AC201" s="1" t="s">
        <v>236</v>
      </c>
      <c r="AD201" s="1" t="s">
        <v>433</v>
      </c>
      <c r="AE201" s="1" t="s">
        <v>208</v>
      </c>
      <c r="AF201" s="1" t="s">
        <v>208</v>
      </c>
      <c r="AG201" s="1" t="s">
        <v>433</v>
      </c>
      <c r="AH201" s="1" t="s">
        <v>206</v>
      </c>
      <c r="AI201" s="120" t="s">
        <v>227</v>
      </c>
    </row>
    <row x14ac:dyDescent="0.25" r="202" customHeight="1" ht="17.25">
      <c r="A202" s="1" t="s">
        <v>784</v>
      </c>
      <c r="B202" s="61" t="s">
        <v>352</v>
      </c>
      <c r="C202" s="1" t="s">
        <v>76</v>
      </c>
      <c r="D202" s="1" t="s">
        <v>60</v>
      </c>
      <c r="E202" s="116" t="s">
        <v>788</v>
      </c>
      <c r="F202" s="1" t="s">
        <v>158</v>
      </c>
      <c r="G202" s="1" t="s">
        <v>22</v>
      </c>
      <c r="H202" s="61">
        <v>35594</v>
      </c>
      <c r="I202" s="1" t="s">
        <v>176</v>
      </c>
      <c r="J202" s="1" t="s">
        <v>365</v>
      </c>
      <c r="K202" s="1" t="s">
        <v>786</v>
      </c>
      <c r="L202" s="119">
        <v>0</v>
      </c>
      <c r="M202" s="117" t="s">
        <v>787</v>
      </c>
      <c r="N202" s="119">
        <v>0</v>
      </c>
      <c r="O202" s="118">
        <v>0</v>
      </c>
      <c r="P202" s="119">
        <v>0</v>
      </c>
      <c r="Q202" s="118">
        <v>0</v>
      </c>
      <c r="R202" s="1" t="s">
        <v>371</v>
      </c>
      <c r="S202" s="1" t="s">
        <v>206</v>
      </c>
      <c r="T202" s="1" t="s">
        <v>770</v>
      </c>
      <c r="U202" s="1" t="s">
        <v>198</v>
      </c>
      <c r="V202" s="1" t="s">
        <v>357</v>
      </c>
      <c r="W202" s="1" t="s">
        <v>208</v>
      </c>
      <c r="X202" s="1" t="s">
        <v>206</v>
      </c>
      <c r="Y202" s="1" t="s">
        <v>441</v>
      </c>
      <c r="Z202" s="1" t="s">
        <v>206</v>
      </c>
      <c r="AA202" s="1" t="s">
        <v>206</v>
      </c>
      <c r="AB202" s="1" t="s">
        <v>206</v>
      </c>
      <c r="AC202" s="1" t="s">
        <v>236</v>
      </c>
      <c r="AD202" s="1" t="s">
        <v>497</v>
      </c>
      <c r="AE202" s="1" t="s">
        <v>208</v>
      </c>
      <c r="AF202" s="1" t="s">
        <v>208</v>
      </c>
      <c r="AG202" s="1" t="s">
        <v>497</v>
      </c>
      <c r="AH202" s="1" t="s">
        <v>206</v>
      </c>
      <c r="AI202" s="120" t="s">
        <v>227</v>
      </c>
    </row>
    <row x14ac:dyDescent="0.25" r="203" customHeight="1" ht="17.25">
      <c r="A203" s="1" t="s">
        <v>784</v>
      </c>
      <c r="B203" s="61" t="s">
        <v>352</v>
      </c>
      <c r="C203" s="1" t="s">
        <v>76</v>
      </c>
      <c r="D203" s="1" t="s">
        <v>60</v>
      </c>
      <c r="E203" s="116" t="s">
        <v>785</v>
      </c>
      <c r="F203" s="1" t="s">
        <v>158</v>
      </c>
      <c r="G203" s="1" t="s">
        <v>22</v>
      </c>
      <c r="H203" s="61">
        <v>36181</v>
      </c>
      <c r="I203" s="1" t="s">
        <v>176</v>
      </c>
      <c r="J203" s="1" t="s">
        <v>365</v>
      </c>
      <c r="K203" s="1" t="s">
        <v>786</v>
      </c>
      <c r="L203" s="119">
        <v>0</v>
      </c>
      <c r="M203" s="117" t="s">
        <v>787</v>
      </c>
      <c r="N203" s="119">
        <v>0</v>
      </c>
      <c r="O203" s="118">
        <v>0</v>
      </c>
      <c r="P203" s="119">
        <v>0</v>
      </c>
      <c r="Q203" s="118">
        <v>0</v>
      </c>
      <c r="R203" s="1" t="s">
        <v>371</v>
      </c>
      <c r="S203" s="1" t="s">
        <v>206</v>
      </c>
      <c r="T203" s="1" t="s">
        <v>770</v>
      </c>
      <c r="U203" s="1" t="s">
        <v>198</v>
      </c>
      <c r="V203" s="1" t="s">
        <v>357</v>
      </c>
      <c r="W203" s="1" t="s">
        <v>208</v>
      </c>
      <c r="X203" s="1" t="s">
        <v>206</v>
      </c>
      <c r="Y203" s="1" t="s">
        <v>441</v>
      </c>
      <c r="Z203" s="1" t="s">
        <v>206</v>
      </c>
      <c r="AA203" s="1" t="s">
        <v>206</v>
      </c>
      <c r="AB203" s="1" t="s">
        <v>206</v>
      </c>
      <c r="AC203" s="1" t="s">
        <v>236</v>
      </c>
      <c r="AD203" s="1" t="s">
        <v>497</v>
      </c>
      <c r="AE203" s="1" t="s">
        <v>208</v>
      </c>
      <c r="AF203" s="1" t="s">
        <v>208</v>
      </c>
      <c r="AG203" s="1" t="s">
        <v>497</v>
      </c>
      <c r="AH203" s="1" t="s">
        <v>206</v>
      </c>
      <c r="AI203" s="120" t="s">
        <v>227</v>
      </c>
    </row>
    <row x14ac:dyDescent="0.25" r="204" customHeight="1" ht="17.25">
      <c r="A204" s="1" t="s">
        <v>1694</v>
      </c>
      <c r="B204" s="61" t="s">
        <v>1503</v>
      </c>
      <c r="C204" s="1" t="s">
        <v>76</v>
      </c>
      <c r="D204" s="1" t="s">
        <v>60</v>
      </c>
      <c r="E204" s="116" t="s">
        <v>1695</v>
      </c>
      <c r="F204" s="1" t="s">
        <v>158</v>
      </c>
      <c r="G204" s="1" t="s">
        <v>22</v>
      </c>
      <c r="H204" s="61">
        <v>32759</v>
      </c>
      <c r="I204" s="1" t="s">
        <v>176</v>
      </c>
      <c r="J204" s="1" t="s">
        <v>615</v>
      </c>
      <c r="K204" s="1" t="s">
        <v>1696</v>
      </c>
      <c r="L204" s="119">
        <v>0</v>
      </c>
      <c r="M204" s="117" t="s">
        <v>1697</v>
      </c>
      <c r="N204" s="119">
        <v>0</v>
      </c>
      <c r="O204" s="118">
        <v>0</v>
      </c>
      <c r="P204" s="119">
        <v>0</v>
      </c>
      <c r="Q204" s="118">
        <v>0</v>
      </c>
      <c r="R204" s="1" t="s">
        <v>357</v>
      </c>
      <c r="S204" s="1" t="s">
        <v>206</v>
      </c>
      <c r="T204" s="1" t="s">
        <v>626</v>
      </c>
      <c r="U204" s="1" t="s">
        <v>197</v>
      </c>
      <c r="V204" s="1" t="s">
        <v>357</v>
      </c>
      <c r="W204" s="1" t="s">
        <v>208</v>
      </c>
      <c r="X204" s="1" t="s">
        <v>206</v>
      </c>
      <c r="Y204" s="1" t="s">
        <v>441</v>
      </c>
      <c r="Z204" s="1" t="s">
        <v>207</v>
      </c>
      <c r="AA204" s="1" t="s">
        <v>206</v>
      </c>
      <c r="AB204" s="1" t="s">
        <v>206</v>
      </c>
      <c r="AC204" s="1" t="s">
        <v>238</v>
      </c>
      <c r="AD204" s="1" t="s">
        <v>492</v>
      </c>
      <c r="AE204" s="1" t="s">
        <v>208</v>
      </c>
      <c r="AF204" s="1" t="s">
        <v>208</v>
      </c>
      <c r="AG204" s="1" t="s">
        <v>492</v>
      </c>
      <c r="AH204" s="1" t="s">
        <v>208</v>
      </c>
      <c r="AI204" s="120" t="s">
        <v>227</v>
      </c>
    </row>
    <row x14ac:dyDescent="0.25" r="205" customHeight="1" ht="17.25">
      <c r="A205" s="120" t="s">
        <v>1888</v>
      </c>
      <c r="B205" s="61">
        <v>43379</v>
      </c>
      <c r="C205" s="1" t="s">
        <v>91</v>
      </c>
      <c r="D205" s="120" t="s">
        <v>61</v>
      </c>
      <c r="E205" s="1" t="s">
        <v>1889</v>
      </c>
      <c r="F205" s="1" t="s">
        <v>158</v>
      </c>
      <c r="G205" s="120" t="s">
        <v>22</v>
      </c>
      <c r="H205" s="61">
        <v>32681</v>
      </c>
      <c r="I205" s="120" t="s">
        <v>175</v>
      </c>
      <c r="J205" s="120" t="s">
        <v>517</v>
      </c>
      <c r="K205" s="120" t="s">
        <v>1890</v>
      </c>
      <c r="L205" s="117" t="s">
        <v>1891</v>
      </c>
      <c r="M205" s="119">
        <v>0</v>
      </c>
      <c r="N205" s="119">
        <v>0</v>
      </c>
      <c r="O205" s="118">
        <v>0</v>
      </c>
      <c r="P205" s="119">
        <v>0</v>
      </c>
      <c r="Q205" s="118">
        <v>0</v>
      </c>
      <c r="R205" s="1" t="s">
        <v>357</v>
      </c>
      <c r="S205" s="120" t="s">
        <v>206</v>
      </c>
      <c r="T205" s="120" t="s">
        <v>1480</v>
      </c>
      <c r="U205" s="120" t="s">
        <v>197</v>
      </c>
      <c r="V205" s="1" t="s">
        <v>357</v>
      </c>
      <c r="W205" s="120" t="s">
        <v>208</v>
      </c>
      <c r="X205" s="120" t="s">
        <v>1892</v>
      </c>
      <c r="Y205" s="120" t="s">
        <v>386</v>
      </c>
      <c r="Z205" s="120" t="s">
        <v>206</v>
      </c>
      <c r="AA205" s="120" t="s">
        <v>206</v>
      </c>
      <c r="AB205" s="120" t="s">
        <v>206</v>
      </c>
      <c r="AC205" s="1" t="s">
        <v>206</v>
      </c>
      <c r="AD205" s="120" t="s">
        <v>386</v>
      </c>
      <c r="AE205" s="120" t="s">
        <v>208</v>
      </c>
      <c r="AF205" s="120" t="s">
        <v>208</v>
      </c>
      <c r="AG205" s="120" t="s">
        <v>386</v>
      </c>
      <c r="AH205" s="1" t="s">
        <v>208</v>
      </c>
      <c r="AI205" s="120" t="s">
        <v>227</v>
      </c>
    </row>
    <row x14ac:dyDescent="0.25" r="206" customHeight="1" ht="17.25">
      <c r="A206" s="120" t="s">
        <v>2503</v>
      </c>
      <c r="B206" s="61">
        <v>42921</v>
      </c>
      <c r="C206" s="1" t="s">
        <v>112</v>
      </c>
      <c r="D206" s="120" t="s">
        <v>61</v>
      </c>
      <c r="E206" s="1" t="s">
        <v>2504</v>
      </c>
      <c r="F206" s="1" t="s">
        <v>158</v>
      </c>
      <c r="G206" s="120" t="s">
        <v>170</v>
      </c>
      <c r="H206" s="61">
        <v>21778</v>
      </c>
      <c r="I206" s="120" t="s">
        <v>175</v>
      </c>
      <c r="J206" s="120" t="s">
        <v>354</v>
      </c>
      <c r="K206" s="120" t="s">
        <v>773</v>
      </c>
      <c r="L206" s="119">
        <v>0</v>
      </c>
      <c r="M206" s="119">
        <v>0</v>
      </c>
      <c r="N206" s="117" t="s">
        <v>2505</v>
      </c>
      <c r="O206" s="118">
        <v>0</v>
      </c>
      <c r="P206" s="119">
        <v>0</v>
      </c>
      <c r="Q206" s="118">
        <v>0</v>
      </c>
      <c r="R206" s="1" t="s">
        <v>357</v>
      </c>
      <c r="S206" s="120" t="s">
        <v>206</v>
      </c>
      <c r="T206" s="120" t="s">
        <v>776</v>
      </c>
      <c r="U206" s="120" t="s">
        <v>200</v>
      </c>
      <c r="V206" s="120" t="s">
        <v>2285</v>
      </c>
      <c r="W206" s="120" t="s">
        <v>208</v>
      </c>
      <c r="X206" s="120" t="s">
        <v>208</v>
      </c>
      <c r="Y206" s="120" t="s">
        <v>208</v>
      </c>
      <c r="Z206" s="120" t="s">
        <v>208</v>
      </c>
      <c r="AA206" s="120" t="s">
        <v>208</v>
      </c>
      <c r="AB206" s="120" t="s">
        <v>208</v>
      </c>
      <c r="AC206" s="1" t="s">
        <v>208</v>
      </c>
      <c r="AD206" s="120" t="s">
        <v>208</v>
      </c>
      <c r="AE206" s="1" t="s">
        <v>206</v>
      </c>
      <c r="AF206" s="120" t="s">
        <v>208</v>
      </c>
      <c r="AG206" s="120" t="s">
        <v>208</v>
      </c>
      <c r="AH206" s="120" t="s">
        <v>208</v>
      </c>
      <c r="AI206" s="120" t="s">
        <v>208</v>
      </c>
    </row>
    <row x14ac:dyDescent="0.25" r="207" customHeight="1" ht="17.25">
      <c r="A207" s="120" t="s">
        <v>1350</v>
      </c>
      <c r="B207" s="61">
        <v>42955</v>
      </c>
      <c r="C207" s="1" t="s">
        <v>91</v>
      </c>
      <c r="D207" s="120" t="s">
        <v>61</v>
      </c>
      <c r="E207" s="1" t="s">
        <v>1354</v>
      </c>
      <c r="F207" s="1" t="s">
        <v>158</v>
      </c>
      <c r="G207" s="120" t="s">
        <v>22</v>
      </c>
      <c r="H207" s="61">
        <v>33715</v>
      </c>
      <c r="I207" s="120" t="s">
        <v>175</v>
      </c>
      <c r="J207" s="120" t="s">
        <v>354</v>
      </c>
      <c r="K207" s="120" t="s">
        <v>1355</v>
      </c>
      <c r="L207" s="117" t="s">
        <v>1353</v>
      </c>
      <c r="M207" s="119">
        <v>0</v>
      </c>
      <c r="N207" s="119">
        <v>0</v>
      </c>
      <c r="O207" s="118">
        <v>0</v>
      </c>
      <c r="P207" s="119">
        <v>0</v>
      </c>
      <c r="Q207" s="118">
        <v>0</v>
      </c>
      <c r="R207" s="1" t="s">
        <v>357</v>
      </c>
      <c r="S207" s="120" t="s">
        <v>674</v>
      </c>
      <c r="T207" s="120" t="s">
        <v>1356</v>
      </c>
      <c r="U207" s="120" t="s">
        <v>197</v>
      </c>
      <c r="V207" s="1" t="s">
        <v>357</v>
      </c>
      <c r="W207" s="120" t="s">
        <v>674</v>
      </c>
      <c r="X207" s="120" t="s">
        <v>206</v>
      </c>
      <c r="Y207" s="120" t="s">
        <v>441</v>
      </c>
      <c r="Z207" s="120" t="s">
        <v>206</v>
      </c>
      <c r="AA207" s="120" t="s">
        <v>206</v>
      </c>
      <c r="AB207" s="120" t="s">
        <v>206</v>
      </c>
      <c r="AC207" s="1" t="s">
        <v>206</v>
      </c>
      <c r="AD207" s="120" t="s">
        <v>441</v>
      </c>
      <c r="AE207" s="120" t="s">
        <v>208</v>
      </c>
      <c r="AF207" s="120" t="s">
        <v>661</v>
      </c>
      <c r="AG207" s="120" t="s">
        <v>375</v>
      </c>
      <c r="AH207" s="1" t="s">
        <v>208</v>
      </c>
      <c r="AI207" s="120" t="s">
        <v>227</v>
      </c>
    </row>
    <row x14ac:dyDescent="0.25" r="208" customHeight="1" ht="17.25">
      <c r="A208" s="120" t="s">
        <v>1350</v>
      </c>
      <c r="B208" s="61">
        <v>42955</v>
      </c>
      <c r="C208" s="1" t="s">
        <v>91</v>
      </c>
      <c r="D208" s="120" t="s">
        <v>61</v>
      </c>
      <c r="E208" s="1" t="s">
        <v>1357</v>
      </c>
      <c r="F208" s="1" t="s">
        <v>158</v>
      </c>
      <c r="G208" s="120" t="s">
        <v>22</v>
      </c>
      <c r="H208" s="61">
        <v>34376</v>
      </c>
      <c r="I208" s="120" t="s">
        <v>175</v>
      </c>
      <c r="J208" s="120" t="s">
        <v>354</v>
      </c>
      <c r="K208" s="120" t="s">
        <v>1358</v>
      </c>
      <c r="L208" s="117" t="s">
        <v>1353</v>
      </c>
      <c r="M208" s="119">
        <v>0</v>
      </c>
      <c r="N208" s="119">
        <v>0</v>
      </c>
      <c r="O208" s="118">
        <v>0</v>
      </c>
      <c r="P208" s="119">
        <v>0</v>
      </c>
      <c r="Q208" s="118">
        <v>0</v>
      </c>
      <c r="R208" s="1" t="s">
        <v>357</v>
      </c>
      <c r="S208" s="120" t="s">
        <v>674</v>
      </c>
      <c r="T208" s="120" t="s">
        <v>1356</v>
      </c>
      <c r="U208" s="120" t="s">
        <v>197</v>
      </c>
      <c r="V208" s="1" t="s">
        <v>357</v>
      </c>
      <c r="W208" s="120" t="s">
        <v>674</v>
      </c>
      <c r="X208" s="120" t="s">
        <v>206</v>
      </c>
      <c r="Y208" s="120" t="s">
        <v>441</v>
      </c>
      <c r="Z208" s="1" t="s">
        <v>207</v>
      </c>
      <c r="AA208" s="1" t="s">
        <v>28</v>
      </c>
      <c r="AB208" s="120" t="s">
        <v>206</v>
      </c>
      <c r="AC208" s="1" t="s">
        <v>206</v>
      </c>
      <c r="AD208" s="120" t="s">
        <v>441</v>
      </c>
      <c r="AE208" s="120" t="s">
        <v>208</v>
      </c>
      <c r="AF208" s="120" t="s">
        <v>661</v>
      </c>
      <c r="AG208" s="120" t="s">
        <v>375</v>
      </c>
      <c r="AH208" s="1" t="s">
        <v>208</v>
      </c>
      <c r="AI208" s="120" t="s">
        <v>227</v>
      </c>
    </row>
    <row x14ac:dyDescent="0.25" r="209" customHeight="1" ht="17.25">
      <c r="A209" s="120" t="s">
        <v>1350</v>
      </c>
      <c r="B209" s="61">
        <v>42955</v>
      </c>
      <c r="C209" s="1" t="s">
        <v>91</v>
      </c>
      <c r="D209" s="120" t="s">
        <v>61</v>
      </c>
      <c r="E209" s="1" t="s">
        <v>1351</v>
      </c>
      <c r="F209" s="1" t="s">
        <v>158</v>
      </c>
      <c r="G209" s="120" t="s">
        <v>170</v>
      </c>
      <c r="H209" s="61">
        <v>34076</v>
      </c>
      <c r="I209" s="120" t="s">
        <v>176</v>
      </c>
      <c r="J209" s="120" t="s">
        <v>464</v>
      </c>
      <c r="K209" s="120" t="s">
        <v>1352</v>
      </c>
      <c r="L209" s="117" t="s">
        <v>1353</v>
      </c>
      <c r="M209" s="119">
        <v>0</v>
      </c>
      <c r="N209" s="119">
        <v>0</v>
      </c>
      <c r="O209" s="118">
        <v>0</v>
      </c>
      <c r="P209" s="119">
        <v>0</v>
      </c>
      <c r="Q209" s="118">
        <v>0</v>
      </c>
      <c r="R209" s="1" t="s">
        <v>357</v>
      </c>
      <c r="S209" s="120" t="s">
        <v>674</v>
      </c>
      <c r="T209" s="120" t="s">
        <v>405</v>
      </c>
      <c r="U209" s="120" t="s">
        <v>197</v>
      </c>
      <c r="V209" s="1" t="s">
        <v>357</v>
      </c>
      <c r="W209" s="120" t="s">
        <v>674</v>
      </c>
      <c r="X209" s="120" t="s">
        <v>206</v>
      </c>
      <c r="Y209" s="120" t="s">
        <v>441</v>
      </c>
      <c r="Z209" s="120" t="s">
        <v>206</v>
      </c>
      <c r="AA209" s="120" t="s">
        <v>206</v>
      </c>
      <c r="AB209" s="120" t="s">
        <v>206</v>
      </c>
      <c r="AC209" s="1" t="s">
        <v>206</v>
      </c>
      <c r="AD209" s="120" t="s">
        <v>441</v>
      </c>
      <c r="AE209" s="120" t="s">
        <v>208</v>
      </c>
      <c r="AF209" s="120" t="s">
        <v>661</v>
      </c>
      <c r="AG209" s="120" t="s">
        <v>375</v>
      </c>
      <c r="AH209" s="1" t="s">
        <v>208</v>
      </c>
      <c r="AI209" s="120" t="s">
        <v>227</v>
      </c>
    </row>
    <row x14ac:dyDescent="0.25" r="210" customHeight="1" ht="17.25">
      <c r="A210" s="120" t="s">
        <v>2168</v>
      </c>
      <c r="B210" s="61">
        <v>42832</v>
      </c>
      <c r="C210" s="1" t="s">
        <v>91</v>
      </c>
      <c r="D210" s="120" t="s">
        <v>61</v>
      </c>
      <c r="E210" s="1" t="s">
        <v>2169</v>
      </c>
      <c r="F210" s="1" t="s">
        <v>158</v>
      </c>
      <c r="G210" s="120" t="s">
        <v>22</v>
      </c>
      <c r="H210" s="61">
        <v>31672</v>
      </c>
      <c r="I210" s="120" t="s">
        <v>175</v>
      </c>
      <c r="J210" s="120" t="s">
        <v>365</v>
      </c>
      <c r="K210" s="120" t="s">
        <v>2170</v>
      </c>
      <c r="L210" s="117" t="s">
        <v>2171</v>
      </c>
      <c r="M210" s="117" t="s">
        <v>2172</v>
      </c>
      <c r="N210" s="117" t="s">
        <v>2173</v>
      </c>
      <c r="O210" s="118">
        <v>0</v>
      </c>
      <c r="P210" s="119">
        <v>0</v>
      </c>
      <c r="Q210" s="118">
        <v>0</v>
      </c>
      <c r="R210" s="1" t="s">
        <v>357</v>
      </c>
      <c r="S210" s="120" t="s">
        <v>206</v>
      </c>
      <c r="T210" s="120" t="s">
        <v>2174</v>
      </c>
      <c r="U210" s="120" t="s">
        <v>197</v>
      </c>
      <c r="V210" s="1" t="s">
        <v>357</v>
      </c>
      <c r="W210" s="120" t="s">
        <v>208</v>
      </c>
      <c r="X210" s="1" t="s">
        <v>847</v>
      </c>
      <c r="Y210" s="120" t="s">
        <v>386</v>
      </c>
      <c r="Z210" s="1" t="s">
        <v>207</v>
      </c>
      <c r="AA210" s="120" t="s">
        <v>206</v>
      </c>
      <c r="AB210" s="120" t="s">
        <v>206</v>
      </c>
      <c r="AC210" s="1" t="s">
        <v>206</v>
      </c>
      <c r="AD210" s="120" t="s">
        <v>375</v>
      </c>
      <c r="AE210" s="120" t="s">
        <v>208</v>
      </c>
      <c r="AF210" s="120" t="s">
        <v>208</v>
      </c>
      <c r="AG210" s="120" t="s">
        <v>375</v>
      </c>
      <c r="AH210" s="1" t="s">
        <v>208</v>
      </c>
      <c r="AI210" s="120" t="s">
        <v>227</v>
      </c>
    </row>
    <row x14ac:dyDescent="0.25" r="211" customHeight="1" ht="17.25">
      <c r="A211" s="120" t="s">
        <v>1369</v>
      </c>
      <c r="B211" s="122">
        <v>43061</v>
      </c>
      <c r="C211" s="1" t="s">
        <v>94</v>
      </c>
      <c r="D211" s="120" t="s">
        <v>61</v>
      </c>
      <c r="E211" s="1" t="s">
        <v>1370</v>
      </c>
      <c r="F211" s="1" t="s">
        <v>158</v>
      </c>
      <c r="G211" s="120" t="s">
        <v>22</v>
      </c>
      <c r="H211" s="61">
        <v>35577</v>
      </c>
      <c r="I211" s="120" t="s">
        <v>175</v>
      </c>
      <c r="J211" s="120" t="s">
        <v>354</v>
      </c>
      <c r="K211" s="120" t="s">
        <v>1371</v>
      </c>
      <c r="L211" s="117" t="s">
        <v>1372</v>
      </c>
      <c r="M211" s="119">
        <v>0</v>
      </c>
      <c r="N211" s="119">
        <v>0</v>
      </c>
      <c r="O211" s="118">
        <v>0</v>
      </c>
      <c r="P211" s="119">
        <v>0</v>
      </c>
      <c r="Q211" s="118">
        <v>0</v>
      </c>
      <c r="R211" s="1" t="s">
        <v>357</v>
      </c>
      <c r="S211" s="120" t="s">
        <v>206</v>
      </c>
      <c r="T211" s="120" t="s">
        <v>1373</v>
      </c>
      <c r="U211" s="120" t="s">
        <v>197</v>
      </c>
      <c r="V211" s="1" t="s">
        <v>357</v>
      </c>
      <c r="W211" s="120" t="s">
        <v>208</v>
      </c>
      <c r="X211" s="120" t="s">
        <v>406</v>
      </c>
      <c r="Y211" s="120" t="s">
        <v>1374</v>
      </c>
      <c r="Z211" s="120" t="s">
        <v>206</v>
      </c>
      <c r="AA211" s="120" t="s">
        <v>212</v>
      </c>
      <c r="AB211" s="120" t="s">
        <v>206</v>
      </c>
      <c r="AC211" s="1" t="s">
        <v>206</v>
      </c>
      <c r="AD211" s="120" t="s">
        <v>441</v>
      </c>
      <c r="AE211" s="120" t="s">
        <v>208</v>
      </c>
      <c r="AF211" s="120" t="s">
        <v>208</v>
      </c>
      <c r="AG211" s="120" t="s">
        <v>441</v>
      </c>
      <c r="AH211" s="1" t="s">
        <v>208</v>
      </c>
      <c r="AI211" s="120" t="s">
        <v>227</v>
      </c>
    </row>
    <row x14ac:dyDescent="0.25" r="212" customHeight="1" ht="17.25">
      <c r="A212" s="120" t="s">
        <v>1996</v>
      </c>
      <c r="B212" s="61">
        <v>42979</v>
      </c>
      <c r="C212" s="1" t="s">
        <v>80</v>
      </c>
      <c r="D212" s="120" t="s">
        <v>61</v>
      </c>
      <c r="E212" s="1" t="s">
        <v>1997</v>
      </c>
      <c r="F212" s="1" t="s">
        <v>158</v>
      </c>
      <c r="G212" s="120" t="s">
        <v>22</v>
      </c>
      <c r="H212" s="122">
        <v>32870</v>
      </c>
      <c r="I212" s="120" t="s">
        <v>177</v>
      </c>
      <c r="J212" s="120" t="s">
        <v>365</v>
      </c>
      <c r="K212" s="120" t="s">
        <v>1998</v>
      </c>
      <c r="L212" s="117" t="s">
        <v>1999</v>
      </c>
      <c r="M212" s="117" t="s">
        <v>2000</v>
      </c>
      <c r="N212" s="119">
        <v>0</v>
      </c>
      <c r="O212" s="119">
        <v>0</v>
      </c>
      <c r="P212" s="119">
        <v>0</v>
      </c>
      <c r="Q212" s="119">
        <v>0</v>
      </c>
      <c r="R212" s="1" t="s">
        <v>357</v>
      </c>
      <c r="S212" s="120" t="s">
        <v>206</v>
      </c>
      <c r="T212" s="120" t="s">
        <v>1480</v>
      </c>
      <c r="U212" s="120" t="s">
        <v>197</v>
      </c>
      <c r="V212" s="1" t="s">
        <v>357</v>
      </c>
      <c r="W212" s="120" t="s">
        <v>208</v>
      </c>
      <c r="X212" s="120" t="s">
        <v>206</v>
      </c>
      <c r="Y212" s="120" t="s">
        <v>441</v>
      </c>
      <c r="Z212" s="1" t="s">
        <v>207</v>
      </c>
      <c r="AA212" s="120" t="s">
        <v>206</v>
      </c>
      <c r="AB212" s="120" t="s">
        <v>206</v>
      </c>
      <c r="AC212" s="1" t="s">
        <v>238</v>
      </c>
      <c r="AD212" s="120" t="s">
        <v>1374</v>
      </c>
      <c r="AE212" s="120" t="s">
        <v>208</v>
      </c>
      <c r="AF212" s="120" t="s">
        <v>208</v>
      </c>
      <c r="AG212" s="120" t="s">
        <v>1374</v>
      </c>
      <c r="AH212" s="1" t="s">
        <v>208</v>
      </c>
      <c r="AI212" s="120" t="s">
        <v>227</v>
      </c>
    </row>
    <row x14ac:dyDescent="0.25" r="213" customHeight="1" ht="17.25">
      <c r="A213" s="120" t="s">
        <v>1119</v>
      </c>
      <c r="B213" s="61">
        <v>43003</v>
      </c>
      <c r="C213" s="1" t="s">
        <v>112</v>
      </c>
      <c r="D213" s="120" t="s">
        <v>61</v>
      </c>
      <c r="E213" s="1" t="s">
        <v>1120</v>
      </c>
      <c r="F213" s="1" t="s">
        <v>158</v>
      </c>
      <c r="G213" s="120" t="s">
        <v>22</v>
      </c>
      <c r="H213" s="61">
        <v>36166</v>
      </c>
      <c r="I213" s="120" t="s">
        <v>177</v>
      </c>
      <c r="J213" s="120" t="s">
        <v>365</v>
      </c>
      <c r="K213" s="120" t="s">
        <v>1008</v>
      </c>
      <c r="L213" s="117" t="s">
        <v>1121</v>
      </c>
      <c r="M213" s="117" t="s">
        <v>1122</v>
      </c>
      <c r="N213" s="117" t="s">
        <v>1123</v>
      </c>
      <c r="O213" s="119">
        <v>0</v>
      </c>
      <c r="P213" s="119">
        <v>0</v>
      </c>
      <c r="Q213" s="117" t="s">
        <v>1124</v>
      </c>
      <c r="R213" s="1" t="s">
        <v>357</v>
      </c>
      <c r="S213" s="120" t="s">
        <v>206</v>
      </c>
      <c r="T213" s="120" t="s">
        <v>1125</v>
      </c>
      <c r="U213" s="120" t="s">
        <v>197</v>
      </c>
      <c r="V213" s="1" t="s">
        <v>357</v>
      </c>
      <c r="W213" s="120" t="s">
        <v>208</v>
      </c>
      <c r="X213" s="120" t="s">
        <v>206</v>
      </c>
      <c r="Y213" s="120" t="s">
        <v>441</v>
      </c>
      <c r="Z213" s="120" t="s">
        <v>206</v>
      </c>
      <c r="AA213" s="120" t="s">
        <v>206</v>
      </c>
      <c r="AB213" s="120" t="s">
        <v>206</v>
      </c>
      <c r="AC213" s="1" t="s">
        <v>237</v>
      </c>
      <c r="AD213" s="120" t="s">
        <v>1052</v>
      </c>
      <c r="AE213" s="120" t="s">
        <v>208</v>
      </c>
      <c r="AF213" s="120" t="s">
        <v>208</v>
      </c>
      <c r="AG213" s="120" t="s">
        <v>1052</v>
      </c>
      <c r="AH213" s="1" t="s">
        <v>206</v>
      </c>
      <c r="AI213" s="120" t="s">
        <v>227</v>
      </c>
    </row>
    <row x14ac:dyDescent="0.25" r="214" customHeight="1" ht="17.25">
      <c r="A214" s="120" t="s">
        <v>1602</v>
      </c>
      <c r="B214" s="61">
        <v>42975</v>
      </c>
      <c r="C214" s="1" t="s">
        <v>91</v>
      </c>
      <c r="D214" s="120" t="s">
        <v>61</v>
      </c>
      <c r="E214" s="1" t="s">
        <v>1603</v>
      </c>
      <c r="F214" s="1" t="s">
        <v>158</v>
      </c>
      <c r="G214" s="120" t="s">
        <v>22</v>
      </c>
      <c r="H214" s="61">
        <v>35986</v>
      </c>
      <c r="I214" s="120" t="s">
        <v>175</v>
      </c>
      <c r="J214" s="120" t="s">
        <v>365</v>
      </c>
      <c r="K214" s="120" t="s">
        <v>366</v>
      </c>
      <c r="L214" s="117" t="s">
        <v>1604</v>
      </c>
      <c r="M214" s="117" t="s">
        <v>1605</v>
      </c>
      <c r="N214" s="117" t="s">
        <v>1606</v>
      </c>
      <c r="O214" s="119">
        <v>0</v>
      </c>
      <c r="P214" s="119">
        <v>0</v>
      </c>
      <c r="Q214" s="119">
        <v>0</v>
      </c>
      <c r="R214" s="1" t="s">
        <v>357</v>
      </c>
      <c r="S214" s="120" t="s">
        <v>206</v>
      </c>
      <c r="T214" s="120" t="s">
        <v>1607</v>
      </c>
      <c r="U214" s="120" t="s">
        <v>197</v>
      </c>
      <c r="V214" s="1" t="s">
        <v>357</v>
      </c>
      <c r="W214" s="120" t="s">
        <v>208</v>
      </c>
      <c r="X214" s="120" t="s">
        <v>1608</v>
      </c>
      <c r="Y214" s="120" t="s">
        <v>386</v>
      </c>
      <c r="Z214" s="120" t="s">
        <v>206</v>
      </c>
      <c r="AA214" s="1" t="s">
        <v>29</v>
      </c>
      <c r="AB214" s="120" t="s">
        <v>206</v>
      </c>
      <c r="AC214" s="1" t="s">
        <v>206</v>
      </c>
      <c r="AD214" s="120" t="s">
        <v>441</v>
      </c>
      <c r="AE214" s="120" t="s">
        <v>208</v>
      </c>
      <c r="AF214" s="120" t="s">
        <v>208</v>
      </c>
      <c r="AG214" s="120" t="s">
        <v>441</v>
      </c>
      <c r="AH214" s="1" t="s">
        <v>208</v>
      </c>
      <c r="AI214" s="120" t="s">
        <v>227</v>
      </c>
    </row>
    <row x14ac:dyDescent="0.25" r="215" customHeight="1" ht="17.25">
      <c r="A215" s="120" t="s">
        <v>1207</v>
      </c>
      <c r="B215" s="61">
        <v>42972</v>
      </c>
      <c r="C215" s="1" t="s">
        <v>1208</v>
      </c>
      <c r="D215" s="120" t="s">
        <v>61</v>
      </c>
      <c r="E215" s="1" t="s">
        <v>1209</v>
      </c>
      <c r="F215" s="1" t="s">
        <v>158</v>
      </c>
      <c r="G215" s="120" t="s">
        <v>22</v>
      </c>
      <c r="H215" s="61">
        <v>29463</v>
      </c>
      <c r="I215" s="120" t="s">
        <v>175</v>
      </c>
      <c r="J215" s="120" t="s">
        <v>354</v>
      </c>
      <c r="K215" s="120" t="s">
        <v>1210</v>
      </c>
      <c r="L215" s="117" t="s">
        <v>1211</v>
      </c>
      <c r="M215" s="117" t="s">
        <v>1212</v>
      </c>
      <c r="N215" s="117" t="s">
        <v>1213</v>
      </c>
      <c r="O215" s="119">
        <v>0</v>
      </c>
      <c r="P215" s="119">
        <v>0</v>
      </c>
      <c r="Q215" s="119">
        <v>0</v>
      </c>
      <c r="R215" s="1" t="s">
        <v>357</v>
      </c>
      <c r="S215" s="120" t="s">
        <v>206</v>
      </c>
      <c r="T215" s="120" t="s">
        <v>1214</v>
      </c>
      <c r="U215" s="120" t="s">
        <v>197</v>
      </c>
      <c r="V215" s="1" t="s">
        <v>357</v>
      </c>
      <c r="W215" s="120" t="s">
        <v>208</v>
      </c>
      <c r="X215" s="120" t="s">
        <v>206</v>
      </c>
      <c r="Y215" s="120" t="s">
        <v>441</v>
      </c>
      <c r="Z215" s="120" t="s">
        <v>206</v>
      </c>
      <c r="AA215" s="120" t="s">
        <v>206</v>
      </c>
      <c r="AB215" s="120" t="s">
        <v>206</v>
      </c>
      <c r="AC215" s="1" t="s">
        <v>237</v>
      </c>
      <c r="AD215" s="120" t="s">
        <v>1101</v>
      </c>
      <c r="AE215" s="120" t="s">
        <v>208</v>
      </c>
      <c r="AF215" s="120" t="s">
        <v>208</v>
      </c>
      <c r="AG215" s="120" t="s">
        <v>1101</v>
      </c>
      <c r="AH215" s="1" t="s">
        <v>206</v>
      </c>
      <c r="AI215" s="120" t="s">
        <v>227</v>
      </c>
    </row>
    <row x14ac:dyDescent="0.25" r="216" customHeight="1" ht="17.25">
      <c r="A216" s="120" t="s">
        <v>509</v>
      </c>
      <c r="B216" s="61">
        <v>42888</v>
      </c>
      <c r="C216" s="1" t="s">
        <v>112</v>
      </c>
      <c r="D216" s="120" t="s">
        <v>61</v>
      </c>
      <c r="E216" s="1" t="s">
        <v>510</v>
      </c>
      <c r="F216" s="1" t="s">
        <v>158</v>
      </c>
      <c r="G216" s="120" t="s">
        <v>22</v>
      </c>
      <c r="H216" s="61">
        <v>35604</v>
      </c>
      <c r="I216" s="120" t="s">
        <v>177</v>
      </c>
      <c r="J216" s="120" t="s">
        <v>365</v>
      </c>
      <c r="K216" s="120" t="s">
        <v>511</v>
      </c>
      <c r="L216" s="117" t="s">
        <v>512</v>
      </c>
      <c r="M216" s="119">
        <v>0</v>
      </c>
      <c r="N216" s="119">
        <v>0</v>
      </c>
      <c r="O216" s="119">
        <v>0</v>
      </c>
      <c r="P216" s="119">
        <v>0</v>
      </c>
      <c r="Q216" s="119">
        <v>0</v>
      </c>
      <c r="R216" s="1" t="s">
        <v>357</v>
      </c>
      <c r="S216" s="120" t="s">
        <v>206</v>
      </c>
      <c r="T216" s="120" t="s">
        <v>513</v>
      </c>
      <c r="U216" s="120" t="s">
        <v>197</v>
      </c>
      <c r="V216" s="1" t="s">
        <v>357</v>
      </c>
      <c r="W216" s="120" t="s">
        <v>208</v>
      </c>
      <c r="X216" s="120" t="s">
        <v>206</v>
      </c>
      <c r="Y216" s="120" t="s">
        <v>441</v>
      </c>
      <c r="Z216" s="120" t="s">
        <v>206</v>
      </c>
      <c r="AA216" s="120" t="s">
        <v>206</v>
      </c>
      <c r="AB216" s="120" t="s">
        <v>206</v>
      </c>
      <c r="AC216" s="1" t="s">
        <v>236</v>
      </c>
      <c r="AD216" s="1" t="s">
        <v>497</v>
      </c>
      <c r="AE216" s="120" t="s">
        <v>208</v>
      </c>
      <c r="AF216" s="120" t="s">
        <v>208</v>
      </c>
      <c r="AG216" s="1" t="s">
        <v>497</v>
      </c>
      <c r="AH216" s="1" t="s">
        <v>35</v>
      </c>
      <c r="AI216" s="1" t="s">
        <v>208</v>
      </c>
    </row>
    <row x14ac:dyDescent="0.25" r="217" customHeight="1" ht="17.25">
      <c r="A217" s="120" t="s">
        <v>2124</v>
      </c>
      <c r="B217" s="61">
        <v>42957</v>
      </c>
      <c r="C217" s="1" t="s">
        <v>112</v>
      </c>
      <c r="D217" s="120" t="s">
        <v>61</v>
      </c>
      <c r="E217" s="1" t="s">
        <v>2125</v>
      </c>
      <c r="F217" s="1" t="s">
        <v>158</v>
      </c>
      <c r="G217" s="120" t="s">
        <v>22</v>
      </c>
      <c r="H217" s="61">
        <v>29867</v>
      </c>
      <c r="I217" s="120" t="s">
        <v>175</v>
      </c>
      <c r="J217" s="120" t="s">
        <v>365</v>
      </c>
      <c r="K217" s="120" t="s">
        <v>2126</v>
      </c>
      <c r="L217" s="117" t="s">
        <v>2127</v>
      </c>
      <c r="M217" s="117" t="s">
        <v>2128</v>
      </c>
      <c r="N217" s="119">
        <v>0</v>
      </c>
      <c r="O217" s="119">
        <v>0</v>
      </c>
      <c r="P217" s="119">
        <v>0</v>
      </c>
      <c r="Q217" s="119">
        <v>0</v>
      </c>
      <c r="R217" s="1" t="s">
        <v>357</v>
      </c>
      <c r="S217" s="120" t="s">
        <v>206</v>
      </c>
      <c r="T217" s="120" t="s">
        <v>1166</v>
      </c>
      <c r="U217" s="120" t="s">
        <v>197</v>
      </c>
      <c r="V217" s="1" t="s">
        <v>357</v>
      </c>
      <c r="W217" s="120" t="s">
        <v>208</v>
      </c>
      <c r="X217" s="120" t="s">
        <v>2043</v>
      </c>
      <c r="Y217" s="120" t="s">
        <v>492</v>
      </c>
      <c r="Z217" s="1" t="s">
        <v>207</v>
      </c>
      <c r="AA217" s="120" t="s">
        <v>206</v>
      </c>
      <c r="AB217" s="120" t="s">
        <v>206</v>
      </c>
      <c r="AC217" s="1" t="s">
        <v>238</v>
      </c>
      <c r="AD217" s="120" t="s">
        <v>375</v>
      </c>
      <c r="AE217" s="120" t="s">
        <v>208</v>
      </c>
      <c r="AF217" s="120" t="s">
        <v>208</v>
      </c>
      <c r="AG217" s="120" t="s">
        <v>375</v>
      </c>
      <c r="AH217" s="1" t="s">
        <v>208</v>
      </c>
      <c r="AI217" s="120" t="s">
        <v>227</v>
      </c>
    </row>
    <row x14ac:dyDescent="0.25" r="218" customHeight="1" ht="17.25">
      <c r="A218" s="120" t="s">
        <v>1787</v>
      </c>
      <c r="B218" s="61">
        <v>43034</v>
      </c>
      <c r="C218" s="1" t="s">
        <v>91</v>
      </c>
      <c r="D218" s="120" t="s">
        <v>61</v>
      </c>
      <c r="E218" s="1" t="s">
        <v>1788</v>
      </c>
      <c r="F218" s="1" t="s">
        <v>158</v>
      </c>
      <c r="G218" s="120" t="s">
        <v>22</v>
      </c>
      <c r="H218" s="61">
        <v>34366</v>
      </c>
      <c r="I218" s="120" t="s">
        <v>176</v>
      </c>
      <c r="J218" s="120" t="s">
        <v>365</v>
      </c>
      <c r="K218" s="120" t="s">
        <v>1789</v>
      </c>
      <c r="L218" s="117" t="s">
        <v>1790</v>
      </c>
      <c r="M218" s="117" t="s">
        <v>1791</v>
      </c>
      <c r="N218" s="117" t="s">
        <v>1123</v>
      </c>
      <c r="O218" s="119">
        <v>0</v>
      </c>
      <c r="P218" s="119">
        <v>0</v>
      </c>
      <c r="Q218" s="119">
        <v>0</v>
      </c>
      <c r="R218" s="1" t="s">
        <v>357</v>
      </c>
      <c r="S218" s="120" t="s">
        <v>206</v>
      </c>
      <c r="T218" s="120" t="s">
        <v>1125</v>
      </c>
      <c r="U218" s="120" t="s">
        <v>197</v>
      </c>
      <c r="V218" s="1" t="s">
        <v>357</v>
      </c>
      <c r="W218" s="120" t="s">
        <v>208</v>
      </c>
      <c r="X218" s="1" t="s">
        <v>847</v>
      </c>
      <c r="Y218" s="120" t="s">
        <v>386</v>
      </c>
      <c r="Z218" s="1" t="s">
        <v>207</v>
      </c>
      <c r="AA218" s="1" t="s">
        <v>28</v>
      </c>
      <c r="AB218" s="120" t="s">
        <v>206</v>
      </c>
      <c r="AC218" s="1" t="s">
        <v>206</v>
      </c>
      <c r="AD218" s="120" t="s">
        <v>492</v>
      </c>
      <c r="AE218" s="120" t="s">
        <v>208</v>
      </c>
      <c r="AF218" s="120" t="s">
        <v>208</v>
      </c>
      <c r="AG218" s="120" t="s">
        <v>492</v>
      </c>
      <c r="AH218" s="1" t="s">
        <v>208</v>
      </c>
      <c r="AI218" s="120" t="s">
        <v>227</v>
      </c>
    </row>
    <row x14ac:dyDescent="0.25" r="219" customHeight="1" ht="17.25">
      <c r="A219" s="120" t="s">
        <v>1641</v>
      </c>
      <c r="B219" s="61">
        <v>42776</v>
      </c>
      <c r="C219" s="1" t="s">
        <v>91</v>
      </c>
      <c r="D219" s="120" t="s">
        <v>61</v>
      </c>
      <c r="E219" s="1" t="s">
        <v>1642</v>
      </c>
      <c r="F219" s="1" t="s">
        <v>158</v>
      </c>
      <c r="G219" s="120" t="s">
        <v>22</v>
      </c>
      <c r="H219" s="61">
        <v>31796</v>
      </c>
      <c r="I219" s="120" t="s">
        <v>175</v>
      </c>
      <c r="J219" s="120" t="s">
        <v>365</v>
      </c>
      <c r="K219" s="120" t="s">
        <v>1643</v>
      </c>
      <c r="L219" s="119">
        <v>0</v>
      </c>
      <c r="M219" s="119">
        <v>0</v>
      </c>
      <c r="N219" s="117"/>
      <c r="O219" s="117" t="s">
        <v>1644</v>
      </c>
      <c r="P219" s="119">
        <v>0</v>
      </c>
      <c r="Q219" s="119">
        <v>0</v>
      </c>
      <c r="R219" s="1" t="s">
        <v>357</v>
      </c>
      <c r="S219" s="120" t="s">
        <v>206</v>
      </c>
      <c r="T219" s="120" t="s">
        <v>513</v>
      </c>
      <c r="U219" s="120" t="s">
        <v>197</v>
      </c>
      <c r="V219" s="1" t="s">
        <v>357</v>
      </c>
      <c r="W219" s="120" t="s">
        <v>208</v>
      </c>
      <c r="X219" s="120" t="s">
        <v>1645</v>
      </c>
      <c r="Y219" s="120" t="s">
        <v>386</v>
      </c>
      <c r="Z219" s="120" t="s">
        <v>206</v>
      </c>
      <c r="AA219" s="120" t="s">
        <v>206</v>
      </c>
      <c r="AB219" s="120" t="s">
        <v>206</v>
      </c>
      <c r="AC219" s="1" t="s">
        <v>237</v>
      </c>
      <c r="AD219" s="120" t="s">
        <v>441</v>
      </c>
      <c r="AE219" s="120" t="s">
        <v>208</v>
      </c>
      <c r="AF219" s="120" t="s">
        <v>208</v>
      </c>
      <c r="AG219" s="120" t="s">
        <v>441</v>
      </c>
      <c r="AH219" s="1" t="s">
        <v>208</v>
      </c>
      <c r="AI219" s="120" t="s">
        <v>227</v>
      </c>
    </row>
    <row x14ac:dyDescent="0.25" r="220" customHeight="1" ht="17.25">
      <c r="A220" s="1" t="s">
        <v>868</v>
      </c>
      <c r="B220" s="123" t="s">
        <v>628</v>
      </c>
      <c r="C220" s="116" t="s">
        <v>87</v>
      </c>
      <c r="D220" s="1" t="s">
        <v>62</v>
      </c>
      <c r="E220" s="116" t="s">
        <v>869</v>
      </c>
      <c r="F220" s="1" t="s">
        <v>163</v>
      </c>
      <c r="G220" s="1" t="s">
        <v>22</v>
      </c>
      <c r="H220" s="61">
        <v>32919</v>
      </c>
      <c r="I220" s="1" t="s">
        <v>175</v>
      </c>
      <c r="J220" s="1" t="s">
        <v>365</v>
      </c>
      <c r="K220" s="1" t="s">
        <v>870</v>
      </c>
      <c r="L220" s="117" t="s">
        <v>871</v>
      </c>
      <c r="M220" s="117" t="s">
        <v>872</v>
      </c>
      <c r="N220" s="117" t="s">
        <v>873</v>
      </c>
      <c r="O220" s="119">
        <v>0</v>
      </c>
      <c r="P220" s="119">
        <v>0</v>
      </c>
      <c r="Q220" s="117" t="s">
        <v>874</v>
      </c>
      <c r="R220" s="1" t="s">
        <v>357</v>
      </c>
      <c r="S220" s="1" t="s">
        <v>206</v>
      </c>
      <c r="T220" s="1" t="s">
        <v>535</v>
      </c>
      <c r="U220" s="1" t="s">
        <v>197</v>
      </c>
      <c r="V220" s="1" t="s">
        <v>357</v>
      </c>
      <c r="W220" s="1" t="s">
        <v>208</v>
      </c>
      <c r="X220" s="1" t="s">
        <v>206</v>
      </c>
      <c r="Y220" s="1" t="s">
        <v>441</v>
      </c>
      <c r="Z220" s="1" t="s">
        <v>206</v>
      </c>
      <c r="AA220" s="1" t="s">
        <v>206</v>
      </c>
      <c r="AB220" s="1" t="s">
        <v>206</v>
      </c>
      <c r="AC220" s="1" t="s">
        <v>236</v>
      </c>
      <c r="AD220" s="1" t="s">
        <v>497</v>
      </c>
      <c r="AE220" s="1" t="s">
        <v>208</v>
      </c>
      <c r="AF220" s="1" t="s">
        <v>208</v>
      </c>
      <c r="AG220" s="1" t="s">
        <v>497</v>
      </c>
      <c r="AH220" s="1" t="s">
        <v>206</v>
      </c>
      <c r="AI220" s="1" t="s">
        <v>229</v>
      </c>
    </row>
    <row x14ac:dyDescent="0.25" r="221" customHeight="1" ht="17.25">
      <c r="A221" s="1" t="s">
        <v>2407</v>
      </c>
      <c r="B221" s="123" t="s">
        <v>2408</v>
      </c>
      <c r="C221" s="116" t="s">
        <v>87</v>
      </c>
      <c r="D221" s="1" t="s">
        <v>62</v>
      </c>
      <c r="E221" s="116" t="s">
        <v>2409</v>
      </c>
      <c r="F221" s="1" t="s">
        <v>158</v>
      </c>
      <c r="G221" s="1" t="s">
        <v>170</v>
      </c>
      <c r="H221" s="61">
        <v>28329</v>
      </c>
      <c r="I221" s="1" t="s">
        <v>177</v>
      </c>
      <c r="J221" s="1" t="s">
        <v>354</v>
      </c>
      <c r="K221" s="1" t="s">
        <v>2410</v>
      </c>
      <c r="L221" s="117" t="s">
        <v>2411</v>
      </c>
      <c r="M221" s="117" t="s">
        <v>2412</v>
      </c>
      <c r="N221" s="119">
        <v>0</v>
      </c>
      <c r="O221" s="119">
        <v>0</v>
      </c>
      <c r="P221" s="119">
        <v>0</v>
      </c>
      <c r="Q221" s="119">
        <v>0</v>
      </c>
      <c r="R221" s="1" t="s">
        <v>357</v>
      </c>
      <c r="S221" s="1" t="s">
        <v>206</v>
      </c>
      <c r="T221" s="1" t="s">
        <v>358</v>
      </c>
      <c r="U221" s="1" t="s">
        <v>200</v>
      </c>
      <c r="V221" s="1" t="s">
        <v>2285</v>
      </c>
      <c r="W221" s="1" t="s">
        <v>208</v>
      </c>
      <c r="X221" s="1" t="s">
        <v>208</v>
      </c>
      <c r="Y221" s="1" t="s">
        <v>208</v>
      </c>
      <c r="Z221" s="1" t="s">
        <v>208</v>
      </c>
      <c r="AA221" s="1" t="s">
        <v>208</v>
      </c>
      <c r="AB221" s="1" t="s">
        <v>208</v>
      </c>
      <c r="AC221" s="1" t="s">
        <v>208</v>
      </c>
      <c r="AD221" s="1" t="s">
        <v>208</v>
      </c>
      <c r="AE221" s="1" t="s">
        <v>206</v>
      </c>
      <c r="AF221" s="1" t="s">
        <v>208</v>
      </c>
      <c r="AG221" s="1" t="s">
        <v>208</v>
      </c>
      <c r="AH221" s="1" t="s">
        <v>208</v>
      </c>
      <c r="AI221" s="1" t="s">
        <v>208</v>
      </c>
    </row>
    <row x14ac:dyDescent="0.25" r="222" customHeight="1" ht="17.25">
      <c r="A222" s="1" t="s">
        <v>2084</v>
      </c>
      <c r="B222" s="123" t="s">
        <v>1782</v>
      </c>
      <c r="C222" s="116" t="s">
        <v>107</v>
      </c>
      <c r="D222" s="1" t="s">
        <v>62</v>
      </c>
      <c r="E222" s="116" t="s">
        <v>2085</v>
      </c>
      <c r="F222" s="1" t="s">
        <v>159</v>
      </c>
      <c r="G222" s="1" t="s">
        <v>22</v>
      </c>
      <c r="H222" s="61">
        <v>30211</v>
      </c>
      <c r="I222" s="1" t="s">
        <v>175</v>
      </c>
      <c r="J222" s="1" t="s">
        <v>517</v>
      </c>
      <c r="K222" s="1" t="s">
        <v>366</v>
      </c>
      <c r="L222" s="119">
        <v>0</v>
      </c>
      <c r="M222" s="119">
        <v>0</v>
      </c>
      <c r="N222" s="117" t="s">
        <v>2086</v>
      </c>
      <c r="O222" s="119">
        <v>0</v>
      </c>
      <c r="P222" s="119">
        <v>0</v>
      </c>
      <c r="Q222" s="119">
        <v>0</v>
      </c>
      <c r="R222" s="1" t="s">
        <v>357</v>
      </c>
      <c r="S222" s="1" t="s">
        <v>206</v>
      </c>
      <c r="T222" s="1" t="s">
        <v>430</v>
      </c>
      <c r="U222" s="1" t="s">
        <v>197</v>
      </c>
      <c r="V222" s="1" t="s">
        <v>357</v>
      </c>
      <c r="W222" s="1" t="s">
        <v>208</v>
      </c>
      <c r="X222" s="1" t="s">
        <v>2087</v>
      </c>
      <c r="Y222" s="1" t="s">
        <v>492</v>
      </c>
      <c r="Z222" s="1" t="s">
        <v>207</v>
      </c>
      <c r="AA222" s="1" t="s">
        <v>206</v>
      </c>
      <c r="AB222" s="1" t="s">
        <v>206</v>
      </c>
      <c r="AC222" s="1" t="s">
        <v>238</v>
      </c>
      <c r="AD222" s="1" t="s">
        <v>2038</v>
      </c>
      <c r="AE222" s="1" t="s">
        <v>208</v>
      </c>
      <c r="AF222" s="1" t="s">
        <v>208</v>
      </c>
      <c r="AG222" s="1" t="s">
        <v>2038</v>
      </c>
      <c r="AH222" s="1" t="s">
        <v>208</v>
      </c>
      <c r="AI222" s="120" t="s">
        <v>227</v>
      </c>
    </row>
    <row x14ac:dyDescent="0.25" r="223" customHeight="1" ht="17.25">
      <c r="A223" s="1" t="s">
        <v>1080</v>
      </c>
      <c r="B223" s="123" t="s">
        <v>1081</v>
      </c>
      <c r="C223" s="116" t="s">
        <v>107</v>
      </c>
      <c r="D223" s="1" t="s">
        <v>62</v>
      </c>
      <c r="E223" s="116" t="s">
        <v>1082</v>
      </c>
      <c r="F223" s="1" t="s">
        <v>158</v>
      </c>
      <c r="G223" s="1" t="s">
        <v>22</v>
      </c>
      <c r="H223" s="61">
        <v>31414</v>
      </c>
      <c r="I223" s="1" t="s">
        <v>176</v>
      </c>
      <c r="J223" s="1" t="s">
        <v>365</v>
      </c>
      <c r="K223" s="1" t="s">
        <v>445</v>
      </c>
      <c r="L223" s="119">
        <v>0</v>
      </c>
      <c r="M223" s="117" t="s">
        <v>1083</v>
      </c>
      <c r="N223" s="119">
        <v>0</v>
      </c>
      <c r="O223" s="119">
        <v>0</v>
      </c>
      <c r="P223" s="119">
        <v>0</v>
      </c>
      <c r="Q223" s="119">
        <v>0</v>
      </c>
      <c r="R223" s="1" t="s">
        <v>357</v>
      </c>
      <c r="S223" s="1" t="s">
        <v>206</v>
      </c>
      <c r="T223" s="1" t="s">
        <v>358</v>
      </c>
      <c r="U223" s="1" t="s">
        <v>197</v>
      </c>
      <c r="V223" s="1" t="s">
        <v>357</v>
      </c>
      <c r="W223" s="1" t="s">
        <v>208</v>
      </c>
      <c r="X223" s="1" t="s">
        <v>206</v>
      </c>
      <c r="Y223" s="1" t="s">
        <v>441</v>
      </c>
      <c r="Z223" s="1" t="s">
        <v>206</v>
      </c>
      <c r="AA223" s="1" t="s">
        <v>206</v>
      </c>
      <c r="AB223" s="1" t="s">
        <v>206</v>
      </c>
      <c r="AC223" s="1" t="s">
        <v>237</v>
      </c>
      <c r="AD223" s="1" t="s">
        <v>1052</v>
      </c>
      <c r="AE223" s="1" t="s">
        <v>208</v>
      </c>
      <c r="AF223" s="1" t="s">
        <v>208</v>
      </c>
      <c r="AG223" s="1" t="s">
        <v>1052</v>
      </c>
      <c r="AH223" s="1" t="s">
        <v>206</v>
      </c>
      <c r="AI223" s="120" t="s">
        <v>227</v>
      </c>
    </row>
    <row x14ac:dyDescent="0.25" r="224" customHeight="1" ht="17.25">
      <c r="A224" s="1" t="s">
        <v>2155</v>
      </c>
      <c r="B224" s="123" t="s">
        <v>983</v>
      </c>
      <c r="C224" s="116" t="s">
        <v>87</v>
      </c>
      <c r="D224" s="1" t="s">
        <v>62</v>
      </c>
      <c r="E224" s="116" t="s">
        <v>2156</v>
      </c>
      <c r="F224" s="1" t="s">
        <v>158</v>
      </c>
      <c r="G224" s="1" t="s">
        <v>22</v>
      </c>
      <c r="H224" s="61">
        <v>33745</v>
      </c>
      <c r="I224" s="1" t="s">
        <v>176</v>
      </c>
      <c r="J224" s="1" t="s">
        <v>365</v>
      </c>
      <c r="K224" s="1" t="s">
        <v>2157</v>
      </c>
      <c r="L224" s="117" t="s">
        <v>2158</v>
      </c>
      <c r="M224" s="117" t="s">
        <v>2159</v>
      </c>
      <c r="N224" s="117" t="s">
        <v>2160</v>
      </c>
      <c r="O224" s="119">
        <v>0</v>
      </c>
      <c r="P224" s="119">
        <v>0</v>
      </c>
      <c r="Q224" s="119">
        <v>0</v>
      </c>
      <c r="R224" s="1" t="s">
        <v>357</v>
      </c>
      <c r="S224" s="1" t="s">
        <v>206</v>
      </c>
      <c r="T224" s="1" t="s">
        <v>1136</v>
      </c>
      <c r="U224" s="1" t="s">
        <v>197</v>
      </c>
      <c r="V224" s="1" t="s">
        <v>357</v>
      </c>
      <c r="W224" s="1" t="s">
        <v>208</v>
      </c>
      <c r="X224" s="1" t="s">
        <v>2161</v>
      </c>
      <c r="Y224" s="1" t="s">
        <v>386</v>
      </c>
      <c r="Z224" s="1" t="s">
        <v>207</v>
      </c>
      <c r="AA224" s="1" t="s">
        <v>206</v>
      </c>
      <c r="AB224" s="1" t="s">
        <v>206</v>
      </c>
      <c r="AC224" s="1" t="s">
        <v>238</v>
      </c>
      <c r="AD224" s="1" t="s">
        <v>375</v>
      </c>
      <c r="AE224" s="1" t="s">
        <v>208</v>
      </c>
      <c r="AF224" s="1" t="s">
        <v>208</v>
      </c>
      <c r="AG224" s="1" t="s">
        <v>375</v>
      </c>
      <c r="AH224" s="1" t="s">
        <v>208</v>
      </c>
      <c r="AI224" s="120" t="s">
        <v>227</v>
      </c>
    </row>
    <row x14ac:dyDescent="0.25" r="225" customHeight="1" ht="17.25">
      <c r="A225" s="1" t="s">
        <v>2106</v>
      </c>
      <c r="B225" s="123" t="s">
        <v>2107</v>
      </c>
      <c r="C225" s="116" t="s">
        <v>107</v>
      </c>
      <c r="D225" s="1" t="s">
        <v>62</v>
      </c>
      <c r="E225" s="116" t="s">
        <v>2108</v>
      </c>
      <c r="F225" s="1" t="s">
        <v>158</v>
      </c>
      <c r="G225" s="1" t="s">
        <v>170</v>
      </c>
      <c r="H225" s="61">
        <v>30585</v>
      </c>
      <c r="I225" s="1" t="s">
        <v>176</v>
      </c>
      <c r="J225" s="1" t="s">
        <v>365</v>
      </c>
      <c r="K225" s="1" t="s">
        <v>511</v>
      </c>
      <c r="L225" s="117" t="s">
        <v>2109</v>
      </c>
      <c r="M225" s="117" t="s">
        <v>2110</v>
      </c>
      <c r="N225" s="117" t="s">
        <v>2111</v>
      </c>
      <c r="O225" s="119">
        <v>0</v>
      </c>
      <c r="P225" s="119">
        <v>0</v>
      </c>
      <c r="Q225" s="119">
        <v>0</v>
      </c>
      <c r="R225" s="1" t="s">
        <v>357</v>
      </c>
      <c r="S225" s="1" t="s">
        <v>206</v>
      </c>
      <c r="T225" s="1" t="s">
        <v>2112</v>
      </c>
      <c r="U225" s="1" t="s">
        <v>197</v>
      </c>
      <c r="V225" s="1" t="s">
        <v>357</v>
      </c>
      <c r="W225" s="1" t="s">
        <v>208</v>
      </c>
      <c r="X225" s="1" t="s">
        <v>2113</v>
      </c>
      <c r="Y225" s="1" t="s">
        <v>492</v>
      </c>
      <c r="Z225" s="1" t="s">
        <v>207</v>
      </c>
      <c r="AA225" s="1" t="s">
        <v>206</v>
      </c>
      <c r="AB225" s="1" t="s">
        <v>206</v>
      </c>
      <c r="AC225" s="1" t="s">
        <v>238</v>
      </c>
      <c r="AD225" s="1" t="s">
        <v>2038</v>
      </c>
      <c r="AE225" s="1" t="s">
        <v>208</v>
      </c>
      <c r="AF225" s="1" t="s">
        <v>208</v>
      </c>
      <c r="AG225" s="1" t="s">
        <v>2038</v>
      </c>
      <c r="AH225" s="1" t="s">
        <v>208</v>
      </c>
      <c r="AI225" s="120" t="s">
        <v>227</v>
      </c>
    </row>
    <row x14ac:dyDescent="0.25" r="226" customHeight="1" ht="17.25">
      <c r="A226" s="1" t="s">
        <v>1952</v>
      </c>
      <c r="B226" s="123" t="s">
        <v>1635</v>
      </c>
      <c r="C226" s="116" t="s">
        <v>87</v>
      </c>
      <c r="D226" s="1" t="s">
        <v>62</v>
      </c>
      <c r="E226" s="116" t="s">
        <v>1953</v>
      </c>
      <c r="F226" s="1" t="s">
        <v>158</v>
      </c>
      <c r="G226" s="1" t="s">
        <v>170</v>
      </c>
      <c r="H226" s="61">
        <v>36201</v>
      </c>
      <c r="I226" s="1" t="s">
        <v>176</v>
      </c>
      <c r="J226" s="1" t="s">
        <v>365</v>
      </c>
      <c r="K226" s="1" t="s">
        <v>1954</v>
      </c>
      <c r="L226" s="117" t="s">
        <v>1955</v>
      </c>
      <c r="M226" s="119">
        <v>0</v>
      </c>
      <c r="N226" s="119">
        <v>0</v>
      </c>
      <c r="O226" s="119">
        <v>0</v>
      </c>
      <c r="P226" s="119">
        <v>0</v>
      </c>
      <c r="Q226" s="119">
        <v>0</v>
      </c>
      <c r="R226" s="1" t="s">
        <v>357</v>
      </c>
      <c r="S226" s="1" t="s">
        <v>206</v>
      </c>
      <c r="T226" s="1" t="s">
        <v>1956</v>
      </c>
      <c r="U226" s="1" t="s">
        <v>197</v>
      </c>
      <c r="V226" s="1" t="s">
        <v>357</v>
      </c>
      <c r="W226" s="1" t="s">
        <v>208</v>
      </c>
      <c r="X226" s="1" t="s">
        <v>406</v>
      </c>
      <c r="Y226" s="1" t="s">
        <v>1374</v>
      </c>
      <c r="Z226" s="1" t="s">
        <v>206</v>
      </c>
      <c r="AA226" s="1" t="s">
        <v>212</v>
      </c>
      <c r="AB226" s="1" t="s">
        <v>32</v>
      </c>
      <c r="AC226" s="1" t="s">
        <v>206</v>
      </c>
      <c r="AD226" s="1" t="s">
        <v>1957</v>
      </c>
      <c r="AE226" s="1" t="s">
        <v>208</v>
      </c>
      <c r="AF226" s="1" t="s">
        <v>208</v>
      </c>
      <c r="AG226" s="1" t="s">
        <v>1957</v>
      </c>
      <c r="AH226" s="1" t="s">
        <v>208</v>
      </c>
      <c r="AI226" s="120" t="s">
        <v>227</v>
      </c>
    </row>
    <row x14ac:dyDescent="0.25" r="227" customHeight="1" ht="17.25">
      <c r="A227" s="1" t="s">
        <v>1952</v>
      </c>
      <c r="B227" s="123" t="s">
        <v>1635</v>
      </c>
      <c r="C227" s="116" t="s">
        <v>87</v>
      </c>
      <c r="D227" s="1" t="s">
        <v>62</v>
      </c>
      <c r="E227" s="116" t="s">
        <v>2221</v>
      </c>
      <c r="F227" s="1" t="s">
        <v>158</v>
      </c>
      <c r="G227" s="1" t="s">
        <v>22</v>
      </c>
      <c r="H227" s="61">
        <v>32519</v>
      </c>
      <c r="I227" s="1" t="s">
        <v>176</v>
      </c>
      <c r="J227" s="1" t="s">
        <v>365</v>
      </c>
      <c r="K227" s="1" t="s">
        <v>1954</v>
      </c>
      <c r="L227" s="117" t="s">
        <v>1955</v>
      </c>
      <c r="M227" s="119">
        <v>0</v>
      </c>
      <c r="N227" s="119">
        <v>0</v>
      </c>
      <c r="O227" s="119">
        <v>0</v>
      </c>
      <c r="P227" s="119">
        <v>0</v>
      </c>
      <c r="Q227" s="119">
        <v>0</v>
      </c>
      <c r="R227" s="1" t="s">
        <v>357</v>
      </c>
      <c r="S227" s="1" t="s">
        <v>206</v>
      </c>
      <c r="T227" s="1" t="s">
        <v>1206</v>
      </c>
      <c r="U227" s="1" t="s">
        <v>197</v>
      </c>
      <c r="V227" s="1" t="s">
        <v>357</v>
      </c>
      <c r="W227" s="1" t="s">
        <v>208</v>
      </c>
      <c r="X227" s="1" t="s">
        <v>406</v>
      </c>
      <c r="Y227" s="1" t="s">
        <v>1374</v>
      </c>
      <c r="Z227" s="1" t="s">
        <v>206</v>
      </c>
      <c r="AA227" s="1" t="s">
        <v>206</v>
      </c>
      <c r="AB227" s="1" t="s">
        <v>220</v>
      </c>
      <c r="AC227" s="1" t="s">
        <v>206</v>
      </c>
      <c r="AD227" s="1" t="s">
        <v>360</v>
      </c>
      <c r="AE227" s="1" t="s">
        <v>208</v>
      </c>
      <c r="AF227" s="1" t="s">
        <v>208</v>
      </c>
      <c r="AG227" s="1" t="s">
        <v>360</v>
      </c>
      <c r="AH227" s="1" t="s">
        <v>208</v>
      </c>
      <c r="AI227" s="120" t="s">
        <v>227</v>
      </c>
    </row>
    <row x14ac:dyDescent="0.25" r="228" customHeight="1" ht="17.25">
      <c r="A228" s="1" t="s">
        <v>1333</v>
      </c>
      <c r="B228" s="123" t="s">
        <v>745</v>
      </c>
      <c r="C228" s="116" t="s">
        <v>107</v>
      </c>
      <c r="D228" s="1" t="s">
        <v>62</v>
      </c>
      <c r="E228" s="116" t="s">
        <v>1334</v>
      </c>
      <c r="F228" s="1" t="s">
        <v>158</v>
      </c>
      <c r="G228" s="1" t="s">
        <v>22</v>
      </c>
      <c r="H228" s="61">
        <v>32807</v>
      </c>
      <c r="I228" s="1" t="s">
        <v>175</v>
      </c>
      <c r="J228" s="1" t="s">
        <v>365</v>
      </c>
      <c r="K228" s="1" t="s">
        <v>1335</v>
      </c>
      <c r="L228" s="117" t="s">
        <v>1336</v>
      </c>
      <c r="M228" s="119">
        <v>0</v>
      </c>
      <c r="N228" s="119">
        <v>0</v>
      </c>
      <c r="O228" s="119">
        <v>0</v>
      </c>
      <c r="P228" s="119">
        <v>0</v>
      </c>
      <c r="Q228" s="119">
        <v>0</v>
      </c>
      <c r="R228" s="1" t="s">
        <v>357</v>
      </c>
      <c r="S228" s="1" t="s">
        <v>206</v>
      </c>
      <c r="T228" s="1" t="s">
        <v>485</v>
      </c>
      <c r="U228" s="1" t="s">
        <v>197</v>
      </c>
      <c r="V228" s="1" t="s">
        <v>357</v>
      </c>
      <c r="W228" s="1" t="s">
        <v>208</v>
      </c>
      <c r="X228" s="1" t="s">
        <v>206</v>
      </c>
      <c r="Y228" s="1" t="s">
        <v>441</v>
      </c>
      <c r="Z228" s="1" t="s">
        <v>206</v>
      </c>
      <c r="AA228" s="1" t="s">
        <v>206</v>
      </c>
      <c r="AB228" s="1" t="s">
        <v>206</v>
      </c>
      <c r="AC228" s="1" t="s">
        <v>206</v>
      </c>
      <c r="AD228" s="1" t="s">
        <v>441</v>
      </c>
      <c r="AE228" s="1" t="s">
        <v>208</v>
      </c>
      <c r="AF228" s="1" t="s">
        <v>208</v>
      </c>
      <c r="AG228" s="1" t="s">
        <v>441</v>
      </c>
      <c r="AH228" s="1" t="s">
        <v>208</v>
      </c>
      <c r="AI228" s="120" t="s">
        <v>227</v>
      </c>
    </row>
    <row x14ac:dyDescent="0.25" r="229" customHeight="1" ht="17.25">
      <c r="A229" s="1" t="s">
        <v>564</v>
      </c>
      <c r="B229" s="123" t="s">
        <v>565</v>
      </c>
      <c r="C229" s="116" t="s">
        <v>87</v>
      </c>
      <c r="D229" s="1" t="s">
        <v>62</v>
      </c>
      <c r="E229" s="116" t="s">
        <v>566</v>
      </c>
      <c r="F229" s="1" t="s">
        <v>159</v>
      </c>
      <c r="G229" s="1" t="s">
        <v>22</v>
      </c>
      <c r="H229" s="61">
        <v>34245</v>
      </c>
      <c r="I229" s="1" t="s">
        <v>176</v>
      </c>
      <c r="J229" s="1" t="s">
        <v>464</v>
      </c>
      <c r="K229" s="1" t="s">
        <v>567</v>
      </c>
      <c r="L229" s="117" t="s">
        <v>568</v>
      </c>
      <c r="M229" s="119">
        <v>0</v>
      </c>
      <c r="N229" s="119">
        <v>0</v>
      </c>
      <c r="O229" s="119">
        <v>0</v>
      </c>
      <c r="P229" s="119">
        <v>0</v>
      </c>
      <c r="Q229" s="119">
        <v>0</v>
      </c>
      <c r="R229" s="1" t="s">
        <v>371</v>
      </c>
      <c r="S229" s="1" t="s">
        <v>206</v>
      </c>
      <c r="T229" s="1" t="s">
        <v>555</v>
      </c>
      <c r="U229" s="1" t="s">
        <v>198</v>
      </c>
      <c r="V229" s="1" t="s">
        <v>357</v>
      </c>
      <c r="W229" s="1" t="s">
        <v>208</v>
      </c>
      <c r="X229" s="1" t="s">
        <v>206</v>
      </c>
      <c r="Y229" s="1" t="s">
        <v>441</v>
      </c>
      <c r="Z229" s="1" t="s">
        <v>206</v>
      </c>
      <c r="AA229" s="1" t="s">
        <v>206</v>
      </c>
      <c r="AB229" s="1" t="s">
        <v>206</v>
      </c>
      <c r="AC229" s="1" t="s">
        <v>236</v>
      </c>
      <c r="AD229" s="1" t="s">
        <v>497</v>
      </c>
      <c r="AE229" s="1" t="s">
        <v>208</v>
      </c>
      <c r="AF229" s="1" t="s">
        <v>208</v>
      </c>
      <c r="AG229" s="1" t="s">
        <v>497</v>
      </c>
      <c r="AH229" s="1" t="s">
        <v>206</v>
      </c>
      <c r="AI229" s="1" t="s">
        <v>229</v>
      </c>
    </row>
    <row x14ac:dyDescent="0.25" r="230" customHeight="1" ht="17.25">
      <c r="A230" s="1" t="s">
        <v>564</v>
      </c>
      <c r="B230" s="123" t="s">
        <v>565</v>
      </c>
      <c r="C230" s="116" t="s">
        <v>87</v>
      </c>
      <c r="D230" s="1" t="s">
        <v>62</v>
      </c>
      <c r="E230" s="116" t="s">
        <v>569</v>
      </c>
      <c r="F230" s="1" t="s">
        <v>159</v>
      </c>
      <c r="G230" s="1" t="s">
        <v>170</v>
      </c>
      <c r="H230" s="61">
        <v>35782</v>
      </c>
      <c r="I230" s="1" t="s">
        <v>175</v>
      </c>
      <c r="J230" s="1" t="s">
        <v>464</v>
      </c>
      <c r="K230" s="1" t="s">
        <v>567</v>
      </c>
      <c r="L230" s="117" t="s">
        <v>568</v>
      </c>
      <c r="M230" s="119">
        <v>0</v>
      </c>
      <c r="N230" s="119">
        <v>0</v>
      </c>
      <c r="O230" s="119">
        <v>0</v>
      </c>
      <c r="P230" s="119">
        <v>0</v>
      </c>
      <c r="Q230" s="119">
        <v>0</v>
      </c>
      <c r="R230" s="1" t="s">
        <v>371</v>
      </c>
      <c r="S230" s="1" t="s">
        <v>206</v>
      </c>
      <c r="T230" s="1" t="s">
        <v>555</v>
      </c>
      <c r="U230" s="1" t="s">
        <v>198</v>
      </c>
      <c r="V230" s="1" t="s">
        <v>357</v>
      </c>
      <c r="W230" s="1" t="s">
        <v>208</v>
      </c>
      <c r="X230" s="1" t="s">
        <v>206</v>
      </c>
      <c r="Y230" s="1" t="s">
        <v>441</v>
      </c>
      <c r="Z230" s="1" t="s">
        <v>206</v>
      </c>
      <c r="AA230" s="1" t="s">
        <v>206</v>
      </c>
      <c r="AB230" s="1" t="s">
        <v>206</v>
      </c>
      <c r="AC230" s="1" t="s">
        <v>236</v>
      </c>
      <c r="AD230" s="1" t="s">
        <v>497</v>
      </c>
      <c r="AE230" s="1" t="s">
        <v>208</v>
      </c>
      <c r="AF230" s="1" t="s">
        <v>208</v>
      </c>
      <c r="AG230" s="1" t="s">
        <v>497</v>
      </c>
      <c r="AH230" s="1" t="s">
        <v>206</v>
      </c>
      <c r="AI230" s="1" t="s">
        <v>229</v>
      </c>
    </row>
    <row x14ac:dyDescent="0.25" r="231" customHeight="1" ht="17.25">
      <c r="A231" s="124" t="s">
        <v>1179</v>
      </c>
      <c r="B231" s="123" t="s">
        <v>728</v>
      </c>
      <c r="C231" s="116" t="s">
        <v>87</v>
      </c>
      <c r="D231" s="1" t="s">
        <v>62</v>
      </c>
      <c r="E231" s="116" t="s">
        <v>1184</v>
      </c>
      <c r="F231" s="1" t="s">
        <v>159</v>
      </c>
      <c r="G231" s="1" t="s">
        <v>22</v>
      </c>
      <c r="H231" s="61">
        <v>34452</v>
      </c>
      <c r="I231" s="1" t="s">
        <v>175</v>
      </c>
      <c r="J231" s="1" t="s">
        <v>365</v>
      </c>
      <c r="K231" s="1" t="s">
        <v>445</v>
      </c>
      <c r="L231" s="119">
        <v>0</v>
      </c>
      <c r="M231" s="117" t="s">
        <v>1181</v>
      </c>
      <c r="N231" s="119">
        <v>0</v>
      </c>
      <c r="O231" s="119">
        <v>0</v>
      </c>
      <c r="P231" s="117" t="s">
        <v>1182</v>
      </c>
      <c r="Q231" s="119">
        <v>0</v>
      </c>
      <c r="R231" s="1" t="s">
        <v>371</v>
      </c>
      <c r="S231" s="1" t="s">
        <v>206</v>
      </c>
      <c r="T231" s="1" t="s">
        <v>1183</v>
      </c>
      <c r="U231" s="1" t="s">
        <v>198</v>
      </c>
      <c r="V231" s="1" t="s">
        <v>357</v>
      </c>
      <c r="W231" s="1" t="s">
        <v>208</v>
      </c>
      <c r="X231" s="1" t="s">
        <v>206</v>
      </c>
      <c r="Y231" s="1" t="s">
        <v>441</v>
      </c>
      <c r="Z231" s="1" t="s">
        <v>206</v>
      </c>
      <c r="AA231" s="1" t="s">
        <v>206</v>
      </c>
      <c r="AB231" s="1" t="s">
        <v>206</v>
      </c>
      <c r="AC231" s="1" t="s">
        <v>237</v>
      </c>
      <c r="AD231" s="1" t="s">
        <v>1052</v>
      </c>
      <c r="AE231" s="1" t="s">
        <v>208</v>
      </c>
      <c r="AF231" s="1" t="s">
        <v>208</v>
      </c>
      <c r="AG231" s="1" t="s">
        <v>1052</v>
      </c>
      <c r="AH231" s="1" t="s">
        <v>206</v>
      </c>
      <c r="AI231" s="1" t="s">
        <v>228</v>
      </c>
    </row>
    <row x14ac:dyDescent="0.25" r="232" customHeight="1" ht="17.25">
      <c r="A232" s="124" t="s">
        <v>1179</v>
      </c>
      <c r="B232" s="123" t="s">
        <v>728</v>
      </c>
      <c r="C232" s="116" t="s">
        <v>87</v>
      </c>
      <c r="D232" s="1" t="s">
        <v>62</v>
      </c>
      <c r="E232" s="116" t="s">
        <v>1180</v>
      </c>
      <c r="F232" s="1" t="s">
        <v>159</v>
      </c>
      <c r="G232" s="1" t="s">
        <v>170</v>
      </c>
      <c r="H232" s="61">
        <v>35620</v>
      </c>
      <c r="I232" s="1" t="s">
        <v>176</v>
      </c>
      <c r="J232" s="1" t="s">
        <v>365</v>
      </c>
      <c r="K232" s="1" t="s">
        <v>366</v>
      </c>
      <c r="L232" s="119">
        <v>0</v>
      </c>
      <c r="M232" s="117" t="s">
        <v>1181</v>
      </c>
      <c r="N232" s="119">
        <v>0</v>
      </c>
      <c r="O232" s="119">
        <v>0</v>
      </c>
      <c r="P232" s="117" t="s">
        <v>1182</v>
      </c>
      <c r="Q232" s="119">
        <v>0</v>
      </c>
      <c r="R232" s="1" t="s">
        <v>371</v>
      </c>
      <c r="S232" s="1" t="s">
        <v>206</v>
      </c>
      <c r="T232" s="1" t="s">
        <v>1183</v>
      </c>
      <c r="U232" s="1" t="s">
        <v>198</v>
      </c>
      <c r="V232" s="1" t="s">
        <v>357</v>
      </c>
      <c r="W232" s="1" t="s">
        <v>208</v>
      </c>
      <c r="X232" s="1" t="s">
        <v>206</v>
      </c>
      <c r="Y232" s="1" t="s">
        <v>441</v>
      </c>
      <c r="Z232" s="1" t="s">
        <v>206</v>
      </c>
      <c r="AA232" s="1" t="s">
        <v>206</v>
      </c>
      <c r="AB232" s="1" t="s">
        <v>206</v>
      </c>
      <c r="AC232" s="1" t="s">
        <v>237</v>
      </c>
      <c r="AD232" s="1" t="s">
        <v>1052</v>
      </c>
      <c r="AE232" s="1" t="s">
        <v>208</v>
      </c>
      <c r="AF232" s="1" t="s">
        <v>208</v>
      </c>
      <c r="AG232" s="1" t="s">
        <v>1052</v>
      </c>
      <c r="AH232" s="1" t="s">
        <v>206</v>
      </c>
      <c r="AI232" s="1" t="s">
        <v>228</v>
      </c>
    </row>
    <row x14ac:dyDescent="0.25" r="233" customHeight="1" ht="17.25">
      <c r="A233" s="1" t="s">
        <v>2419</v>
      </c>
      <c r="B233" s="123" t="s">
        <v>1959</v>
      </c>
      <c r="C233" s="116" t="s">
        <v>107</v>
      </c>
      <c r="D233" s="1" t="s">
        <v>62</v>
      </c>
      <c r="E233" s="116" t="s">
        <v>2420</v>
      </c>
      <c r="F233" s="1" t="s">
        <v>158</v>
      </c>
      <c r="G233" s="1" t="s">
        <v>22</v>
      </c>
      <c r="H233" s="61">
        <v>35892</v>
      </c>
      <c r="I233" s="1" t="s">
        <v>175</v>
      </c>
      <c r="J233" s="1" t="s">
        <v>354</v>
      </c>
      <c r="K233" s="1" t="s">
        <v>2421</v>
      </c>
      <c r="L233" s="117" t="s">
        <v>2422</v>
      </c>
      <c r="M233" s="117" t="s">
        <v>2423</v>
      </c>
      <c r="N233" s="119">
        <v>0</v>
      </c>
      <c r="O233" s="119">
        <v>0</v>
      </c>
      <c r="P233" s="119">
        <v>0</v>
      </c>
      <c r="Q233" s="119">
        <v>0</v>
      </c>
      <c r="R233" s="1" t="s">
        <v>357</v>
      </c>
      <c r="S233" s="1" t="s">
        <v>206</v>
      </c>
      <c r="T233" s="1" t="s">
        <v>2299</v>
      </c>
      <c r="U233" s="1" t="s">
        <v>199</v>
      </c>
      <c r="V233" s="1" t="s">
        <v>208</v>
      </c>
      <c r="W233" s="1" t="s">
        <v>208</v>
      </c>
      <c r="X233" s="1" t="s">
        <v>208</v>
      </c>
      <c r="Y233" s="1" t="s">
        <v>208</v>
      </c>
      <c r="Z233" s="1" t="s">
        <v>208</v>
      </c>
      <c r="AA233" s="1" t="s">
        <v>208</v>
      </c>
      <c r="AB233" s="1" t="s">
        <v>208</v>
      </c>
      <c r="AC233" s="1" t="s">
        <v>208</v>
      </c>
      <c r="AD233" s="1" t="s">
        <v>208</v>
      </c>
      <c r="AE233" s="1" t="s">
        <v>208</v>
      </c>
      <c r="AF233" s="1" t="s">
        <v>208</v>
      </c>
      <c r="AG233" s="1" t="s">
        <v>208</v>
      </c>
      <c r="AH233" s="1" t="s">
        <v>208</v>
      </c>
      <c r="AI233" s="1" t="s">
        <v>208</v>
      </c>
    </row>
    <row x14ac:dyDescent="0.25" r="234" customHeight="1" ht="17.25">
      <c r="A234" s="1" t="s">
        <v>2064</v>
      </c>
      <c r="B234" s="123" t="s">
        <v>1925</v>
      </c>
      <c r="C234" s="116" t="s">
        <v>107</v>
      </c>
      <c r="D234" s="1" t="s">
        <v>62</v>
      </c>
      <c r="E234" s="116" t="s">
        <v>2065</v>
      </c>
      <c r="F234" s="1" t="s">
        <v>158</v>
      </c>
      <c r="G234" s="1" t="s">
        <v>22</v>
      </c>
      <c r="H234" s="61">
        <v>34940</v>
      </c>
      <c r="I234" s="1" t="s">
        <v>176</v>
      </c>
      <c r="J234" s="1" t="s">
        <v>464</v>
      </c>
      <c r="K234" s="1" t="s">
        <v>2066</v>
      </c>
      <c r="L234" s="119">
        <v>0</v>
      </c>
      <c r="M234" s="117" t="s">
        <v>2067</v>
      </c>
      <c r="N234" s="119">
        <v>0</v>
      </c>
      <c r="O234" s="119">
        <v>0</v>
      </c>
      <c r="P234" s="119">
        <v>0</v>
      </c>
      <c r="Q234" s="119">
        <v>0</v>
      </c>
      <c r="R234" s="1" t="s">
        <v>357</v>
      </c>
      <c r="S234" s="1" t="s">
        <v>206</v>
      </c>
      <c r="T234" s="1" t="s">
        <v>1855</v>
      </c>
      <c r="U234" s="1" t="s">
        <v>197</v>
      </c>
      <c r="V234" s="1" t="s">
        <v>357</v>
      </c>
      <c r="W234" s="1" t="s">
        <v>208</v>
      </c>
      <c r="X234" s="1" t="s">
        <v>385</v>
      </c>
      <c r="Y234" s="1" t="s">
        <v>492</v>
      </c>
      <c r="Z234" s="1" t="s">
        <v>207</v>
      </c>
      <c r="AA234" s="1" t="s">
        <v>206</v>
      </c>
      <c r="AB234" s="1" t="s">
        <v>206</v>
      </c>
      <c r="AC234" s="1" t="s">
        <v>238</v>
      </c>
      <c r="AD234" s="1" t="s">
        <v>2038</v>
      </c>
      <c r="AE234" s="1" t="s">
        <v>208</v>
      </c>
      <c r="AF234" s="1" t="s">
        <v>208</v>
      </c>
      <c r="AG234" s="1" t="s">
        <v>2038</v>
      </c>
      <c r="AH234" s="1" t="s">
        <v>208</v>
      </c>
      <c r="AI234" s="120" t="s">
        <v>227</v>
      </c>
    </row>
    <row x14ac:dyDescent="0.25" r="235" customHeight="1" ht="17.25">
      <c r="A235" s="120" t="s">
        <v>854</v>
      </c>
      <c r="B235" s="122">
        <v>43033</v>
      </c>
      <c r="C235" s="1" t="s">
        <v>98</v>
      </c>
      <c r="D235" s="120" t="s">
        <v>63</v>
      </c>
      <c r="E235" s="1" t="s">
        <v>855</v>
      </c>
      <c r="F235" s="1" t="s">
        <v>158</v>
      </c>
      <c r="G235" s="120" t="s">
        <v>170</v>
      </c>
      <c r="H235" s="122">
        <v>34319</v>
      </c>
      <c r="I235" s="120" t="s">
        <v>177</v>
      </c>
      <c r="J235" s="120" t="s">
        <v>365</v>
      </c>
      <c r="K235" s="120" t="s">
        <v>856</v>
      </c>
      <c r="L235" s="117" t="s">
        <v>857</v>
      </c>
      <c r="M235" s="119">
        <v>0</v>
      </c>
      <c r="N235" s="117" t="s">
        <v>858</v>
      </c>
      <c r="O235" s="119">
        <v>0</v>
      </c>
      <c r="P235" s="119">
        <v>0</v>
      </c>
      <c r="Q235" s="119">
        <v>0</v>
      </c>
      <c r="R235" s="1" t="s">
        <v>357</v>
      </c>
      <c r="S235" s="120" t="s">
        <v>206</v>
      </c>
      <c r="T235" s="120" t="s">
        <v>859</v>
      </c>
      <c r="U235" s="120" t="s">
        <v>197</v>
      </c>
      <c r="V235" s="1" t="s">
        <v>357</v>
      </c>
      <c r="W235" s="120" t="s">
        <v>208</v>
      </c>
      <c r="X235" s="120" t="s">
        <v>206</v>
      </c>
      <c r="Y235" s="120" t="s">
        <v>441</v>
      </c>
      <c r="Z235" s="120" t="s">
        <v>206</v>
      </c>
      <c r="AA235" s="120" t="s">
        <v>206</v>
      </c>
      <c r="AB235" s="120" t="s">
        <v>206</v>
      </c>
      <c r="AC235" s="1" t="s">
        <v>236</v>
      </c>
      <c r="AD235" s="120" t="s">
        <v>497</v>
      </c>
      <c r="AE235" s="120" t="s">
        <v>208</v>
      </c>
      <c r="AF235" s="120" t="s">
        <v>208</v>
      </c>
      <c r="AG235" s="120" t="s">
        <v>497</v>
      </c>
      <c r="AH235" s="1" t="s">
        <v>35</v>
      </c>
      <c r="AI235" s="1" t="s">
        <v>208</v>
      </c>
    </row>
    <row x14ac:dyDescent="0.25" r="236" customHeight="1" ht="17.25">
      <c r="A236" s="120" t="s">
        <v>1823</v>
      </c>
      <c r="B236" s="61">
        <v>42947</v>
      </c>
      <c r="C236" s="1" t="s">
        <v>125</v>
      </c>
      <c r="D236" s="120" t="s">
        <v>63</v>
      </c>
      <c r="E236" s="1" t="s">
        <v>1824</v>
      </c>
      <c r="F236" s="1" t="s">
        <v>158</v>
      </c>
      <c r="G236" s="120" t="s">
        <v>22</v>
      </c>
      <c r="H236" s="61">
        <v>33749</v>
      </c>
      <c r="I236" s="120" t="s">
        <v>175</v>
      </c>
      <c r="J236" s="120" t="s">
        <v>517</v>
      </c>
      <c r="K236" s="120" t="s">
        <v>355</v>
      </c>
      <c r="L236" s="117" t="s">
        <v>1825</v>
      </c>
      <c r="M236" s="117" t="s">
        <v>1826</v>
      </c>
      <c r="N236" s="117" t="s">
        <v>1827</v>
      </c>
      <c r="O236" s="119">
        <v>0</v>
      </c>
      <c r="P236" s="119">
        <v>0</v>
      </c>
      <c r="Q236" s="119">
        <v>0</v>
      </c>
      <c r="R236" s="1" t="s">
        <v>357</v>
      </c>
      <c r="S236" s="120" t="s">
        <v>206</v>
      </c>
      <c r="T236" s="120" t="s">
        <v>1056</v>
      </c>
      <c r="U236" s="120" t="s">
        <v>197</v>
      </c>
      <c r="V236" s="1" t="s">
        <v>357</v>
      </c>
      <c r="W236" s="120" t="s">
        <v>208</v>
      </c>
      <c r="X236" s="120" t="s">
        <v>206</v>
      </c>
      <c r="Y236" s="120" t="s">
        <v>441</v>
      </c>
      <c r="Z236" s="1" t="s">
        <v>207</v>
      </c>
      <c r="AA236" s="120" t="s">
        <v>206</v>
      </c>
      <c r="AB236" s="120" t="s">
        <v>206</v>
      </c>
      <c r="AC236" s="1" t="s">
        <v>238</v>
      </c>
      <c r="AD236" s="120" t="s">
        <v>492</v>
      </c>
      <c r="AE236" s="120" t="s">
        <v>208</v>
      </c>
      <c r="AF236" s="120" t="s">
        <v>208</v>
      </c>
      <c r="AG236" s="120" t="s">
        <v>492</v>
      </c>
      <c r="AH236" s="1" t="s">
        <v>208</v>
      </c>
      <c r="AI236" s="120" t="s">
        <v>227</v>
      </c>
    </row>
    <row x14ac:dyDescent="0.25" r="237" customHeight="1" ht="17.25">
      <c r="A237" s="120" t="s">
        <v>1305</v>
      </c>
      <c r="B237" s="61">
        <v>43006</v>
      </c>
      <c r="C237" s="1" t="s">
        <v>152</v>
      </c>
      <c r="D237" s="120" t="s">
        <v>63</v>
      </c>
      <c r="E237" s="1" t="s">
        <v>1306</v>
      </c>
      <c r="F237" s="1" t="s">
        <v>158</v>
      </c>
      <c r="G237" s="120" t="s">
        <v>22</v>
      </c>
      <c r="H237" s="122">
        <v>36087</v>
      </c>
      <c r="I237" s="120" t="s">
        <v>176</v>
      </c>
      <c r="J237" s="120" t="s">
        <v>365</v>
      </c>
      <c r="K237" s="120" t="s">
        <v>1307</v>
      </c>
      <c r="L237" s="117" t="s">
        <v>1308</v>
      </c>
      <c r="M237" s="117" t="s">
        <v>1309</v>
      </c>
      <c r="N237" s="117" t="s">
        <v>1310</v>
      </c>
      <c r="O237" s="117" t="s">
        <v>1311</v>
      </c>
      <c r="P237" s="117" t="s">
        <v>1312</v>
      </c>
      <c r="Q237" s="117" t="s">
        <v>1313</v>
      </c>
      <c r="R237" s="1" t="s">
        <v>357</v>
      </c>
      <c r="S237" s="120" t="s">
        <v>206</v>
      </c>
      <c r="T237" s="120" t="s">
        <v>1245</v>
      </c>
      <c r="U237" s="120" t="s">
        <v>197</v>
      </c>
      <c r="V237" s="1" t="s">
        <v>357</v>
      </c>
      <c r="W237" s="120" t="s">
        <v>208</v>
      </c>
      <c r="X237" s="1" t="s">
        <v>847</v>
      </c>
      <c r="Y237" s="120" t="s">
        <v>386</v>
      </c>
      <c r="Z237" s="120" t="s">
        <v>206</v>
      </c>
      <c r="AA237" s="1" t="s">
        <v>212</v>
      </c>
      <c r="AB237" s="120" t="s">
        <v>206</v>
      </c>
      <c r="AC237" s="1" t="s">
        <v>237</v>
      </c>
      <c r="AD237" s="120" t="s">
        <v>1297</v>
      </c>
      <c r="AE237" s="120" t="s">
        <v>208</v>
      </c>
      <c r="AF237" s="120" t="s">
        <v>208</v>
      </c>
      <c r="AG237" s="120" t="s">
        <v>1297</v>
      </c>
      <c r="AH237" s="1" t="s">
        <v>208</v>
      </c>
      <c r="AI237" s="120" t="s">
        <v>227</v>
      </c>
    </row>
    <row x14ac:dyDescent="0.25" r="238" customHeight="1" ht="17.25">
      <c r="A238" s="120" t="s">
        <v>1568</v>
      </c>
      <c r="B238" s="61">
        <v>42892</v>
      </c>
      <c r="C238" s="1" t="s">
        <v>98</v>
      </c>
      <c r="D238" s="120" t="s">
        <v>63</v>
      </c>
      <c r="E238" s="1" t="s">
        <v>1820</v>
      </c>
      <c r="F238" s="1" t="s">
        <v>158</v>
      </c>
      <c r="G238" s="120" t="s">
        <v>22</v>
      </c>
      <c r="H238" s="61">
        <v>34774</v>
      </c>
      <c r="I238" s="120" t="s">
        <v>176</v>
      </c>
      <c r="J238" s="120" t="s">
        <v>517</v>
      </c>
      <c r="K238" s="120" t="s">
        <v>1821</v>
      </c>
      <c r="L238" s="117" t="s">
        <v>1570</v>
      </c>
      <c r="M238" s="117" t="s">
        <v>1571</v>
      </c>
      <c r="N238" s="117" t="s">
        <v>1572</v>
      </c>
      <c r="O238" s="119">
        <v>0</v>
      </c>
      <c r="P238" s="119">
        <v>0</v>
      </c>
      <c r="Q238" s="119">
        <v>0</v>
      </c>
      <c r="R238" s="1" t="s">
        <v>371</v>
      </c>
      <c r="S238" s="120" t="s">
        <v>206</v>
      </c>
      <c r="T238" s="120" t="s">
        <v>946</v>
      </c>
      <c r="U238" s="120" t="s">
        <v>197</v>
      </c>
      <c r="V238" s="1" t="s">
        <v>371</v>
      </c>
      <c r="W238" s="120" t="s">
        <v>208</v>
      </c>
      <c r="X238" s="120" t="s">
        <v>653</v>
      </c>
      <c r="Y238" s="120" t="s">
        <v>492</v>
      </c>
      <c r="Z238" s="120" t="s">
        <v>206</v>
      </c>
      <c r="AA238" s="120" t="s">
        <v>206</v>
      </c>
      <c r="AB238" s="120" t="s">
        <v>206</v>
      </c>
      <c r="AC238" s="1" t="s">
        <v>206</v>
      </c>
      <c r="AD238" s="120" t="s">
        <v>492</v>
      </c>
      <c r="AE238" s="120" t="s">
        <v>1266</v>
      </c>
      <c r="AF238" s="120" t="s">
        <v>208</v>
      </c>
      <c r="AG238" s="120" t="s">
        <v>1822</v>
      </c>
      <c r="AH238" s="1" t="s">
        <v>208</v>
      </c>
      <c r="AI238" s="120" t="s">
        <v>227</v>
      </c>
    </row>
    <row x14ac:dyDescent="0.25" r="239" customHeight="1" ht="17.25">
      <c r="A239" s="120" t="s">
        <v>1568</v>
      </c>
      <c r="B239" s="61">
        <v>42892</v>
      </c>
      <c r="C239" s="1" t="s">
        <v>98</v>
      </c>
      <c r="D239" s="120" t="s">
        <v>63</v>
      </c>
      <c r="E239" s="1" t="s">
        <v>1569</v>
      </c>
      <c r="F239" s="1" t="s">
        <v>158</v>
      </c>
      <c r="G239" s="120" t="s">
        <v>22</v>
      </c>
      <c r="H239" s="122">
        <v>35717</v>
      </c>
      <c r="I239" s="120" t="s">
        <v>175</v>
      </c>
      <c r="J239" s="120" t="s">
        <v>517</v>
      </c>
      <c r="K239" s="120" t="s">
        <v>773</v>
      </c>
      <c r="L239" s="117" t="s">
        <v>1570</v>
      </c>
      <c r="M239" s="117" t="s">
        <v>1571</v>
      </c>
      <c r="N239" s="117" t="s">
        <v>1572</v>
      </c>
      <c r="O239" s="119">
        <v>0</v>
      </c>
      <c r="P239" s="119">
        <v>0</v>
      </c>
      <c r="Q239" s="119">
        <v>0</v>
      </c>
      <c r="R239" s="1" t="s">
        <v>371</v>
      </c>
      <c r="S239" s="120" t="s">
        <v>206</v>
      </c>
      <c r="T239" s="120" t="s">
        <v>946</v>
      </c>
      <c r="U239" s="120" t="s">
        <v>197</v>
      </c>
      <c r="V239" s="1" t="s">
        <v>371</v>
      </c>
      <c r="W239" s="120" t="s">
        <v>208</v>
      </c>
      <c r="X239" s="120" t="s">
        <v>653</v>
      </c>
      <c r="Y239" s="120" t="s">
        <v>492</v>
      </c>
      <c r="Z239" s="120" t="s">
        <v>206</v>
      </c>
      <c r="AA239" s="1" t="s">
        <v>29</v>
      </c>
      <c r="AB239" s="120" t="s">
        <v>206</v>
      </c>
      <c r="AC239" s="1" t="s">
        <v>206</v>
      </c>
      <c r="AD239" s="120" t="s">
        <v>441</v>
      </c>
      <c r="AE239" s="120" t="s">
        <v>1101</v>
      </c>
      <c r="AF239" s="120" t="s">
        <v>208</v>
      </c>
      <c r="AG239" s="120" t="s">
        <v>360</v>
      </c>
      <c r="AH239" s="1" t="s">
        <v>208</v>
      </c>
      <c r="AI239" s="120" t="s">
        <v>227</v>
      </c>
    </row>
    <row x14ac:dyDescent="0.25" r="240" customHeight="1" ht="17.25">
      <c r="A240" s="120" t="s">
        <v>799</v>
      </c>
      <c r="B240" s="61">
        <v>42921</v>
      </c>
      <c r="C240" s="1" t="s">
        <v>98</v>
      </c>
      <c r="D240" s="120" t="s">
        <v>63</v>
      </c>
      <c r="E240" s="1" t="s">
        <v>800</v>
      </c>
      <c r="F240" s="1" t="s">
        <v>158</v>
      </c>
      <c r="G240" s="120" t="s">
        <v>22</v>
      </c>
      <c r="H240" s="122">
        <v>35026</v>
      </c>
      <c r="I240" s="120" t="s">
        <v>176</v>
      </c>
      <c r="J240" s="120" t="s">
        <v>517</v>
      </c>
      <c r="K240" s="120" t="s">
        <v>801</v>
      </c>
      <c r="L240" s="117" t="s">
        <v>802</v>
      </c>
      <c r="M240" s="119">
        <v>0</v>
      </c>
      <c r="N240" s="117" t="s">
        <v>803</v>
      </c>
      <c r="O240" s="119">
        <v>0</v>
      </c>
      <c r="P240" s="119">
        <v>0</v>
      </c>
      <c r="Q240" s="119">
        <v>0</v>
      </c>
      <c r="R240" s="1" t="s">
        <v>357</v>
      </c>
      <c r="S240" s="120" t="s">
        <v>206</v>
      </c>
      <c r="T240" s="120" t="s">
        <v>804</v>
      </c>
      <c r="U240" s="120" t="s">
        <v>197</v>
      </c>
      <c r="V240" s="1" t="s">
        <v>357</v>
      </c>
      <c r="W240" s="120" t="s">
        <v>208</v>
      </c>
      <c r="X240" s="120" t="s">
        <v>206</v>
      </c>
      <c r="Y240" s="120" t="s">
        <v>441</v>
      </c>
      <c r="Z240" s="120" t="s">
        <v>206</v>
      </c>
      <c r="AA240" s="120" t="s">
        <v>206</v>
      </c>
      <c r="AB240" s="120" t="s">
        <v>206</v>
      </c>
      <c r="AC240" s="1" t="s">
        <v>236</v>
      </c>
      <c r="AD240" s="120" t="s">
        <v>497</v>
      </c>
      <c r="AE240" s="120" t="s">
        <v>208</v>
      </c>
      <c r="AF240" s="120" t="s">
        <v>208</v>
      </c>
      <c r="AG240" s="120" t="s">
        <v>497</v>
      </c>
      <c r="AH240" s="1" t="s">
        <v>35</v>
      </c>
      <c r="AI240" s="1" t="s">
        <v>208</v>
      </c>
    </row>
    <row x14ac:dyDescent="0.25" r="241" customHeight="1" ht="17.25">
      <c r="A241" s="120" t="s">
        <v>941</v>
      </c>
      <c r="B241" s="61">
        <v>42976</v>
      </c>
      <c r="C241" s="1" t="s">
        <v>98</v>
      </c>
      <c r="D241" s="120" t="s">
        <v>63</v>
      </c>
      <c r="E241" s="1" t="s">
        <v>942</v>
      </c>
      <c r="F241" s="1" t="s">
        <v>158</v>
      </c>
      <c r="G241" s="120" t="s">
        <v>22</v>
      </c>
      <c r="H241" s="61">
        <v>34081</v>
      </c>
      <c r="I241" s="120" t="s">
        <v>175</v>
      </c>
      <c r="J241" s="120" t="s">
        <v>365</v>
      </c>
      <c r="K241" s="120" t="s">
        <v>366</v>
      </c>
      <c r="L241" s="117" t="s">
        <v>943</v>
      </c>
      <c r="M241" s="117" t="s">
        <v>944</v>
      </c>
      <c r="N241" s="117" t="s">
        <v>945</v>
      </c>
      <c r="O241" s="119">
        <v>0</v>
      </c>
      <c r="P241" s="119">
        <v>0</v>
      </c>
      <c r="Q241" s="119">
        <v>0</v>
      </c>
      <c r="R241" s="1" t="s">
        <v>357</v>
      </c>
      <c r="S241" s="120" t="s">
        <v>206</v>
      </c>
      <c r="T241" s="120" t="s">
        <v>946</v>
      </c>
      <c r="U241" s="120" t="s">
        <v>197</v>
      </c>
      <c r="V241" s="1" t="s">
        <v>357</v>
      </c>
      <c r="W241" s="120" t="s">
        <v>208</v>
      </c>
      <c r="X241" s="120" t="s">
        <v>206</v>
      </c>
      <c r="Y241" s="120" t="s">
        <v>441</v>
      </c>
      <c r="Z241" s="120" t="s">
        <v>206</v>
      </c>
      <c r="AA241" s="120" t="s">
        <v>206</v>
      </c>
      <c r="AB241" s="120" t="s">
        <v>206</v>
      </c>
      <c r="AC241" s="1" t="s">
        <v>236</v>
      </c>
      <c r="AD241" s="120" t="s">
        <v>497</v>
      </c>
      <c r="AE241" s="120" t="s">
        <v>208</v>
      </c>
      <c r="AF241" s="120" t="s">
        <v>208</v>
      </c>
      <c r="AG241" s="120" t="s">
        <v>497</v>
      </c>
      <c r="AH241" s="1" t="s">
        <v>206</v>
      </c>
      <c r="AI241" s="120" t="s">
        <v>227</v>
      </c>
    </row>
    <row x14ac:dyDescent="0.25" r="242" customHeight="1" ht="17.25">
      <c r="A242" s="120" t="s">
        <v>622</v>
      </c>
      <c r="B242" s="61">
        <v>42909</v>
      </c>
      <c r="C242" s="1" t="s">
        <v>125</v>
      </c>
      <c r="D242" s="120" t="s">
        <v>63</v>
      </c>
      <c r="E242" s="1" t="s">
        <v>623</v>
      </c>
      <c r="F242" s="1" t="s">
        <v>158</v>
      </c>
      <c r="G242" s="120" t="s">
        <v>22</v>
      </c>
      <c r="H242" s="122">
        <v>34695</v>
      </c>
      <c r="I242" s="120" t="s">
        <v>176</v>
      </c>
      <c r="J242" s="120" t="s">
        <v>354</v>
      </c>
      <c r="K242" s="120" t="s">
        <v>624</v>
      </c>
      <c r="L242" s="119">
        <v>0</v>
      </c>
      <c r="M242" s="117" t="s">
        <v>625</v>
      </c>
      <c r="N242" s="119">
        <v>0</v>
      </c>
      <c r="O242" s="119">
        <v>0</v>
      </c>
      <c r="P242" s="119">
        <v>0</v>
      </c>
      <c r="Q242" s="119">
        <v>0</v>
      </c>
      <c r="R242" s="1" t="s">
        <v>357</v>
      </c>
      <c r="S242" s="120" t="s">
        <v>206</v>
      </c>
      <c r="T242" s="120" t="s">
        <v>626</v>
      </c>
      <c r="U242" s="120" t="s">
        <v>197</v>
      </c>
      <c r="V242" s="1" t="s">
        <v>357</v>
      </c>
      <c r="W242" s="120" t="s">
        <v>208</v>
      </c>
      <c r="X242" s="120" t="s">
        <v>206</v>
      </c>
      <c r="Y242" s="120" t="s">
        <v>441</v>
      </c>
      <c r="Z242" s="120" t="s">
        <v>206</v>
      </c>
      <c r="AA242" s="120" t="s">
        <v>206</v>
      </c>
      <c r="AB242" s="120" t="s">
        <v>206</v>
      </c>
      <c r="AC242" s="1" t="s">
        <v>236</v>
      </c>
      <c r="AD242" s="120" t="s">
        <v>497</v>
      </c>
      <c r="AE242" s="120" t="s">
        <v>208</v>
      </c>
      <c r="AF242" s="120" t="s">
        <v>208</v>
      </c>
      <c r="AG242" s="120" t="s">
        <v>497</v>
      </c>
      <c r="AH242" s="1" t="s">
        <v>206</v>
      </c>
      <c r="AI242" s="120" t="s">
        <v>227</v>
      </c>
    </row>
    <row x14ac:dyDescent="0.25" r="243" customHeight="1" ht="17.25">
      <c r="A243" s="120" t="s">
        <v>1240</v>
      </c>
      <c r="B243" s="61">
        <v>42753</v>
      </c>
      <c r="C243" s="1" t="s">
        <v>98</v>
      </c>
      <c r="D243" s="120" t="s">
        <v>63</v>
      </c>
      <c r="E243" s="1" t="s">
        <v>1241</v>
      </c>
      <c r="F243" s="120" t="s">
        <v>159</v>
      </c>
      <c r="G243" s="120" t="s">
        <v>170</v>
      </c>
      <c r="H243" s="61">
        <v>30088</v>
      </c>
      <c r="I243" s="120" t="s">
        <v>175</v>
      </c>
      <c r="J243" s="120" t="s">
        <v>365</v>
      </c>
      <c r="K243" s="120" t="s">
        <v>1242</v>
      </c>
      <c r="L243" s="117" t="s">
        <v>1243</v>
      </c>
      <c r="M243" s="117" t="s">
        <v>1244</v>
      </c>
      <c r="N243" s="119">
        <v>0</v>
      </c>
      <c r="O243" s="119">
        <v>0</v>
      </c>
      <c r="P243" s="119">
        <v>0</v>
      </c>
      <c r="Q243" s="119">
        <v>0</v>
      </c>
      <c r="R243" s="1" t="s">
        <v>357</v>
      </c>
      <c r="S243" s="120" t="s">
        <v>206</v>
      </c>
      <c r="T243" s="120" t="s">
        <v>1245</v>
      </c>
      <c r="U243" s="120" t="s">
        <v>197</v>
      </c>
      <c r="V243" s="1" t="s">
        <v>357</v>
      </c>
      <c r="W243" s="120" t="s">
        <v>208</v>
      </c>
      <c r="X243" s="120" t="s">
        <v>1246</v>
      </c>
      <c r="Y243" s="120" t="s">
        <v>386</v>
      </c>
      <c r="Z243" s="120" t="s">
        <v>206</v>
      </c>
      <c r="AA243" s="1" t="s">
        <v>28</v>
      </c>
      <c r="AB243" s="120" t="s">
        <v>206</v>
      </c>
      <c r="AC243" s="1" t="s">
        <v>237</v>
      </c>
      <c r="AD243" s="120" t="s">
        <v>1247</v>
      </c>
      <c r="AE243" s="120" t="s">
        <v>208</v>
      </c>
      <c r="AF243" s="120" t="s">
        <v>208</v>
      </c>
      <c r="AG243" s="120" t="s">
        <v>1247</v>
      </c>
      <c r="AH243" s="1" t="s">
        <v>206</v>
      </c>
      <c r="AI243" s="120" t="s">
        <v>227</v>
      </c>
    </row>
    <row x14ac:dyDescent="0.25" r="244" customHeight="1" ht="17.25">
      <c r="A244" s="120" t="s">
        <v>633</v>
      </c>
      <c r="B244" s="61">
        <v>42937</v>
      </c>
      <c r="C244" s="1" t="s">
        <v>125</v>
      </c>
      <c r="D244" s="120" t="s">
        <v>63</v>
      </c>
      <c r="E244" s="1" t="s">
        <v>634</v>
      </c>
      <c r="F244" s="1" t="s">
        <v>158</v>
      </c>
      <c r="G244" s="120" t="s">
        <v>22</v>
      </c>
      <c r="H244" s="61">
        <v>35959</v>
      </c>
      <c r="I244" s="120" t="s">
        <v>176</v>
      </c>
      <c r="J244" s="120" t="s">
        <v>354</v>
      </c>
      <c r="K244" s="120" t="s">
        <v>635</v>
      </c>
      <c r="L244" s="117" t="s">
        <v>636</v>
      </c>
      <c r="M244" s="117" t="s">
        <v>637</v>
      </c>
      <c r="N244" s="119">
        <v>0</v>
      </c>
      <c r="O244" s="119">
        <v>0</v>
      </c>
      <c r="P244" s="119">
        <v>0</v>
      </c>
      <c r="Q244" s="119">
        <v>0</v>
      </c>
      <c r="R244" s="1" t="s">
        <v>357</v>
      </c>
      <c r="S244" s="120" t="s">
        <v>206</v>
      </c>
      <c r="T244" s="120" t="s">
        <v>638</v>
      </c>
      <c r="U244" s="120" t="s">
        <v>197</v>
      </c>
      <c r="V244" s="1" t="s">
        <v>357</v>
      </c>
      <c r="W244" s="120" t="s">
        <v>208</v>
      </c>
      <c r="X244" s="120" t="s">
        <v>206</v>
      </c>
      <c r="Y244" s="120" t="s">
        <v>441</v>
      </c>
      <c r="Z244" s="120" t="s">
        <v>206</v>
      </c>
      <c r="AA244" s="120" t="s">
        <v>206</v>
      </c>
      <c r="AB244" s="120" t="s">
        <v>206</v>
      </c>
      <c r="AC244" s="1" t="s">
        <v>236</v>
      </c>
      <c r="AD244" s="120" t="s">
        <v>497</v>
      </c>
      <c r="AE244" s="120" t="s">
        <v>208</v>
      </c>
      <c r="AF244" s="120" t="s">
        <v>208</v>
      </c>
      <c r="AG244" s="120" t="s">
        <v>497</v>
      </c>
      <c r="AH244" s="1" t="s">
        <v>206</v>
      </c>
      <c r="AI244" s="120" t="s">
        <v>227</v>
      </c>
    </row>
    <row x14ac:dyDescent="0.25" r="245" customHeight="1" ht="17.25">
      <c r="A245" s="120" t="s">
        <v>2446</v>
      </c>
      <c r="B245" s="61">
        <v>42824</v>
      </c>
      <c r="C245" s="1" t="s">
        <v>98</v>
      </c>
      <c r="D245" s="120" t="s">
        <v>63</v>
      </c>
      <c r="E245" s="1" t="s">
        <v>2447</v>
      </c>
      <c r="F245" s="1" t="s">
        <v>158</v>
      </c>
      <c r="G245" s="120" t="s">
        <v>22</v>
      </c>
      <c r="H245" s="61">
        <v>36001</v>
      </c>
      <c r="I245" s="120" t="s">
        <v>175</v>
      </c>
      <c r="J245" s="120" t="s">
        <v>615</v>
      </c>
      <c r="K245" s="120" t="s">
        <v>2448</v>
      </c>
      <c r="L245" s="117" t="s">
        <v>2449</v>
      </c>
      <c r="M245" s="117" t="s">
        <v>2450</v>
      </c>
      <c r="N245" s="119">
        <v>0</v>
      </c>
      <c r="O245" s="119">
        <v>0</v>
      </c>
      <c r="P245" s="119">
        <v>0</v>
      </c>
      <c r="Q245" s="119">
        <v>0</v>
      </c>
      <c r="R245" s="1" t="s">
        <v>357</v>
      </c>
      <c r="S245" s="120" t="s">
        <v>674</v>
      </c>
      <c r="T245" s="120" t="s">
        <v>2451</v>
      </c>
      <c r="U245" s="120" t="s">
        <v>199</v>
      </c>
      <c r="V245" s="120" t="s">
        <v>208</v>
      </c>
      <c r="W245" s="120" t="s">
        <v>208</v>
      </c>
      <c r="X245" s="120" t="s">
        <v>208</v>
      </c>
      <c r="Y245" s="120" t="s">
        <v>208</v>
      </c>
      <c r="Z245" s="120" t="s">
        <v>208</v>
      </c>
      <c r="AA245" s="120" t="s">
        <v>208</v>
      </c>
      <c r="AB245" s="120" t="s">
        <v>208</v>
      </c>
      <c r="AC245" s="120" t="s">
        <v>208</v>
      </c>
      <c r="AD245" s="120" t="s">
        <v>208</v>
      </c>
      <c r="AE245" s="120" t="s">
        <v>208</v>
      </c>
      <c r="AF245" s="120" t="s">
        <v>208</v>
      </c>
      <c r="AG245" s="120" t="s">
        <v>208</v>
      </c>
      <c r="AH245" s="120" t="s">
        <v>208</v>
      </c>
      <c r="AI245" s="120" t="s">
        <v>208</v>
      </c>
    </row>
    <row x14ac:dyDescent="0.25" r="246" customHeight="1" ht="17.25">
      <c r="A246" s="120" t="s">
        <v>777</v>
      </c>
      <c r="B246" s="61">
        <v>43040</v>
      </c>
      <c r="C246" s="1" t="s">
        <v>98</v>
      </c>
      <c r="D246" s="120" t="s">
        <v>63</v>
      </c>
      <c r="E246" s="1" t="s">
        <v>778</v>
      </c>
      <c r="F246" s="1" t="s">
        <v>158</v>
      </c>
      <c r="G246" s="120" t="s">
        <v>22</v>
      </c>
      <c r="H246" s="61">
        <v>35107</v>
      </c>
      <c r="I246" s="120" t="s">
        <v>177</v>
      </c>
      <c r="J246" s="120" t="s">
        <v>354</v>
      </c>
      <c r="K246" s="120" t="s">
        <v>779</v>
      </c>
      <c r="L246" s="117" t="s">
        <v>780</v>
      </c>
      <c r="M246" s="117" t="s">
        <v>781</v>
      </c>
      <c r="N246" s="119">
        <v>0</v>
      </c>
      <c r="O246" s="119">
        <v>0</v>
      </c>
      <c r="P246" s="119">
        <v>0</v>
      </c>
      <c r="Q246" s="117" t="s">
        <v>782</v>
      </c>
      <c r="R246" s="1" t="s">
        <v>357</v>
      </c>
      <c r="S246" s="120" t="s">
        <v>206</v>
      </c>
      <c r="T246" s="120" t="s">
        <v>783</v>
      </c>
      <c r="U246" s="120" t="s">
        <v>197</v>
      </c>
      <c r="V246" s="1" t="s">
        <v>357</v>
      </c>
      <c r="W246" s="120" t="s">
        <v>208</v>
      </c>
      <c r="X246" s="120" t="s">
        <v>206</v>
      </c>
      <c r="Y246" s="120" t="s">
        <v>441</v>
      </c>
      <c r="Z246" s="120" t="s">
        <v>206</v>
      </c>
      <c r="AA246" s="120" t="s">
        <v>206</v>
      </c>
      <c r="AB246" s="120" t="s">
        <v>206</v>
      </c>
      <c r="AC246" s="1" t="s">
        <v>236</v>
      </c>
      <c r="AD246" s="120" t="s">
        <v>497</v>
      </c>
      <c r="AE246" s="120" t="s">
        <v>208</v>
      </c>
      <c r="AF246" s="120" t="s">
        <v>208</v>
      </c>
      <c r="AG246" s="120" t="s">
        <v>497</v>
      </c>
      <c r="AH246" s="1" t="s">
        <v>206</v>
      </c>
      <c r="AI246" s="1" t="s">
        <v>228</v>
      </c>
    </row>
    <row x14ac:dyDescent="0.25" r="247" customHeight="1" ht="17.25">
      <c r="A247" s="120" t="s">
        <v>2300</v>
      </c>
      <c r="B247" s="61" t="s">
        <v>1589</v>
      </c>
      <c r="C247" s="1" t="s">
        <v>78</v>
      </c>
      <c r="D247" s="120" t="s">
        <v>64</v>
      </c>
      <c r="E247" s="1" t="s">
        <v>2301</v>
      </c>
      <c r="F247" s="1" t="s">
        <v>158</v>
      </c>
      <c r="G247" s="120" t="s">
        <v>22</v>
      </c>
      <c r="H247" s="61">
        <v>34141</v>
      </c>
      <c r="I247" s="120" t="s">
        <v>176</v>
      </c>
      <c r="J247" s="120" t="s">
        <v>464</v>
      </c>
      <c r="K247" s="120" t="s">
        <v>2302</v>
      </c>
      <c r="L247" s="117" t="s">
        <v>2303</v>
      </c>
      <c r="M247" s="119">
        <v>0</v>
      </c>
      <c r="N247" s="119">
        <v>0</v>
      </c>
      <c r="O247" s="119">
        <v>0</v>
      </c>
      <c r="P247" s="119">
        <v>0</v>
      </c>
      <c r="Q247" s="119">
        <v>0</v>
      </c>
      <c r="R247" s="1" t="s">
        <v>357</v>
      </c>
      <c r="S247" s="120" t="s">
        <v>206</v>
      </c>
      <c r="T247" s="120" t="s">
        <v>2304</v>
      </c>
      <c r="U247" s="125" t="s">
        <v>200</v>
      </c>
      <c r="V247" s="120" t="s">
        <v>2285</v>
      </c>
      <c r="W247" s="120" t="s">
        <v>208</v>
      </c>
      <c r="X247" s="120" t="s">
        <v>208</v>
      </c>
      <c r="Y247" s="120" t="s">
        <v>208</v>
      </c>
      <c r="Z247" s="120" t="s">
        <v>208</v>
      </c>
      <c r="AA247" s="120" t="s">
        <v>208</v>
      </c>
      <c r="AB247" s="120" t="s">
        <v>208</v>
      </c>
      <c r="AC247" s="120" t="s">
        <v>208</v>
      </c>
      <c r="AD247" s="120" t="s">
        <v>208</v>
      </c>
      <c r="AE247" s="1" t="s">
        <v>206</v>
      </c>
      <c r="AF247" s="120" t="s">
        <v>208</v>
      </c>
      <c r="AG247" s="120" t="s">
        <v>208</v>
      </c>
      <c r="AH247" s="120" t="s">
        <v>208</v>
      </c>
      <c r="AI247" s="120" t="s">
        <v>208</v>
      </c>
    </row>
    <row x14ac:dyDescent="0.25" r="248" customHeight="1" ht="15.75">
      <c r="A248" s="120" t="s">
        <v>541</v>
      </c>
      <c r="B248" s="61" t="s">
        <v>542</v>
      </c>
      <c r="C248" s="1" t="s">
        <v>133</v>
      </c>
      <c r="D248" s="1" t="s">
        <v>64</v>
      </c>
      <c r="E248" s="1" t="s">
        <v>543</v>
      </c>
      <c r="F248" s="1" t="s">
        <v>158</v>
      </c>
      <c r="G248" s="120" t="s">
        <v>22</v>
      </c>
      <c r="H248" s="61">
        <v>29032</v>
      </c>
      <c r="I248" s="120" t="s">
        <v>177</v>
      </c>
      <c r="J248" s="120" t="s">
        <v>354</v>
      </c>
      <c r="K248" s="120" t="s">
        <v>366</v>
      </c>
      <c r="L248" s="117" t="s">
        <v>544</v>
      </c>
      <c r="M248" s="119">
        <v>0</v>
      </c>
      <c r="N248" s="119">
        <v>0</v>
      </c>
      <c r="O248" s="119">
        <v>0</v>
      </c>
      <c r="P248" s="119">
        <v>0</v>
      </c>
      <c r="Q248" s="119">
        <v>0</v>
      </c>
      <c r="R248" s="1" t="s">
        <v>357</v>
      </c>
      <c r="S248" s="120" t="s">
        <v>206</v>
      </c>
      <c r="T248" s="120" t="s">
        <v>373</v>
      </c>
      <c r="U248" s="120" t="s">
        <v>197</v>
      </c>
      <c r="V248" s="1" t="s">
        <v>357</v>
      </c>
      <c r="W248" s="120" t="s">
        <v>208</v>
      </c>
      <c r="X248" s="120" t="s">
        <v>206</v>
      </c>
      <c r="Y248" s="120" t="s">
        <v>441</v>
      </c>
      <c r="Z248" s="120" t="s">
        <v>206</v>
      </c>
      <c r="AA248" s="120" t="s">
        <v>206</v>
      </c>
      <c r="AB248" s="120" t="s">
        <v>206</v>
      </c>
      <c r="AC248" s="1" t="s">
        <v>236</v>
      </c>
      <c r="AD248" s="120" t="s">
        <v>497</v>
      </c>
      <c r="AE248" s="120" t="s">
        <v>208</v>
      </c>
      <c r="AF248" s="120" t="s">
        <v>208</v>
      </c>
      <c r="AG248" s="120" t="s">
        <v>497</v>
      </c>
      <c r="AH248" s="1" t="s">
        <v>206</v>
      </c>
      <c r="AI248" s="120" t="s">
        <v>229</v>
      </c>
    </row>
    <row x14ac:dyDescent="0.25" r="249" customHeight="1" ht="15.75">
      <c r="A249" s="120" t="s">
        <v>2517</v>
      </c>
      <c r="B249" s="61">
        <v>42964</v>
      </c>
      <c r="C249" s="1" t="s">
        <v>78</v>
      </c>
      <c r="D249" s="120" t="s">
        <v>64</v>
      </c>
      <c r="E249" s="1" t="s">
        <v>2518</v>
      </c>
      <c r="F249" s="1" t="s">
        <v>158</v>
      </c>
      <c r="G249" s="120" t="s">
        <v>22</v>
      </c>
      <c r="H249" s="61">
        <v>34879</v>
      </c>
      <c r="I249" s="120" t="s">
        <v>176</v>
      </c>
      <c r="J249" s="120" t="s">
        <v>365</v>
      </c>
      <c r="K249" s="120" t="s">
        <v>2519</v>
      </c>
      <c r="L249" s="117" t="s">
        <v>2520</v>
      </c>
      <c r="M249" s="117" t="s">
        <v>2521</v>
      </c>
      <c r="N249" s="117" t="s">
        <v>952</v>
      </c>
      <c r="O249" s="119">
        <v>0</v>
      </c>
      <c r="P249" s="119">
        <v>0</v>
      </c>
      <c r="Q249" s="117" t="s">
        <v>2522</v>
      </c>
      <c r="R249" s="1" t="s">
        <v>357</v>
      </c>
      <c r="S249" s="120" t="s">
        <v>206</v>
      </c>
      <c r="T249" s="120" t="s">
        <v>2523</v>
      </c>
      <c r="U249" s="120" t="s">
        <v>199</v>
      </c>
      <c r="V249" s="120" t="s">
        <v>208</v>
      </c>
      <c r="W249" s="120" t="s">
        <v>208</v>
      </c>
      <c r="X249" s="120" t="s">
        <v>208</v>
      </c>
      <c r="Y249" s="120" t="s">
        <v>208</v>
      </c>
      <c r="Z249" s="120" t="s">
        <v>208</v>
      </c>
      <c r="AA249" s="120" t="s">
        <v>208</v>
      </c>
      <c r="AB249" s="120" t="s">
        <v>208</v>
      </c>
      <c r="AC249" s="120" t="s">
        <v>208</v>
      </c>
      <c r="AD249" s="120" t="s">
        <v>208</v>
      </c>
      <c r="AE249" s="120" t="s">
        <v>208</v>
      </c>
      <c r="AF249" s="120" t="s">
        <v>208</v>
      </c>
      <c r="AG249" s="120" t="s">
        <v>208</v>
      </c>
      <c r="AH249" s="120" t="s">
        <v>208</v>
      </c>
      <c r="AI249" s="120" t="s">
        <v>208</v>
      </c>
    </row>
    <row x14ac:dyDescent="0.25" r="250" customHeight="1" ht="17.25">
      <c r="A250" s="120" t="s">
        <v>1215</v>
      </c>
      <c r="B250" s="61">
        <v>42884</v>
      </c>
      <c r="C250" s="1" t="s">
        <v>78</v>
      </c>
      <c r="D250" s="126" t="s">
        <v>64</v>
      </c>
      <c r="E250" s="1" t="s">
        <v>1580</v>
      </c>
      <c r="F250" s="120" t="s">
        <v>159</v>
      </c>
      <c r="G250" s="120" t="s">
        <v>22</v>
      </c>
      <c r="H250" s="61">
        <v>29074</v>
      </c>
      <c r="I250" s="120" t="s">
        <v>177</v>
      </c>
      <c r="J250" s="120" t="s">
        <v>365</v>
      </c>
      <c r="K250" s="120" t="s">
        <v>1581</v>
      </c>
      <c r="L250" s="117" t="s">
        <v>1217</v>
      </c>
      <c r="M250" s="117" t="s">
        <v>1218</v>
      </c>
      <c r="N250" s="117" t="s">
        <v>1219</v>
      </c>
      <c r="O250" s="119">
        <v>0</v>
      </c>
      <c r="P250" s="119">
        <v>0</v>
      </c>
      <c r="Q250" s="119">
        <v>0</v>
      </c>
      <c r="R250" s="120" t="s">
        <v>1220</v>
      </c>
      <c r="S250" s="1" t="s">
        <v>1221</v>
      </c>
      <c r="T250" s="127" t="s">
        <v>770</v>
      </c>
      <c r="U250" s="120" t="s">
        <v>198</v>
      </c>
      <c r="V250" s="1" t="s">
        <v>357</v>
      </c>
      <c r="W250" s="1" t="s">
        <v>1221</v>
      </c>
      <c r="X250" s="120" t="s">
        <v>406</v>
      </c>
      <c r="Y250" s="120" t="s">
        <v>492</v>
      </c>
      <c r="Z250" s="120" t="s">
        <v>206</v>
      </c>
      <c r="AA250" s="1" t="s">
        <v>28</v>
      </c>
      <c r="AB250" s="120" t="s">
        <v>206</v>
      </c>
      <c r="AC250" s="1" t="s">
        <v>238</v>
      </c>
      <c r="AD250" s="120" t="s">
        <v>441</v>
      </c>
      <c r="AE250" s="120" t="s">
        <v>208</v>
      </c>
      <c r="AF250" s="120" t="s">
        <v>661</v>
      </c>
      <c r="AG250" s="120" t="s">
        <v>375</v>
      </c>
      <c r="AH250" s="1" t="s">
        <v>208</v>
      </c>
      <c r="AI250" s="120" t="s">
        <v>227</v>
      </c>
    </row>
    <row x14ac:dyDescent="0.25" r="251" customHeight="1" ht="17.25">
      <c r="A251" s="120" t="s">
        <v>1215</v>
      </c>
      <c r="B251" s="61">
        <v>42884</v>
      </c>
      <c r="C251" s="1" t="s">
        <v>78</v>
      </c>
      <c r="D251" s="120" t="s">
        <v>64</v>
      </c>
      <c r="E251" s="1" t="s">
        <v>1222</v>
      </c>
      <c r="F251" s="120" t="s">
        <v>159</v>
      </c>
      <c r="G251" s="120" t="s">
        <v>170</v>
      </c>
      <c r="H251" s="61">
        <v>27516</v>
      </c>
      <c r="I251" s="120" t="s">
        <v>175</v>
      </c>
      <c r="J251" s="120" t="s">
        <v>464</v>
      </c>
      <c r="K251" s="120" t="s">
        <v>445</v>
      </c>
      <c r="L251" s="117" t="s">
        <v>1217</v>
      </c>
      <c r="M251" s="117" t="s">
        <v>1218</v>
      </c>
      <c r="N251" s="117" t="s">
        <v>1219</v>
      </c>
      <c r="O251" s="119">
        <v>0</v>
      </c>
      <c r="P251" s="119">
        <v>0</v>
      </c>
      <c r="Q251" s="119">
        <v>0</v>
      </c>
      <c r="R251" s="120" t="s">
        <v>1220</v>
      </c>
      <c r="S251" s="1" t="s">
        <v>1221</v>
      </c>
      <c r="T251" s="128" t="s">
        <v>555</v>
      </c>
      <c r="U251" s="120" t="s">
        <v>198</v>
      </c>
      <c r="V251" s="1" t="s">
        <v>357</v>
      </c>
      <c r="W251" s="120" t="s">
        <v>206</v>
      </c>
      <c r="X251" s="120" t="s">
        <v>206</v>
      </c>
      <c r="Y251" s="120" t="s">
        <v>441</v>
      </c>
      <c r="Z251" s="120" t="s">
        <v>206</v>
      </c>
      <c r="AA251" s="120" t="s">
        <v>206</v>
      </c>
      <c r="AB251" s="120" t="s">
        <v>206</v>
      </c>
      <c r="AC251" s="1" t="s">
        <v>237</v>
      </c>
      <c r="AD251" s="120" t="s">
        <v>1101</v>
      </c>
      <c r="AE251" s="120" t="s">
        <v>208</v>
      </c>
      <c r="AF251" s="120" t="s">
        <v>208</v>
      </c>
      <c r="AG251" s="120" t="s">
        <v>1101</v>
      </c>
      <c r="AH251" s="1" t="s">
        <v>206</v>
      </c>
      <c r="AI251" s="120" t="s">
        <v>229</v>
      </c>
    </row>
    <row x14ac:dyDescent="0.25" r="252" customHeight="1" ht="17.25">
      <c r="A252" s="120" t="s">
        <v>1215</v>
      </c>
      <c r="B252" s="61">
        <v>42884</v>
      </c>
      <c r="C252" s="1" t="s">
        <v>78</v>
      </c>
      <c r="D252" s="120" t="s">
        <v>64</v>
      </c>
      <c r="E252" s="1" t="s">
        <v>1216</v>
      </c>
      <c r="F252" s="120" t="s">
        <v>159</v>
      </c>
      <c r="G252" s="120" t="s">
        <v>170</v>
      </c>
      <c r="H252" s="61">
        <v>35346</v>
      </c>
      <c r="I252" s="120" t="s">
        <v>176</v>
      </c>
      <c r="J252" s="120" t="s">
        <v>464</v>
      </c>
      <c r="K252" s="120" t="s">
        <v>445</v>
      </c>
      <c r="L252" s="117" t="s">
        <v>1217</v>
      </c>
      <c r="M252" s="117" t="s">
        <v>1218</v>
      </c>
      <c r="N252" s="117" t="s">
        <v>1219</v>
      </c>
      <c r="O252" s="119">
        <v>0</v>
      </c>
      <c r="P252" s="119">
        <v>0</v>
      </c>
      <c r="Q252" s="119">
        <v>0</v>
      </c>
      <c r="R252" s="120" t="s">
        <v>1220</v>
      </c>
      <c r="S252" s="1" t="s">
        <v>1221</v>
      </c>
      <c r="T252" s="128" t="s">
        <v>555</v>
      </c>
      <c r="U252" s="120" t="s">
        <v>198</v>
      </c>
      <c r="V252" s="1" t="s">
        <v>357</v>
      </c>
      <c r="W252" s="120" t="s">
        <v>206</v>
      </c>
      <c r="X252" s="120" t="s">
        <v>206</v>
      </c>
      <c r="Y252" s="120" t="s">
        <v>441</v>
      </c>
      <c r="Z252" s="120" t="s">
        <v>206</v>
      </c>
      <c r="AA252" s="120" t="s">
        <v>206</v>
      </c>
      <c r="AB252" s="120" t="s">
        <v>206</v>
      </c>
      <c r="AC252" s="1" t="s">
        <v>237</v>
      </c>
      <c r="AD252" s="120" t="s">
        <v>1101</v>
      </c>
      <c r="AE252" s="120" t="s">
        <v>208</v>
      </c>
      <c r="AF252" s="120" t="s">
        <v>208</v>
      </c>
      <c r="AG252" s="120" t="s">
        <v>1101</v>
      </c>
      <c r="AH252" s="1" t="s">
        <v>206</v>
      </c>
      <c r="AI252" s="120" t="s">
        <v>229</v>
      </c>
    </row>
    <row x14ac:dyDescent="0.25" r="253" customHeight="1" ht="17.25">
      <c r="A253" s="120" t="s">
        <v>1259</v>
      </c>
      <c r="B253" s="61">
        <v>42832</v>
      </c>
      <c r="C253" s="1" t="s">
        <v>78</v>
      </c>
      <c r="D253" s="120" t="s">
        <v>64</v>
      </c>
      <c r="E253" s="120" t="s">
        <v>1260</v>
      </c>
      <c r="F253" s="1" t="s">
        <v>158</v>
      </c>
      <c r="G253" s="120" t="s">
        <v>22</v>
      </c>
      <c r="H253" s="61">
        <v>34765</v>
      </c>
      <c r="I253" s="120" t="s">
        <v>178</v>
      </c>
      <c r="J253" s="120" t="s">
        <v>365</v>
      </c>
      <c r="K253" s="120" t="s">
        <v>1261</v>
      </c>
      <c r="L253" s="117" t="s">
        <v>1262</v>
      </c>
      <c r="M253" s="117" t="s">
        <v>1263</v>
      </c>
      <c r="N253" s="117" t="s">
        <v>1264</v>
      </c>
      <c r="O253" s="119">
        <v>0</v>
      </c>
      <c r="P253" s="119">
        <v>0</v>
      </c>
      <c r="Q253" s="119">
        <v>0</v>
      </c>
      <c r="R253" s="1" t="s">
        <v>357</v>
      </c>
      <c r="S253" s="120" t="s">
        <v>1265</v>
      </c>
      <c r="T253" s="120" t="s">
        <v>373</v>
      </c>
      <c r="U253" s="120" t="s">
        <v>198</v>
      </c>
      <c r="V253" s="1" t="s">
        <v>357</v>
      </c>
      <c r="W253" s="1" t="s">
        <v>1221</v>
      </c>
      <c r="X253" s="120" t="s">
        <v>206</v>
      </c>
      <c r="Y253" s="120" t="s">
        <v>441</v>
      </c>
      <c r="Z253" s="120" t="s">
        <v>206</v>
      </c>
      <c r="AA253" s="120" t="s">
        <v>206</v>
      </c>
      <c r="AB253" s="120" t="s">
        <v>218</v>
      </c>
      <c r="AC253" s="1" t="s">
        <v>237</v>
      </c>
      <c r="AD253" s="120" t="s">
        <v>1266</v>
      </c>
      <c r="AE253" s="120" t="s">
        <v>208</v>
      </c>
      <c r="AF253" s="120" t="s">
        <v>218</v>
      </c>
      <c r="AG253" s="120" t="s">
        <v>1266</v>
      </c>
      <c r="AH253" s="1" t="s">
        <v>206</v>
      </c>
      <c r="AI253" s="1" t="s">
        <v>228</v>
      </c>
    </row>
    <row x14ac:dyDescent="0.25" r="254" customHeight="1" ht="17.25">
      <c r="A254" s="120" t="s">
        <v>1259</v>
      </c>
      <c r="B254" s="61">
        <v>42832</v>
      </c>
      <c r="C254" s="1" t="s">
        <v>78</v>
      </c>
      <c r="D254" s="120" t="s">
        <v>64</v>
      </c>
      <c r="E254" s="1" t="s">
        <v>1267</v>
      </c>
      <c r="F254" s="1" t="s">
        <v>158</v>
      </c>
      <c r="G254" s="120" t="s">
        <v>22</v>
      </c>
      <c r="H254" s="61">
        <v>35486</v>
      </c>
      <c r="I254" s="120" t="s">
        <v>175</v>
      </c>
      <c r="J254" s="120" t="s">
        <v>365</v>
      </c>
      <c r="K254" s="120" t="s">
        <v>1261</v>
      </c>
      <c r="L254" s="117" t="s">
        <v>1262</v>
      </c>
      <c r="M254" s="117" t="s">
        <v>1263</v>
      </c>
      <c r="N254" s="117" t="s">
        <v>1264</v>
      </c>
      <c r="O254" s="119">
        <v>0</v>
      </c>
      <c r="P254" s="119">
        <v>0</v>
      </c>
      <c r="Q254" s="119">
        <v>0</v>
      </c>
      <c r="R254" s="1" t="s">
        <v>357</v>
      </c>
      <c r="S254" s="120" t="s">
        <v>1265</v>
      </c>
      <c r="T254" s="120" t="s">
        <v>373</v>
      </c>
      <c r="U254" s="120" t="s">
        <v>198</v>
      </c>
      <c r="V254" s="1" t="s">
        <v>357</v>
      </c>
      <c r="W254" s="1" t="s">
        <v>1221</v>
      </c>
      <c r="X254" s="120" t="s">
        <v>206</v>
      </c>
      <c r="Y254" s="120" t="s">
        <v>441</v>
      </c>
      <c r="Z254" s="120" t="s">
        <v>206</v>
      </c>
      <c r="AA254" s="120" t="s">
        <v>206</v>
      </c>
      <c r="AB254" s="120" t="s">
        <v>218</v>
      </c>
      <c r="AC254" s="1" t="s">
        <v>237</v>
      </c>
      <c r="AD254" s="120" t="s">
        <v>1266</v>
      </c>
      <c r="AE254" s="120" t="s">
        <v>208</v>
      </c>
      <c r="AF254" s="120" t="s">
        <v>218</v>
      </c>
      <c r="AG254" s="120" t="s">
        <v>1266</v>
      </c>
      <c r="AH254" s="1" t="s">
        <v>206</v>
      </c>
      <c r="AI254" s="1" t="s">
        <v>228</v>
      </c>
    </row>
    <row x14ac:dyDescent="0.25" r="255" customHeight="1" ht="17.25">
      <c r="A255" s="120" t="s">
        <v>1259</v>
      </c>
      <c r="B255" s="61">
        <v>42832</v>
      </c>
      <c r="C255" s="1" t="s">
        <v>78</v>
      </c>
      <c r="D255" s="120" t="s">
        <v>64</v>
      </c>
      <c r="E255" s="1" t="s">
        <v>1268</v>
      </c>
      <c r="F255" s="1" t="s">
        <v>158</v>
      </c>
      <c r="G255" s="120" t="s">
        <v>22</v>
      </c>
      <c r="H255" s="61">
        <v>34128</v>
      </c>
      <c r="I255" s="120" t="s">
        <v>175</v>
      </c>
      <c r="J255" s="120" t="s">
        <v>365</v>
      </c>
      <c r="K255" s="120" t="s">
        <v>1261</v>
      </c>
      <c r="L255" s="117" t="s">
        <v>1262</v>
      </c>
      <c r="M255" s="117" t="s">
        <v>1263</v>
      </c>
      <c r="N255" s="117" t="s">
        <v>1264</v>
      </c>
      <c r="O255" s="119">
        <v>0</v>
      </c>
      <c r="P255" s="119">
        <v>0</v>
      </c>
      <c r="Q255" s="119">
        <v>0</v>
      </c>
      <c r="R255" s="1" t="s">
        <v>357</v>
      </c>
      <c r="S255" s="120" t="s">
        <v>1265</v>
      </c>
      <c r="T255" s="120" t="s">
        <v>373</v>
      </c>
      <c r="U255" s="120" t="s">
        <v>198</v>
      </c>
      <c r="V255" s="1" t="s">
        <v>357</v>
      </c>
      <c r="W255" s="1" t="s">
        <v>1221</v>
      </c>
      <c r="X255" s="120" t="s">
        <v>206</v>
      </c>
      <c r="Y255" s="120" t="s">
        <v>441</v>
      </c>
      <c r="Z255" s="120" t="s">
        <v>206</v>
      </c>
      <c r="AA255" s="120" t="s">
        <v>206</v>
      </c>
      <c r="AB255" s="120" t="s">
        <v>218</v>
      </c>
      <c r="AC255" s="1" t="s">
        <v>237</v>
      </c>
      <c r="AD255" s="120" t="s">
        <v>1266</v>
      </c>
      <c r="AE255" s="120" t="s">
        <v>208</v>
      </c>
      <c r="AF255" s="120" t="s">
        <v>218</v>
      </c>
      <c r="AG255" s="120" t="s">
        <v>1266</v>
      </c>
      <c r="AH255" s="1" t="s">
        <v>206</v>
      </c>
      <c r="AI255" s="1" t="s">
        <v>228</v>
      </c>
    </row>
    <row x14ac:dyDescent="0.25" r="256" customHeight="1" ht="17.25">
      <c r="A256" s="1" t="s">
        <v>530</v>
      </c>
      <c r="B256" s="61" t="s">
        <v>531</v>
      </c>
      <c r="C256" s="1" t="s">
        <v>78</v>
      </c>
      <c r="D256" s="1" t="s">
        <v>64</v>
      </c>
      <c r="E256" s="116" t="s">
        <v>532</v>
      </c>
      <c r="F256" s="1" t="s">
        <v>158</v>
      </c>
      <c r="G256" s="120" t="s">
        <v>22</v>
      </c>
      <c r="H256" s="61">
        <v>35984</v>
      </c>
      <c r="I256" s="120" t="s">
        <v>175</v>
      </c>
      <c r="J256" s="120" t="s">
        <v>365</v>
      </c>
      <c r="K256" s="120" t="s">
        <v>533</v>
      </c>
      <c r="L256" s="117" t="s">
        <v>534</v>
      </c>
      <c r="M256" s="119">
        <v>0</v>
      </c>
      <c r="N256" s="119">
        <v>0</v>
      </c>
      <c r="O256" s="119">
        <v>0</v>
      </c>
      <c r="P256" s="119">
        <v>0</v>
      </c>
      <c r="Q256" s="119">
        <v>0</v>
      </c>
      <c r="R256" s="1" t="s">
        <v>357</v>
      </c>
      <c r="S256" s="120" t="s">
        <v>206</v>
      </c>
      <c r="T256" s="120" t="s">
        <v>535</v>
      </c>
      <c r="U256" s="120" t="s">
        <v>197</v>
      </c>
      <c r="V256" s="1" t="s">
        <v>357</v>
      </c>
      <c r="W256" s="120" t="s">
        <v>208</v>
      </c>
      <c r="X256" s="120" t="s">
        <v>206</v>
      </c>
      <c r="Y256" s="120" t="s">
        <v>441</v>
      </c>
      <c r="Z256" s="120" t="s">
        <v>206</v>
      </c>
      <c r="AA256" s="120" t="s">
        <v>206</v>
      </c>
      <c r="AB256" s="120" t="s">
        <v>206</v>
      </c>
      <c r="AC256" s="1" t="s">
        <v>236</v>
      </c>
      <c r="AD256" s="120" t="s">
        <v>497</v>
      </c>
      <c r="AE256" s="120" t="s">
        <v>208</v>
      </c>
      <c r="AF256" s="120" t="s">
        <v>208</v>
      </c>
      <c r="AG256" s="120" t="s">
        <v>497</v>
      </c>
      <c r="AH256" s="1" t="s">
        <v>206</v>
      </c>
      <c r="AI256" s="120" t="s">
        <v>229</v>
      </c>
    </row>
    <row x14ac:dyDescent="0.25" r="257" customHeight="1" ht="17.25">
      <c r="A257" s="1" t="s">
        <v>530</v>
      </c>
      <c r="B257" s="61" t="s">
        <v>531</v>
      </c>
      <c r="C257" s="1" t="s">
        <v>78</v>
      </c>
      <c r="D257" s="1" t="s">
        <v>64</v>
      </c>
      <c r="E257" s="116" t="s">
        <v>2279</v>
      </c>
      <c r="F257" s="1" t="s">
        <v>158</v>
      </c>
      <c r="G257" s="120" t="s">
        <v>22</v>
      </c>
      <c r="H257" s="61">
        <v>32578</v>
      </c>
      <c r="I257" s="120" t="s">
        <v>176</v>
      </c>
      <c r="J257" s="120" t="s">
        <v>365</v>
      </c>
      <c r="K257" s="120" t="s">
        <v>366</v>
      </c>
      <c r="L257" s="119">
        <v>0</v>
      </c>
      <c r="M257" s="119">
        <v>0</v>
      </c>
      <c r="N257" s="119">
        <v>0</v>
      </c>
      <c r="O257" s="119">
        <v>0</v>
      </c>
      <c r="P257" s="119">
        <v>0</v>
      </c>
      <c r="Q257" s="119">
        <v>0</v>
      </c>
      <c r="R257" s="1" t="s">
        <v>357</v>
      </c>
      <c r="S257" s="120" t="s">
        <v>206</v>
      </c>
      <c r="T257" s="120" t="s">
        <v>430</v>
      </c>
      <c r="U257" s="120" t="s">
        <v>199</v>
      </c>
      <c r="V257" s="120" t="s">
        <v>208</v>
      </c>
      <c r="W257" s="120" t="s">
        <v>208</v>
      </c>
      <c r="X257" s="120" t="s">
        <v>208</v>
      </c>
      <c r="Y257" s="120" t="s">
        <v>208</v>
      </c>
      <c r="Z257" s="120" t="s">
        <v>208</v>
      </c>
      <c r="AA257" s="120" t="s">
        <v>208</v>
      </c>
      <c r="AB257" s="120" t="s">
        <v>208</v>
      </c>
      <c r="AC257" s="120" t="s">
        <v>208</v>
      </c>
      <c r="AD257" s="120" t="s">
        <v>208</v>
      </c>
      <c r="AE257" s="120" t="s">
        <v>208</v>
      </c>
      <c r="AF257" s="120" t="s">
        <v>208</v>
      </c>
      <c r="AG257" s="120" t="s">
        <v>208</v>
      </c>
      <c r="AH257" s="120" t="s">
        <v>208</v>
      </c>
      <c r="AI257" s="120" t="s">
        <v>208</v>
      </c>
    </row>
    <row x14ac:dyDescent="0.25" r="258" customHeight="1" ht="17.25">
      <c r="A258" s="120" t="s">
        <v>2513</v>
      </c>
      <c r="B258" s="122">
        <v>43060</v>
      </c>
      <c r="C258" s="1" t="s">
        <v>113</v>
      </c>
      <c r="D258" s="120" t="s">
        <v>65</v>
      </c>
      <c r="E258" s="1" t="s">
        <v>2514</v>
      </c>
      <c r="F258" s="1" t="s">
        <v>158</v>
      </c>
      <c r="G258" s="120" t="s">
        <v>22</v>
      </c>
      <c r="H258" s="61">
        <v>33917</v>
      </c>
      <c r="I258" s="120" t="s">
        <v>175</v>
      </c>
      <c r="J258" s="120" t="s">
        <v>365</v>
      </c>
      <c r="K258" s="120" t="s">
        <v>366</v>
      </c>
      <c r="L258" s="117" t="s">
        <v>2515</v>
      </c>
      <c r="M258" s="119">
        <v>0</v>
      </c>
      <c r="N258" s="117" t="s">
        <v>2516</v>
      </c>
      <c r="O258" s="119">
        <v>0</v>
      </c>
      <c r="P258" s="119">
        <v>0</v>
      </c>
      <c r="Q258" s="119">
        <v>0</v>
      </c>
      <c r="R258" s="1" t="s">
        <v>357</v>
      </c>
      <c r="S258" s="120" t="s">
        <v>206</v>
      </c>
      <c r="T258" s="120" t="s">
        <v>953</v>
      </c>
      <c r="U258" s="120" t="s">
        <v>200</v>
      </c>
      <c r="V258" s="120" t="s">
        <v>2285</v>
      </c>
      <c r="W258" s="120" t="s">
        <v>208</v>
      </c>
      <c r="X258" s="120" t="s">
        <v>208</v>
      </c>
      <c r="Y258" s="120" t="s">
        <v>208</v>
      </c>
      <c r="Z258" s="1" t="s">
        <v>208</v>
      </c>
      <c r="AA258" s="120" t="s">
        <v>208</v>
      </c>
      <c r="AB258" s="120" t="s">
        <v>208</v>
      </c>
      <c r="AC258" s="120" t="s">
        <v>208</v>
      </c>
      <c r="AD258" s="120" t="s">
        <v>208</v>
      </c>
      <c r="AE258" s="1" t="s">
        <v>206</v>
      </c>
      <c r="AF258" s="120" t="s">
        <v>208</v>
      </c>
      <c r="AG258" s="120" t="s">
        <v>208</v>
      </c>
      <c r="AH258" s="120" t="s">
        <v>208</v>
      </c>
      <c r="AI258" s="120" t="s">
        <v>208</v>
      </c>
    </row>
    <row x14ac:dyDescent="0.25" r="259" customHeight="1" ht="17.25">
      <c r="A259" s="120" t="s">
        <v>848</v>
      </c>
      <c r="B259" s="61">
        <v>42879</v>
      </c>
      <c r="C259" s="1" t="s">
        <v>110</v>
      </c>
      <c r="D259" s="120" t="s">
        <v>65</v>
      </c>
      <c r="E259" s="1" t="s">
        <v>849</v>
      </c>
      <c r="F259" s="1" t="s">
        <v>158</v>
      </c>
      <c r="G259" s="120" t="s">
        <v>22</v>
      </c>
      <c r="H259" s="61">
        <v>34646</v>
      </c>
      <c r="I259" s="120" t="s">
        <v>175</v>
      </c>
      <c r="J259" s="120" t="s">
        <v>354</v>
      </c>
      <c r="K259" s="120" t="s">
        <v>547</v>
      </c>
      <c r="L259" s="117" t="s">
        <v>850</v>
      </c>
      <c r="M259" s="117" t="s">
        <v>851</v>
      </c>
      <c r="N259" s="117" t="s">
        <v>852</v>
      </c>
      <c r="O259" s="119">
        <v>0</v>
      </c>
      <c r="P259" s="119">
        <v>0</v>
      </c>
      <c r="Q259" s="119">
        <v>0</v>
      </c>
      <c r="R259" s="1" t="s">
        <v>357</v>
      </c>
      <c r="S259" s="120" t="s">
        <v>206</v>
      </c>
      <c r="T259" s="120" t="s">
        <v>853</v>
      </c>
      <c r="U259" s="120" t="s">
        <v>197</v>
      </c>
      <c r="V259" s="1" t="s">
        <v>357</v>
      </c>
      <c r="W259" s="120" t="s">
        <v>208</v>
      </c>
      <c r="X259" s="120" t="s">
        <v>206</v>
      </c>
      <c r="Y259" s="120" t="s">
        <v>441</v>
      </c>
      <c r="Z259" s="120" t="s">
        <v>206</v>
      </c>
      <c r="AA259" s="120" t="s">
        <v>206</v>
      </c>
      <c r="AB259" s="120" t="s">
        <v>206</v>
      </c>
      <c r="AC259" s="1" t="s">
        <v>236</v>
      </c>
      <c r="AD259" s="120" t="s">
        <v>497</v>
      </c>
      <c r="AE259" s="120" t="s">
        <v>208</v>
      </c>
      <c r="AF259" s="120" t="s">
        <v>208</v>
      </c>
      <c r="AG259" s="120" t="s">
        <v>497</v>
      </c>
      <c r="AH259" s="1" t="s">
        <v>206</v>
      </c>
      <c r="AI259" s="120" t="s">
        <v>227</v>
      </c>
    </row>
    <row x14ac:dyDescent="0.25" r="260" customHeight="1" ht="17.25">
      <c r="A260" s="120" t="s">
        <v>2051</v>
      </c>
      <c r="B260" s="61">
        <v>42800</v>
      </c>
      <c r="C260" s="1" t="s">
        <v>110</v>
      </c>
      <c r="D260" s="120" t="s">
        <v>65</v>
      </c>
      <c r="E260" s="1" t="s">
        <v>2052</v>
      </c>
      <c r="F260" s="1" t="s">
        <v>158</v>
      </c>
      <c r="G260" s="120" t="s">
        <v>22</v>
      </c>
      <c r="H260" s="61">
        <v>29104</v>
      </c>
      <c r="I260" s="120" t="s">
        <v>175</v>
      </c>
      <c r="J260" s="120" t="s">
        <v>354</v>
      </c>
      <c r="K260" s="120" t="s">
        <v>2053</v>
      </c>
      <c r="L260" s="117" t="s">
        <v>2054</v>
      </c>
      <c r="M260" s="117" t="s">
        <v>2055</v>
      </c>
      <c r="N260" s="119">
        <v>0</v>
      </c>
      <c r="O260" s="119">
        <v>0</v>
      </c>
      <c r="P260" s="119">
        <v>0</v>
      </c>
      <c r="Q260" s="119">
        <v>0</v>
      </c>
      <c r="R260" s="1" t="s">
        <v>357</v>
      </c>
      <c r="S260" s="120" t="s">
        <v>404</v>
      </c>
      <c r="T260" s="120" t="s">
        <v>503</v>
      </c>
      <c r="U260" s="120" t="s">
        <v>198</v>
      </c>
      <c r="V260" s="1" t="s">
        <v>357</v>
      </c>
      <c r="W260" s="120" t="s">
        <v>206</v>
      </c>
      <c r="X260" s="120" t="s">
        <v>2043</v>
      </c>
      <c r="Y260" s="120" t="s">
        <v>492</v>
      </c>
      <c r="Z260" s="1" t="s">
        <v>207</v>
      </c>
      <c r="AA260" s="120" t="s">
        <v>206</v>
      </c>
      <c r="AB260" s="120" t="s">
        <v>206</v>
      </c>
      <c r="AC260" s="1" t="s">
        <v>238</v>
      </c>
      <c r="AD260" s="120" t="s">
        <v>2038</v>
      </c>
      <c r="AE260" s="120" t="s">
        <v>208</v>
      </c>
      <c r="AF260" s="120" t="s">
        <v>208</v>
      </c>
      <c r="AG260" s="120" t="s">
        <v>2038</v>
      </c>
      <c r="AH260" s="1" t="s">
        <v>208</v>
      </c>
      <c r="AI260" s="120" t="s">
        <v>227</v>
      </c>
    </row>
    <row x14ac:dyDescent="0.25" r="261" customHeight="1" ht="17.25">
      <c r="A261" s="120" t="s">
        <v>1455</v>
      </c>
      <c r="B261" s="61">
        <v>42894</v>
      </c>
      <c r="C261" s="1" t="s">
        <v>94</v>
      </c>
      <c r="D261" s="120" t="s">
        <v>65</v>
      </c>
      <c r="E261" s="1" t="s">
        <v>1456</v>
      </c>
      <c r="F261" s="1" t="s">
        <v>158</v>
      </c>
      <c r="G261" s="120" t="s">
        <v>170</v>
      </c>
      <c r="H261" s="61">
        <v>29777</v>
      </c>
      <c r="I261" s="120" t="s">
        <v>175</v>
      </c>
      <c r="J261" s="120" t="s">
        <v>615</v>
      </c>
      <c r="K261" s="120" t="s">
        <v>366</v>
      </c>
      <c r="L261" s="119">
        <v>0</v>
      </c>
      <c r="M261" s="117" t="s">
        <v>1457</v>
      </c>
      <c r="N261" s="119">
        <v>0</v>
      </c>
      <c r="O261" s="119">
        <v>0</v>
      </c>
      <c r="P261" s="119">
        <v>0</v>
      </c>
      <c r="Q261" s="119">
        <v>0</v>
      </c>
      <c r="R261" s="1" t="s">
        <v>357</v>
      </c>
      <c r="S261" s="120" t="s">
        <v>206</v>
      </c>
      <c r="T261" s="120" t="s">
        <v>1458</v>
      </c>
      <c r="U261" s="120" t="s">
        <v>197</v>
      </c>
      <c r="V261" s="1" t="s">
        <v>357</v>
      </c>
      <c r="W261" s="120" t="s">
        <v>208</v>
      </c>
      <c r="X261" s="120" t="s">
        <v>206</v>
      </c>
      <c r="Y261" s="120" t="s">
        <v>441</v>
      </c>
      <c r="Z261" s="120" t="s">
        <v>206</v>
      </c>
      <c r="AA261" s="120" t="s">
        <v>206</v>
      </c>
      <c r="AB261" s="120" t="s">
        <v>206</v>
      </c>
      <c r="AC261" s="1" t="s">
        <v>206</v>
      </c>
      <c r="AD261" s="120" t="s">
        <v>441</v>
      </c>
      <c r="AE261" s="120" t="s">
        <v>208</v>
      </c>
      <c r="AF261" s="120" t="s">
        <v>208</v>
      </c>
      <c r="AG261" s="120" t="s">
        <v>441</v>
      </c>
      <c r="AH261" s="1" t="s">
        <v>208</v>
      </c>
      <c r="AI261" s="120" t="s">
        <v>227</v>
      </c>
    </row>
    <row x14ac:dyDescent="0.25" r="262" customHeight="1" ht="17.25">
      <c r="A262" s="120" t="s">
        <v>2375</v>
      </c>
      <c r="B262" s="61">
        <v>43005</v>
      </c>
      <c r="C262" s="1" t="s">
        <v>113</v>
      </c>
      <c r="D262" s="120" t="s">
        <v>65</v>
      </c>
      <c r="E262" s="1" t="s">
        <v>2376</v>
      </c>
      <c r="F262" s="1" t="s">
        <v>158</v>
      </c>
      <c r="G262" s="120" t="s">
        <v>22</v>
      </c>
      <c r="H262" s="61">
        <v>35544</v>
      </c>
      <c r="I262" s="120" t="s">
        <v>175</v>
      </c>
      <c r="J262" s="120" t="s">
        <v>365</v>
      </c>
      <c r="K262" s="120" t="s">
        <v>2377</v>
      </c>
      <c r="L262" s="117" t="s">
        <v>2378</v>
      </c>
      <c r="M262" s="117" t="s">
        <v>2379</v>
      </c>
      <c r="N262" s="119">
        <v>0</v>
      </c>
      <c r="O262" s="119">
        <v>0</v>
      </c>
      <c r="P262" s="119">
        <v>0</v>
      </c>
      <c r="Q262" s="119">
        <v>0</v>
      </c>
      <c r="R262" s="1" t="s">
        <v>357</v>
      </c>
      <c r="S262" s="120" t="s">
        <v>206</v>
      </c>
      <c r="T262" s="120" t="s">
        <v>2380</v>
      </c>
      <c r="U262" s="120" t="s">
        <v>199</v>
      </c>
      <c r="V262" s="120" t="s">
        <v>208</v>
      </c>
      <c r="W262" s="120" t="s">
        <v>208</v>
      </c>
      <c r="X262" s="120" t="s">
        <v>208</v>
      </c>
      <c r="Y262" s="120" t="s">
        <v>208</v>
      </c>
      <c r="Z262" s="120" t="s">
        <v>208</v>
      </c>
      <c r="AA262" s="120" t="s">
        <v>208</v>
      </c>
      <c r="AB262" s="120" t="s">
        <v>208</v>
      </c>
      <c r="AC262" s="120" t="s">
        <v>208</v>
      </c>
      <c r="AD262" s="120" t="s">
        <v>208</v>
      </c>
      <c r="AE262" s="120" t="s">
        <v>208</v>
      </c>
      <c r="AF262" s="120" t="s">
        <v>208</v>
      </c>
      <c r="AG262" s="120" t="s">
        <v>208</v>
      </c>
      <c r="AH262" s="120" t="s">
        <v>208</v>
      </c>
      <c r="AI262" s="120" t="s">
        <v>208</v>
      </c>
    </row>
    <row x14ac:dyDescent="0.25" r="263" customHeight="1" ht="17.25">
      <c r="A263" s="120" t="s">
        <v>914</v>
      </c>
      <c r="B263" s="61">
        <v>42976</v>
      </c>
      <c r="C263" s="1" t="s">
        <v>110</v>
      </c>
      <c r="D263" s="120" t="s">
        <v>65</v>
      </c>
      <c r="E263" s="1" t="s">
        <v>915</v>
      </c>
      <c r="F263" s="1" t="s">
        <v>158</v>
      </c>
      <c r="G263" s="120" t="s">
        <v>10252</v>
      </c>
      <c r="H263" s="61">
        <v>31657</v>
      </c>
      <c r="I263" s="120" t="s">
        <v>175</v>
      </c>
      <c r="J263" s="120" t="s">
        <v>365</v>
      </c>
      <c r="K263" s="120" t="s">
        <v>518</v>
      </c>
      <c r="L263" s="117" t="s">
        <v>916</v>
      </c>
      <c r="M263" s="117" t="s">
        <v>917</v>
      </c>
      <c r="N263" s="117" t="s">
        <v>918</v>
      </c>
      <c r="O263" s="119">
        <v>0</v>
      </c>
      <c r="P263" s="119">
        <v>0</v>
      </c>
      <c r="Q263" s="119">
        <v>0</v>
      </c>
      <c r="R263" s="1" t="s">
        <v>357</v>
      </c>
      <c r="S263" s="120" t="s">
        <v>206</v>
      </c>
      <c r="T263" s="120" t="s">
        <v>919</v>
      </c>
      <c r="U263" s="120" t="s">
        <v>197</v>
      </c>
      <c r="V263" s="1" t="s">
        <v>357</v>
      </c>
      <c r="W263" s="120" t="s">
        <v>208</v>
      </c>
      <c r="X263" s="120" t="s">
        <v>206</v>
      </c>
      <c r="Y263" s="120" t="s">
        <v>441</v>
      </c>
      <c r="Z263" s="120" t="s">
        <v>206</v>
      </c>
      <c r="AA263" s="120" t="s">
        <v>206</v>
      </c>
      <c r="AB263" s="120" t="s">
        <v>206</v>
      </c>
      <c r="AC263" s="1" t="s">
        <v>236</v>
      </c>
      <c r="AD263" s="120" t="s">
        <v>497</v>
      </c>
      <c r="AE263" s="120" t="s">
        <v>208</v>
      </c>
      <c r="AF263" s="120" t="s">
        <v>208</v>
      </c>
      <c r="AG263" s="120" t="s">
        <v>497</v>
      </c>
      <c r="AH263" s="1" t="s">
        <v>206</v>
      </c>
      <c r="AI263" s="120" t="s">
        <v>227</v>
      </c>
    </row>
    <row x14ac:dyDescent="0.25" r="264" customHeight="1" ht="17.25">
      <c r="A264" s="120" t="s">
        <v>954</v>
      </c>
      <c r="B264" s="61">
        <v>42853</v>
      </c>
      <c r="C264" s="126" t="s">
        <v>113</v>
      </c>
      <c r="D264" s="120" t="s">
        <v>65</v>
      </c>
      <c r="E264" s="1" t="s">
        <v>955</v>
      </c>
      <c r="F264" s="1" t="s">
        <v>158</v>
      </c>
      <c r="G264" s="120" t="s">
        <v>22</v>
      </c>
      <c r="H264" s="61">
        <v>35310</v>
      </c>
      <c r="I264" s="120" t="s">
        <v>177</v>
      </c>
      <c r="J264" s="120" t="s">
        <v>354</v>
      </c>
      <c r="K264" s="120" t="s">
        <v>547</v>
      </c>
      <c r="L264" s="117" t="s">
        <v>956</v>
      </c>
      <c r="M264" s="117" t="s">
        <v>957</v>
      </c>
      <c r="N264" s="117" t="s">
        <v>958</v>
      </c>
      <c r="O264" s="119">
        <v>0</v>
      </c>
      <c r="P264" s="119">
        <v>0</v>
      </c>
      <c r="Q264" s="119">
        <v>0</v>
      </c>
      <c r="R264" s="1" t="s">
        <v>357</v>
      </c>
      <c r="S264" s="120" t="s">
        <v>206</v>
      </c>
      <c r="T264" s="120" t="s">
        <v>959</v>
      </c>
      <c r="U264" s="120" t="s">
        <v>197</v>
      </c>
      <c r="V264" s="1" t="s">
        <v>357</v>
      </c>
      <c r="W264" s="120" t="s">
        <v>208</v>
      </c>
      <c r="X264" s="120" t="s">
        <v>206</v>
      </c>
      <c r="Y264" s="120" t="s">
        <v>441</v>
      </c>
      <c r="Z264" s="120" t="s">
        <v>206</v>
      </c>
      <c r="AA264" s="120" t="s">
        <v>206</v>
      </c>
      <c r="AB264" s="120" t="s">
        <v>206</v>
      </c>
      <c r="AC264" s="1" t="s">
        <v>236</v>
      </c>
      <c r="AD264" s="120" t="s">
        <v>497</v>
      </c>
      <c r="AE264" s="120" t="s">
        <v>208</v>
      </c>
      <c r="AF264" s="120" t="s">
        <v>208</v>
      </c>
      <c r="AG264" s="120" t="s">
        <v>497</v>
      </c>
      <c r="AH264" s="1" t="s">
        <v>206</v>
      </c>
      <c r="AI264" s="120" t="s">
        <v>227</v>
      </c>
    </row>
    <row x14ac:dyDescent="0.25" r="265" customHeight="1" ht="17.25">
      <c r="A265" s="120" t="s">
        <v>954</v>
      </c>
      <c r="B265" s="61">
        <v>42853</v>
      </c>
      <c r="C265" s="1" t="s">
        <v>113</v>
      </c>
      <c r="D265" s="120" t="s">
        <v>65</v>
      </c>
      <c r="E265" s="1" t="s">
        <v>960</v>
      </c>
      <c r="F265" s="1" t="s">
        <v>158</v>
      </c>
      <c r="G265" s="120" t="s">
        <v>22</v>
      </c>
      <c r="H265" s="61">
        <v>35937</v>
      </c>
      <c r="I265" s="120" t="s">
        <v>177</v>
      </c>
      <c r="J265" s="120" t="s">
        <v>354</v>
      </c>
      <c r="K265" s="120" t="s">
        <v>366</v>
      </c>
      <c r="L265" s="117" t="s">
        <v>956</v>
      </c>
      <c r="M265" s="117" t="s">
        <v>957</v>
      </c>
      <c r="N265" s="117" t="s">
        <v>958</v>
      </c>
      <c r="O265" s="119">
        <v>0</v>
      </c>
      <c r="P265" s="119">
        <v>0</v>
      </c>
      <c r="Q265" s="119">
        <v>0</v>
      </c>
      <c r="R265" s="1" t="s">
        <v>357</v>
      </c>
      <c r="S265" s="120" t="s">
        <v>206</v>
      </c>
      <c r="T265" s="120" t="s">
        <v>959</v>
      </c>
      <c r="U265" s="120" t="s">
        <v>197</v>
      </c>
      <c r="V265" s="1" t="s">
        <v>357</v>
      </c>
      <c r="W265" s="120" t="s">
        <v>208</v>
      </c>
      <c r="X265" s="120" t="s">
        <v>206</v>
      </c>
      <c r="Y265" s="120" t="s">
        <v>441</v>
      </c>
      <c r="Z265" s="120" t="s">
        <v>206</v>
      </c>
      <c r="AA265" s="120" t="s">
        <v>206</v>
      </c>
      <c r="AB265" s="120" t="s">
        <v>206</v>
      </c>
      <c r="AC265" s="1" t="s">
        <v>236</v>
      </c>
      <c r="AD265" s="120" t="s">
        <v>497</v>
      </c>
      <c r="AE265" s="120" t="s">
        <v>208</v>
      </c>
      <c r="AF265" s="120" t="s">
        <v>208</v>
      </c>
      <c r="AG265" s="120" t="s">
        <v>497</v>
      </c>
      <c r="AH265" s="1" t="s">
        <v>206</v>
      </c>
      <c r="AI265" s="120" t="s">
        <v>227</v>
      </c>
    </row>
    <row x14ac:dyDescent="0.25" r="266" customHeight="1" ht="17.25">
      <c r="A266" s="120" t="s">
        <v>663</v>
      </c>
      <c r="B266" s="61">
        <v>42942</v>
      </c>
      <c r="C266" s="1" t="s">
        <v>113</v>
      </c>
      <c r="D266" s="120" t="s">
        <v>65</v>
      </c>
      <c r="E266" s="1" t="s">
        <v>664</v>
      </c>
      <c r="F266" s="1" t="s">
        <v>158</v>
      </c>
      <c r="G266" s="120" t="s">
        <v>170</v>
      </c>
      <c r="H266" s="61">
        <v>31929</v>
      </c>
      <c r="I266" s="120" t="s">
        <v>175</v>
      </c>
      <c r="J266" s="120" t="s">
        <v>354</v>
      </c>
      <c r="K266" s="120" t="s">
        <v>665</v>
      </c>
      <c r="L266" s="117" t="s">
        <v>666</v>
      </c>
      <c r="M266" s="117" t="s">
        <v>667</v>
      </c>
      <c r="N266" s="119">
        <v>0</v>
      </c>
      <c r="O266" s="119">
        <v>0</v>
      </c>
      <c r="P266" s="119">
        <v>0</v>
      </c>
      <c r="Q266" s="119">
        <v>0</v>
      </c>
      <c r="R266" s="1" t="s">
        <v>357</v>
      </c>
      <c r="S266" s="120" t="s">
        <v>206</v>
      </c>
      <c r="T266" s="120" t="s">
        <v>555</v>
      </c>
      <c r="U266" s="120" t="s">
        <v>197</v>
      </c>
      <c r="V266" s="1" t="s">
        <v>357</v>
      </c>
      <c r="W266" s="120" t="s">
        <v>208</v>
      </c>
      <c r="X266" s="120" t="s">
        <v>206</v>
      </c>
      <c r="Y266" s="120" t="s">
        <v>441</v>
      </c>
      <c r="Z266" s="120" t="s">
        <v>206</v>
      </c>
      <c r="AA266" s="120" t="s">
        <v>206</v>
      </c>
      <c r="AB266" s="120" t="s">
        <v>206</v>
      </c>
      <c r="AC266" s="1" t="s">
        <v>236</v>
      </c>
      <c r="AD266" s="120" t="s">
        <v>497</v>
      </c>
      <c r="AE266" s="120" t="s">
        <v>208</v>
      </c>
      <c r="AF266" s="120" t="s">
        <v>208</v>
      </c>
      <c r="AG266" s="120" t="s">
        <v>497</v>
      </c>
      <c r="AH266" s="1" t="s">
        <v>206</v>
      </c>
      <c r="AI266" s="120" t="s">
        <v>227</v>
      </c>
    </row>
    <row x14ac:dyDescent="0.25" r="267" customHeight="1" ht="17.25">
      <c r="A267" s="120" t="s">
        <v>582</v>
      </c>
      <c r="B267" s="61">
        <v>42937</v>
      </c>
      <c r="C267" s="1" t="s">
        <v>110</v>
      </c>
      <c r="D267" s="120" t="s">
        <v>65</v>
      </c>
      <c r="E267" s="1" t="s">
        <v>583</v>
      </c>
      <c r="F267" s="1" t="s">
        <v>158</v>
      </c>
      <c r="G267" s="120" t="s">
        <v>170</v>
      </c>
      <c r="H267" s="61">
        <v>35074</v>
      </c>
      <c r="I267" s="120" t="s">
        <v>175</v>
      </c>
      <c r="J267" s="120" t="s">
        <v>178</v>
      </c>
      <c r="K267" s="120" t="s">
        <v>584</v>
      </c>
      <c r="L267" s="117" t="s">
        <v>585</v>
      </c>
      <c r="M267" s="119">
        <v>0</v>
      </c>
      <c r="N267" s="119">
        <v>0</v>
      </c>
      <c r="O267" s="119">
        <v>0</v>
      </c>
      <c r="P267" s="119">
        <v>0</v>
      </c>
      <c r="Q267" s="119">
        <v>0</v>
      </c>
      <c r="R267" s="1" t="s">
        <v>357</v>
      </c>
      <c r="S267" s="120" t="s">
        <v>206</v>
      </c>
      <c r="T267" s="120" t="s">
        <v>535</v>
      </c>
      <c r="U267" s="120" t="s">
        <v>197</v>
      </c>
      <c r="V267" s="1" t="s">
        <v>357</v>
      </c>
      <c r="W267" s="120" t="s">
        <v>208</v>
      </c>
      <c r="X267" s="120" t="s">
        <v>206</v>
      </c>
      <c r="Y267" s="120" t="s">
        <v>441</v>
      </c>
      <c r="Z267" s="120" t="s">
        <v>206</v>
      </c>
      <c r="AA267" s="120" t="s">
        <v>206</v>
      </c>
      <c r="AB267" s="120" t="s">
        <v>206</v>
      </c>
      <c r="AC267" s="1" t="s">
        <v>236</v>
      </c>
      <c r="AD267" s="120" t="s">
        <v>497</v>
      </c>
      <c r="AE267" s="120" t="s">
        <v>208</v>
      </c>
      <c r="AF267" s="120" t="s">
        <v>208</v>
      </c>
      <c r="AG267" s="120" t="s">
        <v>497</v>
      </c>
      <c r="AH267" s="1" t="s">
        <v>35</v>
      </c>
      <c r="AI267" s="1" t="s">
        <v>208</v>
      </c>
    </row>
    <row x14ac:dyDescent="0.25" r="268" customHeight="1" ht="17.25">
      <c r="A268" s="120" t="s">
        <v>2341</v>
      </c>
      <c r="B268" s="61">
        <v>42997</v>
      </c>
      <c r="C268" s="1" t="s">
        <v>110</v>
      </c>
      <c r="D268" s="120" t="s">
        <v>65</v>
      </c>
      <c r="E268" s="1" t="s">
        <v>2342</v>
      </c>
      <c r="F268" s="1" t="s">
        <v>158</v>
      </c>
      <c r="G268" s="120" t="s">
        <v>22</v>
      </c>
      <c r="H268" s="61">
        <v>35690</v>
      </c>
      <c r="I268" s="120" t="s">
        <v>175</v>
      </c>
      <c r="J268" s="120" t="s">
        <v>365</v>
      </c>
      <c r="K268" s="120" t="s">
        <v>1139</v>
      </c>
      <c r="L268" s="117" t="s">
        <v>2343</v>
      </c>
      <c r="M268" s="117" t="s">
        <v>2344</v>
      </c>
      <c r="N268" s="119">
        <v>0</v>
      </c>
      <c r="O268" s="119">
        <v>0</v>
      </c>
      <c r="P268" s="119">
        <v>0</v>
      </c>
      <c r="Q268" s="119">
        <v>0</v>
      </c>
      <c r="R268" s="1" t="s">
        <v>357</v>
      </c>
      <c r="S268" s="120" t="s">
        <v>206</v>
      </c>
      <c r="T268" s="120" t="s">
        <v>520</v>
      </c>
      <c r="U268" s="120" t="s">
        <v>199</v>
      </c>
      <c r="V268" s="120" t="s">
        <v>208</v>
      </c>
      <c r="W268" s="120" t="s">
        <v>208</v>
      </c>
      <c r="X268" s="120" t="s">
        <v>208</v>
      </c>
      <c r="Y268" s="120" t="s">
        <v>208</v>
      </c>
      <c r="Z268" s="120" t="s">
        <v>208</v>
      </c>
      <c r="AA268" s="120" t="s">
        <v>208</v>
      </c>
      <c r="AB268" s="120" t="s">
        <v>208</v>
      </c>
      <c r="AC268" s="120" t="s">
        <v>208</v>
      </c>
      <c r="AD268" s="120" t="s">
        <v>208</v>
      </c>
      <c r="AE268" s="120" t="s">
        <v>208</v>
      </c>
      <c r="AF268" s="120" t="s">
        <v>208</v>
      </c>
      <c r="AG268" s="120" t="s">
        <v>208</v>
      </c>
      <c r="AH268" s="120" t="s">
        <v>208</v>
      </c>
      <c r="AI268" s="120" t="s">
        <v>208</v>
      </c>
    </row>
    <row x14ac:dyDescent="0.25" r="269" customHeight="1" ht="17.25">
      <c r="A269" s="120" t="s">
        <v>690</v>
      </c>
      <c r="B269" s="61">
        <v>42772</v>
      </c>
      <c r="C269" s="1" t="s">
        <v>110</v>
      </c>
      <c r="D269" s="120" t="s">
        <v>65</v>
      </c>
      <c r="E269" s="1" t="s">
        <v>691</v>
      </c>
      <c r="F269" s="1" t="s">
        <v>158</v>
      </c>
      <c r="G269" s="120" t="s">
        <v>22</v>
      </c>
      <c r="H269" s="61">
        <v>35169</v>
      </c>
      <c r="I269" s="120" t="s">
        <v>175</v>
      </c>
      <c r="J269" s="120" t="s">
        <v>365</v>
      </c>
      <c r="K269" s="120" t="s">
        <v>579</v>
      </c>
      <c r="L269" s="117" t="s">
        <v>692</v>
      </c>
      <c r="M269" s="117" t="s">
        <v>693</v>
      </c>
      <c r="N269" s="119">
        <v>0</v>
      </c>
      <c r="O269" s="119">
        <v>0</v>
      </c>
      <c r="P269" s="119">
        <v>0</v>
      </c>
      <c r="Q269" s="119">
        <v>0</v>
      </c>
      <c r="R269" s="1" t="s">
        <v>357</v>
      </c>
      <c r="S269" s="120" t="s">
        <v>206</v>
      </c>
      <c r="T269" s="120" t="s">
        <v>694</v>
      </c>
      <c r="U269" s="120" t="s">
        <v>197</v>
      </c>
      <c r="V269" s="1" t="s">
        <v>357</v>
      </c>
      <c r="W269" s="120" t="s">
        <v>208</v>
      </c>
      <c r="X269" s="120" t="s">
        <v>206</v>
      </c>
      <c r="Y269" s="120" t="s">
        <v>441</v>
      </c>
      <c r="Z269" s="120" t="s">
        <v>206</v>
      </c>
      <c r="AA269" s="120" t="s">
        <v>206</v>
      </c>
      <c r="AB269" s="120" t="s">
        <v>206</v>
      </c>
      <c r="AC269" s="1" t="s">
        <v>236</v>
      </c>
      <c r="AD269" s="120" t="s">
        <v>497</v>
      </c>
      <c r="AE269" s="120" t="s">
        <v>208</v>
      </c>
      <c r="AF269" s="120" t="s">
        <v>208</v>
      </c>
      <c r="AG269" s="120" t="s">
        <v>497</v>
      </c>
      <c r="AH269" s="1" t="s">
        <v>206</v>
      </c>
      <c r="AI269" s="120" t="s">
        <v>227</v>
      </c>
    </row>
    <row x14ac:dyDescent="0.25" r="270" customHeight="1" ht="17.25">
      <c r="A270" s="1" t="s">
        <v>388</v>
      </c>
      <c r="B270" s="123" t="s">
        <v>389</v>
      </c>
      <c r="C270" s="116" t="s">
        <v>121</v>
      </c>
      <c r="D270" s="1" t="s">
        <v>66</v>
      </c>
      <c r="E270" s="116" t="s">
        <v>390</v>
      </c>
      <c r="F270" s="1" t="s">
        <v>159</v>
      </c>
      <c r="G270" s="1" t="s">
        <v>22</v>
      </c>
      <c r="H270" s="61">
        <v>30213</v>
      </c>
      <c r="I270" s="1" t="s">
        <v>175</v>
      </c>
      <c r="J270" s="1" t="s">
        <v>365</v>
      </c>
      <c r="K270" s="1" t="s">
        <v>391</v>
      </c>
      <c r="L270" s="117" t="s">
        <v>392</v>
      </c>
      <c r="M270" s="117" t="s">
        <v>393</v>
      </c>
      <c r="N270" s="117" t="s">
        <v>394</v>
      </c>
      <c r="O270" s="119">
        <v>0</v>
      </c>
      <c r="P270" s="119">
        <v>0</v>
      </c>
      <c r="Q270" s="119">
        <v>0</v>
      </c>
      <c r="R270" s="1" t="s">
        <v>357</v>
      </c>
      <c r="S270" s="1" t="s">
        <v>206</v>
      </c>
      <c r="T270" s="1" t="s">
        <v>395</v>
      </c>
      <c r="U270" s="1" t="s">
        <v>197</v>
      </c>
      <c r="V270" s="1" t="s">
        <v>357</v>
      </c>
      <c r="W270" s="1" t="s">
        <v>208</v>
      </c>
      <c r="X270" s="1" t="s">
        <v>396</v>
      </c>
      <c r="Y270" s="1" t="s">
        <v>397</v>
      </c>
      <c r="Z270" s="1" t="s">
        <v>207</v>
      </c>
      <c r="AA270" s="1" t="s">
        <v>206</v>
      </c>
      <c r="AB270" s="1" t="s">
        <v>206</v>
      </c>
      <c r="AC270" s="1" t="s">
        <v>238</v>
      </c>
      <c r="AD270" s="1" t="s">
        <v>398</v>
      </c>
      <c r="AE270" s="1" t="s">
        <v>208</v>
      </c>
      <c r="AF270" s="1" t="s">
        <v>208</v>
      </c>
      <c r="AG270" s="1" t="s">
        <v>398</v>
      </c>
      <c r="AH270" s="1" t="s">
        <v>208</v>
      </c>
      <c r="AI270" s="120" t="s">
        <v>227</v>
      </c>
    </row>
    <row x14ac:dyDescent="0.25" r="271" customHeight="1" ht="17.25">
      <c r="A271" s="1" t="s">
        <v>1582</v>
      </c>
      <c r="B271" s="123" t="s">
        <v>606</v>
      </c>
      <c r="C271" s="116" t="s">
        <v>79</v>
      </c>
      <c r="D271" s="1" t="s">
        <v>66</v>
      </c>
      <c r="E271" s="116" t="s">
        <v>1583</v>
      </c>
      <c r="F271" s="1" t="s">
        <v>158</v>
      </c>
      <c r="G271" s="1" t="s">
        <v>22</v>
      </c>
      <c r="H271" s="61">
        <v>33284</v>
      </c>
      <c r="I271" s="1" t="s">
        <v>175</v>
      </c>
      <c r="J271" s="1" t="s">
        <v>354</v>
      </c>
      <c r="K271" s="1" t="s">
        <v>1584</v>
      </c>
      <c r="L271" s="117" t="s">
        <v>1585</v>
      </c>
      <c r="M271" s="117" t="s">
        <v>1586</v>
      </c>
      <c r="N271" s="117" t="s">
        <v>1587</v>
      </c>
      <c r="O271" s="119">
        <v>0</v>
      </c>
      <c r="P271" s="119">
        <v>0</v>
      </c>
      <c r="Q271" s="119">
        <v>0</v>
      </c>
      <c r="R271" s="1" t="s">
        <v>357</v>
      </c>
      <c r="S271" s="1" t="s">
        <v>206</v>
      </c>
      <c r="T271" s="1" t="s">
        <v>1108</v>
      </c>
      <c r="U271" s="1" t="s">
        <v>197</v>
      </c>
      <c r="V271" s="1" t="s">
        <v>357</v>
      </c>
      <c r="W271" s="1" t="s">
        <v>208</v>
      </c>
      <c r="X271" s="1" t="s">
        <v>653</v>
      </c>
      <c r="Y271" s="1" t="s">
        <v>386</v>
      </c>
      <c r="Z271" s="1" t="s">
        <v>206</v>
      </c>
      <c r="AA271" s="1" t="s">
        <v>28</v>
      </c>
      <c r="AB271" s="1" t="s">
        <v>206</v>
      </c>
      <c r="AC271" s="1" t="s">
        <v>206</v>
      </c>
      <c r="AD271" s="1" t="s">
        <v>441</v>
      </c>
      <c r="AE271" s="1" t="s">
        <v>208</v>
      </c>
      <c r="AF271" s="1" t="s">
        <v>208</v>
      </c>
      <c r="AG271" s="1" t="s">
        <v>441</v>
      </c>
      <c r="AH271" s="1" t="s">
        <v>208</v>
      </c>
      <c r="AI271" s="120" t="s">
        <v>227</v>
      </c>
    </row>
    <row x14ac:dyDescent="0.25" r="272" customHeight="1" ht="17.25">
      <c r="A272" s="1" t="s">
        <v>1914</v>
      </c>
      <c r="B272" s="123" t="s">
        <v>494</v>
      </c>
      <c r="C272" s="116" t="s">
        <v>79</v>
      </c>
      <c r="D272" s="1" t="s">
        <v>66</v>
      </c>
      <c r="E272" s="116" t="s">
        <v>1915</v>
      </c>
      <c r="F272" s="1" t="s">
        <v>158</v>
      </c>
      <c r="G272" s="1" t="s">
        <v>22</v>
      </c>
      <c r="H272" s="61">
        <v>33577</v>
      </c>
      <c r="I272" s="1" t="s">
        <v>176</v>
      </c>
      <c r="J272" s="1" t="s">
        <v>365</v>
      </c>
      <c r="K272" s="1" t="s">
        <v>1916</v>
      </c>
      <c r="L272" s="117" t="s">
        <v>1917</v>
      </c>
      <c r="M272" s="117" t="s">
        <v>1918</v>
      </c>
      <c r="N272" s="117" t="s">
        <v>1199</v>
      </c>
      <c r="O272" s="119">
        <v>0</v>
      </c>
      <c r="P272" s="119">
        <v>0</v>
      </c>
      <c r="Q272" s="117" t="s">
        <v>1919</v>
      </c>
      <c r="R272" s="1" t="s">
        <v>357</v>
      </c>
      <c r="S272" s="1" t="s">
        <v>206</v>
      </c>
      <c r="T272" s="1" t="s">
        <v>1920</v>
      </c>
      <c r="U272" s="1" t="s">
        <v>197</v>
      </c>
      <c r="V272" s="1" t="s">
        <v>357</v>
      </c>
      <c r="W272" s="1" t="s">
        <v>208</v>
      </c>
      <c r="X272" s="120" t="s">
        <v>1608</v>
      </c>
      <c r="Y272" s="1" t="s">
        <v>386</v>
      </c>
      <c r="Z272" s="1" t="s">
        <v>207</v>
      </c>
      <c r="AA272" s="1" t="s">
        <v>28</v>
      </c>
      <c r="AB272" s="1" t="s">
        <v>206</v>
      </c>
      <c r="AC272" s="1" t="s">
        <v>238</v>
      </c>
      <c r="AD272" s="1" t="s">
        <v>386</v>
      </c>
      <c r="AE272" s="1" t="s">
        <v>208</v>
      </c>
      <c r="AF272" s="1" t="s">
        <v>208</v>
      </c>
      <c r="AG272" s="1" t="s">
        <v>386</v>
      </c>
      <c r="AH272" s="1" t="s">
        <v>208</v>
      </c>
      <c r="AI272" s="120" t="s">
        <v>227</v>
      </c>
    </row>
    <row x14ac:dyDescent="0.25" r="273" customHeight="1" ht="17.25">
      <c r="A273" s="1" t="s">
        <v>1908</v>
      </c>
      <c r="B273" s="123" t="s">
        <v>1909</v>
      </c>
      <c r="C273" s="116" t="s">
        <v>79</v>
      </c>
      <c r="D273" s="1" t="s">
        <v>66</v>
      </c>
      <c r="E273" s="116" t="s">
        <v>2138</v>
      </c>
      <c r="F273" s="1" t="s">
        <v>158</v>
      </c>
      <c r="G273" s="1" t="s">
        <v>22</v>
      </c>
      <c r="H273" s="61">
        <v>31871</v>
      </c>
      <c r="I273" s="1" t="s">
        <v>175</v>
      </c>
      <c r="J273" s="1" t="s">
        <v>464</v>
      </c>
      <c r="K273" s="1" t="s">
        <v>1911</v>
      </c>
      <c r="L273" s="117" t="s">
        <v>1912</v>
      </c>
      <c r="M273" s="117" t="s">
        <v>1913</v>
      </c>
      <c r="N273" s="119">
        <v>0</v>
      </c>
      <c r="O273" s="119">
        <v>0</v>
      </c>
      <c r="P273" s="119">
        <v>0</v>
      </c>
      <c r="Q273" s="119">
        <v>0</v>
      </c>
      <c r="R273" s="1" t="s">
        <v>357</v>
      </c>
      <c r="S273" s="1" t="s">
        <v>206</v>
      </c>
      <c r="T273" s="1" t="s">
        <v>1136</v>
      </c>
      <c r="U273" s="1" t="s">
        <v>197</v>
      </c>
      <c r="V273" s="1" t="s">
        <v>357</v>
      </c>
      <c r="W273" s="1" t="s">
        <v>208</v>
      </c>
      <c r="X273" s="1" t="s">
        <v>653</v>
      </c>
      <c r="Y273" s="1" t="s">
        <v>386</v>
      </c>
      <c r="Z273" s="1" t="s">
        <v>207</v>
      </c>
      <c r="AA273" s="1" t="s">
        <v>206</v>
      </c>
      <c r="AB273" s="1" t="s">
        <v>206</v>
      </c>
      <c r="AC273" s="1" t="s">
        <v>238</v>
      </c>
      <c r="AD273" s="1" t="s">
        <v>375</v>
      </c>
      <c r="AE273" s="1" t="s">
        <v>208</v>
      </c>
      <c r="AF273" s="1" t="s">
        <v>208</v>
      </c>
      <c r="AG273" s="1" t="s">
        <v>375</v>
      </c>
      <c r="AH273" s="1" t="s">
        <v>208</v>
      </c>
      <c r="AI273" s="120" t="s">
        <v>227</v>
      </c>
    </row>
    <row x14ac:dyDescent="0.25" r="274" customHeight="1" ht="17.25">
      <c r="A274" s="1" t="s">
        <v>1908</v>
      </c>
      <c r="B274" s="123" t="s">
        <v>1909</v>
      </c>
      <c r="C274" s="116" t="s">
        <v>79</v>
      </c>
      <c r="D274" s="1" t="s">
        <v>66</v>
      </c>
      <c r="E274" s="116" t="s">
        <v>1910</v>
      </c>
      <c r="F274" s="1" t="s">
        <v>158</v>
      </c>
      <c r="G274" s="1" t="s">
        <v>22</v>
      </c>
      <c r="H274" s="61">
        <v>34912</v>
      </c>
      <c r="I274" s="1" t="s">
        <v>175</v>
      </c>
      <c r="J274" s="1" t="s">
        <v>354</v>
      </c>
      <c r="K274" s="1" t="s">
        <v>1911</v>
      </c>
      <c r="L274" s="117" t="s">
        <v>1912</v>
      </c>
      <c r="M274" s="117" t="s">
        <v>1913</v>
      </c>
      <c r="N274" s="119">
        <v>0</v>
      </c>
      <c r="O274" s="119">
        <v>0</v>
      </c>
      <c r="P274" s="119">
        <v>0</v>
      </c>
      <c r="Q274" s="119">
        <v>0</v>
      </c>
      <c r="R274" s="1" t="s">
        <v>357</v>
      </c>
      <c r="S274" s="1" t="s">
        <v>206</v>
      </c>
      <c r="T274" s="1" t="s">
        <v>1136</v>
      </c>
      <c r="U274" s="1" t="s">
        <v>197</v>
      </c>
      <c r="V274" s="1" t="s">
        <v>357</v>
      </c>
      <c r="W274" s="1" t="s">
        <v>208</v>
      </c>
      <c r="X274" s="1" t="s">
        <v>653</v>
      </c>
      <c r="Y274" s="1" t="s">
        <v>386</v>
      </c>
      <c r="Z274" s="1" t="s">
        <v>206</v>
      </c>
      <c r="AA274" s="1" t="s">
        <v>206</v>
      </c>
      <c r="AB274" s="1" t="s">
        <v>206</v>
      </c>
      <c r="AC274" s="1" t="s">
        <v>206</v>
      </c>
      <c r="AD274" s="1" t="s">
        <v>386</v>
      </c>
      <c r="AE274" s="1" t="s">
        <v>208</v>
      </c>
      <c r="AF274" s="1" t="s">
        <v>208</v>
      </c>
      <c r="AG274" s="1" t="s">
        <v>386</v>
      </c>
      <c r="AH274" s="1" t="s">
        <v>208</v>
      </c>
      <c r="AI274" s="120" t="s">
        <v>227</v>
      </c>
    </row>
    <row x14ac:dyDescent="0.25" r="275" customHeight="1" ht="17.25">
      <c r="A275" s="1" t="s">
        <v>1421</v>
      </c>
      <c r="B275" s="123" t="s">
        <v>1422</v>
      </c>
      <c r="C275" s="116" t="s">
        <v>79</v>
      </c>
      <c r="D275" s="1" t="s">
        <v>66</v>
      </c>
      <c r="E275" s="116" t="s">
        <v>1423</v>
      </c>
      <c r="F275" s="120" t="s">
        <v>160</v>
      </c>
      <c r="G275" s="1" t="s">
        <v>22</v>
      </c>
      <c r="H275" s="61">
        <v>31844</v>
      </c>
      <c r="I275" s="1" t="s">
        <v>175</v>
      </c>
      <c r="J275" s="1" t="s">
        <v>517</v>
      </c>
      <c r="K275" s="1" t="s">
        <v>1424</v>
      </c>
      <c r="L275" s="117" t="s">
        <v>1425</v>
      </c>
      <c r="M275" s="117" t="s">
        <v>1426</v>
      </c>
      <c r="N275" s="119">
        <v>0</v>
      </c>
      <c r="O275" s="119">
        <v>0</v>
      </c>
      <c r="P275" s="119">
        <v>0</v>
      </c>
      <c r="Q275" s="119">
        <v>0</v>
      </c>
      <c r="R275" s="1" t="s">
        <v>357</v>
      </c>
      <c r="S275" s="1" t="s">
        <v>206</v>
      </c>
      <c r="T275" s="1" t="s">
        <v>1427</v>
      </c>
      <c r="U275" s="1" t="s">
        <v>197</v>
      </c>
      <c r="V275" s="1" t="s">
        <v>357</v>
      </c>
      <c r="W275" s="1" t="s">
        <v>208</v>
      </c>
      <c r="X275" s="1" t="s">
        <v>374</v>
      </c>
      <c r="Y275" s="1" t="s">
        <v>386</v>
      </c>
      <c r="Z275" s="1" t="s">
        <v>206</v>
      </c>
      <c r="AA275" s="1" t="s">
        <v>28</v>
      </c>
      <c r="AB275" s="1" t="s">
        <v>206</v>
      </c>
      <c r="AC275" s="1" t="s">
        <v>206</v>
      </c>
      <c r="AD275" s="1" t="s">
        <v>441</v>
      </c>
      <c r="AE275" s="1" t="s">
        <v>208</v>
      </c>
      <c r="AF275" s="1" t="s">
        <v>208</v>
      </c>
      <c r="AG275" s="1" t="s">
        <v>441</v>
      </c>
      <c r="AH275" s="1" t="s">
        <v>208</v>
      </c>
      <c r="AI275" s="120" t="s">
        <v>227</v>
      </c>
    </row>
    <row x14ac:dyDescent="0.25" r="276" customHeight="1" ht="17.25">
      <c r="A276" s="1" t="s">
        <v>2345</v>
      </c>
      <c r="B276" s="123" t="s">
        <v>817</v>
      </c>
      <c r="C276" s="116" t="s">
        <v>79</v>
      </c>
      <c r="D276" s="1" t="s">
        <v>66</v>
      </c>
      <c r="E276" s="116" t="s">
        <v>2346</v>
      </c>
      <c r="F276" s="1" t="s">
        <v>158</v>
      </c>
      <c r="G276" s="1" t="s">
        <v>22</v>
      </c>
      <c r="H276" s="61">
        <v>33448</v>
      </c>
      <c r="I276" s="1" t="s">
        <v>175</v>
      </c>
      <c r="J276" s="1" t="s">
        <v>354</v>
      </c>
      <c r="K276" s="1" t="s">
        <v>2347</v>
      </c>
      <c r="L276" s="117" t="s">
        <v>2348</v>
      </c>
      <c r="M276" s="117" t="s">
        <v>2349</v>
      </c>
      <c r="N276" s="119">
        <v>0</v>
      </c>
      <c r="O276" s="119">
        <v>0</v>
      </c>
      <c r="P276" s="119">
        <v>0</v>
      </c>
      <c r="Q276" s="119">
        <v>0</v>
      </c>
      <c r="R276" s="1" t="s">
        <v>357</v>
      </c>
      <c r="S276" s="1" t="s">
        <v>206</v>
      </c>
      <c r="T276" s="1" t="s">
        <v>430</v>
      </c>
      <c r="U276" s="1" t="s">
        <v>200</v>
      </c>
      <c r="V276" s="1" t="s">
        <v>2285</v>
      </c>
      <c r="W276" s="1" t="s">
        <v>208</v>
      </c>
      <c r="X276" s="1" t="s">
        <v>208</v>
      </c>
      <c r="Y276" s="1" t="s">
        <v>208</v>
      </c>
      <c r="Z276" s="1" t="s">
        <v>208</v>
      </c>
      <c r="AA276" s="1" t="s">
        <v>208</v>
      </c>
      <c r="AB276" s="1" t="s">
        <v>208</v>
      </c>
      <c r="AC276" s="1" t="s">
        <v>208</v>
      </c>
      <c r="AD276" s="1" t="s">
        <v>208</v>
      </c>
      <c r="AE276" s="1" t="s">
        <v>206</v>
      </c>
      <c r="AF276" s="1" t="s">
        <v>208</v>
      </c>
      <c r="AG276" s="1" t="s">
        <v>208</v>
      </c>
      <c r="AH276" s="1" t="s">
        <v>208</v>
      </c>
      <c r="AI276" s="1" t="s">
        <v>208</v>
      </c>
    </row>
    <row x14ac:dyDescent="0.25" r="277" customHeight="1" ht="17.25">
      <c r="A277" s="1" t="s">
        <v>2345</v>
      </c>
      <c r="B277" s="123" t="s">
        <v>817</v>
      </c>
      <c r="C277" s="116" t="s">
        <v>79</v>
      </c>
      <c r="D277" s="1" t="s">
        <v>66</v>
      </c>
      <c r="E277" s="116" t="s">
        <v>2350</v>
      </c>
      <c r="F277" s="1" t="s">
        <v>158</v>
      </c>
      <c r="G277" s="1" t="s">
        <v>170</v>
      </c>
      <c r="H277" s="61">
        <v>35262</v>
      </c>
      <c r="I277" s="1" t="s">
        <v>175</v>
      </c>
      <c r="J277" s="1" t="s">
        <v>517</v>
      </c>
      <c r="K277" s="1" t="s">
        <v>2351</v>
      </c>
      <c r="L277" s="117" t="s">
        <v>2348</v>
      </c>
      <c r="M277" s="117" t="s">
        <v>2349</v>
      </c>
      <c r="N277" s="119">
        <v>0</v>
      </c>
      <c r="O277" s="119">
        <v>0</v>
      </c>
      <c r="P277" s="119">
        <v>0</v>
      </c>
      <c r="Q277" s="119">
        <v>0</v>
      </c>
      <c r="R277" s="1" t="s">
        <v>357</v>
      </c>
      <c r="S277" s="1" t="s">
        <v>206</v>
      </c>
      <c r="T277" s="1" t="s">
        <v>430</v>
      </c>
      <c r="U277" s="1" t="s">
        <v>199</v>
      </c>
      <c r="V277" s="1" t="s">
        <v>208</v>
      </c>
      <c r="W277" s="1" t="s">
        <v>208</v>
      </c>
      <c r="X277" s="1" t="s">
        <v>208</v>
      </c>
      <c r="Y277" s="1" t="s">
        <v>208</v>
      </c>
      <c r="Z277" s="1" t="s">
        <v>208</v>
      </c>
      <c r="AA277" s="1" t="s">
        <v>208</v>
      </c>
      <c r="AB277" s="1" t="s">
        <v>208</v>
      </c>
      <c r="AC277" s="1" t="s">
        <v>208</v>
      </c>
      <c r="AD277" s="1" t="s">
        <v>208</v>
      </c>
      <c r="AE277" s="1" t="s">
        <v>208</v>
      </c>
      <c r="AF277" s="1" t="s">
        <v>208</v>
      </c>
      <c r="AG277" s="1" t="s">
        <v>208</v>
      </c>
      <c r="AH277" s="1" t="s">
        <v>208</v>
      </c>
      <c r="AI277" s="1" t="s">
        <v>208</v>
      </c>
    </row>
    <row x14ac:dyDescent="0.25" r="278" customHeight="1" ht="17.25">
      <c r="A278" s="1" t="s">
        <v>2046</v>
      </c>
      <c r="B278" s="123" t="s">
        <v>505</v>
      </c>
      <c r="C278" s="116" t="s">
        <v>121</v>
      </c>
      <c r="D278" s="1" t="s">
        <v>66</v>
      </c>
      <c r="E278" s="116" t="s">
        <v>2047</v>
      </c>
      <c r="F278" s="1" t="s">
        <v>158</v>
      </c>
      <c r="G278" s="1" t="s">
        <v>22</v>
      </c>
      <c r="H278" s="61">
        <v>34359</v>
      </c>
      <c r="I278" s="1" t="s">
        <v>175</v>
      </c>
      <c r="J278" s="1" t="s">
        <v>517</v>
      </c>
      <c r="K278" s="1" t="s">
        <v>2048</v>
      </c>
      <c r="L278" s="117" t="s">
        <v>2049</v>
      </c>
      <c r="M278" s="117" t="s">
        <v>2050</v>
      </c>
      <c r="N278" s="119">
        <v>0</v>
      </c>
      <c r="O278" s="119">
        <v>0</v>
      </c>
      <c r="P278" s="119">
        <v>0</v>
      </c>
      <c r="Q278" s="119">
        <v>0</v>
      </c>
      <c r="R278" s="1" t="s">
        <v>357</v>
      </c>
      <c r="S278" s="1" t="s">
        <v>206</v>
      </c>
      <c r="T278" s="1" t="s">
        <v>373</v>
      </c>
      <c r="U278" s="1" t="s">
        <v>197</v>
      </c>
      <c r="V278" s="1" t="s">
        <v>357</v>
      </c>
      <c r="W278" s="1" t="s">
        <v>208</v>
      </c>
      <c r="X278" s="1" t="s">
        <v>847</v>
      </c>
      <c r="Y278" s="1" t="s">
        <v>492</v>
      </c>
      <c r="Z278" s="1" t="s">
        <v>207</v>
      </c>
      <c r="AA278" s="1" t="s">
        <v>206</v>
      </c>
      <c r="AB278" s="1" t="s">
        <v>206</v>
      </c>
      <c r="AC278" s="1" t="s">
        <v>238</v>
      </c>
      <c r="AD278" s="1" t="s">
        <v>2038</v>
      </c>
      <c r="AE278" s="1" t="s">
        <v>208</v>
      </c>
      <c r="AF278" s="1" t="s">
        <v>208</v>
      </c>
      <c r="AG278" s="1" t="s">
        <v>2038</v>
      </c>
      <c r="AH278" s="1" t="s">
        <v>208</v>
      </c>
      <c r="AI278" s="120" t="s">
        <v>227</v>
      </c>
    </row>
    <row x14ac:dyDescent="0.25" r="279" customHeight="1" ht="17.25">
      <c r="A279" s="1" t="s">
        <v>1337</v>
      </c>
      <c r="B279" s="123" t="s">
        <v>1338</v>
      </c>
      <c r="C279" s="116" t="s">
        <v>79</v>
      </c>
      <c r="D279" s="1" t="s">
        <v>66</v>
      </c>
      <c r="E279" s="116" t="s">
        <v>1339</v>
      </c>
      <c r="F279" s="1" t="s">
        <v>158</v>
      </c>
      <c r="G279" s="1" t="s">
        <v>22</v>
      </c>
      <c r="H279" s="61">
        <v>36004</v>
      </c>
      <c r="I279" s="1" t="s">
        <v>175</v>
      </c>
      <c r="J279" s="1" t="s">
        <v>365</v>
      </c>
      <c r="K279" s="1" t="s">
        <v>366</v>
      </c>
      <c r="L279" s="117" t="s">
        <v>1340</v>
      </c>
      <c r="M279" s="119">
        <v>0</v>
      </c>
      <c r="N279" s="119">
        <v>0</v>
      </c>
      <c r="O279" s="119">
        <v>0</v>
      </c>
      <c r="P279" s="119">
        <v>0</v>
      </c>
      <c r="Q279" s="119">
        <v>0</v>
      </c>
      <c r="R279" s="1" t="s">
        <v>357</v>
      </c>
      <c r="S279" s="1" t="s">
        <v>206</v>
      </c>
      <c r="T279" s="1" t="s">
        <v>28</v>
      </c>
      <c r="U279" s="1" t="s">
        <v>197</v>
      </c>
      <c r="V279" s="1" t="s">
        <v>357</v>
      </c>
      <c r="W279" s="1" t="s">
        <v>208</v>
      </c>
      <c r="X279" s="1" t="s">
        <v>406</v>
      </c>
      <c r="Y279" s="1" t="s">
        <v>386</v>
      </c>
      <c r="Z279" s="1" t="s">
        <v>206</v>
      </c>
      <c r="AA279" s="1" t="s">
        <v>29</v>
      </c>
      <c r="AB279" s="1" t="s">
        <v>206</v>
      </c>
      <c r="AC279" s="1" t="s">
        <v>206</v>
      </c>
      <c r="AD279" s="1" t="s">
        <v>441</v>
      </c>
      <c r="AE279" s="1" t="s">
        <v>208</v>
      </c>
      <c r="AF279" s="1" t="s">
        <v>208</v>
      </c>
      <c r="AG279" s="1" t="s">
        <v>441</v>
      </c>
      <c r="AH279" s="1" t="s">
        <v>208</v>
      </c>
      <c r="AI279" s="120" t="s">
        <v>227</v>
      </c>
    </row>
    <row x14ac:dyDescent="0.25" r="280" customHeight="1" ht="17.25">
      <c r="A280" s="1" t="s">
        <v>713</v>
      </c>
      <c r="B280" s="123" t="s">
        <v>714</v>
      </c>
      <c r="C280" s="116" t="s">
        <v>121</v>
      </c>
      <c r="D280" s="1" t="s">
        <v>66</v>
      </c>
      <c r="E280" s="1" t="s">
        <v>715</v>
      </c>
      <c r="F280" s="1" t="s">
        <v>159</v>
      </c>
      <c r="G280" s="1" t="s">
        <v>22</v>
      </c>
      <c r="H280" s="61">
        <v>34027</v>
      </c>
      <c r="I280" s="1" t="s">
        <v>176</v>
      </c>
      <c r="J280" s="1" t="s">
        <v>365</v>
      </c>
      <c r="K280" s="1" t="s">
        <v>716</v>
      </c>
      <c r="L280" s="117" t="s">
        <v>717</v>
      </c>
      <c r="M280" s="117" t="s">
        <v>718</v>
      </c>
      <c r="N280" s="119">
        <v>0</v>
      </c>
      <c r="O280" s="119">
        <v>0</v>
      </c>
      <c r="P280" s="119">
        <v>0</v>
      </c>
      <c r="Q280" s="119">
        <v>0</v>
      </c>
      <c r="R280" s="1" t="s">
        <v>357</v>
      </c>
      <c r="S280" s="1" t="s">
        <v>206</v>
      </c>
      <c r="T280" s="1" t="s">
        <v>719</v>
      </c>
      <c r="U280" s="1" t="s">
        <v>197</v>
      </c>
      <c r="V280" s="1" t="s">
        <v>357</v>
      </c>
      <c r="W280" s="1" t="s">
        <v>208</v>
      </c>
      <c r="X280" s="1" t="s">
        <v>620</v>
      </c>
      <c r="Y280" s="1" t="s">
        <v>492</v>
      </c>
      <c r="Z280" s="1" t="s">
        <v>206</v>
      </c>
      <c r="AA280" s="1" t="s">
        <v>28</v>
      </c>
      <c r="AB280" s="1" t="s">
        <v>206</v>
      </c>
      <c r="AC280" s="1" t="s">
        <v>236</v>
      </c>
      <c r="AD280" s="1" t="s">
        <v>497</v>
      </c>
      <c r="AE280" s="1" t="s">
        <v>208</v>
      </c>
      <c r="AF280" s="1" t="s">
        <v>208</v>
      </c>
      <c r="AG280" s="1" t="s">
        <v>497</v>
      </c>
      <c r="AH280" s="1" t="s">
        <v>35</v>
      </c>
      <c r="AI280" s="1" t="s">
        <v>208</v>
      </c>
    </row>
    <row x14ac:dyDescent="0.25" r="281" customHeight="1" ht="17.25">
      <c r="A281" s="1" t="s">
        <v>2362</v>
      </c>
      <c r="B281" s="123" t="s">
        <v>515</v>
      </c>
      <c r="C281" s="116" t="s">
        <v>121</v>
      </c>
      <c r="D281" s="1" t="s">
        <v>66</v>
      </c>
      <c r="E281" s="116" t="s">
        <v>2363</v>
      </c>
      <c r="F281" s="1" t="s">
        <v>158</v>
      </c>
      <c r="G281" s="1" t="s">
        <v>22</v>
      </c>
      <c r="H281" s="61">
        <v>35028</v>
      </c>
      <c r="I281" s="1" t="s">
        <v>176</v>
      </c>
      <c r="J281" s="1" t="s">
        <v>365</v>
      </c>
      <c r="K281" s="1" t="s">
        <v>2364</v>
      </c>
      <c r="L281" s="117" t="s">
        <v>2365</v>
      </c>
      <c r="M281" s="117" t="s">
        <v>2366</v>
      </c>
      <c r="N281" s="119">
        <v>0</v>
      </c>
      <c r="O281" s="119">
        <v>0</v>
      </c>
      <c r="P281" s="119">
        <v>0</v>
      </c>
      <c r="Q281" s="117" t="s">
        <v>2367</v>
      </c>
      <c r="R281" s="1" t="s">
        <v>357</v>
      </c>
      <c r="S281" s="1" t="s">
        <v>206</v>
      </c>
      <c r="T281" s="1" t="s">
        <v>2304</v>
      </c>
      <c r="U281" s="1" t="s">
        <v>199</v>
      </c>
      <c r="V281" s="1" t="s">
        <v>208</v>
      </c>
      <c r="W281" s="1" t="s">
        <v>208</v>
      </c>
      <c r="X281" s="1" t="s">
        <v>208</v>
      </c>
      <c r="Y281" s="1" t="s">
        <v>208</v>
      </c>
      <c r="Z281" s="1" t="s">
        <v>208</v>
      </c>
      <c r="AA281" s="1" t="s">
        <v>208</v>
      </c>
      <c r="AB281" s="1" t="s">
        <v>208</v>
      </c>
      <c r="AC281" s="1" t="s">
        <v>208</v>
      </c>
      <c r="AD281" s="1" t="s">
        <v>208</v>
      </c>
      <c r="AE281" s="1" t="s">
        <v>208</v>
      </c>
      <c r="AF281" s="1" t="s">
        <v>208</v>
      </c>
      <c r="AG281" s="1" t="s">
        <v>208</v>
      </c>
      <c r="AH281" s="1" t="s">
        <v>208</v>
      </c>
      <c r="AI281" s="1" t="s">
        <v>208</v>
      </c>
    </row>
    <row x14ac:dyDescent="0.25" r="282" customHeight="1" ht="17.25">
      <c r="A282" s="1" t="s">
        <v>2289</v>
      </c>
      <c r="B282" s="123" t="s">
        <v>2290</v>
      </c>
      <c r="C282" s="116" t="s">
        <v>79</v>
      </c>
      <c r="D282" s="1" t="s">
        <v>66</v>
      </c>
      <c r="E282" s="116" t="s">
        <v>2291</v>
      </c>
      <c r="F282" s="1" t="s">
        <v>158</v>
      </c>
      <c r="G282" s="1" t="s">
        <v>22</v>
      </c>
      <c r="H282" s="61">
        <v>29977</v>
      </c>
      <c r="I282" s="1" t="s">
        <v>176</v>
      </c>
      <c r="J282" s="1" t="s">
        <v>517</v>
      </c>
      <c r="K282" s="1" t="s">
        <v>2292</v>
      </c>
      <c r="L282" s="117" t="s">
        <v>2293</v>
      </c>
      <c r="M282" s="119">
        <v>0</v>
      </c>
      <c r="N282" s="119">
        <v>0</v>
      </c>
      <c r="O282" s="119">
        <v>0</v>
      </c>
      <c r="P282" s="119">
        <v>0</v>
      </c>
      <c r="Q282" s="119">
        <v>0</v>
      </c>
      <c r="R282" s="1" t="s">
        <v>357</v>
      </c>
      <c r="S282" s="1" t="s">
        <v>206</v>
      </c>
      <c r="T282" s="1" t="s">
        <v>430</v>
      </c>
      <c r="U282" s="1" t="s">
        <v>199</v>
      </c>
      <c r="V282" s="1" t="s">
        <v>208</v>
      </c>
      <c r="W282" s="1" t="s">
        <v>208</v>
      </c>
      <c r="X282" s="1" t="s">
        <v>208</v>
      </c>
      <c r="Y282" s="1" t="s">
        <v>208</v>
      </c>
      <c r="Z282" s="1" t="s">
        <v>208</v>
      </c>
      <c r="AA282" s="1" t="s">
        <v>208</v>
      </c>
      <c r="AB282" s="1" t="s">
        <v>208</v>
      </c>
      <c r="AC282" s="1" t="s">
        <v>208</v>
      </c>
      <c r="AD282" s="1" t="s">
        <v>208</v>
      </c>
      <c r="AE282" s="1" t="s">
        <v>208</v>
      </c>
      <c r="AF282" s="1" t="s">
        <v>208</v>
      </c>
      <c r="AG282" s="1" t="s">
        <v>208</v>
      </c>
      <c r="AH282" s="1" t="s">
        <v>208</v>
      </c>
      <c r="AI282" s="1" t="s">
        <v>208</v>
      </c>
    </row>
    <row x14ac:dyDescent="0.25" r="283" customHeight="1" ht="17.25">
      <c r="A283" s="1" t="s">
        <v>2524</v>
      </c>
      <c r="B283" s="123" t="s">
        <v>515</v>
      </c>
      <c r="C283" s="116" t="s">
        <v>79</v>
      </c>
      <c r="D283" s="1" t="s">
        <v>66</v>
      </c>
      <c r="E283" s="116" t="s">
        <v>2525</v>
      </c>
      <c r="F283" s="1" t="s">
        <v>158</v>
      </c>
      <c r="G283" s="1" t="s">
        <v>22</v>
      </c>
      <c r="H283" s="61">
        <v>31615</v>
      </c>
      <c r="I283" s="1" t="s">
        <v>177</v>
      </c>
      <c r="J283" s="1" t="s">
        <v>365</v>
      </c>
      <c r="K283" s="1" t="s">
        <v>366</v>
      </c>
      <c r="L283" s="117" t="s">
        <v>2526</v>
      </c>
      <c r="M283" s="119">
        <v>0</v>
      </c>
      <c r="N283" s="117" t="s">
        <v>2527</v>
      </c>
      <c r="O283" s="119">
        <v>0</v>
      </c>
      <c r="P283" s="119">
        <v>0</v>
      </c>
      <c r="Q283" s="119">
        <v>0</v>
      </c>
      <c r="R283" s="1" t="s">
        <v>357</v>
      </c>
      <c r="S283" s="1" t="s">
        <v>206</v>
      </c>
      <c r="T283" s="1" t="s">
        <v>358</v>
      </c>
      <c r="U283" s="1" t="s">
        <v>200</v>
      </c>
      <c r="V283" s="1" t="s">
        <v>2285</v>
      </c>
      <c r="W283" s="1" t="s">
        <v>208</v>
      </c>
      <c r="X283" s="1" t="s">
        <v>208</v>
      </c>
      <c r="Y283" s="1" t="s">
        <v>208</v>
      </c>
      <c r="Z283" s="1" t="s">
        <v>208</v>
      </c>
      <c r="AA283" s="1" t="s">
        <v>208</v>
      </c>
      <c r="AB283" s="1" t="s">
        <v>208</v>
      </c>
      <c r="AC283" s="1" t="s">
        <v>208</v>
      </c>
      <c r="AD283" s="1" t="s">
        <v>208</v>
      </c>
      <c r="AE283" s="1" t="s">
        <v>206</v>
      </c>
      <c r="AF283" s="1" t="s">
        <v>208</v>
      </c>
      <c r="AG283" s="1" t="s">
        <v>208</v>
      </c>
      <c r="AH283" s="1" t="s">
        <v>208</v>
      </c>
      <c r="AI283" s="1" t="s">
        <v>208</v>
      </c>
    </row>
    <row x14ac:dyDescent="0.25" r="284" customHeight="1" ht="17.25">
      <c r="A284" s="1" t="s">
        <v>1038</v>
      </c>
      <c r="B284" s="123" t="s">
        <v>1039</v>
      </c>
      <c r="C284" s="116" t="s">
        <v>77</v>
      </c>
      <c r="D284" s="1" t="s">
        <v>40</v>
      </c>
      <c r="E284" s="116" t="s">
        <v>1040</v>
      </c>
      <c r="F284" s="1" t="s">
        <v>158</v>
      </c>
      <c r="G284" s="1" t="s">
        <v>22</v>
      </c>
      <c r="H284" s="61">
        <v>35585</v>
      </c>
      <c r="I284" s="1" t="s">
        <v>176</v>
      </c>
      <c r="J284" s="1" t="s">
        <v>365</v>
      </c>
      <c r="K284" s="1" t="s">
        <v>801</v>
      </c>
      <c r="L284" s="117" t="s">
        <v>1041</v>
      </c>
      <c r="M284" s="117" t="s">
        <v>1042</v>
      </c>
      <c r="N284" s="119">
        <v>0</v>
      </c>
      <c r="O284" s="119">
        <v>0</v>
      </c>
      <c r="P284" s="119">
        <v>0</v>
      </c>
      <c r="Q284" s="119">
        <v>0</v>
      </c>
      <c r="R284" s="1" t="s">
        <v>357</v>
      </c>
      <c r="S284" s="1" t="s">
        <v>206</v>
      </c>
      <c r="T284" s="1" t="s">
        <v>28</v>
      </c>
      <c r="U284" s="1" t="s">
        <v>197</v>
      </c>
      <c r="V284" s="1" t="s">
        <v>357</v>
      </c>
      <c r="W284" s="1" t="s">
        <v>208</v>
      </c>
      <c r="X284" s="1" t="s">
        <v>847</v>
      </c>
      <c r="Y284" s="1" t="s">
        <v>604</v>
      </c>
      <c r="Z284" s="1" t="s">
        <v>206</v>
      </c>
      <c r="AA284" s="1" t="s">
        <v>212</v>
      </c>
      <c r="AB284" s="1" t="s">
        <v>30</v>
      </c>
      <c r="AC284" s="1" t="s">
        <v>237</v>
      </c>
      <c r="AD284" s="1" t="s">
        <v>1026</v>
      </c>
      <c r="AE284" s="1" t="s">
        <v>208</v>
      </c>
      <c r="AF284" s="1" t="s">
        <v>208</v>
      </c>
      <c r="AG284" s="1" t="s">
        <v>1026</v>
      </c>
      <c r="AH284" s="1" t="s">
        <v>35</v>
      </c>
      <c r="AI284" s="1" t="s">
        <v>208</v>
      </c>
    </row>
    <row x14ac:dyDescent="0.25" r="285" customHeight="1" ht="17.25">
      <c r="A285" s="1" t="s">
        <v>2060</v>
      </c>
      <c r="B285" s="123" t="s">
        <v>1782</v>
      </c>
      <c r="C285" s="116" t="s">
        <v>88</v>
      </c>
      <c r="D285" s="1" t="s">
        <v>40</v>
      </c>
      <c r="E285" s="116" t="s">
        <v>2061</v>
      </c>
      <c r="F285" s="1" t="s">
        <v>158</v>
      </c>
      <c r="G285" s="1" t="s">
        <v>22</v>
      </c>
      <c r="H285" s="61">
        <v>30893</v>
      </c>
      <c r="I285" s="1" t="s">
        <v>176</v>
      </c>
      <c r="J285" s="1" t="s">
        <v>464</v>
      </c>
      <c r="K285" s="1" t="s">
        <v>2062</v>
      </c>
      <c r="L285" s="119">
        <v>0</v>
      </c>
      <c r="M285" s="117" t="s">
        <v>2063</v>
      </c>
      <c r="N285" s="119">
        <v>0</v>
      </c>
      <c r="O285" s="119">
        <v>0</v>
      </c>
      <c r="P285" s="119">
        <v>0</v>
      </c>
      <c r="Q285" s="119">
        <v>0</v>
      </c>
      <c r="R285" s="1" t="s">
        <v>371</v>
      </c>
      <c r="S285" s="1" t="s">
        <v>372</v>
      </c>
      <c r="T285" s="1" t="s">
        <v>430</v>
      </c>
      <c r="U285" s="1" t="s">
        <v>198</v>
      </c>
      <c r="V285" s="1" t="s">
        <v>357</v>
      </c>
      <c r="W285" s="1" t="s">
        <v>206</v>
      </c>
      <c r="X285" s="1" t="s">
        <v>603</v>
      </c>
      <c r="Y285" s="1" t="s">
        <v>492</v>
      </c>
      <c r="Z285" s="1" t="s">
        <v>206</v>
      </c>
      <c r="AA285" s="1" t="s">
        <v>206</v>
      </c>
      <c r="AB285" s="1" t="s">
        <v>30</v>
      </c>
      <c r="AC285" s="1" t="s">
        <v>238</v>
      </c>
      <c r="AD285" s="1" t="s">
        <v>2038</v>
      </c>
      <c r="AE285" s="1" t="s">
        <v>208</v>
      </c>
      <c r="AF285" s="1" t="s">
        <v>208</v>
      </c>
      <c r="AG285" s="1" t="s">
        <v>2038</v>
      </c>
      <c r="AH285" s="1" t="s">
        <v>208</v>
      </c>
      <c r="AI285" s="1" t="s">
        <v>228</v>
      </c>
    </row>
    <row x14ac:dyDescent="0.25" r="286" customHeight="1" ht="17.25">
      <c r="A286" s="1" t="s">
        <v>362</v>
      </c>
      <c r="B286" s="123" t="s">
        <v>363</v>
      </c>
      <c r="C286" s="116" t="s">
        <v>77</v>
      </c>
      <c r="D286" s="1" t="s">
        <v>40</v>
      </c>
      <c r="E286" s="116" t="s">
        <v>2180</v>
      </c>
      <c r="F286" s="1" t="s">
        <v>158</v>
      </c>
      <c r="G286" s="1" t="s">
        <v>22</v>
      </c>
      <c r="H286" s="61">
        <v>34973</v>
      </c>
      <c r="I286" s="1" t="s">
        <v>175</v>
      </c>
      <c r="J286" s="1" t="s">
        <v>365</v>
      </c>
      <c r="K286" s="1" t="s">
        <v>2181</v>
      </c>
      <c r="L286" s="117" t="s">
        <v>367</v>
      </c>
      <c r="M286" s="117" t="s">
        <v>368</v>
      </c>
      <c r="N286" s="117" t="s">
        <v>369</v>
      </c>
      <c r="O286" s="119">
        <v>0</v>
      </c>
      <c r="P286" s="119">
        <v>0</v>
      </c>
      <c r="Q286" s="117" t="s">
        <v>370</v>
      </c>
      <c r="R286" s="1" t="s">
        <v>371</v>
      </c>
      <c r="S286" s="1" t="s">
        <v>372</v>
      </c>
      <c r="T286" s="1" t="s">
        <v>1579</v>
      </c>
      <c r="U286" s="1" t="s">
        <v>198</v>
      </c>
      <c r="V286" s="1" t="s">
        <v>357</v>
      </c>
      <c r="W286" s="1" t="s">
        <v>206</v>
      </c>
      <c r="X286" s="1" t="s">
        <v>374</v>
      </c>
      <c r="Y286" s="1" t="s">
        <v>375</v>
      </c>
      <c r="Z286" s="1" t="s">
        <v>206</v>
      </c>
      <c r="AA286" s="1" t="s">
        <v>28</v>
      </c>
      <c r="AB286" s="1" t="s">
        <v>30</v>
      </c>
      <c r="AC286" s="1" t="s">
        <v>206</v>
      </c>
      <c r="AD286" s="1" t="s">
        <v>2182</v>
      </c>
      <c r="AE286" s="1" t="s">
        <v>208</v>
      </c>
      <c r="AF286" s="1" t="s">
        <v>208</v>
      </c>
      <c r="AG286" s="1" t="s">
        <v>2182</v>
      </c>
      <c r="AH286" s="1" t="s">
        <v>208</v>
      </c>
      <c r="AI286" s="120" t="s">
        <v>227</v>
      </c>
    </row>
    <row x14ac:dyDescent="0.25" r="287" customHeight="1" ht="17.25">
      <c r="A287" s="1" t="s">
        <v>362</v>
      </c>
      <c r="B287" s="123" t="s">
        <v>363</v>
      </c>
      <c r="C287" s="116" t="s">
        <v>77</v>
      </c>
      <c r="D287" s="1" t="s">
        <v>40</v>
      </c>
      <c r="E287" s="116" t="s">
        <v>364</v>
      </c>
      <c r="F287" s="1" t="s">
        <v>158</v>
      </c>
      <c r="G287" s="1" t="s">
        <v>22</v>
      </c>
      <c r="H287" s="61">
        <v>34466</v>
      </c>
      <c r="I287" s="1" t="s">
        <v>177</v>
      </c>
      <c r="J287" s="1" t="s">
        <v>365</v>
      </c>
      <c r="K287" s="1" t="s">
        <v>366</v>
      </c>
      <c r="L287" s="117" t="s">
        <v>367</v>
      </c>
      <c r="M287" s="117" t="s">
        <v>368</v>
      </c>
      <c r="N287" s="117" t="s">
        <v>369</v>
      </c>
      <c r="O287" s="119">
        <v>0</v>
      </c>
      <c r="P287" s="119">
        <v>0</v>
      </c>
      <c r="Q287" s="117" t="s">
        <v>370</v>
      </c>
      <c r="R287" s="1" t="s">
        <v>371</v>
      </c>
      <c r="S287" s="1" t="s">
        <v>372</v>
      </c>
      <c r="T287" s="1" t="s">
        <v>373</v>
      </c>
      <c r="U287" s="1" t="s">
        <v>198</v>
      </c>
      <c r="V287" s="1" t="s">
        <v>357</v>
      </c>
      <c r="W287" s="1" t="s">
        <v>206</v>
      </c>
      <c r="X287" s="1" t="s">
        <v>374</v>
      </c>
      <c r="Y287" s="1" t="s">
        <v>375</v>
      </c>
      <c r="Z287" s="1" t="s">
        <v>207</v>
      </c>
      <c r="AA287" s="1" t="s">
        <v>206</v>
      </c>
      <c r="AB287" s="1" t="s">
        <v>30</v>
      </c>
      <c r="AC287" s="1" t="s">
        <v>238</v>
      </c>
      <c r="AD287" s="1" t="s">
        <v>376</v>
      </c>
      <c r="AE287" s="1" t="s">
        <v>208</v>
      </c>
      <c r="AF287" s="1" t="s">
        <v>208</v>
      </c>
      <c r="AG287" s="1" t="s">
        <v>376</v>
      </c>
      <c r="AH287" s="1" t="s">
        <v>208</v>
      </c>
      <c r="AI287" s="120" t="s">
        <v>227</v>
      </c>
    </row>
    <row x14ac:dyDescent="0.25" r="288" customHeight="1" ht="17.25">
      <c r="A288" s="1" t="s">
        <v>2305</v>
      </c>
      <c r="B288" s="123" t="s">
        <v>1049</v>
      </c>
      <c r="C288" s="116" t="s">
        <v>77</v>
      </c>
      <c r="D288" s="1" t="s">
        <v>40</v>
      </c>
      <c r="E288" s="116" t="s">
        <v>2306</v>
      </c>
      <c r="F288" s="1" t="s">
        <v>158</v>
      </c>
      <c r="G288" s="1" t="s">
        <v>22</v>
      </c>
      <c r="H288" s="61">
        <v>34757</v>
      </c>
      <c r="I288" s="1" t="s">
        <v>175</v>
      </c>
      <c r="J288" s="1" t="s">
        <v>365</v>
      </c>
      <c r="K288" s="1" t="s">
        <v>2307</v>
      </c>
      <c r="L288" s="117" t="s">
        <v>2308</v>
      </c>
      <c r="M288" s="119">
        <v>0</v>
      </c>
      <c r="N288" s="119">
        <v>0</v>
      </c>
      <c r="O288" s="119">
        <v>0</v>
      </c>
      <c r="P288" s="119">
        <v>0</v>
      </c>
      <c r="Q288" s="119">
        <v>0</v>
      </c>
      <c r="R288" s="1" t="s">
        <v>371</v>
      </c>
      <c r="S288" s="1" t="s">
        <v>206</v>
      </c>
      <c r="T288" s="1" t="s">
        <v>555</v>
      </c>
      <c r="U288" s="1" t="s">
        <v>199</v>
      </c>
      <c r="V288" s="1" t="s">
        <v>208</v>
      </c>
      <c r="W288" s="1" t="s">
        <v>208</v>
      </c>
      <c r="X288" s="1" t="s">
        <v>208</v>
      </c>
      <c r="Y288" s="1" t="s">
        <v>208</v>
      </c>
      <c r="Z288" s="1" t="s">
        <v>208</v>
      </c>
      <c r="AA288" s="1" t="s">
        <v>208</v>
      </c>
      <c r="AB288" s="1" t="s">
        <v>208</v>
      </c>
      <c r="AC288" s="1" t="s">
        <v>208</v>
      </c>
      <c r="AD288" s="1" t="s">
        <v>208</v>
      </c>
      <c r="AE288" s="1" t="s">
        <v>208</v>
      </c>
      <c r="AF288" s="1" t="s">
        <v>208</v>
      </c>
      <c r="AG288" s="1" t="s">
        <v>208</v>
      </c>
      <c r="AH288" s="1" t="s">
        <v>208</v>
      </c>
      <c r="AI288" s="1" t="s">
        <v>208</v>
      </c>
    </row>
    <row x14ac:dyDescent="0.25" r="289" customHeight="1" ht="17.25">
      <c r="A289" s="1" t="s">
        <v>2305</v>
      </c>
      <c r="B289" s="123" t="s">
        <v>1049</v>
      </c>
      <c r="C289" s="116" t="s">
        <v>77</v>
      </c>
      <c r="D289" s="1" t="s">
        <v>40</v>
      </c>
      <c r="E289" s="116" t="s">
        <v>2309</v>
      </c>
      <c r="F289" s="1" t="s">
        <v>158</v>
      </c>
      <c r="G289" s="1" t="s">
        <v>22</v>
      </c>
      <c r="H289" s="61">
        <v>33756</v>
      </c>
      <c r="I289" s="1" t="s">
        <v>177</v>
      </c>
      <c r="J289" s="1" t="s">
        <v>365</v>
      </c>
      <c r="K289" s="1" t="s">
        <v>2307</v>
      </c>
      <c r="L289" s="117" t="s">
        <v>2308</v>
      </c>
      <c r="M289" s="119">
        <v>0</v>
      </c>
      <c r="N289" s="119">
        <v>0</v>
      </c>
      <c r="O289" s="119">
        <v>0</v>
      </c>
      <c r="P289" s="119">
        <v>0</v>
      </c>
      <c r="Q289" s="119">
        <v>0</v>
      </c>
      <c r="R289" s="1" t="s">
        <v>371</v>
      </c>
      <c r="S289" s="1" t="s">
        <v>206</v>
      </c>
      <c r="T289" s="1" t="s">
        <v>555</v>
      </c>
      <c r="U289" s="1" t="s">
        <v>199</v>
      </c>
      <c r="V289" s="1" t="s">
        <v>208</v>
      </c>
      <c r="W289" s="1" t="s">
        <v>208</v>
      </c>
      <c r="X289" s="1" t="s">
        <v>208</v>
      </c>
      <c r="Y289" s="1" t="s">
        <v>208</v>
      </c>
      <c r="Z289" s="1" t="s">
        <v>208</v>
      </c>
      <c r="AA289" s="1" t="s">
        <v>208</v>
      </c>
      <c r="AB289" s="1" t="s">
        <v>208</v>
      </c>
      <c r="AC289" s="1" t="s">
        <v>208</v>
      </c>
      <c r="AD289" s="1" t="s">
        <v>208</v>
      </c>
      <c r="AE289" s="1" t="s">
        <v>208</v>
      </c>
      <c r="AF289" s="1" t="s">
        <v>208</v>
      </c>
      <c r="AG289" s="1" t="s">
        <v>208</v>
      </c>
      <c r="AH289" s="1" t="s">
        <v>208</v>
      </c>
      <c r="AI289" s="1" t="s">
        <v>208</v>
      </c>
    </row>
    <row x14ac:dyDescent="0.25" r="290" customHeight="1" ht="17.25">
      <c r="A290" s="1" t="s">
        <v>521</v>
      </c>
      <c r="B290" s="123" t="s">
        <v>522</v>
      </c>
      <c r="C290" s="116" t="s">
        <v>88</v>
      </c>
      <c r="D290" s="1" t="s">
        <v>40</v>
      </c>
      <c r="E290" s="116" t="s">
        <v>523</v>
      </c>
      <c r="F290" s="1" t="s">
        <v>159</v>
      </c>
      <c r="G290" s="1" t="s">
        <v>22</v>
      </c>
      <c r="H290" s="61">
        <v>24436</v>
      </c>
      <c r="I290" s="1" t="s">
        <v>176</v>
      </c>
      <c r="J290" s="1" t="s">
        <v>365</v>
      </c>
      <c r="K290" s="1" t="s">
        <v>524</v>
      </c>
      <c r="L290" s="117" t="s">
        <v>525</v>
      </c>
      <c r="M290" s="119">
        <v>0</v>
      </c>
      <c r="N290" s="119">
        <v>0</v>
      </c>
      <c r="O290" s="119">
        <v>0</v>
      </c>
      <c r="P290" s="119">
        <v>0</v>
      </c>
      <c r="Q290" s="119">
        <v>0</v>
      </c>
      <c r="R290" s="1" t="s">
        <v>357</v>
      </c>
      <c r="S290" s="1" t="s">
        <v>526</v>
      </c>
      <c r="T290" s="1" t="s">
        <v>503</v>
      </c>
      <c r="U290" s="1" t="s">
        <v>197</v>
      </c>
      <c r="V290" s="1" t="s">
        <v>357</v>
      </c>
      <c r="W290" s="1" t="s">
        <v>527</v>
      </c>
      <c r="X290" s="1" t="s">
        <v>206</v>
      </c>
      <c r="Y290" s="1" t="s">
        <v>441</v>
      </c>
      <c r="Z290" s="1" t="s">
        <v>206</v>
      </c>
      <c r="AA290" s="1" t="s">
        <v>206</v>
      </c>
      <c r="AB290" s="1" t="s">
        <v>206</v>
      </c>
      <c r="AC290" s="1" t="s">
        <v>236</v>
      </c>
      <c r="AD290" s="1" t="s">
        <v>497</v>
      </c>
      <c r="AE290" s="1" t="s">
        <v>208</v>
      </c>
      <c r="AF290" s="1" t="s">
        <v>528</v>
      </c>
      <c r="AG290" s="1" t="s">
        <v>529</v>
      </c>
      <c r="AH290" s="1" t="s">
        <v>208</v>
      </c>
      <c r="AI290" s="120" t="s">
        <v>227</v>
      </c>
    </row>
    <row x14ac:dyDescent="0.25" r="291" customHeight="1" ht="17.25">
      <c r="A291" s="1" t="s">
        <v>2234</v>
      </c>
      <c r="B291" s="123" t="s">
        <v>2235</v>
      </c>
      <c r="C291" s="116" t="s">
        <v>77</v>
      </c>
      <c r="D291" s="1" t="s">
        <v>40</v>
      </c>
      <c r="E291" s="116" t="s">
        <v>2236</v>
      </c>
      <c r="F291" s="1" t="s">
        <v>158</v>
      </c>
      <c r="G291" s="1" t="s">
        <v>22</v>
      </c>
      <c r="H291" s="61">
        <v>26887</v>
      </c>
      <c r="I291" s="1" t="s">
        <v>176</v>
      </c>
      <c r="J291" s="1" t="s">
        <v>365</v>
      </c>
      <c r="K291" s="1" t="s">
        <v>2237</v>
      </c>
      <c r="L291" s="119">
        <v>0</v>
      </c>
      <c r="M291" s="117" t="s">
        <v>2238</v>
      </c>
      <c r="N291" s="119">
        <v>0</v>
      </c>
      <c r="O291" s="119">
        <v>0</v>
      </c>
      <c r="P291" s="119">
        <v>0</v>
      </c>
      <c r="Q291" s="119">
        <v>0</v>
      </c>
      <c r="R291" s="1" t="s">
        <v>357</v>
      </c>
      <c r="S291" s="1" t="s">
        <v>2239</v>
      </c>
      <c r="T291" s="1" t="s">
        <v>384</v>
      </c>
      <c r="U291" s="1" t="s">
        <v>197</v>
      </c>
      <c r="V291" s="1" t="s">
        <v>357</v>
      </c>
      <c r="W291" s="1" t="s">
        <v>2239</v>
      </c>
      <c r="X291" s="1" t="s">
        <v>359</v>
      </c>
      <c r="Y291" s="1" t="s">
        <v>375</v>
      </c>
      <c r="Z291" s="1" t="s">
        <v>207</v>
      </c>
      <c r="AA291" s="1" t="s">
        <v>206</v>
      </c>
      <c r="AB291" s="1" t="s">
        <v>206</v>
      </c>
      <c r="AC291" s="1" t="s">
        <v>238</v>
      </c>
      <c r="AD291" s="1" t="s">
        <v>2233</v>
      </c>
      <c r="AE291" s="1" t="s">
        <v>208</v>
      </c>
      <c r="AF291" s="1" t="s">
        <v>2240</v>
      </c>
      <c r="AG291" s="1" t="s">
        <v>2241</v>
      </c>
      <c r="AH291" s="1" t="s">
        <v>208</v>
      </c>
      <c r="AI291" s="120" t="s">
        <v>227</v>
      </c>
    </row>
    <row x14ac:dyDescent="0.25" r="292" customHeight="1" ht="17.25">
      <c r="A292" s="1" t="s">
        <v>1893</v>
      </c>
      <c r="B292" s="123" t="s">
        <v>1894</v>
      </c>
      <c r="C292" s="116" t="s">
        <v>77</v>
      </c>
      <c r="D292" s="1" t="s">
        <v>40</v>
      </c>
      <c r="E292" s="116" t="s">
        <v>1895</v>
      </c>
      <c r="F292" s="1" t="s">
        <v>158</v>
      </c>
      <c r="G292" s="1" t="s">
        <v>22</v>
      </c>
      <c r="H292" s="61">
        <v>26868</v>
      </c>
      <c r="I292" s="1" t="s">
        <v>175</v>
      </c>
      <c r="J292" s="1" t="s">
        <v>365</v>
      </c>
      <c r="K292" s="1" t="s">
        <v>1896</v>
      </c>
      <c r="L292" s="117" t="s">
        <v>1897</v>
      </c>
      <c r="M292" s="117" t="s">
        <v>1898</v>
      </c>
      <c r="N292" s="119">
        <v>0</v>
      </c>
      <c r="O292" s="119">
        <v>0</v>
      </c>
      <c r="P292" s="119">
        <v>0</v>
      </c>
      <c r="Q292" s="119">
        <v>0</v>
      </c>
      <c r="R292" s="1" t="s">
        <v>357</v>
      </c>
      <c r="S292" s="1" t="s">
        <v>206</v>
      </c>
      <c r="T292" s="1" t="s">
        <v>846</v>
      </c>
      <c r="U292" s="1" t="s">
        <v>197</v>
      </c>
      <c r="V292" s="1" t="s">
        <v>357</v>
      </c>
      <c r="W292" s="1" t="s">
        <v>208</v>
      </c>
      <c r="X292" s="1" t="s">
        <v>406</v>
      </c>
      <c r="Y292" s="1" t="s">
        <v>386</v>
      </c>
      <c r="Z292" s="1" t="s">
        <v>206</v>
      </c>
      <c r="AA292" s="1" t="s">
        <v>206</v>
      </c>
      <c r="AB292" s="1" t="s">
        <v>206</v>
      </c>
      <c r="AC292" s="1" t="s">
        <v>206</v>
      </c>
      <c r="AD292" s="1" t="s">
        <v>386</v>
      </c>
      <c r="AE292" s="1" t="s">
        <v>208</v>
      </c>
      <c r="AF292" s="1" t="s">
        <v>208</v>
      </c>
      <c r="AG292" s="1" t="s">
        <v>386</v>
      </c>
      <c r="AH292" s="1" t="s">
        <v>208</v>
      </c>
      <c r="AI292" s="120" t="s">
        <v>227</v>
      </c>
    </row>
    <row x14ac:dyDescent="0.25" r="293" customHeight="1" ht="17.25">
      <c r="A293" s="1" t="s">
        <v>2033</v>
      </c>
      <c r="B293" s="123" t="s">
        <v>2034</v>
      </c>
      <c r="C293" s="116" t="s">
        <v>88</v>
      </c>
      <c r="D293" s="1" t="s">
        <v>40</v>
      </c>
      <c r="E293" s="116" t="s">
        <v>2035</v>
      </c>
      <c r="F293" s="1" t="s">
        <v>158</v>
      </c>
      <c r="G293" s="1" t="s">
        <v>22</v>
      </c>
      <c r="H293" s="61">
        <v>32521</v>
      </c>
      <c r="I293" s="1" t="s">
        <v>177</v>
      </c>
      <c r="J293" s="1" t="s">
        <v>365</v>
      </c>
      <c r="K293" s="1" t="s">
        <v>445</v>
      </c>
      <c r="L293" s="119">
        <v>0</v>
      </c>
      <c r="M293" s="117" t="s">
        <v>2036</v>
      </c>
      <c r="N293" s="119">
        <v>0</v>
      </c>
      <c r="O293" s="119">
        <v>0</v>
      </c>
      <c r="P293" s="119">
        <v>0</v>
      </c>
      <c r="Q293" s="119">
        <v>0</v>
      </c>
      <c r="R293" s="1" t="s">
        <v>357</v>
      </c>
      <c r="S293" s="1" t="s">
        <v>206</v>
      </c>
      <c r="T293" s="1" t="s">
        <v>2037</v>
      </c>
      <c r="U293" s="1" t="s">
        <v>197</v>
      </c>
      <c r="V293" s="1" t="s">
        <v>357</v>
      </c>
      <c r="W293" s="1" t="s">
        <v>208</v>
      </c>
      <c r="X293" s="1" t="s">
        <v>1542</v>
      </c>
      <c r="Y293" s="1" t="s">
        <v>492</v>
      </c>
      <c r="Z293" s="1" t="s">
        <v>207</v>
      </c>
      <c r="AA293" s="1" t="s">
        <v>206</v>
      </c>
      <c r="AB293" s="1" t="s">
        <v>206</v>
      </c>
      <c r="AC293" s="1" t="s">
        <v>238</v>
      </c>
      <c r="AD293" s="1" t="s">
        <v>2038</v>
      </c>
      <c r="AE293" s="1" t="s">
        <v>208</v>
      </c>
      <c r="AF293" s="1" t="s">
        <v>208</v>
      </c>
      <c r="AG293" s="1" t="s">
        <v>2038</v>
      </c>
      <c r="AH293" s="1" t="s">
        <v>208</v>
      </c>
      <c r="AI293" s="120" t="s">
        <v>227</v>
      </c>
    </row>
    <row x14ac:dyDescent="0.25" r="294" customHeight="1" ht="17.25">
      <c r="A294" s="1" t="s">
        <v>1194</v>
      </c>
      <c r="B294" s="123" t="s">
        <v>1195</v>
      </c>
      <c r="C294" s="116" t="s">
        <v>77</v>
      </c>
      <c r="D294" s="1" t="s">
        <v>40</v>
      </c>
      <c r="E294" s="116" t="s">
        <v>1196</v>
      </c>
      <c r="F294" s="1" t="s">
        <v>158</v>
      </c>
      <c r="G294" s="1" t="s">
        <v>22</v>
      </c>
      <c r="H294" s="61">
        <v>34047</v>
      </c>
      <c r="I294" s="1" t="s">
        <v>176</v>
      </c>
      <c r="J294" s="1" t="s">
        <v>365</v>
      </c>
      <c r="K294" s="1" t="s">
        <v>1197</v>
      </c>
      <c r="L294" s="119">
        <v>0</v>
      </c>
      <c r="M294" s="117" t="s">
        <v>1198</v>
      </c>
      <c r="N294" s="117" t="s">
        <v>1199</v>
      </c>
      <c r="O294" s="119">
        <v>0</v>
      </c>
      <c r="P294" s="119">
        <v>0</v>
      </c>
      <c r="Q294" s="119">
        <v>0</v>
      </c>
      <c r="R294" s="1" t="s">
        <v>357</v>
      </c>
      <c r="S294" s="1" t="s">
        <v>206</v>
      </c>
      <c r="T294" s="1" t="s">
        <v>520</v>
      </c>
      <c r="U294" s="1" t="s">
        <v>197</v>
      </c>
      <c r="V294" s="1" t="s">
        <v>357</v>
      </c>
      <c r="W294" s="1" t="s">
        <v>208</v>
      </c>
      <c r="X294" s="1" t="s">
        <v>620</v>
      </c>
      <c r="Y294" s="1" t="s">
        <v>1102</v>
      </c>
      <c r="Z294" s="1" t="s">
        <v>206</v>
      </c>
      <c r="AA294" s="1" t="s">
        <v>206</v>
      </c>
      <c r="AB294" s="1" t="s">
        <v>206</v>
      </c>
      <c r="AC294" s="1" t="s">
        <v>237</v>
      </c>
      <c r="AD294" s="1" t="s">
        <v>1200</v>
      </c>
      <c r="AE294" s="1" t="s">
        <v>208</v>
      </c>
      <c r="AF294" s="1" t="s">
        <v>208</v>
      </c>
      <c r="AG294" s="1" t="s">
        <v>1200</v>
      </c>
      <c r="AH294" s="1" t="s">
        <v>206</v>
      </c>
      <c r="AI294" s="120" t="s">
        <v>227</v>
      </c>
    </row>
    <row x14ac:dyDescent="0.25" r="295" customHeight="1" ht="17.25">
      <c r="A295" s="1" t="s">
        <v>1067</v>
      </c>
      <c r="B295" s="123" t="s">
        <v>505</v>
      </c>
      <c r="C295" s="116" t="s">
        <v>88</v>
      </c>
      <c r="D295" s="1" t="s">
        <v>40</v>
      </c>
      <c r="E295" s="116" t="s">
        <v>1068</v>
      </c>
      <c r="F295" s="1" t="s">
        <v>164</v>
      </c>
      <c r="G295" s="1" t="s">
        <v>22</v>
      </c>
      <c r="H295" s="61">
        <v>35689</v>
      </c>
      <c r="I295" s="1" t="s">
        <v>175</v>
      </c>
      <c r="J295" s="1" t="s">
        <v>365</v>
      </c>
      <c r="K295" s="1" t="s">
        <v>366</v>
      </c>
      <c r="L295" s="119">
        <v>0</v>
      </c>
      <c r="M295" s="117" t="s">
        <v>1069</v>
      </c>
      <c r="N295" s="119">
        <v>0</v>
      </c>
      <c r="O295" s="119">
        <v>0</v>
      </c>
      <c r="P295" s="119">
        <v>0</v>
      </c>
      <c r="Q295" s="119">
        <v>0</v>
      </c>
      <c r="R295" s="1" t="s">
        <v>357</v>
      </c>
      <c r="S295" s="1" t="s">
        <v>206</v>
      </c>
      <c r="T295" s="1" t="s">
        <v>535</v>
      </c>
      <c r="U295" s="1" t="s">
        <v>197</v>
      </c>
      <c r="V295" s="1" t="s">
        <v>357</v>
      </c>
      <c r="W295" s="1" t="s">
        <v>208</v>
      </c>
      <c r="X295" s="1" t="s">
        <v>206</v>
      </c>
      <c r="Y295" s="1" t="s">
        <v>441</v>
      </c>
      <c r="Z295" s="1" t="s">
        <v>206</v>
      </c>
      <c r="AA295" s="1" t="s">
        <v>206</v>
      </c>
      <c r="AB295" s="1" t="s">
        <v>206</v>
      </c>
      <c r="AC295" s="1" t="s">
        <v>237</v>
      </c>
      <c r="AD295" s="1" t="s">
        <v>1052</v>
      </c>
      <c r="AE295" s="1" t="s">
        <v>208</v>
      </c>
      <c r="AF295" s="1" t="s">
        <v>208</v>
      </c>
      <c r="AG295" s="1" t="s">
        <v>1052</v>
      </c>
      <c r="AH295" s="1" t="s">
        <v>35</v>
      </c>
      <c r="AI295" s="1" t="s">
        <v>208</v>
      </c>
    </row>
    <row x14ac:dyDescent="0.25" r="296" customHeight="1" ht="17.25">
      <c r="A296" s="1" t="s">
        <v>1057</v>
      </c>
      <c r="B296" s="123" t="s">
        <v>962</v>
      </c>
      <c r="C296" s="116" t="s">
        <v>77</v>
      </c>
      <c r="D296" s="1" t="s">
        <v>40</v>
      </c>
      <c r="E296" s="116" t="s">
        <v>1058</v>
      </c>
      <c r="F296" s="1" t="s">
        <v>159</v>
      </c>
      <c r="G296" s="1" t="s">
        <v>170</v>
      </c>
      <c r="H296" s="61">
        <v>35810</v>
      </c>
      <c r="I296" s="1" t="s">
        <v>176</v>
      </c>
      <c r="J296" s="1" t="s">
        <v>615</v>
      </c>
      <c r="K296" s="1" t="s">
        <v>445</v>
      </c>
      <c r="L296" s="117" t="s">
        <v>1059</v>
      </c>
      <c r="M296" s="119">
        <v>0</v>
      </c>
      <c r="N296" s="119">
        <v>0</v>
      </c>
      <c r="O296" s="119">
        <v>0</v>
      </c>
      <c r="P296" s="119">
        <v>0</v>
      </c>
      <c r="Q296" s="119">
        <v>0</v>
      </c>
      <c r="R296" s="1" t="s">
        <v>357</v>
      </c>
      <c r="S296" s="1" t="s">
        <v>206</v>
      </c>
      <c r="T296" s="1" t="s">
        <v>1060</v>
      </c>
      <c r="U296" s="1" t="s">
        <v>197</v>
      </c>
      <c r="V296" s="1" t="s">
        <v>357</v>
      </c>
      <c r="W296" s="1" t="s">
        <v>208</v>
      </c>
      <c r="X296" s="1" t="s">
        <v>406</v>
      </c>
      <c r="Y296" s="1" t="s">
        <v>360</v>
      </c>
      <c r="Z296" s="1" t="s">
        <v>206</v>
      </c>
      <c r="AA296" s="1" t="s">
        <v>212</v>
      </c>
      <c r="AB296" s="1" t="s">
        <v>206</v>
      </c>
      <c r="AC296" s="1" t="s">
        <v>237</v>
      </c>
      <c r="AD296" s="1" t="s">
        <v>1052</v>
      </c>
      <c r="AE296" s="1" t="s">
        <v>208</v>
      </c>
      <c r="AF296" s="1" t="s">
        <v>208</v>
      </c>
      <c r="AG296" s="1" t="s">
        <v>1052</v>
      </c>
      <c r="AH296" s="1" t="s">
        <v>35</v>
      </c>
      <c r="AI296" s="1" t="s">
        <v>208</v>
      </c>
    </row>
    <row x14ac:dyDescent="0.25" r="297" customHeight="1" ht="17.25">
      <c r="A297" s="1" t="s">
        <v>351</v>
      </c>
      <c r="B297" s="123" t="s">
        <v>352</v>
      </c>
      <c r="C297" s="116" t="s">
        <v>77</v>
      </c>
      <c r="D297" s="1" t="s">
        <v>40</v>
      </c>
      <c r="E297" s="116" t="s">
        <v>353</v>
      </c>
      <c r="F297" s="1" t="s">
        <v>162</v>
      </c>
      <c r="G297" s="1" t="s">
        <v>22</v>
      </c>
      <c r="H297" s="61">
        <v>27624</v>
      </c>
      <c r="I297" s="1" t="s">
        <v>177</v>
      </c>
      <c r="J297" s="1" t="s">
        <v>354</v>
      </c>
      <c r="K297" s="1" t="s">
        <v>355</v>
      </c>
      <c r="L297" s="119">
        <v>0</v>
      </c>
      <c r="M297" s="117" t="s">
        <v>356</v>
      </c>
      <c r="N297" s="119">
        <v>0</v>
      </c>
      <c r="O297" s="119">
        <v>0</v>
      </c>
      <c r="P297" s="119">
        <v>0</v>
      </c>
      <c r="Q297" s="119">
        <v>0</v>
      </c>
      <c r="R297" s="1" t="s">
        <v>357</v>
      </c>
      <c r="S297" s="1" t="s">
        <v>206</v>
      </c>
      <c r="T297" s="1" t="s">
        <v>358</v>
      </c>
      <c r="U297" s="1" t="s">
        <v>197</v>
      </c>
      <c r="V297" s="1" t="s">
        <v>357</v>
      </c>
      <c r="W297" s="1" t="s">
        <v>208</v>
      </c>
      <c r="X297" s="1" t="s">
        <v>359</v>
      </c>
      <c r="Y297" s="1" t="s">
        <v>360</v>
      </c>
      <c r="Z297" s="1" t="s">
        <v>207</v>
      </c>
      <c r="AA297" s="1" t="s">
        <v>206</v>
      </c>
      <c r="AB297" s="1" t="s">
        <v>206</v>
      </c>
      <c r="AC297" s="1" t="s">
        <v>238</v>
      </c>
      <c r="AD297" s="1" t="s">
        <v>361</v>
      </c>
      <c r="AE297" s="1" t="s">
        <v>208</v>
      </c>
      <c r="AF297" s="1" t="s">
        <v>208</v>
      </c>
      <c r="AG297" s="1" t="s">
        <v>361</v>
      </c>
      <c r="AH297" s="1" t="s">
        <v>208</v>
      </c>
      <c r="AI297" s="120" t="s">
        <v>227</v>
      </c>
    </row>
    <row x14ac:dyDescent="0.25" r="298" customHeight="1" ht="17.25">
      <c r="A298" s="1" t="s">
        <v>727</v>
      </c>
      <c r="B298" s="123" t="s">
        <v>728</v>
      </c>
      <c r="C298" s="116" t="s">
        <v>88</v>
      </c>
      <c r="D298" s="1" t="s">
        <v>40</v>
      </c>
      <c r="E298" s="116" t="s">
        <v>729</v>
      </c>
      <c r="F298" s="1" t="s">
        <v>158</v>
      </c>
      <c r="G298" s="1" t="s">
        <v>22</v>
      </c>
      <c r="H298" s="61">
        <v>35015</v>
      </c>
      <c r="I298" s="1" t="s">
        <v>175</v>
      </c>
      <c r="J298" s="1" t="s">
        <v>615</v>
      </c>
      <c r="K298" s="1" t="s">
        <v>730</v>
      </c>
      <c r="L298" s="119">
        <v>0</v>
      </c>
      <c r="M298" s="117" t="s">
        <v>731</v>
      </c>
      <c r="N298" s="119">
        <v>0</v>
      </c>
      <c r="O298" s="119">
        <v>0</v>
      </c>
      <c r="P298" s="119">
        <v>0</v>
      </c>
      <c r="Q298" s="119">
        <v>0</v>
      </c>
      <c r="R298" s="1" t="s">
        <v>357</v>
      </c>
      <c r="S298" s="1" t="s">
        <v>206</v>
      </c>
      <c r="T298" s="1" t="s">
        <v>732</v>
      </c>
      <c r="U298" s="1" t="s">
        <v>197</v>
      </c>
      <c r="V298" s="1" t="s">
        <v>357</v>
      </c>
      <c r="W298" s="1" t="s">
        <v>208</v>
      </c>
      <c r="X298" s="1" t="s">
        <v>206</v>
      </c>
      <c r="Y298" s="1" t="s">
        <v>441</v>
      </c>
      <c r="Z298" s="1" t="s">
        <v>206</v>
      </c>
      <c r="AA298" s="1" t="s">
        <v>206</v>
      </c>
      <c r="AB298" s="1" t="s">
        <v>206</v>
      </c>
      <c r="AC298" s="1" t="s">
        <v>236</v>
      </c>
      <c r="AD298" s="1" t="s">
        <v>497</v>
      </c>
      <c r="AE298" s="1" t="s">
        <v>208</v>
      </c>
      <c r="AF298" s="1" t="s">
        <v>208</v>
      </c>
      <c r="AG298" s="1" t="s">
        <v>497</v>
      </c>
      <c r="AH298" s="1" t="s">
        <v>206</v>
      </c>
      <c r="AI298" s="1" t="s">
        <v>228</v>
      </c>
    </row>
    <row x14ac:dyDescent="0.25" r="299" customHeight="1" ht="17.25">
      <c r="A299" s="1" t="s">
        <v>2027</v>
      </c>
      <c r="B299" s="123" t="s">
        <v>1635</v>
      </c>
      <c r="C299" s="116" t="s">
        <v>77</v>
      </c>
      <c r="D299" s="1" t="s">
        <v>40</v>
      </c>
      <c r="E299" s="116" t="s">
        <v>2028</v>
      </c>
      <c r="F299" s="1" t="s">
        <v>158</v>
      </c>
      <c r="G299" s="1" t="s">
        <v>22</v>
      </c>
      <c r="H299" s="61">
        <v>32963</v>
      </c>
      <c r="I299" s="1" t="s">
        <v>176</v>
      </c>
      <c r="J299" s="1" t="s">
        <v>464</v>
      </c>
      <c r="K299" s="1" t="s">
        <v>2029</v>
      </c>
      <c r="L299" s="119">
        <v>0</v>
      </c>
      <c r="M299" s="117" t="s">
        <v>2030</v>
      </c>
      <c r="N299" s="117" t="s">
        <v>2031</v>
      </c>
      <c r="O299" s="119">
        <v>0</v>
      </c>
      <c r="P299" s="119">
        <v>0</v>
      </c>
      <c r="Q299" s="119">
        <v>0</v>
      </c>
      <c r="R299" s="1" t="s">
        <v>357</v>
      </c>
      <c r="S299" s="1" t="s">
        <v>206</v>
      </c>
      <c r="T299" s="1" t="s">
        <v>1108</v>
      </c>
      <c r="U299" s="1" t="s">
        <v>197</v>
      </c>
      <c r="V299" s="1" t="s">
        <v>357</v>
      </c>
      <c r="W299" s="1" t="s">
        <v>208</v>
      </c>
      <c r="X299" s="1" t="s">
        <v>423</v>
      </c>
      <c r="Y299" s="1" t="s">
        <v>386</v>
      </c>
      <c r="Z299" s="1" t="s">
        <v>207</v>
      </c>
      <c r="AA299" s="1" t="s">
        <v>28</v>
      </c>
      <c r="AB299" s="1" t="s">
        <v>206</v>
      </c>
      <c r="AC299" s="1" t="s">
        <v>238</v>
      </c>
      <c r="AD299" s="1" t="s">
        <v>2032</v>
      </c>
      <c r="AE299" s="1" t="s">
        <v>208</v>
      </c>
      <c r="AF299" s="1" t="s">
        <v>208</v>
      </c>
      <c r="AG299" s="1" t="s">
        <v>2032</v>
      </c>
      <c r="AH299" s="1" t="s">
        <v>208</v>
      </c>
      <c r="AI299" s="120" t="s">
        <v>227</v>
      </c>
    </row>
    <row x14ac:dyDescent="0.25" r="300" customHeight="1" ht="17.25">
      <c r="A300" s="1" t="s">
        <v>1683</v>
      </c>
      <c r="B300" s="123" t="s">
        <v>1684</v>
      </c>
      <c r="C300" s="116" t="s">
        <v>88</v>
      </c>
      <c r="D300" s="1" t="s">
        <v>40</v>
      </c>
      <c r="E300" s="116" t="s">
        <v>1993</v>
      </c>
      <c r="F300" s="1" t="s">
        <v>162</v>
      </c>
      <c r="G300" s="1" t="s">
        <v>22</v>
      </c>
      <c r="H300" s="61">
        <v>26357</v>
      </c>
      <c r="I300" s="1" t="s">
        <v>175</v>
      </c>
      <c r="J300" s="1" t="s">
        <v>517</v>
      </c>
      <c r="K300" s="1" t="s">
        <v>1686</v>
      </c>
      <c r="L300" s="117" t="s">
        <v>1687</v>
      </c>
      <c r="M300" s="119">
        <v>0</v>
      </c>
      <c r="N300" s="119">
        <v>0</v>
      </c>
      <c r="O300" s="119">
        <v>0</v>
      </c>
      <c r="P300" s="119">
        <v>0</v>
      </c>
      <c r="Q300" s="119">
        <v>0</v>
      </c>
      <c r="R300" s="1" t="s">
        <v>371</v>
      </c>
      <c r="S300" s="1" t="s">
        <v>206</v>
      </c>
      <c r="T300" s="1" t="s">
        <v>384</v>
      </c>
      <c r="U300" s="1" t="s">
        <v>198</v>
      </c>
      <c r="V300" s="1" t="s">
        <v>357</v>
      </c>
      <c r="W300" s="1" t="s">
        <v>208</v>
      </c>
      <c r="X300" s="1" t="s">
        <v>1994</v>
      </c>
      <c r="Y300" s="1" t="s">
        <v>1374</v>
      </c>
      <c r="Z300" s="1" t="s">
        <v>206</v>
      </c>
      <c r="AA300" s="1" t="s">
        <v>206</v>
      </c>
      <c r="AB300" s="1" t="s">
        <v>206</v>
      </c>
      <c r="AC300" s="1" t="s">
        <v>206</v>
      </c>
      <c r="AD300" s="1" t="s">
        <v>1374</v>
      </c>
      <c r="AE300" s="1" t="s">
        <v>208</v>
      </c>
      <c r="AF300" s="1" t="s">
        <v>208</v>
      </c>
      <c r="AG300" s="1" t="s">
        <v>1374</v>
      </c>
      <c r="AH300" s="1" t="s">
        <v>208</v>
      </c>
      <c r="AI300" s="120" t="s">
        <v>227</v>
      </c>
    </row>
    <row x14ac:dyDescent="0.25" r="301" customHeight="1" ht="17.25">
      <c r="A301" s="1" t="s">
        <v>1683</v>
      </c>
      <c r="B301" s="123" t="s">
        <v>1684</v>
      </c>
      <c r="C301" s="116" t="s">
        <v>88</v>
      </c>
      <c r="D301" s="1" t="s">
        <v>40</v>
      </c>
      <c r="E301" s="116" t="s">
        <v>1995</v>
      </c>
      <c r="F301" s="1" t="s">
        <v>162</v>
      </c>
      <c r="G301" s="1" t="s">
        <v>22</v>
      </c>
      <c r="H301" s="61">
        <v>27893</v>
      </c>
      <c r="I301" s="1" t="s">
        <v>176</v>
      </c>
      <c r="J301" s="1" t="s">
        <v>464</v>
      </c>
      <c r="K301" s="1" t="s">
        <v>1686</v>
      </c>
      <c r="L301" s="117" t="s">
        <v>1687</v>
      </c>
      <c r="M301" s="119">
        <v>0</v>
      </c>
      <c r="N301" s="119">
        <v>0</v>
      </c>
      <c r="O301" s="119">
        <v>0</v>
      </c>
      <c r="P301" s="119">
        <v>0</v>
      </c>
      <c r="Q301" s="119">
        <v>0</v>
      </c>
      <c r="R301" s="1" t="s">
        <v>371</v>
      </c>
      <c r="S301" s="1" t="s">
        <v>206</v>
      </c>
      <c r="T301" s="1" t="s">
        <v>384</v>
      </c>
      <c r="U301" s="1" t="s">
        <v>198</v>
      </c>
      <c r="V301" s="1" t="s">
        <v>357</v>
      </c>
      <c r="W301" s="1" t="s">
        <v>208</v>
      </c>
      <c r="X301" s="1" t="s">
        <v>1994</v>
      </c>
      <c r="Y301" s="1" t="s">
        <v>1374</v>
      </c>
      <c r="Z301" s="1" t="s">
        <v>206</v>
      </c>
      <c r="AA301" s="1" t="s">
        <v>206</v>
      </c>
      <c r="AB301" s="1" t="s">
        <v>206</v>
      </c>
      <c r="AC301" s="1" t="s">
        <v>206</v>
      </c>
      <c r="AD301" s="1" t="s">
        <v>1374</v>
      </c>
      <c r="AE301" s="1" t="s">
        <v>208</v>
      </c>
      <c r="AF301" s="1" t="s">
        <v>208</v>
      </c>
      <c r="AG301" s="1" t="s">
        <v>1374</v>
      </c>
      <c r="AH301" s="1" t="s">
        <v>208</v>
      </c>
      <c r="AI301" s="120" t="s">
        <v>227</v>
      </c>
    </row>
    <row x14ac:dyDescent="0.25" r="302" customHeight="1" ht="17.25">
      <c r="A302" s="1" t="s">
        <v>1683</v>
      </c>
      <c r="B302" s="123" t="s">
        <v>1684</v>
      </c>
      <c r="C302" s="116" t="s">
        <v>88</v>
      </c>
      <c r="D302" s="1" t="s">
        <v>40</v>
      </c>
      <c r="E302" s="116" t="s">
        <v>1685</v>
      </c>
      <c r="F302" s="1" t="s">
        <v>162</v>
      </c>
      <c r="G302" s="1" t="s">
        <v>22</v>
      </c>
      <c r="H302" s="61">
        <v>35303</v>
      </c>
      <c r="I302" s="1" t="s">
        <v>176</v>
      </c>
      <c r="J302" s="1" t="s">
        <v>464</v>
      </c>
      <c r="K302" s="1" t="s">
        <v>1686</v>
      </c>
      <c r="L302" s="117" t="s">
        <v>1687</v>
      </c>
      <c r="M302" s="119">
        <v>0</v>
      </c>
      <c r="N302" s="119">
        <v>0</v>
      </c>
      <c r="O302" s="119">
        <v>0</v>
      </c>
      <c r="P302" s="119">
        <v>0</v>
      </c>
      <c r="Q302" s="119">
        <v>0</v>
      </c>
      <c r="R302" s="1" t="s">
        <v>371</v>
      </c>
      <c r="S302" s="1" t="s">
        <v>206</v>
      </c>
      <c r="T302" s="1" t="s">
        <v>1688</v>
      </c>
      <c r="U302" s="1" t="s">
        <v>198</v>
      </c>
      <c r="V302" s="1" t="s">
        <v>357</v>
      </c>
      <c r="W302" s="1" t="s">
        <v>208</v>
      </c>
      <c r="X302" s="1" t="s">
        <v>406</v>
      </c>
      <c r="Y302" s="1" t="s">
        <v>492</v>
      </c>
      <c r="Z302" s="1" t="s">
        <v>206</v>
      </c>
      <c r="AA302" s="1" t="s">
        <v>206</v>
      </c>
      <c r="AB302" s="1" t="s">
        <v>206</v>
      </c>
      <c r="AC302" s="1" t="s">
        <v>206</v>
      </c>
      <c r="AD302" s="1" t="s">
        <v>492</v>
      </c>
      <c r="AE302" s="1" t="s">
        <v>208</v>
      </c>
      <c r="AF302" s="1" t="s">
        <v>208</v>
      </c>
      <c r="AG302" s="1" t="s">
        <v>492</v>
      </c>
      <c r="AH302" s="1" t="s">
        <v>208</v>
      </c>
      <c r="AI302" s="120" t="s">
        <v>227</v>
      </c>
    </row>
    <row x14ac:dyDescent="0.25" r="303" customHeight="1" ht="17.25">
      <c r="A303" s="1" t="s">
        <v>1683</v>
      </c>
      <c r="B303" s="123" t="s">
        <v>1684</v>
      </c>
      <c r="C303" s="116" t="s">
        <v>88</v>
      </c>
      <c r="D303" s="1" t="s">
        <v>40</v>
      </c>
      <c r="E303" s="116" t="s">
        <v>1689</v>
      </c>
      <c r="F303" s="1" t="s">
        <v>162</v>
      </c>
      <c r="G303" s="1" t="s">
        <v>22</v>
      </c>
      <c r="H303" s="61">
        <v>35366</v>
      </c>
      <c r="I303" s="1" t="s">
        <v>176</v>
      </c>
      <c r="J303" s="1" t="s">
        <v>464</v>
      </c>
      <c r="K303" s="1" t="s">
        <v>1686</v>
      </c>
      <c r="L303" s="117" t="s">
        <v>1687</v>
      </c>
      <c r="M303" s="119">
        <v>0</v>
      </c>
      <c r="N303" s="119">
        <v>0</v>
      </c>
      <c r="O303" s="119">
        <v>0</v>
      </c>
      <c r="P303" s="119">
        <v>0</v>
      </c>
      <c r="Q303" s="119">
        <v>0</v>
      </c>
      <c r="R303" s="1" t="s">
        <v>371</v>
      </c>
      <c r="S303" s="1" t="s">
        <v>206</v>
      </c>
      <c r="T303" s="1" t="s">
        <v>1688</v>
      </c>
      <c r="U303" s="1" t="s">
        <v>198</v>
      </c>
      <c r="V303" s="1" t="s">
        <v>357</v>
      </c>
      <c r="W303" s="1" t="s">
        <v>208</v>
      </c>
      <c r="X303" s="1" t="s">
        <v>406</v>
      </c>
      <c r="Y303" s="1" t="s">
        <v>492</v>
      </c>
      <c r="Z303" s="1" t="s">
        <v>206</v>
      </c>
      <c r="AA303" s="1" t="s">
        <v>206</v>
      </c>
      <c r="AB303" s="1" t="s">
        <v>206</v>
      </c>
      <c r="AC303" s="1" t="s">
        <v>206</v>
      </c>
      <c r="AD303" s="1" t="s">
        <v>492</v>
      </c>
      <c r="AE303" s="1" t="s">
        <v>208</v>
      </c>
      <c r="AF303" s="1" t="s">
        <v>208</v>
      </c>
      <c r="AG303" s="1" t="s">
        <v>492</v>
      </c>
      <c r="AH303" s="1" t="s">
        <v>208</v>
      </c>
      <c r="AI303" s="120" t="s">
        <v>227</v>
      </c>
    </row>
    <row x14ac:dyDescent="0.25" r="304" customHeight="1" ht="17.25">
      <c r="A304" s="1" t="s">
        <v>816</v>
      </c>
      <c r="B304" s="123" t="s">
        <v>817</v>
      </c>
      <c r="C304" s="116" t="s">
        <v>96</v>
      </c>
      <c r="D304" s="1" t="s">
        <v>67</v>
      </c>
      <c r="E304" s="116" t="s">
        <v>818</v>
      </c>
      <c r="F304" s="1" t="s">
        <v>158</v>
      </c>
      <c r="G304" s="1" t="s">
        <v>170</v>
      </c>
      <c r="H304" s="61">
        <v>35613</v>
      </c>
      <c r="I304" s="1" t="s">
        <v>175</v>
      </c>
      <c r="J304" s="1" t="s">
        <v>464</v>
      </c>
      <c r="K304" s="1" t="s">
        <v>819</v>
      </c>
      <c r="L304" s="117" t="s">
        <v>820</v>
      </c>
      <c r="M304" s="117" t="s">
        <v>821</v>
      </c>
      <c r="N304" s="117" t="s">
        <v>822</v>
      </c>
      <c r="O304" s="119">
        <v>0</v>
      </c>
      <c r="P304" s="119">
        <v>0</v>
      </c>
      <c r="Q304" s="119">
        <v>0</v>
      </c>
      <c r="R304" s="1" t="s">
        <v>371</v>
      </c>
      <c r="S304" s="1" t="s">
        <v>206</v>
      </c>
      <c r="T304" s="1" t="s">
        <v>823</v>
      </c>
      <c r="U304" s="1" t="s">
        <v>198</v>
      </c>
      <c r="V304" s="1" t="s">
        <v>357</v>
      </c>
      <c r="W304" s="1" t="s">
        <v>208</v>
      </c>
      <c r="X304" s="1" t="s">
        <v>206</v>
      </c>
      <c r="Y304" s="1" t="s">
        <v>441</v>
      </c>
      <c r="Z304" s="1" t="s">
        <v>206</v>
      </c>
      <c r="AA304" s="1" t="s">
        <v>206</v>
      </c>
      <c r="AB304" s="1" t="s">
        <v>206</v>
      </c>
      <c r="AC304" s="1" t="s">
        <v>236</v>
      </c>
      <c r="AD304" s="1" t="s">
        <v>497</v>
      </c>
      <c r="AE304" s="1" t="s">
        <v>208</v>
      </c>
      <c r="AF304" s="1" t="s">
        <v>208</v>
      </c>
      <c r="AG304" s="1" t="s">
        <v>497</v>
      </c>
      <c r="AH304" s="1" t="s">
        <v>35</v>
      </c>
      <c r="AI304" s="1" t="s">
        <v>208</v>
      </c>
    </row>
    <row x14ac:dyDescent="0.25" r="305" customHeight="1" ht="17.25">
      <c r="A305" s="1" t="s">
        <v>816</v>
      </c>
      <c r="B305" s="123" t="s">
        <v>817</v>
      </c>
      <c r="C305" s="116" t="s">
        <v>96</v>
      </c>
      <c r="D305" s="1" t="s">
        <v>67</v>
      </c>
      <c r="E305" s="116" t="s">
        <v>1797</v>
      </c>
      <c r="F305" s="1" t="s">
        <v>158</v>
      </c>
      <c r="G305" s="1" t="s">
        <v>22</v>
      </c>
      <c r="H305" s="61">
        <v>30426</v>
      </c>
      <c r="I305" s="1" t="s">
        <v>175</v>
      </c>
      <c r="J305" s="1" t="s">
        <v>354</v>
      </c>
      <c r="K305" s="1" t="s">
        <v>366</v>
      </c>
      <c r="L305" s="117" t="s">
        <v>1798</v>
      </c>
      <c r="M305" s="117" t="s">
        <v>1799</v>
      </c>
      <c r="N305" s="117" t="s">
        <v>1800</v>
      </c>
      <c r="O305" s="119">
        <v>0</v>
      </c>
      <c r="P305" s="119">
        <v>0</v>
      </c>
      <c r="Q305" s="119">
        <v>0</v>
      </c>
      <c r="R305" s="1" t="s">
        <v>371</v>
      </c>
      <c r="S305" s="1" t="s">
        <v>206</v>
      </c>
      <c r="T305" s="1" t="s">
        <v>1801</v>
      </c>
      <c r="U305" s="1" t="s">
        <v>198</v>
      </c>
      <c r="V305" s="1" t="s">
        <v>357</v>
      </c>
      <c r="W305" s="1" t="s">
        <v>208</v>
      </c>
      <c r="X305" s="1" t="s">
        <v>206</v>
      </c>
      <c r="Y305" s="1" t="s">
        <v>441</v>
      </c>
      <c r="Z305" s="1" t="s">
        <v>207</v>
      </c>
      <c r="AA305" s="1" t="s">
        <v>206</v>
      </c>
      <c r="AB305" s="1" t="s">
        <v>206</v>
      </c>
      <c r="AC305" s="1" t="s">
        <v>238</v>
      </c>
      <c r="AD305" s="1" t="s">
        <v>492</v>
      </c>
      <c r="AE305" s="1" t="s">
        <v>208</v>
      </c>
      <c r="AF305" s="1" t="s">
        <v>208</v>
      </c>
      <c r="AG305" s="1" t="s">
        <v>492</v>
      </c>
      <c r="AH305" s="1" t="s">
        <v>208</v>
      </c>
      <c r="AI305" s="120" t="s">
        <v>227</v>
      </c>
    </row>
    <row x14ac:dyDescent="0.25" r="306" customHeight="1" ht="17.25">
      <c r="A306" s="1" t="s">
        <v>627</v>
      </c>
      <c r="B306" s="123" t="s">
        <v>628</v>
      </c>
      <c r="C306" s="116" t="s">
        <v>118</v>
      </c>
      <c r="D306" s="1" t="s">
        <v>67</v>
      </c>
      <c r="E306" s="116" t="s">
        <v>629</v>
      </c>
      <c r="F306" s="1" t="s">
        <v>158</v>
      </c>
      <c r="G306" s="1" t="s">
        <v>22</v>
      </c>
      <c r="H306" s="61">
        <v>32249</v>
      </c>
      <c r="I306" s="1" t="s">
        <v>177</v>
      </c>
      <c r="J306" s="1" t="s">
        <v>354</v>
      </c>
      <c r="K306" s="1" t="s">
        <v>630</v>
      </c>
      <c r="L306" s="117" t="s">
        <v>631</v>
      </c>
      <c r="M306" s="117" t="s">
        <v>632</v>
      </c>
      <c r="N306" s="119">
        <v>0</v>
      </c>
      <c r="O306" s="119">
        <v>0</v>
      </c>
      <c r="P306" s="119">
        <v>0</v>
      </c>
      <c r="Q306" s="119">
        <v>0</v>
      </c>
      <c r="R306" s="1" t="s">
        <v>357</v>
      </c>
      <c r="S306" s="1" t="s">
        <v>206</v>
      </c>
      <c r="T306" s="1" t="s">
        <v>430</v>
      </c>
      <c r="U306" s="1" t="s">
        <v>197</v>
      </c>
      <c r="V306" s="1" t="s">
        <v>357</v>
      </c>
      <c r="W306" s="1" t="s">
        <v>208</v>
      </c>
      <c r="X306" s="1" t="s">
        <v>206</v>
      </c>
      <c r="Y306" s="1" t="s">
        <v>441</v>
      </c>
      <c r="Z306" s="1" t="s">
        <v>206</v>
      </c>
      <c r="AA306" s="1" t="s">
        <v>206</v>
      </c>
      <c r="AB306" s="1" t="s">
        <v>206</v>
      </c>
      <c r="AC306" s="1" t="s">
        <v>236</v>
      </c>
      <c r="AD306" s="1" t="s">
        <v>497</v>
      </c>
      <c r="AE306" s="1" t="s">
        <v>208</v>
      </c>
      <c r="AF306" s="1" t="s">
        <v>208</v>
      </c>
      <c r="AG306" s="1" t="s">
        <v>497</v>
      </c>
      <c r="AH306" s="1" t="s">
        <v>206</v>
      </c>
      <c r="AI306" s="1" t="s">
        <v>229</v>
      </c>
    </row>
    <row x14ac:dyDescent="0.25" r="307" customHeight="1" ht="17.25">
      <c r="A307" s="1" t="s">
        <v>2428</v>
      </c>
      <c r="B307" s="123" t="s">
        <v>2369</v>
      </c>
      <c r="C307" s="116" t="s">
        <v>96</v>
      </c>
      <c r="D307" s="1" t="s">
        <v>67</v>
      </c>
      <c r="E307" s="116" t="s">
        <v>2429</v>
      </c>
      <c r="F307" s="1" t="s">
        <v>158</v>
      </c>
      <c r="G307" s="1" t="s">
        <v>22</v>
      </c>
      <c r="H307" s="61">
        <v>34157</v>
      </c>
      <c r="I307" s="1" t="s">
        <v>176</v>
      </c>
      <c r="J307" s="1" t="s">
        <v>464</v>
      </c>
      <c r="K307" s="1" t="s">
        <v>642</v>
      </c>
      <c r="L307" s="119">
        <v>0</v>
      </c>
      <c r="M307" s="117" t="s">
        <v>2430</v>
      </c>
      <c r="N307" s="119">
        <v>0</v>
      </c>
      <c r="O307" s="119">
        <v>0</v>
      </c>
      <c r="P307" s="119">
        <v>0</v>
      </c>
      <c r="Q307" s="117" t="s">
        <v>2431</v>
      </c>
      <c r="R307" s="1" t="s">
        <v>357</v>
      </c>
      <c r="S307" s="1" t="s">
        <v>206</v>
      </c>
      <c r="T307" s="1" t="s">
        <v>2432</v>
      </c>
      <c r="U307" s="1" t="s">
        <v>199</v>
      </c>
      <c r="V307" s="1" t="s">
        <v>208</v>
      </c>
      <c r="W307" s="1" t="s">
        <v>208</v>
      </c>
      <c r="X307" s="1" t="s">
        <v>208</v>
      </c>
      <c r="Y307" s="1" t="s">
        <v>208</v>
      </c>
      <c r="Z307" s="1" t="s">
        <v>208</v>
      </c>
      <c r="AA307" s="1" t="s">
        <v>208</v>
      </c>
      <c r="AB307" s="1" t="s">
        <v>208</v>
      </c>
      <c r="AC307" s="1" t="s">
        <v>208</v>
      </c>
      <c r="AD307" s="1" t="s">
        <v>208</v>
      </c>
      <c r="AE307" s="1" t="s">
        <v>208</v>
      </c>
      <c r="AF307" s="1" t="s">
        <v>208</v>
      </c>
      <c r="AG307" s="1" t="s">
        <v>208</v>
      </c>
      <c r="AH307" s="1" t="s">
        <v>208</v>
      </c>
      <c r="AI307" s="1" t="s">
        <v>208</v>
      </c>
    </row>
    <row x14ac:dyDescent="0.25" r="308" customHeight="1" ht="17.25">
      <c r="A308" s="1" t="s">
        <v>750</v>
      </c>
      <c r="B308" s="123" t="s">
        <v>751</v>
      </c>
      <c r="C308" s="116" t="s">
        <v>118</v>
      </c>
      <c r="D308" s="1" t="s">
        <v>67</v>
      </c>
      <c r="E308" s="116" t="s">
        <v>752</v>
      </c>
      <c r="F308" s="1" t="s">
        <v>158</v>
      </c>
      <c r="G308" s="1" t="s">
        <v>22</v>
      </c>
      <c r="H308" s="61">
        <v>35834</v>
      </c>
      <c r="I308" s="1" t="s">
        <v>175</v>
      </c>
      <c r="J308" s="1" t="s">
        <v>365</v>
      </c>
      <c r="K308" s="1" t="s">
        <v>753</v>
      </c>
      <c r="L308" s="117" t="s">
        <v>754</v>
      </c>
      <c r="M308" s="117" t="s">
        <v>755</v>
      </c>
      <c r="N308" s="119">
        <v>0</v>
      </c>
      <c r="O308" s="119">
        <v>0</v>
      </c>
      <c r="P308" s="119">
        <v>0</v>
      </c>
      <c r="Q308" s="117" t="s">
        <v>756</v>
      </c>
      <c r="R308" s="1" t="s">
        <v>357</v>
      </c>
      <c r="S308" s="1" t="s">
        <v>206</v>
      </c>
      <c r="T308" s="1" t="s">
        <v>757</v>
      </c>
      <c r="U308" s="1" t="s">
        <v>197</v>
      </c>
      <c r="V308" s="1" t="s">
        <v>357</v>
      </c>
      <c r="W308" s="1" t="s">
        <v>208</v>
      </c>
      <c r="X308" s="1" t="s">
        <v>206</v>
      </c>
      <c r="Y308" s="1" t="s">
        <v>441</v>
      </c>
      <c r="Z308" s="1" t="s">
        <v>206</v>
      </c>
      <c r="AA308" s="1" t="s">
        <v>206</v>
      </c>
      <c r="AB308" s="1" t="s">
        <v>206</v>
      </c>
      <c r="AC308" s="1" t="s">
        <v>236</v>
      </c>
      <c r="AD308" s="1" t="s">
        <v>497</v>
      </c>
      <c r="AE308" s="1" t="s">
        <v>208</v>
      </c>
      <c r="AF308" s="1" t="s">
        <v>208</v>
      </c>
      <c r="AG308" s="1" t="s">
        <v>497</v>
      </c>
      <c r="AH308" s="1" t="s">
        <v>206</v>
      </c>
      <c r="AI308" s="1" t="s">
        <v>229</v>
      </c>
    </row>
    <row x14ac:dyDescent="0.25" r="309" customHeight="1" ht="17.25">
      <c r="A309" s="1" t="s">
        <v>1942</v>
      </c>
      <c r="B309" s="123" t="s">
        <v>962</v>
      </c>
      <c r="C309" s="116" t="s">
        <v>134</v>
      </c>
      <c r="D309" s="1" t="s">
        <v>67</v>
      </c>
      <c r="E309" s="116" t="s">
        <v>1943</v>
      </c>
      <c r="F309" s="1" t="s">
        <v>158</v>
      </c>
      <c r="G309" s="1" t="s">
        <v>22</v>
      </c>
      <c r="H309" s="61">
        <v>34118</v>
      </c>
      <c r="I309" s="1" t="s">
        <v>177</v>
      </c>
      <c r="J309" s="1" t="s">
        <v>365</v>
      </c>
      <c r="K309" s="1" t="s">
        <v>773</v>
      </c>
      <c r="L309" s="117" t="s">
        <v>1944</v>
      </c>
      <c r="M309" s="117" t="s">
        <v>1945</v>
      </c>
      <c r="N309" s="117" t="s">
        <v>1946</v>
      </c>
      <c r="O309" s="119">
        <v>0</v>
      </c>
      <c r="P309" s="119">
        <v>0</v>
      </c>
      <c r="Q309" s="119">
        <v>0</v>
      </c>
      <c r="R309" s="1" t="s">
        <v>357</v>
      </c>
      <c r="S309" s="1" t="s">
        <v>206</v>
      </c>
      <c r="T309" s="1" t="s">
        <v>1166</v>
      </c>
      <c r="U309" s="1" t="s">
        <v>197</v>
      </c>
      <c r="V309" s="1" t="s">
        <v>357</v>
      </c>
      <c r="W309" s="1" t="s">
        <v>208</v>
      </c>
      <c r="X309" s="1" t="s">
        <v>206</v>
      </c>
      <c r="Y309" s="1" t="s">
        <v>441</v>
      </c>
      <c r="Z309" s="1" t="s">
        <v>207</v>
      </c>
      <c r="AA309" s="1" t="s">
        <v>206</v>
      </c>
      <c r="AB309" s="1" t="s">
        <v>206</v>
      </c>
      <c r="AC309" s="1" t="s">
        <v>238</v>
      </c>
      <c r="AD309" s="1" t="s">
        <v>386</v>
      </c>
      <c r="AE309" s="1" t="s">
        <v>208</v>
      </c>
      <c r="AF309" s="1" t="s">
        <v>208</v>
      </c>
      <c r="AG309" s="1" t="s">
        <v>386</v>
      </c>
      <c r="AH309" s="1" t="s">
        <v>208</v>
      </c>
      <c r="AI309" s="120" t="s">
        <v>227</v>
      </c>
    </row>
    <row x14ac:dyDescent="0.25" r="310" customHeight="1" ht="17.25">
      <c r="A310" s="1" t="s">
        <v>1158</v>
      </c>
      <c r="B310" s="123" t="s">
        <v>1159</v>
      </c>
      <c r="C310" s="116" t="s">
        <v>96</v>
      </c>
      <c r="D310" s="1" t="s">
        <v>67</v>
      </c>
      <c r="E310" s="116" t="s">
        <v>1160</v>
      </c>
      <c r="F310" s="1" t="s">
        <v>158</v>
      </c>
      <c r="G310" s="1" t="s">
        <v>22</v>
      </c>
      <c r="H310" s="61">
        <v>35858</v>
      </c>
      <c r="I310" s="1" t="s">
        <v>177</v>
      </c>
      <c r="J310" s="1" t="s">
        <v>517</v>
      </c>
      <c r="K310" s="1" t="s">
        <v>1161</v>
      </c>
      <c r="L310" s="117" t="s">
        <v>1162</v>
      </c>
      <c r="M310" s="117" t="s">
        <v>1163</v>
      </c>
      <c r="N310" s="117" t="s">
        <v>1164</v>
      </c>
      <c r="O310" s="119">
        <v>0</v>
      </c>
      <c r="P310" s="119">
        <v>0</v>
      </c>
      <c r="Q310" s="117" t="s">
        <v>1165</v>
      </c>
      <c r="R310" s="1" t="s">
        <v>357</v>
      </c>
      <c r="S310" s="1" t="s">
        <v>206</v>
      </c>
      <c r="T310" s="1" t="s">
        <v>1166</v>
      </c>
      <c r="U310" s="1" t="s">
        <v>197</v>
      </c>
      <c r="V310" s="1" t="s">
        <v>357</v>
      </c>
      <c r="W310" s="1" t="s">
        <v>208</v>
      </c>
      <c r="X310" s="1" t="s">
        <v>374</v>
      </c>
      <c r="Y310" s="1" t="s">
        <v>492</v>
      </c>
      <c r="Z310" s="1" t="s">
        <v>206</v>
      </c>
      <c r="AA310" s="1" t="s">
        <v>29</v>
      </c>
      <c r="AB310" s="1" t="s">
        <v>206</v>
      </c>
      <c r="AC310" s="1" t="s">
        <v>237</v>
      </c>
      <c r="AD310" s="1" t="s">
        <v>1052</v>
      </c>
      <c r="AE310" s="1" t="s">
        <v>208</v>
      </c>
      <c r="AF310" s="1" t="s">
        <v>208</v>
      </c>
      <c r="AG310" s="1" t="s">
        <v>1052</v>
      </c>
      <c r="AH310" s="1" t="s">
        <v>206</v>
      </c>
      <c r="AI310" s="120" t="s">
        <v>227</v>
      </c>
    </row>
    <row x14ac:dyDescent="0.25" r="311" customHeight="1" ht="17.25">
      <c r="A311" s="1" t="s">
        <v>1113</v>
      </c>
      <c r="B311" s="123" t="s">
        <v>1114</v>
      </c>
      <c r="C311" s="116" t="s">
        <v>96</v>
      </c>
      <c r="D311" s="1" t="s">
        <v>67</v>
      </c>
      <c r="E311" s="116" t="s">
        <v>1115</v>
      </c>
      <c r="F311" s="1" t="s">
        <v>158</v>
      </c>
      <c r="G311" s="1" t="s">
        <v>22</v>
      </c>
      <c r="H311" s="61">
        <v>35765</v>
      </c>
      <c r="I311" s="1" t="s">
        <v>176</v>
      </c>
      <c r="J311" s="1" t="s">
        <v>615</v>
      </c>
      <c r="K311" s="1" t="s">
        <v>366</v>
      </c>
      <c r="L311" s="117" t="s">
        <v>1116</v>
      </c>
      <c r="M311" s="117" t="s">
        <v>1117</v>
      </c>
      <c r="N311" s="117" t="s">
        <v>1118</v>
      </c>
      <c r="O311" s="119">
        <v>0</v>
      </c>
      <c r="P311" s="119">
        <v>0</v>
      </c>
      <c r="Q311" s="119">
        <v>0</v>
      </c>
      <c r="R311" s="1" t="s">
        <v>357</v>
      </c>
      <c r="S311" s="1" t="s">
        <v>206</v>
      </c>
      <c r="T311" s="1" t="s">
        <v>853</v>
      </c>
      <c r="U311" s="1" t="s">
        <v>197</v>
      </c>
      <c r="V311" s="1" t="s">
        <v>357</v>
      </c>
      <c r="W311" s="1" t="s">
        <v>208</v>
      </c>
      <c r="X311" s="1" t="s">
        <v>206</v>
      </c>
      <c r="Y311" s="1" t="s">
        <v>441</v>
      </c>
      <c r="Z311" s="1" t="s">
        <v>206</v>
      </c>
      <c r="AA311" s="1" t="s">
        <v>206</v>
      </c>
      <c r="AB311" s="1" t="s">
        <v>206</v>
      </c>
      <c r="AC311" s="1" t="s">
        <v>237</v>
      </c>
      <c r="AD311" s="1" t="s">
        <v>1052</v>
      </c>
      <c r="AE311" s="1" t="s">
        <v>208</v>
      </c>
      <c r="AF311" s="1" t="s">
        <v>208</v>
      </c>
      <c r="AG311" s="1" t="s">
        <v>1052</v>
      </c>
      <c r="AH311" s="1" t="s">
        <v>35</v>
      </c>
      <c r="AI311" s="1" t="s">
        <v>208</v>
      </c>
    </row>
    <row x14ac:dyDescent="0.25" r="312" customHeight="1" ht="17.25">
      <c r="A312" s="1" t="s">
        <v>1743</v>
      </c>
      <c r="B312" s="123" t="s">
        <v>1744</v>
      </c>
      <c r="C312" s="116" t="s">
        <v>118</v>
      </c>
      <c r="D312" s="1" t="s">
        <v>67</v>
      </c>
      <c r="E312" s="116" t="s">
        <v>1745</v>
      </c>
      <c r="F312" s="1" t="s">
        <v>158</v>
      </c>
      <c r="G312" s="1" t="s">
        <v>22</v>
      </c>
      <c r="H312" s="61">
        <v>33545</v>
      </c>
      <c r="I312" s="1" t="s">
        <v>175</v>
      </c>
      <c r="J312" s="1" t="s">
        <v>354</v>
      </c>
      <c r="K312" s="1" t="s">
        <v>1161</v>
      </c>
      <c r="L312" s="117" t="s">
        <v>1746</v>
      </c>
      <c r="M312" s="117" t="s">
        <v>1747</v>
      </c>
      <c r="N312" s="119">
        <v>0</v>
      </c>
      <c r="O312" s="119">
        <v>0</v>
      </c>
      <c r="P312" s="119">
        <v>0</v>
      </c>
      <c r="Q312" s="119">
        <v>0</v>
      </c>
      <c r="R312" s="1" t="s">
        <v>357</v>
      </c>
      <c r="S312" s="1" t="s">
        <v>206</v>
      </c>
      <c r="T312" s="1" t="s">
        <v>555</v>
      </c>
      <c r="U312" s="1" t="s">
        <v>197</v>
      </c>
      <c r="V312" s="1" t="s">
        <v>357</v>
      </c>
      <c r="W312" s="1" t="s">
        <v>208</v>
      </c>
      <c r="X312" s="1" t="s">
        <v>206</v>
      </c>
      <c r="Y312" s="1" t="s">
        <v>441</v>
      </c>
      <c r="Z312" s="1" t="s">
        <v>207</v>
      </c>
      <c r="AA312" s="1" t="s">
        <v>206</v>
      </c>
      <c r="AB312" s="1" t="s">
        <v>206</v>
      </c>
      <c r="AC312" s="1" t="s">
        <v>238</v>
      </c>
      <c r="AD312" s="1" t="s">
        <v>492</v>
      </c>
      <c r="AE312" s="1" t="s">
        <v>208</v>
      </c>
      <c r="AF312" s="1" t="s">
        <v>208</v>
      </c>
      <c r="AG312" s="1" t="s">
        <v>492</v>
      </c>
      <c r="AH312" s="1" t="s">
        <v>208</v>
      </c>
      <c r="AI312" s="120" t="s">
        <v>227</v>
      </c>
    </row>
    <row x14ac:dyDescent="0.25" r="313" customHeight="1" ht="17.25">
      <c r="A313" s="1" t="s">
        <v>900</v>
      </c>
      <c r="B313" s="123" t="s">
        <v>901</v>
      </c>
      <c r="C313" s="116" t="s">
        <v>118</v>
      </c>
      <c r="D313" s="1" t="s">
        <v>67</v>
      </c>
      <c r="E313" s="116" t="s">
        <v>902</v>
      </c>
      <c r="F313" s="1" t="s">
        <v>158</v>
      </c>
      <c r="G313" s="1" t="s">
        <v>22</v>
      </c>
      <c r="H313" s="61">
        <v>35730</v>
      </c>
      <c r="I313" s="1" t="s">
        <v>176</v>
      </c>
      <c r="J313" s="1" t="s">
        <v>517</v>
      </c>
      <c r="K313" s="1" t="s">
        <v>903</v>
      </c>
      <c r="L313" s="119">
        <v>0</v>
      </c>
      <c r="M313" s="119">
        <v>0</v>
      </c>
      <c r="N313" s="117" t="s">
        <v>904</v>
      </c>
      <c r="O313" s="119">
        <v>0</v>
      </c>
      <c r="P313" s="119">
        <v>0</v>
      </c>
      <c r="Q313" s="119">
        <v>0</v>
      </c>
      <c r="R313" s="1" t="s">
        <v>357</v>
      </c>
      <c r="S313" s="1" t="s">
        <v>206</v>
      </c>
      <c r="T313" s="1" t="s">
        <v>430</v>
      </c>
      <c r="U313" s="1" t="s">
        <v>197</v>
      </c>
      <c r="V313" s="1" t="s">
        <v>357</v>
      </c>
      <c r="W313" s="1" t="s">
        <v>208</v>
      </c>
      <c r="X313" s="1" t="s">
        <v>206</v>
      </c>
      <c r="Y313" s="1" t="s">
        <v>441</v>
      </c>
      <c r="Z313" s="1" t="s">
        <v>206</v>
      </c>
      <c r="AA313" s="1" t="s">
        <v>206</v>
      </c>
      <c r="AB313" s="1" t="s">
        <v>206</v>
      </c>
      <c r="AC313" s="1" t="s">
        <v>236</v>
      </c>
      <c r="AD313" s="1" t="s">
        <v>497</v>
      </c>
      <c r="AE313" s="1" t="s">
        <v>208</v>
      </c>
      <c r="AF313" s="1" t="s">
        <v>208</v>
      </c>
      <c r="AG313" s="1" t="s">
        <v>497</v>
      </c>
      <c r="AH313" s="1" t="s">
        <v>206</v>
      </c>
      <c r="AI313" s="1" t="s">
        <v>229</v>
      </c>
    </row>
    <row x14ac:dyDescent="0.25" r="314" customHeight="1" ht="17.25">
      <c r="A314" s="1" t="s">
        <v>739</v>
      </c>
      <c r="B314" s="123" t="s">
        <v>740</v>
      </c>
      <c r="C314" s="116" t="s">
        <v>134</v>
      </c>
      <c r="D314" s="1" t="s">
        <v>67</v>
      </c>
      <c r="E314" s="116" t="s">
        <v>741</v>
      </c>
      <c r="F314" s="1" t="s">
        <v>158</v>
      </c>
      <c r="G314" s="1" t="s">
        <v>22</v>
      </c>
      <c r="H314" s="61">
        <v>34180</v>
      </c>
      <c r="I314" s="1" t="s">
        <v>175</v>
      </c>
      <c r="J314" s="1" t="s">
        <v>517</v>
      </c>
      <c r="K314" s="1" t="s">
        <v>742</v>
      </c>
      <c r="L314" s="119">
        <v>0</v>
      </c>
      <c r="M314" s="117" t="s">
        <v>743</v>
      </c>
      <c r="N314" s="119">
        <v>0</v>
      </c>
      <c r="O314" s="119">
        <v>0</v>
      </c>
      <c r="P314" s="119">
        <v>0</v>
      </c>
      <c r="Q314" s="119">
        <v>0</v>
      </c>
      <c r="R314" s="1" t="s">
        <v>357</v>
      </c>
      <c r="S314" s="1" t="s">
        <v>206</v>
      </c>
      <c r="T314" s="1" t="s">
        <v>555</v>
      </c>
      <c r="U314" s="1" t="s">
        <v>197</v>
      </c>
      <c r="V314" s="1" t="s">
        <v>357</v>
      </c>
      <c r="W314" s="1" t="s">
        <v>208</v>
      </c>
      <c r="X314" s="1" t="s">
        <v>206</v>
      </c>
      <c r="Y314" s="1" t="s">
        <v>441</v>
      </c>
      <c r="Z314" s="1" t="s">
        <v>206</v>
      </c>
      <c r="AA314" s="1" t="s">
        <v>206</v>
      </c>
      <c r="AB314" s="1" t="s">
        <v>206</v>
      </c>
      <c r="AC314" s="1" t="s">
        <v>236</v>
      </c>
      <c r="AD314" s="1" t="s">
        <v>497</v>
      </c>
      <c r="AE314" s="1" t="s">
        <v>208</v>
      </c>
      <c r="AF314" s="1" t="s">
        <v>208</v>
      </c>
      <c r="AG314" s="1" t="s">
        <v>497</v>
      </c>
      <c r="AH314" s="1" t="s">
        <v>35</v>
      </c>
      <c r="AI314" s="1" t="s">
        <v>208</v>
      </c>
    </row>
    <row x14ac:dyDescent="0.25" r="315" customHeight="1" ht="17.25">
      <c r="A315" s="1" t="s">
        <v>1053</v>
      </c>
      <c r="B315" s="123" t="s">
        <v>1054</v>
      </c>
      <c r="C315" s="116" t="s">
        <v>96</v>
      </c>
      <c r="D315" s="1" t="s">
        <v>67</v>
      </c>
      <c r="E315" s="116" t="s">
        <v>1055</v>
      </c>
      <c r="F315" s="120" t="s">
        <v>160</v>
      </c>
      <c r="G315" s="1" t="s">
        <v>22</v>
      </c>
      <c r="H315" s="61">
        <v>35874</v>
      </c>
      <c r="I315" s="1" t="s">
        <v>175</v>
      </c>
      <c r="J315" s="1" t="s">
        <v>354</v>
      </c>
      <c r="K315" s="1" t="s">
        <v>518</v>
      </c>
      <c r="L315" s="119">
        <v>0</v>
      </c>
      <c r="M315" s="119">
        <v>0</v>
      </c>
      <c r="N315" s="119">
        <v>0</v>
      </c>
      <c r="O315" s="119">
        <v>0</v>
      </c>
      <c r="P315" s="119">
        <v>0</v>
      </c>
      <c r="Q315" s="119">
        <v>0</v>
      </c>
      <c r="R315" s="1" t="s">
        <v>357</v>
      </c>
      <c r="S315" s="1" t="s">
        <v>206</v>
      </c>
      <c r="T315" s="1" t="s">
        <v>1056</v>
      </c>
      <c r="U315" s="1" t="s">
        <v>197</v>
      </c>
      <c r="V315" s="1" t="s">
        <v>357</v>
      </c>
      <c r="W315" s="1" t="s">
        <v>208</v>
      </c>
      <c r="X315" s="1" t="s">
        <v>206</v>
      </c>
      <c r="Y315" s="1" t="s">
        <v>441</v>
      </c>
      <c r="Z315" s="1" t="s">
        <v>206</v>
      </c>
      <c r="AA315" s="1" t="s">
        <v>206</v>
      </c>
      <c r="AB315" s="1" t="s">
        <v>206</v>
      </c>
      <c r="AC315" s="1" t="s">
        <v>237</v>
      </c>
      <c r="AD315" s="1" t="s">
        <v>1052</v>
      </c>
      <c r="AE315" s="1" t="s">
        <v>208</v>
      </c>
      <c r="AF315" s="1" t="s">
        <v>208</v>
      </c>
      <c r="AG315" s="1" t="s">
        <v>1052</v>
      </c>
      <c r="AH315" s="1" t="s">
        <v>35</v>
      </c>
      <c r="AI315" s="1" t="s">
        <v>208</v>
      </c>
    </row>
    <row x14ac:dyDescent="0.25" r="316" customHeight="1" ht="17.25">
      <c r="A316" s="1" t="s">
        <v>1053</v>
      </c>
      <c r="B316" s="123" t="s">
        <v>1054</v>
      </c>
      <c r="C316" s="116" t="s">
        <v>96</v>
      </c>
      <c r="D316" s="1" t="s">
        <v>67</v>
      </c>
      <c r="E316" s="116" t="s">
        <v>1434</v>
      </c>
      <c r="F316" s="120" t="s">
        <v>160</v>
      </c>
      <c r="G316" s="1" t="s">
        <v>22</v>
      </c>
      <c r="H316" s="61">
        <v>35432</v>
      </c>
      <c r="I316" s="1" t="s">
        <v>175</v>
      </c>
      <c r="J316" s="1" t="s">
        <v>354</v>
      </c>
      <c r="K316" s="1" t="s">
        <v>366</v>
      </c>
      <c r="L316" s="119">
        <v>0</v>
      </c>
      <c r="M316" s="117" t="s">
        <v>1435</v>
      </c>
      <c r="N316" s="119">
        <v>0</v>
      </c>
      <c r="O316" s="119">
        <v>0</v>
      </c>
      <c r="P316" s="119">
        <v>0</v>
      </c>
      <c r="Q316" s="119">
        <v>0</v>
      </c>
      <c r="R316" s="1" t="s">
        <v>357</v>
      </c>
      <c r="S316" s="1" t="s">
        <v>206</v>
      </c>
      <c r="T316" s="1" t="s">
        <v>1056</v>
      </c>
      <c r="U316" s="1" t="s">
        <v>197</v>
      </c>
      <c r="V316" s="1" t="s">
        <v>357</v>
      </c>
      <c r="W316" s="1" t="s">
        <v>208</v>
      </c>
      <c r="X316" s="1" t="s">
        <v>206</v>
      </c>
      <c r="Y316" s="1" t="s">
        <v>441</v>
      </c>
      <c r="Z316" s="1" t="s">
        <v>207</v>
      </c>
      <c r="AA316" s="1" t="s">
        <v>29</v>
      </c>
      <c r="AB316" s="1" t="s">
        <v>206</v>
      </c>
      <c r="AC316" s="1" t="s">
        <v>238</v>
      </c>
      <c r="AD316" s="1" t="s">
        <v>441</v>
      </c>
      <c r="AE316" s="1" t="s">
        <v>208</v>
      </c>
      <c r="AF316" s="1" t="s">
        <v>208</v>
      </c>
      <c r="AG316" s="1" t="s">
        <v>441</v>
      </c>
      <c r="AH316" s="1" t="s">
        <v>208</v>
      </c>
      <c r="AI316" s="120" t="s">
        <v>227</v>
      </c>
    </row>
    <row x14ac:dyDescent="0.25" r="317" customHeight="1" ht="17.25">
      <c r="A317" s="1" t="s">
        <v>1646</v>
      </c>
      <c r="B317" s="123">
        <v>42997</v>
      </c>
      <c r="C317" s="116" t="s">
        <v>96</v>
      </c>
      <c r="D317" s="1" t="s">
        <v>67</v>
      </c>
      <c r="E317" s="116" t="s">
        <v>1647</v>
      </c>
      <c r="F317" s="1" t="s">
        <v>158</v>
      </c>
      <c r="G317" s="1" t="s">
        <v>22</v>
      </c>
      <c r="H317" s="61">
        <v>35680</v>
      </c>
      <c r="I317" s="1" t="s">
        <v>175</v>
      </c>
      <c r="J317" s="1" t="s">
        <v>354</v>
      </c>
      <c r="K317" s="1" t="s">
        <v>1648</v>
      </c>
      <c r="L317" s="117" t="s">
        <v>1649</v>
      </c>
      <c r="M317" s="117" t="s">
        <v>1650</v>
      </c>
      <c r="N317" s="117" t="s">
        <v>1651</v>
      </c>
      <c r="O317" s="117" t="s">
        <v>1652</v>
      </c>
      <c r="P317" s="117" t="s">
        <v>1653</v>
      </c>
      <c r="Q317" s="117" t="s">
        <v>1654</v>
      </c>
      <c r="R317" s="1" t="s">
        <v>357</v>
      </c>
      <c r="S317" s="1" t="s">
        <v>206</v>
      </c>
      <c r="T317" s="1" t="s">
        <v>1655</v>
      </c>
      <c r="U317" s="1" t="s">
        <v>197</v>
      </c>
      <c r="V317" s="1" t="s">
        <v>357</v>
      </c>
      <c r="W317" s="1" t="s">
        <v>208</v>
      </c>
      <c r="X317" s="1" t="s">
        <v>374</v>
      </c>
      <c r="Y317" s="1" t="s">
        <v>492</v>
      </c>
      <c r="Z317" s="1" t="s">
        <v>206</v>
      </c>
      <c r="AA317" s="1" t="s">
        <v>212</v>
      </c>
      <c r="AB317" s="1" t="s">
        <v>206</v>
      </c>
      <c r="AC317" s="1" t="s">
        <v>206</v>
      </c>
      <c r="AD317" s="1" t="s">
        <v>441</v>
      </c>
      <c r="AE317" s="1" t="s">
        <v>208</v>
      </c>
      <c r="AF317" s="1" t="s">
        <v>208</v>
      </c>
      <c r="AG317" s="1" t="s">
        <v>441</v>
      </c>
      <c r="AH317" s="1" t="s">
        <v>208</v>
      </c>
      <c r="AI317" s="120" t="s">
        <v>227</v>
      </c>
    </row>
    <row x14ac:dyDescent="0.25" r="318" customHeight="1" ht="17.25">
      <c r="A318" s="1" t="s">
        <v>2316</v>
      </c>
      <c r="B318" s="123" t="s">
        <v>764</v>
      </c>
      <c r="C318" s="116" t="s">
        <v>134</v>
      </c>
      <c r="D318" s="1" t="s">
        <v>67</v>
      </c>
      <c r="E318" s="116" t="s">
        <v>2317</v>
      </c>
      <c r="F318" s="1" t="s">
        <v>158</v>
      </c>
      <c r="G318" s="1" t="s">
        <v>22</v>
      </c>
      <c r="H318" s="61">
        <v>32383</v>
      </c>
      <c r="I318" s="1" t="s">
        <v>177</v>
      </c>
      <c r="J318" s="1" t="s">
        <v>365</v>
      </c>
      <c r="K318" s="1" t="s">
        <v>2318</v>
      </c>
      <c r="L318" s="117" t="s">
        <v>2319</v>
      </c>
      <c r="M318" s="119">
        <v>0</v>
      </c>
      <c r="N318" s="119">
        <v>0</v>
      </c>
      <c r="O318" s="119">
        <v>0</v>
      </c>
      <c r="P318" s="119">
        <v>0</v>
      </c>
      <c r="Q318" s="119">
        <v>0</v>
      </c>
      <c r="R318" s="1" t="s">
        <v>357</v>
      </c>
      <c r="S318" s="1" t="s">
        <v>206</v>
      </c>
      <c r="T318" s="1" t="s">
        <v>2320</v>
      </c>
      <c r="U318" s="1" t="s">
        <v>200</v>
      </c>
      <c r="V318" s="1" t="s">
        <v>2285</v>
      </c>
      <c r="W318" s="1" t="s">
        <v>208</v>
      </c>
      <c r="X318" s="1" t="s">
        <v>208</v>
      </c>
      <c r="Y318" s="1" t="s">
        <v>208</v>
      </c>
      <c r="Z318" s="1" t="s">
        <v>208</v>
      </c>
      <c r="AA318" s="1" t="s">
        <v>208</v>
      </c>
      <c r="AB318" s="1" t="s">
        <v>208</v>
      </c>
      <c r="AC318" s="1" t="s">
        <v>208</v>
      </c>
      <c r="AD318" s="1" t="s">
        <v>208</v>
      </c>
      <c r="AE318" s="1" t="s">
        <v>206</v>
      </c>
      <c r="AF318" s="1" t="s">
        <v>208</v>
      </c>
      <c r="AG318" s="1" t="s">
        <v>208</v>
      </c>
      <c r="AH318" s="1" t="s">
        <v>208</v>
      </c>
      <c r="AI318" s="1" t="s">
        <v>208</v>
      </c>
    </row>
    <row x14ac:dyDescent="0.25" r="319" customHeight="1" ht="17.25">
      <c r="A319" s="1" t="s">
        <v>1802</v>
      </c>
      <c r="B319" s="61" t="s">
        <v>1803</v>
      </c>
      <c r="C319" s="1" t="s">
        <v>118</v>
      </c>
      <c r="D319" s="1" t="s">
        <v>67</v>
      </c>
      <c r="E319" s="1" t="s">
        <v>1804</v>
      </c>
      <c r="F319" s="1" t="s">
        <v>158</v>
      </c>
      <c r="G319" s="1" t="s">
        <v>22</v>
      </c>
      <c r="H319" s="61">
        <v>29755</v>
      </c>
      <c r="I319" s="1" t="s">
        <v>175</v>
      </c>
      <c r="J319" s="1" t="s">
        <v>517</v>
      </c>
      <c r="K319" s="1" t="s">
        <v>1805</v>
      </c>
      <c r="L319" s="117" t="s">
        <v>1806</v>
      </c>
      <c r="M319" s="117" t="s">
        <v>1807</v>
      </c>
      <c r="N319" s="117" t="s">
        <v>1808</v>
      </c>
      <c r="O319" s="119">
        <v>0</v>
      </c>
      <c r="P319" s="119">
        <v>0</v>
      </c>
      <c r="Q319" s="119">
        <v>0</v>
      </c>
      <c r="R319" s="1" t="s">
        <v>357</v>
      </c>
      <c r="S319" s="1" t="s">
        <v>206</v>
      </c>
      <c r="T319" s="1" t="s">
        <v>946</v>
      </c>
      <c r="U319" s="1" t="s">
        <v>197</v>
      </c>
      <c r="V319" s="1" t="s">
        <v>357</v>
      </c>
      <c r="W319" s="1" t="s">
        <v>208</v>
      </c>
      <c r="X319" s="1" t="s">
        <v>206</v>
      </c>
      <c r="Y319" s="1" t="s">
        <v>441</v>
      </c>
      <c r="Z319" s="1" t="s">
        <v>207</v>
      </c>
      <c r="AA319" s="1" t="s">
        <v>206</v>
      </c>
      <c r="AB319" s="1" t="s">
        <v>206</v>
      </c>
      <c r="AC319" s="1" t="s">
        <v>238</v>
      </c>
      <c r="AD319" s="1" t="s">
        <v>492</v>
      </c>
      <c r="AE319" s="1" t="s">
        <v>208</v>
      </c>
      <c r="AF319" s="1" t="s">
        <v>208</v>
      </c>
      <c r="AG319" s="1" t="s">
        <v>492</v>
      </c>
      <c r="AH319" s="1" t="s">
        <v>208</v>
      </c>
      <c r="AI319" s="120" t="s">
        <v>227</v>
      </c>
    </row>
    <row x14ac:dyDescent="0.25" r="320" customHeight="1" ht="17.25">
      <c r="A320" s="1" t="s">
        <v>1075</v>
      </c>
      <c r="B320" s="123" t="s">
        <v>906</v>
      </c>
      <c r="C320" s="116" t="s">
        <v>122</v>
      </c>
      <c r="D320" s="1" t="s">
        <v>68</v>
      </c>
      <c r="E320" s="116" t="s">
        <v>1076</v>
      </c>
      <c r="F320" s="1" t="s">
        <v>161</v>
      </c>
      <c r="G320" s="1" t="s">
        <v>22</v>
      </c>
      <c r="H320" s="61">
        <v>31879</v>
      </c>
      <c r="I320" s="1" t="s">
        <v>175</v>
      </c>
      <c r="J320" s="1" t="s">
        <v>615</v>
      </c>
      <c r="K320" s="1" t="s">
        <v>1077</v>
      </c>
      <c r="L320" s="119">
        <v>0</v>
      </c>
      <c r="M320" s="117" t="s">
        <v>1078</v>
      </c>
      <c r="N320" s="119">
        <v>0</v>
      </c>
      <c r="O320" s="119">
        <v>0</v>
      </c>
      <c r="P320" s="119">
        <v>0</v>
      </c>
      <c r="Q320" s="119">
        <v>0</v>
      </c>
      <c r="R320" s="1" t="s">
        <v>357</v>
      </c>
      <c r="S320" s="1" t="s">
        <v>206</v>
      </c>
      <c r="T320" s="1" t="s">
        <v>1079</v>
      </c>
      <c r="U320" s="1" t="s">
        <v>197</v>
      </c>
      <c r="V320" s="1" t="s">
        <v>357</v>
      </c>
      <c r="W320" s="1" t="s">
        <v>208</v>
      </c>
      <c r="X320" s="1" t="s">
        <v>206</v>
      </c>
      <c r="Y320" s="1" t="s">
        <v>441</v>
      </c>
      <c r="Z320" s="1" t="s">
        <v>206</v>
      </c>
      <c r="AA320" s="1" t="s">
        <v>206</v>
      </c>
      <c r="AB320" s="1" t="s">
        <v>206</v>
      </c>
      <c r="AC320" s="1" t="s">
        <v>237</v>
      </c>
      <c r="AD320" s="1" t="s">
        <v>1052</v>
      </c>
      <c r="AE320" s="1" t="s">
        <v>208</v>
      </c>
      <c r="AF320" s="1" t="s">
        <v>208</v>
      </c>
      <c r="AG320" s="1" t="s">
        <v>1052</v>
      </c>
      <c r="AH320" s="1" t="s">
        <v>35</v>
      </c>
      <c r="AI320" s="1" t="s">
        <v>208</v>
      </c>
    </row>
    <row x14ac:dyDescent="0.25" r="321" customHeight="1" ht="17.25">
      <c r="A321" s="1" t="s">
        <v>1709</v>
      </c>
      <c r="B321" s="123" t="s">
        <v>443</v>
      </c>
      <c r="C321" s="116" t="s">
        <v>83</v>
      </c>
      <c r="D321" s="1" t="s">
        <v>68</v>
      </c>
      <c r="E321" s="116" t="s">
        <v>1714</v>
      </c>
      <c r="F321" s="1" t="s">
        <v>165</v>
      </c>
      <c r="G321" s="1" t="s">
        <v>22</v>
      </c>
      <c r="H321" s="61">
        <v>35855</v>
      </c>
      <c r="I321" s="1" t="s">
        <v>175</v>
      </c>
      <c r="J321" s="1" t="s">
        <v>354</v>
      </c>
      <c r="K321" s="1" t="s">
        <v>1711</v>
      </c>
      <c r="L321" s="117" t="s">
        <v>1712</v>
      </c>
      <c r="M321" s="117" t="s">
        <v>1713</v>
      </c>
      <c r="N321" s="119">
        <v>0</v>
      </c>
      <c r="O321" s="119">
        <v>0</v>
      </c>
      <c r="P321" s="119">
        <v>0</v>
      </c>
      <c r="Q321" s="119">
        <v>0</v>
      </c>
      <c r="R321" s="1" t="s">
        <v>371</v>
      </c>
      <c r="S321" s="1" t="s">
        <v>206</v>
      </c>
      <c r="T321" s="1" t="s">
        <v>1480</v>
      </c>
      <c r="U321" s="1" t="s">
        <v>198</v>
      </c>
      <c r="V321" s="1" t="s">
        <v>357</v>
      </c>
      <c r="W321" s="1" t="s">
        <v>208</v>
      </c>
      <c r="X321" s="1" t="s">
        <v>206</v>
      </c>
      <c r="Y321" s="1" t="s">
        <v>441</v>
      </c>
      <c r="Z321" s="1" t="s">
        <v>206</v>
      </c>
      <c r="AA321" s="1" t="s">
        <v>206</v>
      </c>
      <c r="AB321" s="1" t="s">
        <v>30</v>
      </c>
      <c r="AC321" s="1" t="s">
        <v>206</v>
      </c>
      <c r="AD321" s="1" t="s">
        <v>492</v>
      </c>
      <c r="AE321" s="1" t="s">
        <v>208</v>
      </c>
      <c r="AF321" s="1" t="s">
        <v>208</v>
      </c>
      <c r="AG321" s="1" t="s">
        <v>492</v>
      </c>
      <c r="AH321" s="1" t="s">
        <v>208</v>
      </c>
      <c r="AI321" s="120" t="s">
        <v>227</v>
      </c>
    </row>
    <row x14ac:dyDescent="0.25" r="322" customHeight="1" ht="17.25">
      <c r="A322" s="1" t="s">
        <v>1709</v>
      </c>
      <c r="B322" s="123" t="s">
        <v>443</v>
      </c>
      <c r="C322" s="116" t="s">
        <v>83</v>
      </c>
      <c r="D322" s="1" t="s">
        <v>68</v>
      </c>
      <c r="E322" s="116" t="s">
        <v>1710</v>
      </c>
      <c r="F322" s="1" t="s">
        <v>165</v>
      </c>
      <c r="G322" s="1" t="s">
        <v>22</v>
      </c>
      <c r="H322" s="61">
        <v>34709</v>
      </c>
      <c r="I322" s="1" t="s">
        <v>175</v>
      </c>
      <c r="J322" s="1" t="s">
        <v>354</v>
      </c>
      <c r="K322" s="1" t="s">
        <v>1711</v>
      </c>
      <c r="L322" s="117" t="s">
        <v>1712</v>
      </c>
      <c r="M322" s="117" t="s">
        <v>1713</v>
      </c>
      <c r="N322" s="119">
        <v>0</v>
      </c>
      <c r="O322" s="119">
        <v>0</v>
      </c>
      <c r="P322" s="119">
        <v>0</v>
      </c>
      <c r="Q322" s="119">
        <v>0</v>
      </c>
      <c r="R322" s="1" t="s">
        <v>371</v>
      </c>
      <c r="S322" s="1" t="s">
        <v>206</v>
      </c>
      <c r="T322" s="1" t="s">
        <v>1480</v>
      </c>
      <c r="U322" s="1" t="s">
        <v>198</v>
      </c>
      <c r="V322" s="1" t="s">
        <v>357</v>
      </c>
      <c r="W322" s="1" t="s">
        <v>208</v>
      </c>
      <c r="X322" s="1" t="s">
        <v>206</v>
      </c>
      <c r="Y322" s="1" t="s">
        <v>441</v>
      </c>
      <c r="Z322" s="1" t="s">
        <v>206</v>
      </c>
      <c r="AA322" s="1" t="s">
        <v>206</v>
      </c>
      <c r="AB322" s="1" t="s">
        <v>30</v>
      </c>
      <c r="AC322" s="1" t="s">
        <v>206</v>
      </c>
      <c r="AD322" s="1" t="s">
        <v>492</v>
      </c>
      <c r="AE322" s="1" t="s">
        <v>208</v>
      </c>
      <c r="AF322" s="1" t="s">
        <v>208</v>
      </c>
      <c r="AG322" s="1" t="s">
        <v>492</v>
      </c>
      <c r="AH322" s="1" t="s">
        <v>208</v>
      </c>
      <c r="AI322" s="120" t="s">
        <v>227</v>
      </c>
    </row>
    <row x14ac:dyDescent="0.25" r="323" customHeight="1" ht="17.25">
      <c r="A323" s="1" t="s">
        <v>2400</v>
      </c>
      <c r="B323" s="123" t="s">
        <v>2401</v>
      </c>
      <c r="C323" s="116" t="s">
        <v>83</v>
      </c>
      <c r="D323" s="1" t="s">
        <v>68</v>
      </c>
      <c r="E323" s="116" t="s">
        <v>2402</v>
      </c>
      <c r="F323" s="1" t="s">
        <v>158</v>
      </c>
      <c r="G323" s="1" t="s">
        <v>22</v>
      </c>
      <c r="H323" s="61">
        <v>29966</v>
      </c>
      <c r="I323" s="1" t="s">
        <v>175</v>
      </c>
      <c r="J323" s="1" t="s">
        <v>354</v>
      </c>
      <c r="K323" s="1" t="s">
        <v>2403</v>
      </c>
      <c r="L323" s="117" t="s">
        <v>2404</v>
      </c>
      <c r="M323" s="117" t="s">
        <v>2405</v>
      </c>
      <c r="N323" s="119">
        <v>0</v>
      </c>
      <c r="O323" s="119">
        <v>0</v>
      </c>
      <c r="P323" s="119">
        <v>0</v>
      </c>
      <c r="Q323" s="119">
        <v>0</v>
      </c>
      <c r="R323" s="1" t="s">
        <v>357</v>
      </c>
      <c r="S323" s="120" t="s">
        <v>674</v>
      </c>
      <c r="T323" s="1" t="s">
        <v>2406</v>
      </c>
      <c r="U323" s="1" t="s">
        <v>199</v>
      </c>
      <c r="V323" s="1" t="s">
        <v>208</v>
      </c>
      <c r="W323" s="1" t="s">
        <v>208</v>
      </c>
      <c r="X323" s="1" t="s">
        <v>208</v>
      </c>
      <c r="Y323" s="1" t="s">
        <v>208</v>
      </c>
      <c r="Z323" s="1" t="s">
        <v>208</v>
      </c>
      <c r="AA323" s="1" t="s">
        <v>208</v>
      </c>
      <c r="AB323" s="1" t="s">
        <v>208</v>
      </c>
      <c r="AC323" s="1" t="s">
        <v>208</v>
      </c>
      <c r="AD323" s="1" t="s">
        <v>208</v>
      </c>
      <c r="AE323" s="1" t="s">
        <v>208</v>
      </c>
      <c r="AF323" s="1" t="s">
        <v>208</v>
      </c>
      <c r="AG323" s="1" t="s">
        <v>208</v>
      </c>
      <c r="AH323" s="1" t="s">
        <v>208</v>
      </c>
      <c r="AI323" s="1" t="s">
        <v>208</v>
      </c>
    </row>
    <row x14ac:dyDescent="0.25" r="324" customHeight="1" ht="17.25">
      <c r="A324" s="1" t="s">
        <v>936</v>
      </c>
      <c r="B324" s="123" t="s">
        <v>352</v>
      </c>
      <c r="C324" s="116" t="s">
        <v>122</v>
      </c>
      <c r="D324" s="1" t="s">
        <v>68</v>
      </c>
      <c r="E324" s="116" t="s">
        <v>937</v>
      </c>
      <c r="F324" s="1" t="s">
        <v>158</v>
      </c>
      <c r="G324" s="1" t="s">
        <v>22</v>
      </c>
      <c r="H324" s="61">
        <v>33401</v>
      </c>
      <c r="I324" s="1" t="s">
        <v>177</v>
      </c>
      <c r="J324" s="1" t="s">
        <v>365</v>
      </c>
      <c r="K324" s="1" t="s">
        <v>366</v>
      </c>
      <c r="L324" s="117" t="s">
        <v>938</v>
      </c>
      <c r="M324" s="117" t="s">
        <v>939</v>
      </c>
      <c r="N324" s="117" t="s">
        <v>940</v>
      </c>
      <c r="O324" s="119">
        <v>0</v>
      </c>
      <c r="P324" s="119">
        <v>0</v>
      </c>
      <c r="Q324" s="119">
        <v>0</v>
      </c>
      <c r="R324" s="1" t="s">
        <v>357</v>
      </c>
      <c r="S324" s="1" t="s">
        <v>206</v>
      </c>
      <c r="T324" s="1" t="s">
        <v>555</v>
      </c>
      <c r="U324" s="1" t="s">
        <v>197</v>
      </c>
      <c r="V324" s="1" t="s">
        <v>357</v>
      </c>
      <c r="W324" s="1" t="s">
        <v>208</v>
      </c>
      <c r="X324" s="1" t="s">
        <v>206</v>
      </c>
      <c r="Y324" s="1" t="s">
        <v>441</v>
      </c>
      <c r="Z324" s="1" t="s">
        <v>206</v>
      </c>
      <c r="AA324" s="1" t="s">
        <v>206</v>
      </c>
      <c r="AB324" s="1" t="s">
        <v>206</v>
      </c>
      <c r="AC324" s="1" t="s">
        <v>236</v>
      </c>
      <c r="AD324" s="1" t="s">
        <v>497</v>
      </c>
      <c r="AE324" s="1" t="s">
        <v>208</v>
      </c>
      <c r="AF324" s="1" t="s">
        <v>208</v>
      </c>
      <c r="AG324" s="1" t="s">
        <v>497</v>
      </c>
      <c r="AH324" s="1" t="s">
        <v>206</v>
      </c>
      <c r="AI324" s="120" t="s">
        <v>227</v>
      </c>
    </row>
    <row x14ac:dyDescent="0.25" r="325" customHeight="1" ht="17.25">
      <c r="A325" s="1" t="s">
        <v>1143</v>
      </c>
      <c r="B325" s="123" t="s">
        <v>1144</v>
      </c>
      <c r="C325" s="116" t="s">
        <v>83</v>
      </c>
      <c r="D325" s="1" t="s">
        <v>68</v>
      </c>
      <c r="E325" s="116" t="s">
        <v>1145</v>
      </c>
      <c r="F325" s="1" t="s">
        <v>158</v>
      </c>
      <c r="G325" s="1" t="s">
        <v>22</v>
      </c>
      <c r="H325" s="61">
        <v>33500</v>
      </c>
      <c r="I325" s="1" t="s">
        <v>175</v>
      </c>
      <c r="J325" s="1" t="s">
        <v>615</v>
      </c>
      <c r="K325" s="1" t="s">
        <v>1146</v>
      </c>
      <c r="L325" s="117" t="s">
        <v>1147</v>
      </c>
      <c r="M325" s="117" t="s">
        <v>1148</v>
      </c>
      <c r="N325" s="117" t="s">
        <v>1149</v>
      </c>
      <c r="O325" s="119">
        <v>0</v>
      </c>
      <c r="P325" s="119">
        <v>0</v>
      </c>
      <c r="Q325" s="117" t="s">
        <v>1150</v>
      </c>
      <c r="R325" s="1" t="s">
        <v>357</v>
      </c>
      <c r="S325" s="1" t="s">
        <v>206</v>
      </c>
      <c r="T325" s="1" t="s">
        <v>1151</v>
      </c>
      <c r="U325" s="1" t="s">
        <v>197</v>
      </c>
      <c r="V325" s="1" t="s">
        <v>357</v>
      </c>
      <c r="W325" s="1" t="s">
        <v>208</v>
      </c>
      <c r="X325" s="1" t="s">
        <v>206</v>
      </c>
      <c r="Y325" s="1" t="s">
        <v>441</v>
      </c>
      <c r="Z325" s="1" t="s">
        <v>206</v>
      </c>
      <c r="AA325" s="1" t="s">
        <v>206</v>
      </c>
      <c r="AB325" s="1" t="s">
        <v>206</v>
      </c>
      <c r="AC325" s="1" t="s">
        <v>237</v>
      </c>
      <c r="AD325" s="1" t="s">
        <v>1052</v>
      </c>
      <c r="AE325" s="1" t="s">
        <v>208</v>
      </c>
      <c r="AF325" s="1" t="s">
        <v>208</v>
      </c>
      <c r="AG325" s="1" t="s">
        <v>1052</v>
      </c>
      <c r="AH325" s="1" t="s">
        <v>206</v>
      </c>
      <c r="AI325" s="1" t="s">
        <v>229</v>
      </c>
    </row>
    <row x14ac:dyDescent="0.25" r="326" customHeight="1" ht="17.25">
      <c r="A326" s="1" t="s">
        <v>1090</v>
      </c>
      <c r="B326" s="123" t="s">
        <v>1091</v>
      </c>
      <c r="C326" s="116" t="s">
        <v>122</v>
      </c>
      <c r="D326" s="1" t="s">
        <v>68</v>
      </c>
      <c r="E326" s="116" t="s">
        <v>1092</v>
      </c>
      <c r="F326" s="1" t="s">
        <v>158</v>
      </c>
      <c r="G326" s="1" t="s">
        <v>22</v>
      </c>
      <c r="H326" s="61">
        <v>35818</v>
      </c>
      <c r="I326" s="1" t="s">
        <v>175</v>
      </c>
      <c r="J326" s="1" t="s">
        <v>365</v>
      </c>
      <c r="K326" s="1" t="s">
        <v>1093</v>
      </c>
      <c r="L326" s="119">
        <v>0</v>
      </c>
      <c r="M326" s="117" t="s">
        <v>1094</v>
      </c>
      <c r="N326" s="119">
        <v>0</v>
      </c>
      <c r="O326" s="119">
        <v>0</v>
      </c>
      <c r="P326" s="119">
        <v>0</v>
      </c>
      <c r="Q326" s="119">
        <v>0</v>
      </c>
      <c r="R326" s="1" t="s">
        <v>357</v>
      </c>
      <c r="S326" s="1" t="s">
        <v>206</v>
      </c>
      <c r="T326" s="1" t="s">
        <v>430</v>
      </c>
      <c r="U326" s="1" t="s">
        <v>197</v>
      </c>
      <c r="V326" s="1" t="s">
        <v>357</v>
      </c>
      <c r="W326" s="1" t="s">
        <v>208</v>
      </c>
      <c r="X326" s="1" t="s">
        <v>206</v>
      </c>
      <c r="Y326" s="1" t="s">
        <v>441</v>
      </c>
      <c r="Z326" s="1" t="s">
        <v>206</v>
      </c>
      <c r="AA326" s="1" t="s">
        <v>206</v>
      </c>
      <c r="AB326" s="1" t="s">
        <v>206</v>
      </c>
      <c r="AC326" s="1" t="s">
        <v>237</v>
      </c>
      <c r="AD326" s="1" t="s">
        <v>1052</v>
      </c>
      <c r="AE326" s="1" t="s">
        <v>208</v>
      </c>
      <c r="AF326" s="1" t="s">
        <v>208</v>
      </c>
      <c r="AG326" s="1" t="s">
        <v>1052</v>
      </c>
      <c r="AH326" s="1" t="s">
        <v>35</v>
      </c>
      <c r="AI326" s="1" t="s">
        <v>208</v>
      </c>
    </row>
    <row x14ac:dyDescent="0.25" r="327" customHeight="1" ht="17.25">
      <c r="A327" s="1" t="s">
        <v>668</v>
      </c>
      <c r="B327" s="123" t="s">
        <v>669</v>
      </c>
      <c r="C327" s="116" t="s">
        <v>83</v>
      </c>
      <c r="D327" s="1" t="s">
        <v>68</v>
      </c>
      <c r="E327" s="116" t="s">
        <v>670</v>
      </c>
      <c r="F327" s="1" t="s">
        <v>159</v>
      </c>
      <c r="G327" s="1" t="s">
        <v>22</v>
      </c>
      <c r="H327" s="61">
        <v>36224</v>
      </c>
      <c r="I327" s="1" t="s">
        <v>175</v>
      </c>
      <c r="J327" s="1" t="s">
        <v>365</v>
      </c>
      <c r="K327" s="1" t="s">
        <v>671</v>
      </c>
      <c r="L327" s="117" t="s">
        <v>672</v>
      </c>
      <c r="M327" s="117" t="s">
        <v>673</v>
      </c>
      <c r="N327" s="119">
        <v>0</v>
      </c>
      <c r="O327" s="119">
        <v>0</v>
      </c>
      <c r="P327" s="119">
        <v>0</v>
      </c>
      <c r="Q327" s="119">
        <v>0</v>
      </c>
      <c r="R327" s="1" t="s">
        <v>357</v>
      </c>
      <c r="S327" s="120" t="s">
        <v>674</v>
      </c>
      <c r="T327" s="1" t="s">
        <v>675</v>
      </c>
      <c r="U327" s="1" t="s">
        <v>197</v>
      </c>
      <c r="V327" s="1" t="s">
        <v>357</v>
      </c>
      <c r="W327" s="1" t="s">
        <v>674</v>
      </c>
      <c r="X327" s="1" t="s">
        <v>206</v>
      </c>
      <c r="Y327" s="1" t="s">
        <v>441</v>
      </c>
      <c r="Z327" s="1" t="s">
        <v>206</v>
      </c>
      <c r="AA327" s="1" t="s">
        <v>206</v>
      </c>
      <c r="AB327" s="1" t="s">
        <v>206</v>
      </c>
      <c r="AC327" s="1" t="s">
        <v>236</v>
      </c>
      <c r="AD327" s="1" t="s">
        <v>497</v>
      </c>
      <c r="AE327" s="1" t="s">
        <v>208</v>
      </c>
      <c r="AF327" s="1" t="s">
        <v>676</v>
      </c>
      <c r="AG327" s="1" t="s">
        <v>677</v>
      </c>
      <c r="AH327" s="1" t="s">
        <v>35</v>
      </c>
      <c r="AI327" s="1" t="s">
        <v>208</v>
      </c>
    </row>
    <row x14ac:dyDescent="0.25" r="328" customHeight="1" ht="17.25">
      <c r="A328" s="1" t="s">
        <v>2461</v>
      </c>
      <c r="B328" s="123" t="s">
        <v>2462</v>
      </c>
      <c r="C328" s="116" t="s">
        <v>122</v>
      </c>
      <c r="D328" s="1" t="s">
        <v>68</v>
      </c>
      <c r="E328" s="116" t="s">
        <v>2463</v>
      </c>
      <c r="F328" s="1" t="s">
        <v>163</v>
      </c>
      <c r="G328" s="1" t="s">
        <v>22</v>
      </c>
      <c r="H328" s="61">
        <v>34505</v>
      </c>
      <c r="I328" s="1" t="s">
        <v>175</v>
      </c>
      <c r="J328" s="1" t="s">
        <v>464</v>
      </c>
      <c r="K328" s="1" t="s">
        <v>1197</v>
      </c>
      <c r="L328" s="117" t="s">
        <v>2464</v>
      </c>
      <c r="M328" s="117" t="s">
        <v>2465</v>
      </c>
      <c r="N328" s="119">
        <v>0</v>
      </c>
      <c r="O328" s="119">
        <v>0</v>
      </c>
      <c r="P328" s="119">
        <v>0</v>
      </c>
      <c r="Q328" s="119">
        <v>0</v>
      </c>
      <c r="R328" s="1" t="s">
        <v>357</v>
      </c>
      <c r="S328" s="1" t="s">
        <v>206</v>
      </c>
      <c r="T328" s="1" t="s">
        <v>520</v>
      </c>
      <c r="U328" s="1" t="s">
        <v>199</v>
      </c>
      <c r="V328" s="1" t="s">
        <v>208</v>
      </c>
      <c r="W328" s="1" t="s">
        <v>208</v>
      </c>
      <c r="X328" s="1" t="s">
        <v>208</v>
      </c>
      <c r="Y328" s="1" t="s">
        <v>208</v>
      </c>
      <c r="Z328" s="1" t="s">
        <v>208</v>
      </c>
      <c r="AA328" s="1" t="s">
        <v>208</v>
      </c>
      <c r="AB328" s="1" t="s">
        <v>208</v>
      </c>
      <c r="AC328" s="1" t="s">
        <v>208</v>
      </c>
      <c r="AD328" s="1" t="s">
        <v>208</v>
      </c>
      <c r="AE328" s="1" t="s">
        <v>208</v>
      </c>
      <c r="AF328" s="1" t="s">
        <v>208</v>
      </c>
      <c r="AG328" s="1" t="s">
        <v>208</v>
      </c>
      <c r="AH328" s="1" t="s">
        <v>208</v>
      </c>
      <c r="AI328" s="1" t="s">
        <v>208</v>
      </c>
    </row>
    <row x14ac:dyDescent="0.25" r="329" customHeight="1" ht="17.25">
      <c r="A329" s="1" t="s">
        <v>1167</v>
      </c>
      <c r="B329" s="123" t="s">
        <v>1104</v>
      </c>
      <c r="C329" s="116" t="s">
        <v>138</v>
      </c>
      <c r="D329" s="1" t="s">
        <v>68</v>
      </c>
      <c r="E329" s="116" t="s">
        <v>1168</v>
      </c>
      <c r="F329" s="1" t="s">
        <v>158</v>
      </c>
      <c r="G329" s="1" t="s">
        <v>22</v>
      </c>
      <c r="H329" s="61">
        <v>34641</v>
      </c>
      <c r="I329" s="1" t="s">
        <v>175</v>
      </c>
      <c r="J329" s="1" t="s">
        <v>365</v>
      </c>
      <c r="K329" s="1" t="s">
        <v>1169</v>
      </c>
      <c r="L329" s="117" t="s">
        <v>1170</v>
      </c>
      <c r="M329" s="119">
        <v>0</v>
      </c>
      <c r="N329" s="117" t="s">
        <v>1171</v>
      </c>
      <c r="O329" s="119">
        <v>0</v>
      </c>
      <c r="P329" s="119">
        <v>0</v>
      </c>
      <c r="Q329" s="129" t="s">
        <v>1172</v>
      </c>
      <c r="R329" s="1" t="s">
        <v>357</v>
      </c>
      <c r="S329" s="1" t="s">
        <v>206</v>
      </c>
      <c r="T329" s="1" t="s">
        <v>1108</v>
      </c>
      <c r="U329" s="1" t="s">
        <v>197</v>
      </c>
      <c r="V329" s="1" t="s">
        <v>357</v>
      </c>
      <c r="W329" s="1" t="s">
        <v>208</v>
      </c>
      <c r="X329" s="1" t="s">
        <v>206</v>
      </c>
      <c r="Y329" s="1" t="s">
        <v>441</v>
      </c>
      <c r="Z329" s="1" t="s">
        <v>206</v>
      </c>
      <c r="AA329" s="1" t="s">
        <v>206</v>
      </c>
      <c r="AB329" s="1" t="s">
        <v>206</v>
      </c>
      <c r="AC329" s="1" t="s">
        <v>237</v>
      </c>
      <c r="AD329" s="1" t="s">
        <v>1052</v>
      </c>
      <c r="AE329" s="1" t="s">
        <v>208</v>
      </c>
      <c r="AF329" s="1" t="s">
        <v>208</v>
      </c>
      <c r="AG329" s="1" t="s">
        <v>1052</v>
      </c>
      <c r="AH329" s="1" t="s">
        <v>206</v>
      </c>
      <c r="AI329" s="120" t="s">
        <v>227</v>
      </c>
    </row>
    <row x14ac:dyDescent="0.25" r="330" customHeight="1" ht="17.25">
      <c r="A330" s="1" t="s">
        <v>2268</v>
      </c>
      <c r="B330" s="123" t="s">
        <v>1556</v>
      </c>
      <c r="C330" s="116" t="s">
        <v>83</v>
      </c>
      <c r="D330" s="1" t="s">
        <v>68</v>
      </c>
      <c r="E330" s="116" t="s">
        <v>2269</v>
      </c>
      <c r="F330" s="1" t="s">
        <v>159</v>
      </c>
      <c r="G330" s="1" t="s">
        <v>22</v>
      </c>
      <c r="H330" s="61">
        <v>25831</v>
      </c>
      <c r="I330" s="1" t="s">
        <v>176</v>
      </c>
      <c r="J330" s="1" t="s">
        <v>365</v>
      </c>
      <c r="K330" s="1" t="s">
        <v>2270</v>
      </c>
      <c r="L330" s="117" t="s">
        <v>2271</v>
      </c>
      <c r="M330" s="117" t="s">
        <v>2272</v>
      </c>
      <c r="N330" s="119">
        <v>0</v>
      </c>
      <c r="O330" s="119">
        <v>0</v>
      </c>
      <c r="P330" s="119">
        <v>0</v>
      </c>
      <c r="Q330" s="119">
        <v>0</v>
      </c>
      <c r="R330" s="1" t="s">
        <v>357</v>
      </c>
      <c r="S330" s="1" t="s">
        <v>526</v>
      </c>
      <c r="T330" s="1" t="s">
        <v>2273</v>
      </c>
      <c r="U330" s="1" t="s">
        <v>197</v>
      </c>
      <c r="V330" s="1" t="s">
        <v>357</v>
      </c>
      <c r="W330" s="1" t="s">
        <v>526</v>
      </c>
      <c r="X330" s="1" t="s">
        <v>406</v>
      </c>
      <c r="Y330" s="1" t="s">
        <v>2254</v>
      </c>
      <c r="Z330" s="1" t="s">
        <v>207</v>
      </c>
      <c r="AA330" s="1" t="s">
        <v>206</v>
      </c>
      <c r="AB330" s="1" t="s">
        <v>206</v>
      </c>
      <c r="AC330" s="1" t="s">
        <v>206</v>
      </c>
      <c r="AD330" s="1" t="s">
        <v>397</v>
      </c>
      <c r="AE330" s="1" t="s">
        <v>208</v>
      </c>
      <c r="AF330" s="1" t="s">
        <v>492</v>
      </c>
      <c r="AG330" s="1" t="s">
        <v>2274</v>
      </c>
      <c r="AH330" s="1" t="s">
        <v>208</v>
      </c>
      <c r="AI330" s="120" t="s">
        <v>227</v>
      </c>
    </row>
    <row x14ac:dyDescent="0.25" r="331" customHeight="1" ht="17.25">
      <c r="A331" s="1" t="s">
        <v>1284</v>
      </c>
      <c r="B331" s="123" t="s">
        <v>1285</v>
      </c>
      <c r="C331" s="116" t="s">
        <v>83</v>
      </c>
      <c r="D331" s="1" t="s">
        <v>68</v>
      </c>
      <c r="E331" s="116" t="s">
        <v>1286</v>
      </c>
      <c r="F331" s="1" t="s">
        <v>158</v>
      </c>
      <c r="G331" s="1" t="s">
        <v>22</v>
      </c>
      <c r="H331" s="61">
        <v>31960</v>
      </c>
      <c r="I331" s="1" t="s">
        <v>175</v>
      </c>
      <c r="J331" s="1" t="s">
        <v>365</v>
      </c>
      <c r="K331" s="1" t="s">
        <v>1287</v>
      </c>
      <c r="L331" s="117" t="s">
        <v>1288</v>
      </c>
      <c r="M331" s="117" t="s">
        <v>1289</v>
      </c>
      <c r="N331" s="117" t="s">
        <v>1290</v>
      </c>
      <c r="O331" s="119">
        <v>0</v>
      </c>
      <c r="P331" s="119">
        <v>0</v>
      </c>
      <c r="Q331" s="119">
        <v>0</v>
      </c>
      <c r="R331" s="1" t="s">
        <v>357</v>
      </c>
      <c r="S331" s="1" t="s">
        <v>206</v>
      </c>
      <c r="T331" s="1" t="s">
        <v>373</v>
      </c>
      <c r="U331" s="1" t="s">
        <v>197</v>
      </c>
      <c r="V331" s="1" t="s">
        <v>357</v>
      </c>
      <c r="W331" s="1" t="s">
        <v>208</v>
      </c>
      <c r="X331" s="1" t="s">
        <v>206</v>
      </c>
      <c r="Y331" s="1" t="s">
        <v>441</v>
      </c>
      <c r="Z331" s="1" t="s">
        <v>206</v>
      </c>
      <c r="AA331" s="1" t="s">
        <v>206</v>
      </c>
      <c r="AB331" s="1" t="s">
        <v>206</v>
      </c>
      <c r="AC331" s="1" t="s">
        <v>237</v>
      </c>
      <c r="AD331" s="1" t="s">
        <v>1276</v>
      </c>
      <c r="AE331" s="1" t="s">
        <v>208</v>
      </c>
      <c r="AF331" s="1" t="s">
        <v>208</v>
      </c>
      <c r="AG331" s="1" t="s">
        <v>1276</v>
      </c>
      <c r="AH331" s="1" t="s">
        <v>206</v>
      </c>
      <c r="AI331" s="1" t="s">
        <v>228</v>
      </c>
    </row>
    <row x14ac:dyDescent="0.25" r="332" customHeight="1" ht="17.25">
      <c r="A332" s="1" t="s">
        <v>1103</v>
      </c>
      <c r="B332" s="123" t="s">
        <v>1104</v>
      </c>
      <c r="C332" s="116" t="s">
        <v>138</v>
      </c>
      <c r="D332" s="1" t="s">
        <v>68</v>
      </c>
      <c r="E332" s="116" t="s">
        <v>1105</v>
      </c>
      <c r="F332" s="1" t="s">
        <v>158</v>
      </c>
      <c r="G332" s="1" t="s">
        <v>22</v>
      </c>
      <c r="H332" s="61">
        <v>32255</v>
      </c>
      <c r="I332" s="1" t="s">
        <v>176</v>
      </c>
      <c r="J332" s="1" t="s">
        <v>464</v>
      </c>
      <c r="K332" s="1" t="s">
        <v>1106</v>
      </c>
      <c r="L332" s="117" t="s">
        <v>1107</v>
      </c>
      <c r="M332" s="117" t="s">
        <v>383</v>
      </c>
      <c r="N332" s="119">
        <v>0</v>
      </c>
      <c r="O332" s="119">
        <v>0</v>
      </c>
      <c r="P332" s="119">
        <v>0</v>
      </c>
      <c r="Q332" s="119">
        <v>0</v>
      </c>
      <c r="R332" s="1" t="s">
        <v>357</v>
      </c>
      <c r="S332" s="1" t="s">
        <v>206</v>
      </c>
      <c r="T332" s="1" t="s">
        <v>1108</v>
      </c>
      <c r="U332" s="1" t="s">
        <v>197</v>
      </c>
      <c r="V332" s="1" t="s">
        <v>357</v>
      </c>
      <c r="W332" s="1" t="s">
        <v>208</v>
      </c>
      <c r="X332" s="1" t="s">
        <v>206</v>
      </c>
      <c r="Y332" s="1" t="s">
        <v>441</v>
      </c>
      <c r="Z332" s="1" t="s">
        <v>206</v>
      </c>
      <c r="AA332" s="1" t="s">
        <v>206</v>
      </c>
      <c r="AB332" s="1" t="s">
        <v>206</v>
      </c>
      <c r="AC332" s="1" t="s">
        <v>237</v>
      </c>
      <c r="AD332" s="1" t="s">
        <v>1052</v>
      </c>
      <c r="AE332" s="1" t="s">
        <v>208</v>
      </c>
      <c r="AF332" s="1" t="s">
        <v>208</v>
      </c>
      <c r="AG332" s="1" t="s">
        <v>1052</v>
      </c>
      <c r="AH332" s="1" t="s">
        <v>206</v>
      </c>
      <c r="AI332" s="120" t="s">
        <v>227</v>
      </c>
    </row>
    <row x14ac:dyDescent="0.25" r="333" customHeight="1" ht="17.25">
      <c r="A333" s="1" t="s">
        <v>605</v>
      </c>
      <c r="B333" s="123" t="s">
        <v>606</v>
      </c>
      <c r="C333" s="116" t="s">
        <v>83</v>
      </c>
      <c r="D333" s="1" t="s">
        <v>68</v>
      </c>
      <c r="E333" s="116" t="s">
        <v>607</v>
      </c>
      <c r="F333" s="1" t="s">
        <v>158</v>
      </c>
      <c r="G333" s="1" t="s">
        <v>22</v>
      </c>
      <c r="H333" s="61">
        <v>35904</v>
      </c>
      <c r="I333" s="1" t="s">
        <v>176</v>
      </c>
      <c r="J333" s="1" t="s">
        <v>365</v>
      </c>
      <c r="K333" s="1" t="s">
        <v>608</v>
      </c>
      <c r="L333" s="117" t="s">
        <v>609</v>
      </c>
      <c r="M333" s="117" t="s">
        <v>610</v>
      </c>
      <c r="N333" s="119">
        <v>0</v>
      </c>
      <c r="O333" s="119">
        <v>0</v>
      </c>
      <c r="P333" s="119">
        <v>0</v>
      </c>
      <c r="Q333" s="119">
        <v>0</v>
      </c>
      <c r="R333" s="1" t="s">
        <v>357</v>
      </c>
      <c r="S333" s="1" t="s">
        <v>206</v>
      </c>
      <c r="T333" s="1" t="s">
        <v>611</v>
      </c>
      <c r="U333" s="1" t="s">
        <v>197</v>
      </c>
      <c r="V333" s="1" t="s">
        <v>357</v>
      </c>
      <c r="W333" s="1" t="s">
        <v>208</v>
      </c>
      <c r="X333" s="1" t="s">
        <v>206</v>
      </c>
      <c r="Y333" s="1" t="s">
        <v>441</v>
      </c>
      <c r="Z333" s="1" t="s">
        <v>206</v>
      </c>
      <c r="AA333" s="1" t="s">
        <v>206</v>
      </c>
      <c r="AB333" s="1" t="s">
        <v>206</v>
      </c>
      <c r="AC333" s="1" t="s">
        <v>236</v>
      </c>
      <c r="AD333" s="1" t="s">
        <v>497</v>
      </c>
      <c r="AE333" s="1" t="s">
        <v>208</v>
      </c>
      <c r="AF333" s="1" t="s">
        <v>208</v>
      </c>
      <c r="AG333" s="1" t="s">
        <v>497</v>
      </c>
      <c r="AH333" s="1" t="s">
        <v>206</v>
      </c>
      <c r="AI333" s="1" t="s">
        <v>229</v>
      </c>
    </row>
    <row x14ac:dyDescent="0.25" r="334" customHeight="1" ht="17.25">
      <c r="A334" s="1" t="s">
        <v>1491</v>
      </c>
      <c r="B334" s="123" t="s">
        <v>1492</v>
      </c>
      <c r="C334" s="116" t="s">
        <v>109</v>
      </c>
      <c r="D334" s="1" t="s">
        <v>69</v>
      </c>
      <c r="E334" s="116" t="s">
        <v>1493</v>
      </c>
      <c r="F334" s="1" t="s">
        <v>158</v>
      </c>
      <c r="G334" s="1" t="s">
        <v>22</v>
      </c>
      <c r="H334" s="61">
        <v>34734</v>
      </c>
      <c r="I334" s="1" t="s">
        <v>176</v>
      </c>
      <c r="J334" s="1" t="s">
        <v>464</v>
      </c>
      <c r="K334" s="1" t="s">
        <v>1494</v>
      </c>
      <c r="L334" s="119">
        <v>0</v>
      </c>
      <c r="M334" s="117" t="s">
        <v>1495</v>
      </c>
      <c r="N334" s="119">
        <v>0</v>
      </c>
      <c r="O334" s="119">
        <v>0</v>
      </c>
      <c r="P334" s="119">
        <v>0</v>
      </c>
      <c r="Q334" s="119">
        <v>0</v>
      </c>
      <c r="R334" s="1" t="s">
        <v>357</v>
      </c>
      <c r="S334" s="1" t="s">
        <v>206</v>
      </c>
      <c r="T334" s="1" t="s">
        <v>1275</v>
      </c>
      <c r="U334" s="1" t="s">
        <v>197</v>
      </c>
      <c r="V334" s="1" t="s">
        <v>357</v>
      </c>
      <c r="W334" s="1" t="s">
        <v>208</v>
      </c>
      <c r="X334" s="1" t="s">
        <v>206</v>
      </c>
      <c r="Y334" s="1" t="s">
        <v>441</v>
      </c>
      <c r="Z334" s="1" t="s">
        <v>206</v>
      </c>
      <c r="AA334" s="1" t="s">
        <v>206</v>
      </c>
      <c r="AB334" s="1" t="s">
        <v>206</v>
      </c>
      <c r="AC334" s="1" t="s">
        <v>238</v>
      </c>
      <c r="AD334" s="1" t="s">
        <v>441</v>
      </c>
      <c r="AE334" s="1" t="s">
        <v>208</v>
      </c>
      <c r="AF334" s="1" t="s">
        <v>208</v>
      </c>
      <c r="AG334" s="1" t="s">
        <v>441</v>
      </c>
      <c r="AH334" s="1" t="s">
        <v>208</v>
      </c>
      <c r="AI334" s="120" t="s">
        <v>227</v>
      </c>
    </row>
    <row x14ac:dyDescent="0.25" r="335" customHeight="1" ht="17.25">
      <c r="A335" s="1" t="s">
        <v>969</v>
      </c>
      <c r="B335" s="123" t="s">
        <v>709</v>
      </c>
      <c r="C335" s="116" t="s">
        <v>104</v>
      </c>
      <c r="D335" s="1" t="s">
        <v>69</v>
      </c>
      <c r="E335" s="116" t="s">
        <v>970</v>
      </c>
      <c r="F335" s="1" t="s">
        <v>158</v>
      </c>
      <c r="G335" s="1" t="s">
        <v>22</v>
      </c>
      <c r="H335" s="61">
        <v>35026</v>
      </c>
      <c r="I335" s="1" t="s">
        <v>177</v>
      </c>
      <c r="J335" s="1" t="s">
        <v>354</v>
      </c>
      <c r="K335" s="1" t="s">
        <v>971</v>
      </c>
      <c r="L335" s="117" t="s">
        <v>972</v>
      </c>
      <c r="M335" s="117" t="s">
        <v>973</v>
      </c>
      <c r="N335" s="117" t="s">
        <v>974</v>
      </c>
      <c r="O335" s="119">
        <v>0</v>
      </c>
      <c r="P335" s="119">
        <v>0</v>
      </c>
      <c r="Q335" s="119">
        <v>0</v>
      </c>
      <c r="R335" s="1" t="s">
        <v>357</v>
      </c>
      <c r="S335" s="1" t="s">
        <v>206</v>
      </c>
      <c r="T335" s="1" t="s">
        <v>975</v>
      </c>
      <c r="U335" s="1" t="s">
        <v>197</v>
      </c>
      <c r="V335" s="1" t="s">
        <v>357</v>
      </c>
      <c r="W335" s="1" t="s">
        <v>208</v>
      </c>
      <c r="X335" s="1" t="s">
        <v>206</v>
      </c>
      <c r="Y335" s="1" t="s">
        <v>441</v>
      </c>
      <c r="Z335" s="1" t="s">
        <v>206</v>
      </c>
      <c r="AA335" s="1" t="s">
        <v>206</v>
      </c>
      <c r="AB335" s="1" t="s">
        <v>206</v>
      </c>
      <c r="AC335" s="1" t="s">
        <v>236</v>
      </c>
      <c r="AD335" s="1" t="s">
        <v>497</v>
      </c>
      <c r="AE335" s="1" t="s">
        <v>208</v>
      </c>
      <c r="AF335" s="1" t="s">
        <v>208</v>
      </c>
      <c r="AG335" s="1" t="s">
        <v>497</v>
      </c>
      <c r="AH335" s="1" t="s">
        <v>35</v>
      </c>
      <c r="AI335" s="1" t="s">
        <v>208</v>
      </c>
    </row>
    <row x14ac:dyDescent="0.25" r="336" customHeight="1" ht="17.25">
      <c r="A336" s="1" t="s">
        <v>1547</v>
      </c>
      <c r="B336" s="123" t="s">
        <v>1548</v>
      </c>
      <c r="C336" s="116" t="s">
        <v>94</v>
      </c>
      <c r="D336" s="1" t="s">
        <v>69</v>
      </c>
      <c r="E336" s="116" t="s">
        <v>1813</v>
      </c>
      <c r="F336" s="1" t="s">
        <v>158</v>
      </c>
      <c r="G336" s="1" t="s">
        <v>22</v>
      </c>
      <c r="H336" s="61">
        <v>33287</v>
      </c>
      <c r="I336" s="1" t="s">
        <v>175</v>
      </c>
      <c r="J336" s="1" t="s">
        <v>365</v>
      </c>
      <c r="K336" s="1" t="s">
        <v>1550</v>
      </c>
      <c r="L336" s="117" t="s">
        <v>1551</v>
      </c>
      <c r="M336" s="117" t="s">
        <v>1552</v>
      </c>
      <c r="N336" s="117" t="s">
        <v>1553</v>
      </c>
      <c r="O336" s="119">
        <v>0</v>
      </c>
      <c r="P336" s="119">
        <v>0</v>
      </c>
      <c r="Q336" s="119">
        <v>0</v>
      </c>
      <c r="R336" s="1" t="s">
        <v>371</v>
      </c>
      <c r="S336" s="1" t="s">
        <v>206</v>
      </c>
      <c r="T336" s="1" t="s">
        <v>1554</v>
      </c>
      <c r="U336" s="1" t="s">
        <v>198</v>
      </c>
      <c r="V336" s="1" t="s">
        <v>357</v>
      </c>
      <c r="W336" s="1" t="s">
        <v>208</v>
      </c>
      <c r="X336" s="1" t="s">
        <v>206</v>
      </c>
      <c r="Y336" s="1" t="s">
        <v>441</v>
      </c>
      <c r="Z336" s="1" t="s">
        <v>207</v>
      </c>
      <c r="AA336" s="1" t="s">
        <v>206</v>
      </c>
      <c r="AB336" s="1" t="s">
        <v>206</v>
      </c>
      <c r="AC336" s="1" t="s">
        <v>238</v>
      </c>
      <c r="AD336" s="1" t="s">
        <v>492</v>
      </c>
      <c r="AE336" s="1" t="s">
        <v>208</v>
      </c>
      <c r="AF336" s="1" t="s">
        <v>208</v>
      </c>
      <c r="AG336" s="1" t="s">
        <v>492</v>
      </c>
      <c r="AH336" s="1" t="s">
        <v>208</v>
      </c>
      <c r="AI336" s="120" t="s">
        <v>227</v>
      </c>
    </row>
    <row x14ac:dyDescent="0.25" r="337" customHeight="1" ht="17.25">
      <c r="A337" s="1" t="s">
        <v>1547</v>
      </c>
      <c r="B337" s="123" t="s">
        <v>1548</v>
      </c>
      <c r="C337" s="116" t="s">
        <v>94</v>
      </c>
      <c r="D337" s="1" t="s">
        <v>69</v>
      </c>
      <c r="E337" s="116" t="s">
        <v>1549</v>
      </c>
      <c r="F337" s="1" t="s">
        <v>158</v>
      </c>
      <c r="G337" s="1" t="s">
        <v>22</v>
      </c>
      <c r="H337" s="61">
        <v>35096</v>
      </c>
      <c r="I337" s="1" t="s">
        <v>177</v>
      </c>
      <c r="J337" s="1" t="s">
        <v>365</v>
      </c>
      <c r="K337" s="1" t="s">
        <v>1550</v>
      </c>
      <c r="L337" s="117" t="s">
        <v>1551</v>
      </c>
      <c r="M337" s="117" t="s">
        <v>1552</v>
      </c>
      <c r="N337" s="117" t="s">
        <v>1553</v>
      </c>
      <c r="O337" s="119">
        <v>0</v>
      </c>
      <c r="P337" s="119">
        <v>0</v>
      </c>
      <c r="Q337" s="119">
        <v>0</v>
      </c>
      <c r="R337" s="1" t="s">
        <v>371</v>
      </c>
      <c r="S337" s="120" t="s">
        <v>674</v>
      </c>
      <c r="T337" s="1" t="s">
        <v>1554</v>
      </c>
      <c r="U337" s="1" t="s">
        <v>198</v>
      </c>
      <c r="V337" s="1" t="s">
        <v>357</v>
      </c>
      <c r="W337" s="1" t="s">
        <v>206</v>
      </c>
      <c r="X337" s="1" t="s">
        <v>206</v>
      </c>
      <c r="Y337" s="1" t="s">
        <v>441</v>
      </c>
      <c r="Z337" s="1" t="s">
        <v>206</v>
      </c>
      <c r="AA337" s="1" t="s">
        <v>206</v>
      </c>
      <c r="AB337" s="1" t="s">
        <v>206</v>
      </c>
      <c r="AC337" s="1" t="s">
        <v>206</v>
      </c>
      <c r="AD337" s="1" t="s">
        <v>441</v>
      </c>
      <c r="AE337" s="1" t="s">
        <v>208</v>
      </c>
      <c r="AF337" s="1" t="s">
        <v>208</v>
      </c>
      <c r="AG337" s="1" t="s">
        <v>441</v>
      </c>
      <c r="AH337" s="1" t="s">
        <v>208</v>
      </c>
      <c r="AI337" s="120" t="s">
        <v>227</v>
      </c>
    </row>
    <row x14ac:dyDescent="0.25" r="338" customHeight="1" ht="17.25">
      <c r="A338" s="1" t="s">
        <v>947</v>
      </c>
      <c r="B338" s="123" t="s">
        <v>948</v>
      </c>
      <c r="C338" s="116" t="s">
        <v>104</v>
      </c>
      <c r="D338" s="1" t="s">
        <v>69</v>
      </c>
      <c r="E338" s="116" t="s">
        <v>949</v>
      </c>
      <c r="F338" s="1" t="s">
        <v>158</v>
      </c>
      <c r="G338" s="1" t="s">
        <v>22</v>
      </c>
      <c r="H338" s="61">
        <v>34570</v>
      </c>
      <c r="I338" s="1" t="s">
        <v>175</v>
      </c>
      <c r="J338" s="1" t="s">
        <v>365</v>
      </c>
      <c r="K338" s="1" t="s">
        <v>547</v>
      </c>
      <c r="L338" s="117" t="s">
        <v>950</v>
      </c>
      <c r="M338" s="117" t="s">
        <v>951</v>
      </c>
      <c r="N338" s="117" t="s">
        <v>952</v>
      </c>
      <c r="O338" s="119">
        <v>0</v>
      </c>
      <c r="P338" s="119">
        <v>0</v>
      </c>
      <c r="Q338" s="119">
        <v>0</v>
      </c>
      <c r="R338" s="1" t="s">
        <v>357</v>
      </c>
      <c r="S338" s="1" t="s">
        <v>206</v>
      </c>
      <c r="T338" s="1" t="s">
        <v>953</v>
      </c>
      <c r="U338" s="1" t="s">
        <v>197</v>
      </c>
      <c r="V338" s="1" t="s">
        <v>357</v>
      </c>
      <c r="W338" s="1" t="s">
        <v>208</v>
      </c>
      <c r="X338" s="1" t="s">
        <v>206</v>
      </c>
      <c r="Y338" s="1" t="s">
        <v>441</v>
      </c>
      <c r="Z338" s="1" t="s">
        <v>206</v>
      </c>
      <c r="AA338" s="1" t="s">
        <v>206</v>
      </c>
      <c r="AB338" s="1" t="s">
        <v>206</v>
      </c>
      <c r="AC338" s="1" t="s">
        <v>236</v>
      </c>
      <c r="AD338" s="1" t="s">
        <v>497</v>
      </c>
      <c r="AE338" s="1" t="s">
        <v>208</v>
      </c>
      <c r="AF338" s="1" t="s">
        <v>208</v>
      </c>
      <c r="AG338" s="1" t="s">
        <v>497</v>
      </c>
      <c r="AH338" s="1" t="s">
        <v>35</v>
      </c>
      <c r="AI338" s="1" t="s">
        <v>208</v>
      </c>
    </row>
    <row x14ac:dyDescent="0.25" r="339" customHeight="1" ht="17.25">
      <c r="A339" s="1" t="s">
        <v>860</v>
      </c>
      <c r="B339" s="123" t="s">
        <v>861</v>
      </c>
      <c r="C339" s="116" t="s">
        <v>104</v>
      </c>
      <c r="D339" s="1" t="s">
        <v>69</v>
      </c>
      <c r="E339" s="116" t="s">
        <v>862</v>
      </c>
      <c r="F339" s="1" t="s">
        <v>158</v>
      </c>
      <c r="G339" s="1" t="s">
        <v>22</v>
      </c>
      <c r="H339" s="61">
        <v>31841</v>
      </c>
      <c r="I339" s="1" t="s">
        <v>176</v>
      </c>
      <c r="J339" s="1" t="s">
        <v>365</v>
      </c>
      <c r="K339" s="1" t="s">
        <v>863</v>
      </c>
      <c r="L339" s="117" t="s">
        <v>864</v>
      </c>
      <c r="M339" s="117" t="s">
        <v>865</v>
      </c>
      <c r="N339" s="117" t="s">
        <v>866</v>
      </c>
      <c r="O339" s="119">
        <v>0</v>
      </c>
      <c r="P339" s="119">
        <v>0</v>
      </c>
      <c r="Q339" s="119">
        <v>0</v>
      </c>
      <c r="R339" s="1" t="s">
        <v>357</v>
      </c>
      <c r="S339" s="1" t="s">
        <v>206</v>
      </c>
      <c r="T339" s="1" t="s">
        <v>867</v>
      </c>
      <c r="U339" s="1" t="s">
        <v>197</v>
      </c>
      <c r="V339" s="1" t="s">
        <v>357</v>
      </c>
      <c r="W339" s="1" t="s">
        <v>208</v>
      </c>
      <c r="X339" s="1" t="s">
        <v>206</v>
      </c>
      <c r="Y339" s="1" t="s">
        <v>441</v>
      </c>
      <c r="Z339" s="1" t="s">
        <v>206</v>
      </c>
      <c r="AA339" s="1" t="s">
        <v>206</v>
      </c>
      <c r="AB339" s="1" t="s">
        <v>206</v>
      </c>
      <c r="AC339" s="1" t="s">
        <v>236</v>
      </c>
      <c r="AD339" s="1" t="s">
        <v>497</v>
      </c>
      <c r="AE339" s="1" t="s">
        <v>208</v>
      </c>
      <c r="AF339" s="1" t="s">
        <v>208</v>
      </c>
      <c r="AG339" s="1" t="s">
        <v>497</v>
      </c>
      <c r="AH339" s="1" t="s">
        <v>35</v>
      </c>
      <c r="AI339" s="1" t="s">
        <v>208</v>
      </c>
    </row>
    <row x14ac:dyDescent="0.25" r="340" customHeight="1" ht="17.25">
      <c r="A340" s="1" t="s">
        <v>586</v>
      </c>
      <c r="B340" s="123" t="s">
        <v>449</v>
      </c>
      <c r="C340" s="116" t="s">
        <v>109</v>
      </c>
      <c r="D340" s="1" t="s">
        <v>69</v>
      </c>
      <c r="E340" s="116" t="s">
        <v>587</v>
      </c>
      <c r="F340" s="1" t="s">
        <v>158</v>
      </c>
      <c r="G340" s="1" t="s">
        <v>22</v>
      </c>
      <c r="H340" s="61">
        <v>34902</v>
      </c>
      <c r="I340" s="1" t="s">
        <v>176</v>
      </c>
      <c r="J340" s="1" t="s">
        <v>464</v>
      </c>
      <c r="K340" s="1" t="s">
        <v>507</v>
      </c>
      <c r="L340" s="119">
        <v>0</v>
      </c>
      <c r="M340" s="117" t="s">
        <v>588</v>
      </c>
      <c r="N340" s="119">
        <v>0</v>
      </c>
      <c r="O340" s="119">
        <v>0</v>
      </c>
      <c r="P340" s="119">
        <v>0</v>
      </c>
      <c r="Q340" s="119">
        <v>0</v>
      </c>
      <c r="R340" s="1" t="s">
        <v>357</v>
      </c>
      <c r="S340" s="1" t="s">
        <v>206</v>
      </c>
      <c r="T340" s="1" t="s">
        <v>447</v>
      </c>
      <c r="U340" s="1" t="s">
        <v>197</v>
      </c>
      <c r="V340" s="1" t="s">
        <v>357</v>
      </c>
      <c r="W340" s="1" t="s">
        <v>208</v>
      </c>
      <c r="X340" s="1" t="s">
        <v>206</v>
      </c>
      <c r="Y340" s="1" t="s">
        <v>441</v>
      </c>
      <c r="Z340" s="1" t="s">
        <v>206</v>
      </c>
      <c r="AA340" s="1" t="s">
        <v>206</v>
      </c>
      <c r="AB340" s="1" t="s">
        <v>206</v>
      </c>
      <c r="AC340" s="1" t="s">
        <v>236</v>
      </c>
      <c r="AD340" s="1" t="s">
        <v>497</v>
      </c>
      <c r="AE340" s="1" t="s">
        <v>208</v>
      </c>
      <c r="AF340" s="1" t="s">
        <v>208</v>
      </c>
      <c r="AG340" s="1" t="s">
        <v>497</v>
      </c>
      <c r="AH340" s="1" t="s">
        <v>35</v>
      </c>
      <c r="AI340" s="1" t="s">
        <v>208</v>
      </c>
    </row>
    <row x14ac:dyDescent="0.25" r="341" customHeight="1" ht="17.25">
      <c r="A341" s="1" t="s">
        <v>639</v>
      </c>
      <c r="B341" s="123" t="s">
        <v>640</v>
      </c>
      <c r="C341" s="116" t="s">
        <v>104</v>
      </c>
      <c r="D341" s="1" t="s">
        <v>69</v>
      </c>
      <c r="E341" s="116" t="s">
        <v>641</v>
      </c>
      <c r="F341" s="1" t="s">
        <v>158</v>
      </c>
      <c r="G341" s="1" t="s">
        <v>22</v>
      </c>
      <c r="H341" s="61">
        <v>32392</v>
      </c>
      <c r="I341" s="1" t="s">
        <v>175</v>
      </c>
      <c r="J341" s="1" t="s">
        <v>354</v>
      </c>
      <c r="K341" s="1" t="s">
        <v>642</v>
      </c>
      <c r="L341" s="117" t="s">
        <v>643</v>
      </c>
      <c r="M341" s="117" t="s">
        <v>644</v>
      </c>
      <c r="N341" s="119">
        <v>0</v>
      </c>
      <c r="O341" s="119">
        <v>0</v>
      </c>
      <c r="P341" s="119">
        <v>0</v>
      </c>
      <c r="Q341" s="119">
        <v>0</v>
      </c>
      <c r="R341" s="1" t="s">
        <v>357</v>
      </c>
      <c r="S341" s="1" t="s">
        <v>206</v>
      </c>
      <c r="T341" s="1" t="s">
        <v>645</v>
      </c>
      <c r="U341" s="1" t="s">
        <v>197</v>
      </c>
      <c r="V341" s="1" t="s">
        <v>357</v>
      </c>
      <c r="W341" s="1" t="s">
        <v>208</v>
      </c>
      <c r="X341" s="1" t="s">
        <v>206</v>
      </c>
      <c r="Y341" s="1" t="s">
        <v>441</v>
      </c>
      <c r="Z341" s="1" t="s">
        <v>206</v>
      </c>
      <c r="AA341" s="1" t="s">
        <v>206</v>
      </c>
      <c r="AB341" s="1" t="s">
        <v>206</v>
      </c>
      <c r="AC341" s="1" t="s">
        <v>236</v>
      </c>
      <c r="AD341" s="1" t="s">
        <v>497</v>
      </c>
      <c r="AE341" s="1" t="s">
        <v>208</v>
      </c>
      <c r="AF341" s="1" t="s">
        <v>208</v>
      </c>
      <c r="AG341" s="1" t="s">
        <v>497</v>
      </c>
      <c r="AH341" s="1" t="s">
        <v>35</v>
      </c>
      <c r="AI341" s="1" t="s">
        <v>208</v>
      </c>
    </row>
    <row x14ac:dyDescent="0.25" r="342" customHeight="1" ht="17.25">
      <c r="A342" s="1" t="s">
        <v>1520</v>
      </c>
      <c r="B342" s="123" t="s">
        <v>721</v>
      </c>
      <c r="C342" s="116" t="s">
        <v>94</v>
      </c>
      <c r="D342" s="1" t="s">
        <v>69</v>
      </c>
      <c r="E342" s="116" t="s">
        <v>1521</v>
      </c>
      <c r="F342" s="1" t="s">
        <v>158</v>
      </c>
      <c r="G342" s="1" t="s">
        <v>22</v>
      </c>
      <c r="H342" s="61">
        <v>35681</v>
      </c>
      <c r="I342" s="1" t="s">
        <v>175</v>
      </c>
      <c r="J342" s="1" t="s">
        <v>365</v>
      </c>
      <c r="K342" s="1" t="s">
        <v>1522</v>
      </c>
      <c r="L342" s="117" t="s">
        <v>1523</v>
      </c>
      <c r="M342" s="117" t="s">
        <v>1524</v>
      </c>
      <c r="N342" s="117" t="s">
        <v>813</v>
      </c>
      <c r="O342" s="119">
        <v>0</v>
      </c>
      <c r="P342" s="119">
        <v>0</v>
      </c>
      <c r="Q342" s="119">
        <v>0</v>
      </c>
      <c r="R342" s="1" t="s">
        <v>357</v>
      </c>
      <c r="S342" s="1" t="s">
        <v>206</v>
      </c>
      <c r="T342" s="1" t="s">
        <v>520</v>
      </c>
      <c r="U342" s="1" t="s">
        <v>197</v>
      </c>
      <c r="V342" s="1" t="s">
        <v>357</v>
      </c>
      <c r="W342" s="1" t="s">
        <v>208</v>
      </c>
      <c r="X342" s="1" t="s">
        <v>206</v>
      </c>
      <c r="Y342" s="1" t="s">
        <v>441</v>
      </c>
      <c r="Z342" s="1" t="s">
        <v>206</v>
      </c>
      <c r="AA342" s="1" t="s">
        <v>206</v>
      </c>
      <c r="AB342" s="1" t="s">
        <v>206</v>
      </c>
      <c r="AC342" s="1" t="s">
        <v>206</v>
      </c>
      <c r="AD342" s="1" t="s">
        <v>441</v>
      </c>
      <c r="AE342" s="1" t="s">
        <v>208</v>
      </c>
      <c r="AF342" s="1" t="s">
        <v>208</v>
      </c>
      <c r="AG342" s="1" t="s">
        <v>441</v>
      </c>
      <c r="AH342" s="1" t="s">
        <v>208</v>
      </c>
      <c r="AI342" s="120" t="s">
        <v>227</v>
      </c>
    </row>
    <row x14ac:dyDescent="0.25" r="343" customHeight="1" ht="17.25">
      <c r="A343" s="1" t="s">
        <v>2203</v>
      </c>
      <c r="B343" s="123" t="s">
        <v>948</v>
      </c>
      <c r="C343" s="116" t="s">
        <v>94</v>
      </c>
      <c r="D343" s="1" t="s">
        <v>69</v>
      </c>
      <c r="E343" s="116" t="s">
        <v>2215</v>
      </c>
      <c r="F343" s="1" t="s">
        <v>159</v>
      </c>
      <c r="G343" s="1" t="s">
        <v>22</v>
      </c>
      <c r="H343" s="61">
        <v>32915</v>
      </c>
      <c r="I343" s="1" t="s">
        <v>176</v>
      </c>
      <c r="J343" s="1" t="s">
        <v>464</v>
      </c>
      <c r="K343" s="1" t="s">
        <v>2205</v>
      </c>
      <c r="L343" s="119">
        <v>0</v>
      </c>
      <c r="M343" s="117" t="s">
        <v>2206</v>
      </c>
      <c r="N343" s="119">
        <v>0</v>
      </c>
      <c r="O343" s="117" t="s">
        <v>2207</v>
      </c>
      <c r="P343" s="117" t="s">
        <v>2208</v>
      </c>
      <c r="Q343" s="117" t="s">
        <v>2209</v>
      </c>
      <c r="R343" s="1" t="s">
        <v>2210</v>
      </c>
      <c r="S343" s="1" t="s">
        <v>2211</v>
      </c>
      <c r="T343" s="1" t="s">
        <v>405</v>
      </c>
      <c r="U343" s="1" t="s">
        <v>198</v>
      </c>
      <c r="V343" s="1" t="s">
        <v>2210</v>
      </c>
      <c r="W343" s="1" t="s">
        <v>2212</v>
      </c>
      <c r="X343" s="1" t="s">
        <v>1645</v>
      </c>
      <c r="Y343" s="1" t="s">
        <v>2188</v>
      </c>
      <c r="Z343" s="1" t="s">
        <v>206</v>
      </c>
      <c r="AA343" s="1" t="s">
        <v>206</v>
      </c>
      <c r="AB343" s="1" t="s">
        <v>206</v>
      </c>
      <c r="AC343" s="1" t="s">
        <v>206</v>
      </c>
      <c r="AD343" s="1" t="s">
        <v>2188</v>
      </c>
      <c r="AE343" s="1" t="s">
        <v>386</v>
      </c>
      <c r="AF343" s="1" t="s">
        <v>2213</v>
      </c>
      <c r="AG343" s="1" t="s">
        <v>2214</v>
      </c>
      <c r="AH343" s="1" t="s">
        <v>208</v>
      </c>
      <c r="AI343" s="120" t="s">
        <v>227</v>
      </c>
    </row>
    <row x14ac:dyDescent="0.25" r="344" customHeight="1" ht="17.25">
      <c r="A344" s="1" t="s">
        <v>2203</v>
      </c>
      <c r="B344" s="123" t="s">
        <v>948</v>
      </c>
      <c r="C344" s="116" t="s">
        <v>94</v>
      </c>
      <c r="D344" s="1" t="s">
        <v>69</v>
      </c>
      <c r="E344" s="116" t="s">
        <v>2216</v>
      </c>
      <c r="F344" s="1" t="s">
        <v>159</v>
      </c>
      <c r="G344" s="1" t="s">
        <v>22</v>
      </c>
      <c r="H344" s="61">
        <v>34566</v>
      </c>
      <c r="I344" s="1" t="s">
        <v>176</v>
      </c>
      <c r="J344" s="1" t="s">
        <v>464</v>
      </c>
      <c r="K344" s="1" t="s">
        <v>2205</v>
      </c>
      <c r="L344" s="119">
        <v>0</v>
      </c>
      <c r="M344" s="117" t="s">
        <v>2206</v>
      </c>
      <c r="N344" s="119">
        <v>0</v>
      </c>
      <c r="O344" s="117" t="s">
        <v>2207</v>
      </c>
      <c r="P344" s="117" t="s">
        <v>2208</v>
      </c>
      <c r="Q344" s="117" t="s">
        <v>2209</v>
      </c>
      <c r="R344" s="1" t="s">
        <v>2210</v>
      </c>
      <c r="S344" s="1" t="s">
        <v>2211</v>
      </c>
      <c r="T344" s="1" t="s">
        <v>2217</v>
      </c>
      <c r="U344" s="1" t="s">
        <v>198</v>
      </c>
      <c r="V344" s="1" t="s">
        <v>2210</v>
      </c>
      <c r="W344" s="1" t="s">
        <v>2212</v>
      </c>
      <c r="X344" s="1" t="s">
        <v>1645</v>
      </c>
      <c r="Y344" s="1" t="s">
        <v>2188</v>
      </c>
      <c r="Z344" s="1" t="s">
        <v>206</v>
      </c>
      <c r="AA344" s="1" t="s">
        <v>206</v>
      </c>
      <c r="AB344" s="1" t="s">
        <v>206</v>
      </c>
      <c r="AC344" s="1" t="s">
        <v>206</v>
      </c>
      <c r="AD344" s="1" t="s">
        <v>2188</v>
      </c>
      <c r="AE344" s="1" t="s">
        <v>386</v>
      </c>
      <c r="AF344" s="1" t="s">
        <v>2213</v>
      </c>
      <c r="AG344" s="1" t="s">
        <v>2214</v>
      </c>
      <c r="AH344" s="1" t="s">
        <v>208</v>
      </c>
      <c r="AI344" s="120" t="s">
        <v>227</v>
      </c>
    </row>
    <row x14ac:dyDescent="0.25" r="345" customHeight="1" ht="17.25">
      <c r="A345" s="124" t="s">
        <v>2203</v>
      </c>
      <c r="B345" s="123" t="s">
        <v>948</v>
      </c>
      <c r="C345" s="116" t="s">
        <v>94</v>
      </c>
      <c r="D345" s="1" t="s">
        <v>69</v>
      </c>
      <c r="E345" s="116" t="s">
        <v>2204</v>
      </c>
      <c r="F345" s="1" t="s">
        <v>159</v>
      </c>
      <c r="G345" s="1" t="s">
        <v>170</v>
      </c>
      <c r="H345" s="61">
        <v>34451</v>
      </c>
      <c r="I345" s="1" t="s">
        <v>176</v>
      </c>
      <c r="J345" s="1" t="s">
        <v>464</v>
      </c>
      <c r="K345" s="1" t="s">
        <v>2205</v>
      </c>
      <c r="L345" s="119">
        <v>0</v>
      </c>
      <c r="M345" s="117" t="s">
        <v>2206</v>
      </c>
      <c r="N345" s="119">
        <v>0</v>
      </c>
      <c r="O345" s="117" t="s">
        <v>2207</v>
      </c>
      <c r="P345" s="117" t="s">
        <v>2208</v>
      </c>
      <c r="Q345" s="117" t="s">
        <v>2209</v>
      </c>
      <c r="R345" s="1" t="s">
        <v>2210</v>
      </c>
      <c r="S345" s="1" t="s">
        <v>2211</v>
      </c>
      <c r="T345" s="1" t="s">
        <v>405</v>
      </c>
      <c r="U345" s="1" t="s">
        <v>198</v>
      </c>
      <c r="V345" s="1" t="s">
        <v>2210</v>
      </c>
      <c r="W345" s="1" t="s">
        <v>2212</v>
      </c>
      <c r="X345" s="1" t="s">
        <v>1645</v>
      </c>
      <c r="Y345" s="1" t="s">
        <v>2188</v>
      </c>
      <c r="Z345" s="1" t="s">
        <v>206</v>
      </c>
      <c r="AA345" s="1" t="s">
        <v>206</v>
      </c>
      <c r="AB345" s="1" t="s">
        <v>206</v>
      </c>
      <c r="AC345" s="1" t="s">
        <v>206</v>
      </c>
      <c r="AD345" s="1" t="s">
        <v>2188</v>
      </c>
      <c r="AE345" s="1" t="s">
        <v>386</v>
      </c>
      <c r="AF345" s="1" t="s">
        <v>2213</v>
      </c>
      <c r="AG345" s="1" t="s">
        <v>2214</v>
      </c>
      <c r="AH345" s="1" t="s">
        <v>208</v>
      </c>
      <c r="AI345" s="120" t="s">
        <v>227</v>
      </c>
    </row>
    <row x14ac:dyDescent="0.25" r="346" customHeight="1" ht="17.25">
      <c r="A346" s="1" t="s">
        <v>678</v>
      </c>
      <c r="B346" s="123" t="s">
        <v>679</v>
      </c>
      <c r="C346" s="116" t="s">
        <v>151</v>
      </c>
      <c r="D346" s="1" t="s">
        <v>69</v>
      </c>
      <c r="E346" s="116" t="s">
        <v>680</v>
      </c>
      <c r="F346" s="1" t="s">
        <v>159</v>
      </c>
      <c r="G346" s="1" t="s">
        <v>22</v>
      </c>
      <c r="H346" s="61">
        <v>35398</v>
      </c>
      <c r="I346" s="1" t="s">
        <v>177</v>
      </c>
      <c r="J346" s="1" t="s">
        <v>365</v>
      </c>
      <c r="K346" s="1" t="s">
        <v>681</v>
      </c>
      <c r="L346" s="117" t="s">
        <v>682</v>
      </c>
      <c r="M346" s="117" t="s">
        <v>683</v>
      </c>
      <c r="N346" s="119">
        <v>0</v>
      </c>
      <c r="O346" s="119">
        <v>0</v>
      </c>
      <c r="P346" s="119">
        <v>0</v>
      </c>
      <c r="Q346" s="119">
        <v>0</v>
      </c>
      <c r="R346" s="1" t="s">
        <v>357</v>
      </c>
      <c r="S346" s="1" t="s">
        <v>206</v>
      </c>
      <c r="T346" s="1" t="s">
        <v>684</v>
      </c>
      <c r="U346" s="1" t="s">
        <v>197</v>
      </c>
      <c r="V346" s="1" t="s">
        <v>357</v>
      </c>
      <c r="W346" s="1" t="s">
        <v>208</v>
      </c>
      <c r="X346" s="1" t="s">
        <v>206</v>
      </c>
      <c r="Y346" s="1" t="s">
        <v>441</v>
      </c>
      <c r="Z346" s="1" t="s">
        <v>206</v>
      </c>
      <c r="AA346" s="1" t="s">
        <v>206</v>
      </c>
      <c r="AB346" s="1" t="s">
        <v>206</v>
      </c>
      <c r="AC346" s="1" t="s">
        <v>236</v>
      </c>
      <c r="AD346" s="1" t="s">
        <v>497</v>
      </c>
      <c r="AE346" s="1" t="s">
        <v>208</v>
      </c>
      <c r="AF346" s="1" t="s">
        <v>208</v>
      </c>
      <c r="AG346" s="1" t="s">
        <v>497</v>
      </c>
      <c r="AH346" s="1" t="s">
        <v>35</v>
      </c>
      <c r="AI346" s="1" t="s">
        <v>208</v>
      </c>
    </row>
    <row x14ac:dyDescent="0.25" r="347" customHeight="1" ht="17.25">
      <c r="A347" s="1" t="s">
        <v>1291</v>
      </c>
      <c r="B347" s="123" t="s">
        <v>1292</v>
      </c>
      <c r="C347" s="116" t="s">
        <v>146</v>
      </c>
      <c r="D347" s="1" t="s">
        <v>69</v>
      </c>
      <c r="E347" s="116" t="s">
        <v>1293</v>
      </c>
      <c r="F347" s="1" t="s">
        <v>159</v>
      </c>
      <c r="G347" s="1" t="s">
        <v>22</v>
      </c>
      <c r="H347" s="61">
        <v>30932</v>
      </c>
      <c r="I347" s="1" t="s">
        <v>176</v>
      </c>
      <c r="J347" s="1" t="s">
        <v>365</v>
      </c>
      <c r="K347" s="1" t="s">
        <v>1294</v>
      </c>
      <c r="L347" s="117" t="s">
        <v>1295</v>
      </c>
      <c r="M347" s="119">
        <v>0</v>
      </c>
      <c r="N347" s="119">
        <v>0</v>
      </c>
      <c r="O347" s="119">
        <v>0</v>
      </c>
      <c r="P347" s="119">
        <v>0</v>
      </c>
      <c r="Q347" s="119">
        <v>0</v>
      </c>
      <c r="R347" s="1" t="s">
        <v>357</v>
      </c>
      <c r="S347" s="1" t="s">
        <v>206</v>
      </c>
      <c r="T347" s="1" t="s">
        <v>1296</v>
      </c>
      <c r="U347" s="1" t="s">
        <v>197</v>
      </c>
      <c r="V347" s="1" t="s">
        <v>357</v>
      </c>
      <c r="W347" s="1" t="s">
        <v>208</v>
      </c>
      <c r="X347" s="1" t="s">
        <v>206</v>
      </c>
      <c r="Y347" s="1" t="s">
        <v>441</v>
      </c>
      <c r="Z347" s="1" t="s">
        <v>206</v>
      </c>
      <c r="AA347" s="1" t="s">
        <v>206</v>
      </c>
      <c r="AB347" s="1" t="s">
        <v>206</v>
      </c>
      <c r="AC347" s="1" t="s">
        <v>237</v>
      </c>
      <c r="AD347" s="1" t="s">
        <v>1297</v>
      </c>
      <c r="AE347" s="1" t="s">
        <v>208</v>
      </c>
      <c r="AF347" s="1" t="s">
        <v>208</v>
      </c>
      <c r="AG347" s="1" t="s">
        <v>1297</v>
      </c>
      <c r="AH347" s="1" t="s">
        <v>208</v>
      </c>
      <c r="AI347" s="1" t="s">
        <v>228</v>
      </c>
    </row>
    <row x14ac:dyDescent="0.25" r="348" customHeight="1" ht="17.25">
      <c r="A348" s="1" t="s">
        <v>470</v>
      </c>
      <c r="B348" s="123" t="s">
        <v>363</v>
      </c>
      <c r="C348" s="116" t="s">
        <v>133</v>
      </c>
      <c r="D348" s="1" t="s">
        <v>69</v>
      </c>
      <c r="E348" s="116" t="s">
        <v>471</v>
      </c>
      <c r="F348" s="1" t="s">
        <v>158</v>
      </c>
      <c r="G348" s="1" t="s">
        <v>22</v>
      </c>
      <c r="H348" s="61">
        <v>35816</v>
      </c>
      <c r="I348" s="1" t="s">
        <v>176</v>
      </c>
      <c r="J348" s="1" t="s">
        <v>178</v>
      </c>
      <c r="K348" s="1" t="s">
        <v>472</v>
      </c>
      <c r="L348" s="117" t="s">
        <v>473</v>
      </c>
      <c r="M348" s="117" t="s">
        <v>474</v>
      </c>
      <c r="N348" s="117" t="s">
        <v>475</v>
      </c>
      <c r="O348" s="119">
        <v>0</v>
      </c>
      <c r="P348" s="119">
        <v>0</v>
      </c>
      <c r="Q348" s="119">
        <v>0</v>
      </c>
      <c r="R348" s="1" t="s">
        <v>357</v>
      </c>
      <c r="S348" s="1" t="s">
        <v>372</v>
      </c>
      <c r="T348" s="1" t="s">
        <v>476</v>
      </c>
      <c r="U348" s="1" t="s">
        <v>198</v>
      </c>
      <c r="V348" s="1" t="s">
        <v>357</v>
      </c>
      <c r="W348" s="1" t="s">
        <v>206</v>
      </c>
      <c r="X348" s="1" t="s">
        <v>206</v>
      </c>
      <c r="Y348" s="1" t="s">
        <v>441</v>
      </c>
      <c r="Z348" s="1" t="s">
        <v>206</v>
      </c>
      <c r="AA348" s="1" t="s">
        <v>206</v>
      </c>
      <c r="AB348" s="1" t="s">
        <v>30</v>
      </c>
      <c r="AC348" s="1" t="s">
        <v>236</v>
      </c>
      <c r="AD348" s="1" t="s">
        <v>433</v>
      </c>
      <c r="AE348" s="1" t="s">
        <v>208</v>
      </c>
      <c r="AF348" s="1" t="s">
        <v>208</v>
      </c>
      <c r="AG348" s="1" t="s">
        <v>433</v>
      </c>
      <c r="AH348" s="1" t="s">
        <v>35</v>
      </c>
      <c r="AI348" s="1" t="s">
        <v>208</v>
      </c>
    </row>
    <row x14ac:dyDescent="0.25" r="349" customHeight="1" ht="17.25">
      <c r="A349" s="1" t="s">
        <v>1048</v>
      </c>
      <c r="B349" s="123" t="s">
        <v>1049</v>
      </c>
      <c r="C349" s="116" t="s">
        <v>104</v>
      </c>
      <c r="D349" s="1" t="s">
        <v>69</v>
      </c>
      <c r="E349" s="116" t="s">
        <v>1109</v>
      </c>
      <c r="F349" s="1" t="s">
        <v>158</v>
      </c>
      <c r="G349" s="1" t="s">
        <v>22</v>
      </c>
      <c r="H349" s="61">
        <v>30750</v>
      </c>
      <c r="I349" s="1" t="s">
        <v>176</v>
      </c>
      <c r="J349" s="1" t="s">
        <v>365</v>
      </c>
      <c r="K349" s="1" t="s">
        <v>1110</v>
      </c>
      <c r="L349" s="119">
        <v>0</v>
      </c>
      <c r="M349" s="117" t="s">
        <v>1111</v>
      </c>
      <c r="N349" s="117" t="s">
        <v>1112</v>
      </c>
      <c r="O349" s="119">
        <v>0</v>
      </c>
      <c r="P349" s="119">
        <v>0</v>
      </c>
      <c r="Q349" s="119">
        <v>0</v>
      </c>
      <c r="R349" s="1" t="s">
        <v>371</v>
      </c>
      <c r="S349" s="1" t="s">
        <v>206</v>
      </c>
      <c r="T349" s="1" t="s">
        <v>1051</v>
      </c>
      <c r="U349" s="1" t="s">
        <v>198</v>
      </c>
      <c r="V349" s="1" t="s">
        <v>357</v>
      </c>
      <c r="W349" s="1" t="s">
        <v>208</v>
      </c>
      <c r="X349" s="1" t="s">
        <v>206</v>
      </c>
      <c r="Y349" s="1" t="s">
        <v>441</v>
      </c>
      <c r="Z349" s="1" t="s">
        <v>206</v>
      </c>
      <c r="AA349" s="1" t="s">
        <v>206</v>
      </c>
      <c r="AB349" s="1" t="s">
        <v>206</v>
      </c>
      <c r="AC349" s="1" t="s">
        <v>237</v>
      </c>
      <c r="AD349" s="1" t="s">
        <v>1052</v>
      </c>
      <c r="AE349" s="1" t="s">
        <v>208</v>
      </c>
      <c r="AF349" s="1" t="s">
        <v>208</v>
      </c>
      <c r="AG349" s="1" t="s">
        <v>1052</v>
      </c>
      <c r="AH349" s="1" t="s">
        <v>35</v>
      </c>
      <c r="AI349" s="1" t="s">
        <v>208</v>
      </c>
    </row>
    <row x14ac:dyDescent="0.25" r="350" customHeight="1" ht="17.25">
      <c r="A350" s="1" t="s">
        <v>1048</v>
      </c>
      <c r="B350" s="123" t="s">
        <v>1049</v>
      </c>
      <c r="C350" s="116" t="s">
        <v>104</v>
      </c>
      <c r="D350" s="1" t="s">
        <v>69</v>
      </c>
      <c r="E350" s="116" t="s">
        <v>1050</v>
      </c>
      <c r="F350" s="1" t="s">
        <v>158</v>
      </c>
      <c r="G350" s="1" t="s">
        <v>22</v>
      </c>
      <c r="H350" s="61">
        <v>24334</v>
      </c>
      <c r="I350" s="1" t="s">
        <v>175</v>
      </c>
      <c r="J350" s="1" t="s">
        <v>365</v>
      </c>
      <c r="K350" s="1" t="s">
        <v>366</v>
      </c>
      <c r="L350" s="119">
        <v>0</v>
      </c>
      <c r="M350" s="119">
        <v>0</v>
      </c>
      <c r="N350" s="119">
        <v>0</v>
      </c>
      <c r="O350" s="119">
        <v>0</v>
      </c>
      <c r="P350" s="119">
        <v>0</v>
      </c>
      <c r="Q350" s="119">
        <v>0</v>
      </c>
      <c r="R350" s="1" t="s">
        <v>371</v>
      </c>
      <c r="S350" s="1" t="s">
        <v>206</v>
      </c>
      <c r="T350" s="1" t="s">
        <v>1051</v>
      </c>
      <c r="U350" s="1" t="s">
        <v>198</v>
      </c>
      <c r="V350" s="1" t="s">
        <v>357</v>
      </c>
      <c r="W350" s="1" t="s">
        <v>208</v>
      </c>
      <c r="X350" s="1" t="s">
        <v>206</v>
      </c>
      <c r="Y350" s="1" t="s">
        <v>441</v>
      </c>
      <c r="Z350" s="1" t="s">
        <v>206</v>
      </c>
      <c r="AA350" s="1" t="s">
        <v>206</v>
      </c>
      <c r="AB350" s="1" t="s">
        <v>206</v>
      </c>
      <c r="AC350" s="1" t="s">
        <v>237</v>
      </c>
      <c r="AD350" s="1" t="s">
        <v>1052</v>
      </c>
      <c r="AE350" s="1" t="s">
        <v>208</v>
      </c>
      <c r="AF350" s="1" t="s">
        <v>208</v>
      </c>
      <c r="AG350" s="1" t="s">
        <v>1052</v>
      </c>
      <c r="AH350" s="1" t="s">
        <v>35</v>
      </c>
      <c r="AI350" s="1" t="s">
        <v>208</v>
      </c>
    </row>
    <row x14ac:dyDescent="0.25" r="351" customHeight="1" ht="17.25">
      <c r="A351" s="1" t="s">
        <v>1359</v>
      </c>
      <c r="B351" s="123" t="s">
        <v>983</v>
      </c>
      <c r="C351" s="116" t="s">
        <v>109</v>
      </c>
      <c r="D351" s="1" t="s">
        <v>69</v>
      </c>
      <c r="E351" s="116" t="s">
        <v>1360</v>
      </c>
      <c r="F351" s="1" t="s">
        <v>159</v>
      </c>
      <c r="G351" s="1" t="s">
        <v>22</v>
      </c>
      <c r="H351" s="61">
        <v>31822</v>
      </c>
      <c r="I351" s="1" t="s">
        <v>175</v>
      </c>
      <c r="J351" s="1" t="s">
        <v>365</v>
      </c>
      <c r="K351" s="1" t="s">
        <v>1361</v>
      </c>
      <c r="L351" s="117" t="s">
        <v>1362</v>
      </c>
      <c r="M351" s="119">
        <v>0</v>
      </c>
      <c r="N351" s="119">
        <v>0</v>
      </c>
      <c r="O351" s="119">
        <v>0</v>
      </c>
      <c r="P351" s="119">
        <v>0</v>
      </c>
      <c r="Q351" s="119">
        <v>0</v>
      </c>
      <c r="R351" s="1" t="s">
        <v>357</v>
      </c>
      <c r="S351" s="1" t="s">
        <v>206</v>
      </c>
      <c r="T351" s="1" t="s">
        <v>1363</v>
      </c>
      <c r="U351" s="1" t="s">
        <v>197</v>
      </c>
      <c r="V351" s="1" t="s">
        <v>357</v>
      </c>
      <c r="W351" s="1" t="s">
        <v>208</v>
      </c>
      <c r="X351" s="1" t="s">
        <v>603</v>
      </c>
      <c r="Y351" s="1" t="s">
        <v>492</v>
      </c>
      <c r="Z351" s="1" t="s">
        <v>207</v>
      </c>
      <c r="AA351" s="1" t="s">
        <v>28</v>
      </c>
      <c r="AB351" s="1" t="s">
        <v>206</v>
      </c>
      <c r="AC351" s="1" t="s">
        <v>238</v>
      </c>
      <c r="AD351" s="1" t="s">
        <v>441</v>
      </c>
      <c r="AE351" s="1" t="s">
        <v>208</v>
      </c>
      <c r="AF351" s="1" t="s">
        <v>208</v>
      </c>
      <c r="AG351" s="1" t="s">
        <v>441</v>
      </c>
      <c r="AH351" s="1" t="s">
        <v>208</v>
      </c>
      <c r="AI351" s="120" t="s">
        <v>227</v>
      </c>
    </row>
    <row x14ac:dyDescent="0.25" r="352" customHeight="1" ht="17.25">
      <c r="A352" s="1" t="s">
        <v>833</v>
      </c>
      <c r="B352" s="123" t="s">
        <v>515</v>
      </c>
      <c r="C352" s="116" t="s">
        <v>109</v>
      </c>
      <c r="D352" s="1" t="s">
        <v>69</v>
      </c>
      <c r="E352" s="116" t="s">
        <v>834</v>
      </c>
      <c r="F352" s="1" t="s">
        <v>158</v>
      </c>
      <c r="G352" s="1" t="s">
        <v>22</v>
      </c>
      <c r="H352" s="61">
        <v>32975</v>
      </c>
      <c r="I352" s="1" t="s">
        <v>177</v>
      </c>
      <c r="J352" s="1" t="s">
        <v>365</v>
      </c>
      <c r="K352" s="1" t="s">
        <v>716</v>
      </c>
      <c r="L352" s="117" t="s">
        <v>835</v>
      </c>
      <c r="M352" s="117" t="s">
        <v>836</v>
      </c>
      <c r="N352" s="117" t="s">
        <v>837</v>
      </c>
      <c r="O352" s="119">
        <v>0</v>
      </c>
      <c r="P352" s="119">
        <v>0</v>
      </c>
      <c r="Q352" s="119">
        <v>0</v>
      </c>
      <c r="R352" s="1" t="s">
        <v>357</v>
      </c>
      <c r="S352" s="1" t="s">
        <v>206</v>
      </c>
      <c r="T352" s="1" t="s">
        <v>838</v>
      </c>
      <c r="U352" s="1" t="s">
        <v>197</v>
      </c>
      <c r="V352" s="1" t="s">
        <v>357</v>
      </c>
      <c r="W352" s="1" t="s">
        <v>208</v>
      </c>
      <c r="X352" s="1" t="s">
        <v>206</v>
      </c>
      <c r="Y352" s="1" t="s">
        <v>441</v>
      </c>
      <c r="Z352" s="1" t="s">
        <v>206</v>
      </c>
      <c r="AA352" s="1" t="s">
        <v>206</v>
      </c>
      <c r="AB352" s="1" t="s">
        <v>206</v>
      </c>
      <c r="AC352" s="1" t="s">
        <v>236</v>
      </c>
      <c r="AD352" s="1" t="s">
        <v>497</v>
      </c>
      <c r="AE352" s="1" t="s">
        <v>208</v>
      </c>
      <c r="AF352" s="1" t="s">
        <v>208</v>
      </c>
      <c r="AG352" s="1" t="s">
        <v>497</v>
      </c>
      <c r="AH352" s="1" t="s">
        <v>35</v>
      </c>
      <c r="AI352" s="1" t="s">
        <v>208</v>
      </c>
    </row>
    <row x14ac:dyDescent="0.25" r="353" customHeight="1" ht="17.25">
      <c r="A353" s="1" t="s">
        <v>2396</v>
      </c>
      <c r="B353" s="123" t="s">
        <v>640</v>
      </c>
      <c r="C353" s="116" t="s">
        <v>104</v>
      </c>
      <c r="D353" s="1" t="s">
        <v>69</v>
      </c>
      <c r="E353" s="116" t="s">
        <v>2397</v>
      </c>
      <c r="F353" s="1" t="s">
        <v>158</v>
      </c>
      <c r="G353" s="1" t="s">
        <v>22</v>
      </c>
      <c r="H353" s="61">
        <v>33090</v>
      </c>
      <c r="I353" s="1" t="s">
        <v>175</v>
      </c>
      <c r="J353" s="1" t="s">
        <v>365</v>
      </c>
      <c r="K353" s="1" t="s">
        <v>2398</v>
      </c>
      <c r="L353" s="119">
        <v>0</v>
      </c>
      <c r="M353" s="117" t="s">
        <v>2399</v>
      </c>
      <c r="N353" s="119">
        <v>0</v>
      </c>
      <c r="O353" s="119">
        <v>0</v>
      </c>
      <c r="P353" s="119">
        <v>0</v>
      </c>
      <c r="Q353" s="119">
        <v>0</v>
      </c>
      <c r="R353" s="1" t="s">
        <v>357</v>
      </c>
      <c r="S353" s="1" t="s">
        <v>206</v>
      </c>
      <c r="T353" s="1" t="s">
        <v>1275</v>
      </c>
      <c r="U353" s="1" t="s">
        <v>199</v>
      </c>
      <c r="V353" s="1" t="s">
        <v>208</v>
      </c>
      <c r="W353" s="1" t="s">
        <v>208</v>
      </c>
      <c r="X353" s="1" t="s">
        <v>208</v>
      </c>
      <c r="Y353" s="1" t="s">
        <v>208</v>
      </c>
      <c r="Z353" s="1" t="s">
        <v>208</v>
      </c>
      <c r="AA353" s="1" t="s">
        <v>208</v>
      </c>
      <c r="AB353" s="1" t="s">
        <v>208</v>
      </c>
      <c r="AC353" s="1" t="s">
        <v>208</v>
      </c>
      <c r="AD353" s="1" t="s">
        <v>208</v>
      </c>
      <c r="AE353" s="1" t="s">
        <v>208</v>
      </c>
      <c r="AF353" s="1" t="s">
        <v>208</v>
      </c>
      <c r="AG353" s="1" t="s">
        <v>208</v>
      </c>
      <c r="AH353" s="1" t="s">
        <v>208</v>
      </c>
      <c r="AI353" s="1" t="s">
        <v>208</v>
      </c>
    </row>
    <row x14ac:dyDescent="0.25" r="354" customHeight="1" ht="17.25">
      <c r="A354" s="1" t="s">
        <v>1269</v>
      </c>
      <c r="B354" s="123" t="s">
        <v>714</v>
      </c>
      <c r="C354" s="116" t="s">
        <v>109</v>
      </c>
      <c r="D354" s="1" t="s">
        <v>69</v>
      </c>
      <c r="E354" s="116" t="s">
        <v>1270</v>
      </c>
      <c r="F354" s="1" t="s">
        <v>158</v>
      </c>
      <c r="G354" s="1" t="s">
        <v>22</v>
      </c>
      <c r="H354" s="61">
        <v>35029</v>
      </c>
      <c r="I354" s="1" t="s">
        <v>175</v>
      </c>
      <c r="J354" s="1" t="s">
        <v>464</v>
      </c>
      <c r="K354" s="1" t="s">
        <v>1271</v>
      </c>
      <c r="L354" s="117" t="s">
        <v>1272</v>
      </c>
      <c r="M354" s="117" t="s">
        <v>1273</v>
      </c>
      <c r="N354" s="117" t="s">
        <v>1274</v>
      </c>
      <c r="O354" s="119">
        <v>0</v>
      </c>
      <c r="P354" s="119">
        <v>0</v>
      </c>
      <c r="Q354" s="119">
        <v>0</v>
      </c>
      <c r="R354" s="1" t="s">
        <v>357</v>
      </c>
      <c r="S354" s="1" t="s">
        <v>206</v>
      </c>
      <c r="T354" s="1" t="s">
        <v>1275</v>
      </c>
      <c r="U354" s="1" t="s">
        <v>197</v>
      </c>
      <c r="V354" s="1" t="s">
        <v>357</v>
      </c>
      <c r="W354" s="1" t="s">
        <v>208</v>
      </c>
      <c r="X354" s="1" t="s">
        <v>206</v>
      </c>
      <c r="Y354" s="1" t="s">
        <v>441</v>
      </c>
      <c r="Z354" s="1" t="s">
        <v>206</v>
      </c>
      <c r="AA354" s="1" t="s">
        <v>206</v>
      </c>
      <c r="AB354" s="1" t="s">
        <v>206</v>
      </c>
      <c r="AC354" s="1" t="s">
        <v>237</v>
      </c>
      <c r="AD354" s="1" t="s">
        <v>1276</v>
      </c>
      <c r="AE354" s="1" t="s">
        <v>208</v>
      </c>
      <c r="AF354" s="1" t="s">
        <v>208</v>
      </c>
      <c r="AG354" s="1" t="s">
        <v>1276</v>
      </c>
      <c r="AH354" s="1" t="s">
        <v>35</v>
      </c>
      <c r="AI354" s="1" t="s">
        <v>208</v>
      </c>
    </row>
    <row x14ac:dyDescent="0.25" r="355" customHeight="1" ht="17.25">
      <c r="A355" s="1" t="s">
        <v>685</v>
      </c>
      <c r="B355" s="61" t="s">
        <v>686</v>
      </c>
      <c r="C355" s="1" t="s">
        <v>109</v>
      </c>
      <c r="D355" s="1" t="s">
        <v>69</v>
      </c>
      <c r="E355" s="1" t="s">
        <v>687</v>
      </c>
      <c r="F355" s="1" t="s">
        <v>158</v>
      </c>
      <c r="G355" s="1" t="s">
        <v>22</v>
      </c>
      <c r="H355" s="61">
        <v>34564</v>
      </c>
      <c r="I355" s="1" t="s">
        <v>175</v>
      </c>
      <c r="J355" s="1" t="s">
        <v>517</v>
      </c>
      <c r="K355" s="1" t="s">
        <v>511</v>
      </c>
      <c r="L355" s="119">
        <v>0</v>
      </c>
      <c r="M355" s="117" t="s">
        <v>688</v>
      </c>
      <c r="N355" s="119">
        <v>0</v>
      </c>
      <c r="O355" s="119">
        <v>0</v>
      </c>
      <c r="P355" s="119">
        <v>0</v>
      </c>
      <c r="Q355" s="119">
        <v>0</v>
      </c>
      <c r="R355" s="1" t="s">
        <v>357</v>
      </c>
      <c r="S355" s="1" t="s">
        <v>206</v>
      </c>
      <c r="T355" s="1" t="s">
        <v>689</v>
      </c>
      <c r="U355" s="1" t="s">
        <v>197</v>
      </c>
      <c r="V355" s="1" t="s">
        <v>357</v>
      </c>
      <c r="W355" s="1" t="s">
        <v>208</v>
      </c>
      <c r="X355" s="1" t="s">
        <v>206</v>
      </c>
      <c r="Y355" s="1" t="s">
        <v>441</v>
      </c>
      <c r="Z355" s="1" t="s">
        <v>206</v>
      </c>
      <c r="AA355" s="1" t="s">
        <v>206</v>
      </c>
      <c r="AB355" s="1" t="s">
        <v>206</v>
      </c>
      <c r="AC355" s="1" t="s">
        <v>236</v>
      </c>
      <c r="AD355" s="1" t="s">
        <v>497</v>
      </c>
      <c r="AE355" s="1" t="s">
        <v>208</v>
      </c>
      <c r="AF355" s="1" t="s">
        <v>208</v>
      </c>
      <c r="AG355" s="1" t="s">
        <v>497</v>
      </c>
      <c r="AH355" s="1" t="s">
        <v>35</v>
      </c>
      <c r="AI355" s="1" t="s">
        <v>208</v>
      </c>
    </row>
    <row x14ac:dyDescent="0.25" r="356" customHeight="1" ht="17.25">
      <c r="A356" s="1" t="s">
        <v>2368</v>
      </c>
      <c r="B356" s="123" t="s">
        <v>2369</v>
      </c>
      <c r="C356" s="116" t="s">
        <v>90</v>
      </c>
      <c r="D356" s="1" t="s">
        <v>41</v>
      </c>
      <c r="E356" s="116" t="s">
        <v>2370</v>
      </c>
      <c r="F356" s="1" t="s">
        <v>158</v>
      </c>
      <c r="G356" s="1" t="s">
        <v>22</v>
      </c>
      <c r="H356" s="61">
        <v>32991</v>
      </c>
      <c r="I356" s="1" t="s">
        <v>175</v>
      </c>
      <c r="J356" s="1" t="s">
        <v>365</v>
      </c>
      <c r="K356" s="1" t="s">
        <v>2371</v>
      </c>
      <c r="L356" s="117" t="s">
        <v>2372</v>
      </c>
      <c r="M356" s="117" t="s">
        <v>2373</v>
      </c>
      <c r="N356" s="119">
        <v>0</v>
      </c>
      <c r="O356" s="119">
        <v>0</v>
      </c>
      <c r="P356" s="119">
        <v>0</v>
      </c>
      <c r="Q356" s="119">
        <v>0</v>
      </c>
      <c r="R356" s="1" t="s">
        <v>357</v>
      </c>
      <c r="S356" s="1" t="s">
        <v>206</v>
      </c>
      <c r="T356" s="1" t="s">
        <v>2374</v>
      </c>
      <c r="U356" s="1" t="s">
        <v>199</v>
      </c>
      <c r="V356" s="1" t="s">
        <v>208</v>
      </c>
      <c r="W356" s="1" t="s">
        <v>208</v>
      </c>
      <c r="X356" s="1" t="s">
        <v>208</v>
      </c>
      <c r="Y356" s="1" t="s">
        <v>208</v>
      </c>
      <c r="Z356" s="1" t="s">
        <v>208</v>
      </c>
      <c r="AA356" s="1" t="s">
        <v>208</v>
      </c>
      <c r="AB356" s="1" t="s">
        <v>208</v>
      </c>
      <c r="AC356" s="1" t="s">
        <v>208</v>
      </c>
      <c r="AD356" s="1" t="s">
        <v>208</v>
      </c>
      <c r="AE356" s="1" t="s">
        <v>208</v>
      </c>
      <c r="AF356" s="1" t="s">
        <v>208</v>
      </c>
      <c r="AG356" s="1" t="s">
        <v>208</v>
      </c>
      <c r="AH356" s="1" t="s">
        <v>208</v>
      </c>
      <c r="AI356" s="1" t="s">
        <v>208</v>
      </c>
    </row>
    <row x14ac:dyDescent="0.25" r="357" customHeight="1" ht="17.25">
      <c r="A357" s="1" t="s">
        <v>703</v>
      </c>
      <c r="B357" s="123" t="s">
        <v>704</v>
      </c>
      <c r="C357" s="116" t="s">
        <v>90</v>
      </c>
      <c r="D357" s="1" t="s">
        <v>41</v>
      </c>
      <c r="E357" s="116" t="s">
        <v>705</v>
      </c>
      <c r="F357" s="1" t="s">
        <v>158</v>
      </c>
      <c r="G357" s="1" t="s">
        <v>22</v>
      </c>
      <c r="H357" s="61">
        <v>35233</v>
      </c>
      <c r="I357" s="1" t="s">
        <v>175</v>
      </c>
      <c r="J357" s="1" t="s">
        <v>517</v>
      </c>
      <c r="K357" s="1" t="s">
        <v>706</v>
      </c>
      <c r="L357" s="119">
        <v>0</v>
      </c>
      <c r="M357" s="117" t="s">
        <v>707</v>
      </c>
      <c r="N357" s="119">
        <v>0</v>
      </c>
      <c r="O357" s="119">
        <v>0</v>
      </c>
      <c r="P357" s="119">
        <v>0</v>
      </c>
      <c r="Q357" s="119">
        <v>0</v>
      </c>
      <c r="R357" s="1" t="s">
        <v>357</v>
      </c>
      <c r="S357" s="1" t="s">
        <v>206</v>
      </c>
      <c r="T357" s="1" t="s">
        <v>358</v>
      </c>
      <c r="U357" s="1" t="s">
        <v>197</v>
      </c>
      <c r="V357" s="1" t="s">
        <v>357</v>
      </c>
      <c r="W357" s="1" t="s">
        <v>208</v>
      </c>
      <c r="X357" s="1" t="s">
        <v>206</v>
      </c>
      <c r="Y357" s="1" t="s">
        <v>441</v>
      </c>
      <c r="Z357" s="1" t="s">
        <v>206</v>
      </c>
      <c r="AA357" s="1" t="s">
        <v>206</v>
      </c>
      <c r="AB357" s="1" t="s">
        <v>206</v>
      </c>
      <c r="AC357" s="1" t="s">
        <v>236</v>
      </c>
      <c r="AD357" s="1" t="s">
        <v>497</v>
      </c>
      <c r="AE357" s="1" t="s">
        <v>208</v>
      </c>
      <c r="AF357" s="1" t="s">
        <v>208</v>
      </c>
      <c r="AG357" s="1" t="s">
        <v>497</v>
      </c>
      <c r="AH357" s="1" t="s">
        <v>206</v>
      </c>
      <c r="AI357" s="120" t="s">
        <v>227</v>
      </c>
    </row>
    <row x14ac:dyDescent="0.25" r="358" customHeight="1" ht="17.25">
      <c r="A358" s="1" t="s">
        <v>498</v>
      </c>
      <c r="B358" s="123" t="s">
        <v>499</v>
      </c>
      <c r="C358" s="116" t="s">
        <v>90</v>
      </c>
      <c r="D358" s="1" t="s">
        <v>41</v>
      </c>
      <c r="E358" s="116" t="s">
        <v>500</v>
      </c>
      <c r="F358" s="1" t="s">
        <v>158</v>
      </c>
      <c r="G358" s="1" t="s">
        <v>22</v>
      </c>
      <c r="H358" s="61" t="s">
        <v>10253</v>
      </c>
      <c r="I358" s="1" t="s">
        <v>176</v>
      </c>
      <c r="J358" s="1" t="s">
        <v>365</v>
      </c>
      <c r="K358" s="1" t="s">
        <v>501</v>
      </c>
      <c r="L358" s="117" t="s">
        <v>502</v>
      </c>
      <c r="M358" s="119">
        <v>0</v>
      </c>
      <c r="N358" s="119">
        <v>0</v>
      </c>
      <c r="O358" s="119">
        <v>0</v>
      </c>
      <c r="P358" s="119">
        <v>0</v>
      </c>
      <c r="Q358" s="119">
        <v>0</v>
      </c>
      <c r="R358" s="1" t="s">
        <v>357</v>
      </c>
      <c r="S358" s="1" t="s">
        <v>206</v>
      </c>
      <c r="T358" s="1" t="s">
        <v>503</v>
      </c>
      <c r="U358" s="1" t="s">
        <v>197</v>
      </c>
      <c r="V358" s="1" t="s">
        <v>357</v>
      </c>
      <c r="W358" s="1" t="s">
        <v>208</v>
      </c>
      <c r="X358" s="1" t="s">
        <v>206</v>
      </c>
      <c r="Y358" s="1" t="s">
        <v>441</v>
      </c>
      <c r="Z358" s="1" t="s">
        <v>206</v>
      </c>
      <c r="AA358" s="1" t="s">
        <v>206</v>
      </c>
      <c r="AB358" s="1" t="s">
        <v>206</v>
      </c>
      <c r="AC358" s="1" t="s">
        <v>236</v>
      </c>
      <c r="AD358" s="1" t="s">
        <v>497</v>
      </c>
      <c r="AE358" s="1" t="s">
        <v>208</v>
      </c>
      <c r="AF358" s="1" t="s">
        <v>208</v>
      </c>
      <c r="AG358" s="1" t="s">
        <v>497</v>
      </c>
      <c r="AH358" s="1" t="s">
        <v>206</v>
      </c>
      <c r="AI358" s="1" t="s">
        <v>228</v>
      </c>
    </row>
    <row x14ac:dyDescent="0.25" r="359" customHeight="1" ht="17.25">
      <c r="A359" s="1" t="s">
        <v>1656</v>
      </c>
      <c r="B359" s="123" t="s">
        <v>1657</v>
      </c>
      <c r="C359" s="116" t="s">
        <v>80</v>
      </c>
      <c r="D359" s="1" t="s">
        <v>41</v>
      </c>
      <c r="E359" s="116" t="s">
        <v>1658</v>
      </c>
      <c r="F359" s="1" t="s">
        <v>167</v>
      </c>
      <c r="G359" s="1" t="s">
        <v>22</v>
      </c>
      <c r="H359" s="61">
        <v>34331</v>
      </c>
      <c r="I359" s="1" t="s">
        <v>175</v>
      </c>
      <c r="J359" s="1" t="s">
        <v>517</v>
      </c>
      <c r="K359" s="1" t="s">
        <v>445</v>
      </c>
      <c r="L359" s="119">
        <v>0</v>
      </c>
      <c r="M359" s="117" t="s">
        <v>1659</v>
      </c>
      <c r="N359" s="119">
        <v>0</v>
      </c>
      <c r="O359" s="119">
        <v>0</v>
      </c>
      <c r="P359" s="119">
        <v>0</v>
      </c>
      <c r="Q359" s="119">
        <v>0</v>
      </c>
      <c r="R359" s="1" t="s">
        <v>357</v>
      </c>
      <c r="S359" s="1" t="s">
        <v>206</v>
      </c>
      <c r="T359" s="1" t="s">
        <v>575</v>
      </c>
      <c r="U359" s="1" t="s">
        <v>197</v>
      </c>
      <c r="V359" s="1" t="s">
        <v>357</v>
      </c>
      <c r="W359" s="1" t="s">
        <v>208</v>
      </c>
      <c r="X359" s="1" t="s">
        <v>206</v>
      </c>
      <c r="Y359" s="1" t="s">
        <v>441</v>
      </c>
      <c r="Z359" s="1" t="s">
        <v>206</v>
      </c>
      <c r="AA359" s="1" t="s">
        <v>206</v>
      </c>
      <c r="AB359" s="1" t="s">
        <v>206</v>
      </c>
      <c r="AC359" s="1" t="s">
        <v>206</v>
      </c>
      <c r="AD359" s="1" t="s">
        <v>1660</v>
      </c>
      <c r="AE359" s="1" t="s">
        <v>208</v>
      </c>
      <c r="AF359" s="1" t="s">
        <v>208</v>
      </c>
      <c r="AG359" s="1" t="s">
        <v>1660</v>
      </c>
      <c r="AH359" s="1" t="s">
        <v>208</v>
      </c>
      <c r="AI359" s="120" t="s">
        <v>227</v>
      </c>
    </row>
    <row x14ac:dyDescent="0.25" r="360" customHeight="1" ht="17.25">
      <c r="A360" s="1" t="s">
        <v>1595</v>
      </c>
      <c r="B360" s="123" t="s">
        <v>817</v>
      </c>
      <c r="C360" s="116" t="s">
        <v>80</v>
      </c>
      <c r="D360" s="1" t="s">
        <v>41</v>
      </c>
      <c r="E360" s="116" t="s">
        <v>1596</v>
      </c>
      <c r="F360" s="1" t="s">
        <v>165</v>
      </c>
      <c r="G360" s="1" t="s">
        <v>22</v>
      </c>
      <c r="H360" s="61">
        <v>23196</v>
      </c>
      <c r="I360" s="1" t="s">
        <v>175</v>
      </c>
      <c r="J360" s="1" t="s">
        <v>365</v>
      </c>
      <c r="K360" s="1" t="s">
        <v>1597</v>
      </c>
      <c r="L360" s="117" t="s">
        <v>1598</v>
      </c>
      <c r="M360" s="117" t="s">
        <v>1599</v>
      </c>
      <c r="N360" s="117" t="s">
        <v>1600</v>
      </c>
      <c r="O360" s="119">
        <v>0</v>
      </c>
      <c r="P360" s="119">
        <v>0</v>
      </c>
      <c r="Q360" s="119">
        <v>0</v>
      </c>
      <c r="R360" s="1" t="s">
        <v>357</v>
      </c>
      <c r="S360" s="1" t="s">
        <v>1221</v>
      </c>
      <c r="T360" s="1" t="s">
        <v>1601</v>
      </c>
      <c r="U360" s="1" t="s">
        <v>197</v>
      </c>
      <c r="V360" s="1" t="s">
        <v>357</v>
      </c>
      <c r="W360" s="1" t="s">
        <v>1221</v>
      </c>
      <c r="X360" s="1" t="s">
        <v>206</v>
      </c>
      <c r="Y360" s="1" t="s">
        <v>441</v>
      </c>
      <c r="Z360" s="1" t="s">
        <v>206</v>
      </c>
      <c r="AA360" s="1" t="s">
        <v>206</v>
      </c>
      <c r="AB360" s="1" t="s">
        <v>206</v>
      </c>
      <c r="AC360" s="1" t="s">
        <v>206</v>
      </c>
      <c r="AD360" s="1" t="s">
        <v>441</v>
      </c>
      <c r="AE360" s="1" t="s">
        <v>208</v>
      </c>
      <c r="AF360" s="1" t="s">
        <v>661</v>
      </c>
      <c r="AG360" s="1" t="s">
        <v>375</v>
      </c>
      <c r="AH360" s="1" t="s">
        <v>208</v>
      </c>
      <c r="AI360" s="120" t="s">
        <v>227</v>
      </c>
    </row>
    <row x14ac:dyDescent="0.25" r="361" customHeight="1" ht="17.25">
      <c r="A361" s="1" t="s">
        <v>1947</v>
      </c>
      <c r="B361" s="123" t="s">
        <v>751</v>
      </c>
      <c r="C361" s="116" t="s">
        <v>80</v>
      </c>
      <c r="D361" s="1" t="s">
        <v>41</v>
      </c>
      <c r="E361" s="116" t="s">
        <v>1948</v>
      </c>
      <c r="F361" s="1" t="s">
        <v>158</v>
      </c>
      <c r="G361" s="1" t="s">
        <v>22</v>
      </c>
      <c r="H361" s="61">
        <v>30354</v>
      </c>
      <c r="I361" s="1" t="s">
        <v>175</v>
      </c>
      <c r="J361" s="1" t="s">
        <v>464</v>
      </c>
      <c r="K361" s="1" t="s">
        <v>761</v>
      </c>
      <c r="L361" s="117" t="s">
        <v>1949</v>
      </c>
      <c r="M361" s="117" t="s">
        <v>1950</v>
      </c>
      <c r="N361" s="119">
        <v>0</v>
      </c>
      <c r="O361" s="119">
        <v>0</v>
      </c>
      <c r="P361" s="119">
        <v>0</v>
      </c>
      <c r="Q361" s="119">
        <v>0</v>
      </c>
      <c r="R361" s="1" t="s">
        <v>357</v>
      </c>
      <c r="S361" s="1" t="s">
        <v>206</v>
      </c>
      <c r="T361" s="1" t="s">
        <v>1951</v>
      </c>
      <c r="U361" s="1" t="s">
        <v>197</v>
      </c>
      <c r="V361" s="1" t="s">
        <v>357</v>
      </c>
      <c r="W361" s="1" t="s">
        <v>208</v>
      </c>
      <c r="X361" s="1" t="s">
        <v>603</v>
      </c>
      <c r="Y361" s="1" t="s">
        <v>386</v>
      </c>
      <c r="Z361" s="1" t="s">
        <v>206</v>
      </c>
      <c r="AA361" s="1" t="s">
        <v>206</v>
      </c>
      <c r="AB361" s="1" t="s">
        <v>206</v>
      </c>
      <c r="AC361" s="1" t="s">
        <v>206</v>
      </c>
      <c r="AD361" s="1" t="s">
        <v>1501</v>
      </c>
      <c r="AE361" s="1" t="s">
        <v>208</v>
      </c>
      <c r="AF361" s="1" t="s">
        <v>208</v>
      </c>
      <c r="AG361" s="1" t="s">
        <v>1501</v>
      </c>
      <c r="AH361" s="1" t="s">
        <v>208</v>
      </c>
      <c r="AI361" s="120" t="s">
        <v>227</v>
      </c>
    </row>
    <row x14ac:dyDescent="0.25" r="362" customHeight="1" ht="17.25">
      <c r="A362" s="1" t="s">
        <v>1386</v>
      </c>
      <c r="B362" s="123" t="s">
        <v>400</v>
      </c>
      <c r="C362" s="116" t="s">
        <v>90</v>
      </c>
      <c r="D362" s="1" t="s">
        <v>41</v>
      </c>
      <c r="E362" s="116" t="s">
        <v>1387</v>
      </c>
      <c r="F362" s="1" t="s">
        <v>158</v>
      </c>
      <c r="G362" s="1" t="s">
        <v>22</v>
      </c>
      <c r="H362" s="61">
        <v>28418</v>
      </c>
      <c r="I362" s="1" t="s">
        <v>175</v>
      </c>
      <c r="J362" s="1" t="s">
        <v>464</v>
      </c>
      <c r="K362" s="1" t="s">
        <v>1388</v>
      </c>
      <c r="L362" s="117" t="s">
        <v>1389</v>
      </c>
      <c r="M362" s="117" t="s">
        <v>1390</v>
      </c>
      <c r="N362" s="119">
        <v>0</v>
      </c>
      <c r="O362" s="119">
        <v>0</v>
      </c>
      <c r="P362" s="119">
        <v>0</v>
      </c>
      <c r="Q362" s="119">
        <v>0</v>
      </c>
      <c r="R362" s="1" t="s">
        <v>357</v>
      </c>
      <c r="S362" s="1" t="s">
        <v>206</v>
      </c>
      <c r="T362" s="1" t="s">
        <v>358</v>
      </c>
      <c r="U362" s="1" t="s">
        <v>197</v>
      </c>
      <c r="V362" s="1" t="s">
        <v>357</v>
      </c>
      <c r="W362" s="1" t="s">
        <v>208</v>
      </c>
      <c r="X362" s="1" t="s">
        <v>206</v>
      </c>
      <c r="Y362" s="1" t="s">
        <v>441</v>
      </c>
      <c r="Z362" s="1" t="s">
        <v>206</v>
      </c>
      <c r="AA362" s="1" t="s">
        <v>206</v>
      </c>
      <c r="AB362" s="1" t="s">
        <v>206</v>
      </c>
      <c r="AC362" s="1" t="s">
        <v>206</v>
      </c>
      <c r="AD362" s="1" t="s">
        <v>441</v>
      </c>
      <c r="AE362" s="1" t="s">
        <v>208</v>
      </c>
      <c r="AF362" s="1" t="s">
        <v>208</v>
      </c>
      <c r="AG362" s="1" t="s">
        <v>441</v>
      </c>
      <c r="AH362" s="1" t="s">
        <v>208</v>
      </c>
      <c r="AI362" s="120" t="s">
        <v>227</v>
      </c>
    </row>
    <row x14ac:dyDescent="0.25" r="363" customHeight="1" ht="17.25">
      <c r="A363" s="1" t="s">
        <v>1814</v>
      </c>
      <c r="B363" s="123" t="s">
        <v>1429</v>
      </c>
      <c r="C363" s="116" t="s">
        <v>153</v>
      </c>
      <c r="D363" s="1" t="s">
        <v>41</v>
      </c>
      <c r="E363" s="116" t="s">
        <v>1815</v>
      </c>
      <c r="F363" s="120" t="s">
        <v>160</v>
      </c>
      <c r="G363" s="1" t="s">
        <v>22</v>
      </c>
      <c r="H363" s="61">
        <v>33514</v>
      </c>
      <c r="I363" s="1" t="s">
        <v>175</v>
      </c>
      <c r="J363" s="1" t="s">
        <v>365</v>
      </c>
      <c r="K363" s="1" t="s">
        <v>1816</v>
      </c>
      <c r="L363" s="117" t="s">
        <v>1817</v>
      </c>
      <c r="M363" s="119">
        <v>0</v>
      </c>
      <c r="N363" s="117" t="s">
        <v>1818</v>
      </c>
      <c r="O363" s="119">
        <v>0</v>
      </c>
      <c r="P363" s="119">
        <v>0</v>
      </c>
      <c r="Q363" s="119">
        <v>0</v>
      </c>
      <c r="R363" s="1" t="s">
        <v>357</v>
      </c>
      <c r="S363" s="1" t="s">
        <v>206</v>
      </c>
      <c r="T363" s="1" t="s">
        <v>1819</v>
      </c>
      <c r="U363" s="1" t="s">
        <v>197</v>
      </c>
      <c r="V363" s="1" t="s">
        <v>357</v>
      </c>
      <c r="W363" s="1" t="s">
        <v>208</v>
      </c>
      <c r="X363" s="1" t="s">
        <v>206</v>
      </c>
      <c r="Y363" s="1" t="s">
        <v>441</v>
      </c>
      <c r="Z363" s="1" t="s">
        <v>207</v>
      </c>
      <c r="AA363" s="1" t="s">
        <v>206</v>
      </c>
      <c r="AB363" s="1" t="s">
        <v>206</v>
      </c>
      <c r="AC363" s="1" t="s">
        <v>238</v>
      </c>
      <c r="AD363" s="1" t="s">
        <v>492</v>
      </c>
      <c r="AE363" s="1" t="s">
        <v>208</v>
      </c>
      <c r="AF363" s="1" t="s">
        <v>208</v>
      </c>
      <c r="AG363" s="1" t="s">
        <v>492</v>
      </c>
      <c r="AH363" s="1" t="s">
        <v>208</v>
      </c>
      <c r="AI363" s="120" t="s">
        <v>227</v>
      </c>
    </row>
    <row x14ac:dyDescent="0.25" r="364" customHeight="1" ht="17.25">
      <c r="A364" s="1" t="s">
        <v>448</v>
      </c>
      <c r="B364" s="123" t="s">
        <v>449</v>
      </c>
      <c r="C364" s="116" t="s">
        <v>90</v>
      </c>
      <c r="D364" s="1" t="s">
        <v>41</v>
      </c>
      <c r="E364" s="116" t="s">
        <v>450</v>
      </c>
      <c r="F364" s="1" t="s">
        <v>158</v>
      </c>
      <c r="G364" s="1" t="s">
        <v>22</v>
      </c>
      <c r="H364" s="61">
        <v>35423</v>
      </c>
      <c r="I364" s="1" t="s">
        <v>175</v>
      </c>
      <c r="J364" s="1" t="s">
        <v>365</v>
      </c>
      <c r="K364" s="1" t="s">
        <v>451</v>
      </c>
      <c r="L364" s="117" t="s">
        <v>452</v>
      </c>
      <c r="M364" s="117" t="s">
        <v>453</v>
      </c>
      <c r="N364" s="119">
        <v>0</v>
      </c>
      <c r="O364" s="119">
        <v>0</v>
      </c>
      <c r="P364" s="119">
        <v>0</v>
      </c>
      <c r="Q364" s="117" t="s">
        <v>454</v>
      </c>
      <c r="R364" s="1" t="s">
        <v>357</v>
      </c>
      <c r="S364" s="1" t="s">
        <v>206</v>
      </c>
      <c r="T364" s="1" t="s">
        <v>455</v>
      </c>
      <c r="U364" s="1" t="s">
        <v>197</v>
      </c>
      <c r="V364" s="1" t="s">
        <v>357</v>
      </c>
      <c r="W364" s="1" t="s">
        <v>208</v>
      </c>
      <c r="X364" s="1" t="s">
        <v>206</v>
      </c>
      <c r="Y364" s="1" t="s">
        <v>441</v>
      </c>
      <c r="Z364" s="1" t="s">
        <v>206</v>
      </c>
      <c r="AA364" s="1" t="s">
        <v>206</v>
      </c>
      <c r="AB364" s="1" t="s">
        <v>34</v>
      </c>
      <c r="AC364" s="1" t="s">
        <v>236</v>
      </c>
      <c r="AD364" s="1" t="s">
        <v>433</v>
      </c>
      <c r="AE364" s="1" t="s">
        <v>208</v>
      </c>
      <c r="AF364" s="1" t="s">
        <v>208</v>
      </c>
      <c r="AG364" s="1" t="s">
        <v>433</v>
      </c>
      <c r="AH364" s="1" t="s">
        <v>206</v>
      </c>
      <c r="AI364" s="120" t="s">
        <v>227</v>
      </c>
    </row>
    <row x14ac:dyDescent="0.25" r="365" customHeight="1" ht="17.25">
      <c r="A365" s="1" t="s">
        <v>1364</v>
      </c>
      <c r="B365" s="123" t="s">
        <v>1365</v>
      </c>
      <c r="C365" s="116" t="s">
        <v>80</v>
      </c>
      <c r="D365" s="1" t="s">
        <v>41</v>
      </c>
      <c r="E365" s="116" t="s">
        <v>1366</v>
      </c>
      <c r="F365" s="1" t="s">
        <v>158</v>
      </c>
      <c r="G365" s="1" t="s">
        <v>22</v>
      </c>
      <c r="H365" s="61">
        <v>29709</v>
      </c>
      <c r="I365" s="1" t="s">
        <v>177</v>
      </c>
      <c r="J365" s="1" t="s">
        <v>365</v>
      </c>
      <c r="K365" s="1" t="s">
        <v>1367</v>
      </c>
      <c r="L365" s="117" t="s">
        <v>1368</v>
      </c>
      <c r="M365" s="119">
        <v>0</v>
      </c>
      <c r="N365" s="119">
        <v>0</v>
      </c>
      <c r="O365" s="119">
        <v>0</v>
      </c>
      <c r="P365" s="119">
        <v>0</v>
      </c>
      <c r="Q365" s="119">
        <v>0</v>
      </c>
      <c r="R365" s="1" t="s">
        <v>357</v>
      </c>
      <c r="S365" s="1" t="s">
        <v>206</v>
      </c>
      <c r="T365" s="1" t="s">
        <v>1136</v>
      </c>
      <c r="U365" s="1" t="s">
        <v>197</v>
      </c>
      <c r="V365" s="1" t="s">
        <v>357</v>
      </c>
      <c r="W365" s="1" t="s">
        <v>208</v>
      </c>
      <c r="X365" s="1" t="s">
        <v>206</v>
      </c>
      <c r="Y365" s="1" t="s">
        <v>441</v>
      </c>
      <c r="Z365" s="1" t="s">
        <v>206</v>
      </c>
      <c r="AA365" s="1" t="s">
        <v>206</v>
      </c>
      <c r="AB365" s="1" t="s">
        <v>206</v>
      </c>
      <c r="AC365" s="1" t="s">
        <v>206</v>
      </c>
      <c r="AD365" s="1" t="s">
        <v>441</v>
      </c>
      <c r="AE365" s="1" t="s">
        <v>208</v>
      </c>
      <c r="AF365" s="1" t="s">
        <v>208</v>
      </c>
      <c r="AG365" s="1" t="s">
        <v>441</v>
      </c>
      <c r="AH365" s="1" t="s">
        <v>208</v>
      </c>
      <c r="AI365" s="120" t="s">
        <v>227</v>
      </c>
    </row>
    <row x14ac:dyDescent="0.25" r="366" customHeight="1" ht="17.25">
      <c r="A366" s="1" t="s">
        <v>1736</v>
      </c>
      <c r="B366" s="123" t="s">
        <v>1737</v>
      </c>
      <c r="C366" s="116" t="s">
        <v>90</v>
      </c>
      <c r="D366" s="1" t="s">
        <v>41</v>
      </c>
      <c r="E366" s="116" t="s">
        <v>2260</v>
      </c>
      <c r="F366" s="1" t="s">
        <v>158</v>
      </c>
      <c r="G366" s="1" t="s">
        <v>22</v>
      </c>
      <c r="H366" s="61">
        <v>27523</v>
      </c>
      <c r="I366" s="1" t="s">
        <v>176</v>
      </c>
      <c r="J366" s="1" t="s">
        <v>354</v>
      </c>
      <c r="K366" s="1" t="s">
        <v>1739</v>
      </c>
      <c r="L366" s="117" t="s">
        <v>1740</v>
      </c>
      <c r="M366" s="117" t="s">
        <v>1741</v>
      </c>
      <c r="N366" s="119">
        <v>0</v>
      </c>
      <c r="O366" s="119">
        <v>0</v>
      </c>
      <c r="P366" s="119">
        <v>0</v>
      </c>
      <c r="Q366" s="119">
        <v>0</v>
      </c>
      <c r="R366" s="1" t="s">
        <v>357</v>
      </c>
      <c r="S366" s="1" t="s">
        <v>206</v>
      </c>
      <c r="T366" s="1" t="s">
        <v>1705</v>
      </c>
      <c r="U366" s="1" t="s">
        <v>197</v>
      </c>
      <c r="V366" s="1" t="s">
        <v>357</v>
      </c>
      <c r="W366" s="1" t="s">
        <v>208</v>
      </c>
      <c r="X366" s="1" t="s">
        <v>603</v>
      </c>
      <c r="Y366" s="1" t="s">
        <v>492</v>
      </c>
      <c r="Z366" s="1" t="s">
        <v>207</v>
      </c>
      <c r="AA366" s="1" t="s">
        <v>206</v>
      </c>
      <c r="AB366" s="1" t="s">
        <v>30</v>
      </c>
      <c r="AC366" s="1" t="s">
        <v>206</v>
      </c>
      <c r="AD366" s="1" t="s">
        <v>2261</v>
      </c>
      <c r="AE366" s="1" t="s">
        <v>208</v>
      </c>
      <c r="AF366" s="1" t="s">
        <v>208</v>
      </c>
      <c r="AG366" s="1" t="s">
        <v>2261</v>
      </c>
      <c r="AH366" s="1" t="s">
        <v>208</v>
      </c>
      <c r="AI366" s="120" t="s">
        <v>227</v>
      </c>
    </row>
    <row x14ac:dyDescent="0.25" r="367" customHeight="1" ht="17.25">
      <c r="A367" s="1" t="s">
        <v>1736</v>
      </c>
      <c r="B367" s="123" t="s">
        <v>1737</v>
      </c>
      <c r="C367" s="116" t="s">
        <v>90</v>
      </c>
      <c r="D367" s="1" t="s">
        <v>41</v>
      </c>
      <c r="E367" s="116" t="s">
        <v>1738</v>
      </c>
      <c r="F367" s="1" t="s">
        <v>158</v>
      </c>
      <c r="G367" s="1" t="s">
        <v>22</v>
      </c>
      <c r="H367" s="61">
        <v>23864</v>
      </c>
      <c r="I367" s="1" t="s">
        <v>176</v>
      </c>
      <c r="J367" s="1" t="s">
        <v>517</v>
      </c>
      <c r="K367" s="1" t="s">
        <v>1739</v>
      </c>
      <c r="L367" s="117" t="s">
        <v>1740</v>
      </c>
      <c r="M367" s="117" t="s">
        <v>1741</v>
      </c>
      <c r="N367" s="119">
        <v>0</v>
      </c>
      <c r="O367" s="119">
        <v>0</v>
      </c>
      <c r="P367" s="119">
        <v>0</v>
      </c>
      <c r="Q367" s="119">
        <v>0</v>
      </c>
      <c r="R367" s="1" t="s">
        <v>357</v>
      </c>
      <c r="S367" s="1" t="s">
        <v>206</v>
      </c>
      <c r="T367" s="1" t="s">
        <v>1742</v>
      </c>
      <c r="U367" s="1" t="s">
        <v>197</v>
      </c>
      <c r="V367" s="1" t="s">
        <v>357</v>
      </c>
      <c r="W367" s="1" t="s">
        <v>208</v>
      </c>
      <c r="X367" s="1" t="s">
        <v>603</v>
      </c>
      <c r="Y367" s="1" t="s">
        <v>492</v>
      </c>
      <c r="Z367" s="1" t="s">
        <v>206</v>
      </c>
      <c r="AA367" s="1" t="s">
        <v>28</v>
      </c>
      <c r="AB367" s="1" t="s">
        <v>30</v>
      </c>
      <c r="AC367" s="1" t="s">
        <v>206</v>
      </c>
      <c r="AD367" s="1" t="s">
        <v>492</v>
      </c>
      <c r="AE367" s="1" t="s">
        <v>208</v>
      </c>
      <c r="AF367" s="1" t="s">
        <v>208</v>
      </c>
      <c r="AG367" s="1" t="s">
        <v>492</v>
      </c>
      <c r="AH367" s="1" t="s">
        <v>208</v>
      </c>
      <c r="AI367" s="120" t="s">
        <v>227</v>
      </c>
    </row>
    <row x14ac:dyDescent="0.25" r="368" customHeight="1" ht="17.25">
      <c r="A368" s="1" t="s">
        <v>1609</v>
      </c>
      <c r="B368" s="123" t="s">
        <v>962</v>
      </c>
      <c r="C368" s="116" t="s">
        <v>80</v>
      </c>
      <c r="D368" s="1" t="s">
        <v>41</v>
      </c>
      <c r="E368" s="116" t="s">
        <v>1610</v>
      </c>
      <c r="F368" s="1" t="s">
        <v>158</v>
      </c>
      <c r="G368" s="1" t="s">
        <v>170</v>
      </c>
      <c r="H368" s="61">
        <v>33396</v>
      </c>
      <c r="I368" s="1" t="s">
        <v>176</v>
      </c>
      <c r="J368" s="1" t="s">
        <v>615</v>
      </c>
      <c r="K368" s="1" t="s">
        <v>1611</v>
      </c>
      <c r="L368" s="117" t="s">
        <v>1612</v>
      </c>
      <c r="M368" s="117" t="s">
        <v>1613</v>
      </c>
      <c r="N368" s="117" t="s">
        <v>1614</v>
      </c>
      <c r="O368" s="119">
        <v>0</v>
      </c>
      <c r="P368" s="119">
        <v>0</v>
      </c>
      <c r="Q368" s="119">
        <v>0</v>
      </c>
      <c r="R368" s="1" t="s">
        <v>357</v>
      </c>
      <c r="S368" s="1" t="s">
        <v>206</v>
      </c>
      <c r="T368" s="1" t="s">
        <v>1615</v>
      </c>
      <c r="U368" s="1" t="s">
        <v>197</v>
      </c>
      <c r="V368" s="1" t="s">
        <v>357</v>
      </c>
      <c r="W368" s="1" t="s">
        <v>208</v>
      </c>
      <c r="X368" s="1" t="s">
        <v>206</v>
      </c>
      <c r="Y368" s="1" t="s">
        <v>441</v>
      </c>
      <c r="Z368" s="1" t="s">
        <v>206</v>
      </c>
      <c r="AA368" s="1" t="s">
        <v>206</v>
      </c>
      <c r="AB368" s="1" t="s">
        <v>206</v>
      </c>
      <c r="AC368" s="1" t="s">
        <v>206</v>
      </c>
      <c r="AD368" s="1" t="s">
        <v>441</v>
      </c>
      <c r="AE368" s="1" t="s">
        <v>208</v>
      </c>
      <c r="AF368" s="1" t="s">
        <v>208</v>
      </c>
      <c r="AG368" s="1" t="s">
        <v>441</v>
      </c>
      <c r="AH368" s="1" t="s">
        <v>208</v>
      </c>
      <c r="AI368" s="120" t="s">
        <v>227</v>
      </c>
    </row>
    <row x14ac:dyDescent="0.25" r="369" customHeight="1" ht="17.25">
      <c r="A369" s="1" t="s">
        <v>1525</v>
      </c>
      <c r="B369" s="123" t="s">
        <v>876</v>
      </c>
      <c r="C369" s="116" t="s">
        <v>90</v>
      </c>
      <c r="D369" s="1" t="s">
        <v>41</v>
      </c>
      <c r="E369" s="116" t="s">
        <v>1526</v>
      </c>
      <c r="F369" s="1" t="s">
        <v>158</v>
      </c>
      <c r="G369" s="1" t="s">
        <v>22</v>
      </c>
      <c r="H369" s="61">
        <v>30287</v>
      </c>
      <c r="I369" s="1" t="s">
        <v>176</v>
      </c>
      <c r="J369" s="1" t="s">
        <v>615</v>
      </c>
      <c r="K369" s="1" t="s">
        <v>1527</v>
      </c>
      <c r="L369" s="117" t="s">
        <v>1528</v>
      </c>
      <c r="M369" s="119">
        <v>0</v>
      </c>
      <c r="N369" s="117" t="s">
        <v>1529</v>
      </c>
      <c r="O369" s="119">
        <v>0</v>
      </c>
      <c r="P369" s="119">
        <v>0</v>
      </c>
      <c r="Q369" s="119">
        <v>0</v>
      </c>
      <c r="R369" s="1" t="s">
        <v>357</v>
      </c>
      <c r="S369" s="1" t="s">
        <v>206</v>
      </c>
      <c r="T369" s="1" t="s">
        <v>520</v>
      </c>
      <c r="U369" s="1" t="s">
        <v>197</v>
      </c>
      <c r="V369" s="1" t="s">
        <v>357</v>
      </c>
      <c r="W369" s="1" t="s">
        <v>208</v>
      </c>
      <c r="X369" s="1" t="s">
        <v>206</v>
      </c>
      <c r="Y369" s="1" t="s">
        <v>441</v>
      </c>
      <c r="Z369" s="1" t="s">
        <v>206</v>
      </c>
      <c r="AA369" s="1" t="s">
        <v>206</v>
      </c>
      <c r="AB369" s="1" t="s">
        <v>206</v>
      </c>
      <c r="AC369" s="1" t="s">
        <v>206</v>
      </c>
      <c r="AD369" s="1" t="s">
        <v>441</v>
      </c>
      <c r="AE369" s="1" t="s">
        <v>208</v>
      </c>
      <c r="AF369" s="1" t="s">
        <v>208</v>
      </c>
      <c r="AG369" s="1" t="s">
        <v>441</v>
      </c>
      <c r="AH369" s="1" t="s">
        <v>208</v>
      </c>
      <c r="AI369" s="120" t="s">
        <v>227</v>
      </c>
    </row>
    <row x14ac:dyDescent="0.25" r="370" customHeight="1" ht="17.25">
      <c r="A370" s="1" t="s">
        <v>1723</v>
      </c>
      <c r="B370" s="123" t="s">
        <v>1365</v>
      </c>
      <c r="C370" s="116" t="s">
        <v>80</v>
      </c>
      <c r="D370" s="1" t="s">
        <v>41</v>
      </c>
      <c r="E370" s="116" t="s">
        <v>1724</v>
      </c>
      <c r="F370" s="1" t="s">
        <v>158</v>
      </c>
      <c r="G370" s="1" t="s">
        <v>22</v>
      </c>
      <c r="H370" s="61">
        <v>30783</v>
      </c>
      <c r="I370" s="1" t="s">
        <v>176</v>
      </c>
      <c r="J370" s="1" t="s">
        <v>365</v>
      </c>
      <c r="K370" s="1" t="s">
        <v>366</v>
      </c>
      <c r="L370" s="119">
        <v>0</v>
      </c>
      <c r="M370" s="117" t="s">
        <v>1725</v>
      </c>
      <c r="N370" s="119">
        <v>0</v>
      </c>
      <c r="O370" s="119">
        <v>0</v>
      </c>
      <c r="P370" s="119">
        <v>0</v>
      </c>
      <c r="Q370" s="119">
        <v>0</v>
      </c>
      <c r="R370" s="1" t="s">
        <v>357</v>
      </c>
      <c r="S370" s="1" t="s">
        <v>831</v>
      </c>
      <c r="T370" s="1" t="s">
        <v>373</v>
      </c>
      <c r="U370" s="1" t="s">
        <v>197</v>
      </c>
      <c r="V370" s="1" t="s">
        <v>357</v>
      </c>
      <c r="W370" s="1" t="s">
        <v>831</v>
      </c>
      <c r="X370" s="1" t="s">
        <v>206</v>
      </c>
      <c r="Y370" s="1" t="s">
        <v>441</v>
      </c>
      <c r="Z370" s="1" t="s">
        <v>207</v>
      </c>
      <c r="AA370" s="1" t="s">
        <v>206</v>
      </c>
      <c r="AB370" s="1" t="s">
        <v>206</v>
      </c>
      <c r="AC370" s="1" t="s">
        <v>238</v>
      </c>
      <c r="AD370" s="1" t="s">
        <v>492</v>
      </c>
      <c r="AE370" s="1" t="s">
        <v>208</v>
      </c>
      <c r="AF370" s="1" t="s">
        <v>1726</v>
      </c>
      <c r="AG370" s="1" t="s">
        <v>386</v>
      </c>
      <c r="AH370" s="1" t="s">
        <v>208</v>
      </c>
      <c r="AI370" s="120" t="s">
        <v>227</v>
      </c>
    </row>
    <row x14ac:dyDescent="0.25" r="371" customHeight="1" ht="17.25">
      <c r="A371" s="120" t="s">
        <v>976</v>
      </c>
      <c r="B371" s="61" t="s">
        <v>709</v>
      </c>
      <c r="C371" s="1" t="s">
        <v>132</v>
      </c>
      <c r="D371" s="120" t="s">
        <v>42</v>
      </c>
      <c r="E371" s="1" t="s">
        <v>977</v>
      </c>
      <c r="F371" s="1" t="s">
        <v>158</v>
      </c>
      <c r="G371" s="120" t="s">
        <v>22</v>
      </c>
      <c r="H371" s="61">
        <v>35693</v>
      </c>
      <c r="I371" s="120" t="s">
        <v>178</v>
      </c>
      <c r="J371" s="120" t="s">
        <v>365</v>
      </c>
      <c r="K371" s="120" t="s">
        <v>978</v>
      </c>
      <c r="L371" s="117" t="s">
        <v>979</v>
      </c>
      <c r="M371" s="119">
        <v>0</v>
      </c>
      <c r="N371" s="119">
        <v>0</v>
      </c>
      <c r="O371" s="117" t="s">
        <v>980</v>
      </c>
      <c r="P371" s="119">
        <v>0</v>
      </c>
      <c r="Q371" s="119">
        <v>0</v>
      </c>
      <c r="R371" s="1" t="s">
        <v>357</v>
      </c>
      <c r="S371" s="120" t="s">
        <v>981</v>
      </c>
      <c r="T371" s="120" t="s">
        <v>555</v>
      </c>
      <c r="U371" s="120" t="s">
        <v>197</v>
      </c>
      <c r="V371" s="1" t="s">
        <v>357</v>
      </c>
      <c r="W371" s="120" t="s">
        <v>981</v>
      </c>
      <c r="X371" s="120" t="s">
        <v>206</v>
      </c>
      <c r="Y371" s="120" t="s">
        <v>441</v>
      </c>
      <c r="Z371" s="120" t="s">
        <v>206</v>
      </c>
      <c r="AA371" s="120" t="s">
        <v>206</v>
      </c>
      <c r="AB371" s="120" t="s">
        <v>206</v>
      </c>
      <c r="AC371" s="1" t="s">
        <v>236</v>
      </c>
      <c r="AD371" s="120" t="s">
        <v>497</v>
      </c>
      <c r="AE371" s="120" t="s">
        <v>208</v>
      </c>
      <c r="AF371" s="120" t="s">
        <v>206</v>
      </c>
      <c r="AG371" s="120" t="s">
        <v>497</v>
      </c>
      <c r="AH371" s="1" t="s">
        <v>35</v>
      </c>
      <c r="AI371" s="1" t="s">
        <v>208</v>
      </c>
    </row>
    <row x14ac:dyDescent="0.25" r="372" customHeight="1" ht="17.25">
      <c r="A372" s="120" t="s">
        <v>646</v>
      </c>
      <c r="B372" s="61" t="s">
        <v>647</v>
      </c>
      <c r="C372" s="1" t="s">
        <v>142</v>
      </c>
      <c r="D372" s="120" t="s">
        <v>42</v>
      </c>
      <c r="E372" s="1" t="s">
        <v>648</v>
      </c>
      <c r="F372" s="1" t="s">
        <v>158</v>
      </c>
      <c r="G372" s="120" t="s">
        <v>22</v>
      </c>
      <c r="H372" s="61">
        <v>32264</v>
      </c>
      <c r="I372" s="120" t="s">
        <v>175</v>
      </c>
      <c r="J372" s="120" t="s">
        <v>365</v>
      </c>
      <c r="K372" s="120" t="s">
        <v>649</v>
      </c>
      <c r="L372" s="117" t="s">
        <v>650</v>
      </c>
      <c r="M372" s="117" t="s">
        <v>651</v>
      </c>
      <c r="N372" s="119">
        <v>0</v>
      </c>
      <c r="O372" s="119">
        <v>0</v>
      </c>
      <c r="P372" s="119">
        <v>0</v>
      </c>
      <c r="Q372" s="119">
        <v>0</v>
      </c>
      <c r="R372" s="1" t="s">
        <v>357</v>
      </c>
      <c r="S372" s="120" t="s">
        <v>206</v>
      </c>
      <c r="T372" s="120" t="s">
        <v>652</v>
      </c>
      <c r="U372" s="120" t="s">
        <v>197</v>
      </c>
      <c r="V372" s="1" t="s">
        <v>357</v>
      </c>
      <c r="W372" s="120" t="s">
        <v>208</v>
      </c>
      <c r="X372" s="120" t="s">
        <v>653</v>
      </c>
      <c r="Y372" s="120" t="s">
        <v>654</v>
      </c>
      <c r="Z372" s="120" t="s">
        <v>206</v>
      </c>
      <c r="AA372" s="1" t="s">
        <v>28</v>
      </c>
      <c r="AB372" s="120" t="s">
        <v>206</v>
      </c>
      <c r="AC372" s="1" t="s">
        <v>236</v>
      </c>
      <c r="AD372" s="120" t="s">
        <v>497</v>
      </c>
      <c r="AE372" s="120" t="s">
        <v>208</v>
      </c>
      <c r="AF372" s="120" t="s">
        <v>208</v>
      </c>
      <c r="AG372" s="120" t="s">
        <v>497</v>
      </c>
      <c r="AH372" s="1" t="s">
        <v>35</v>
      </c>
      <c r="AI372" s="1" t="s">
        <v>208</v>
      </c>
    </row>
    <row x14ac:dyDescent="0.25" r="373" customHeight="1" ht="17.25">
      <c r="A373" s="120" t="s">
        <v>1690</v>
      </c>
      <c r="B373" s="61" t="s">
        <v>806</v>
      </c>
      <c r="C373" s="1" t="s">
        <v>135</v>
      </c>
      <c r="D373" s="120" t="s">
        <v>42</v>
      </c>
      <c r="E373" s="1" t="s">
        <v>1691</v>
      </c>
      <c r="F373" s="1" t="s">
        <v>158</v>
      </c>
      <c r="G373" s="120" t="s">
        <v>22</v>
      </c>
      <c r="H373" s="61">
        <v>32735</v>
      </c>
      <c r="I373" s="120" t="s">
        <v>175</v>
      </c>
      <c r="J373" s="120" t="s">
        <v>365</v>
      </c>
      <c r="K373" s="120" t="s">
        <v>1692</v>
      </c>
      <c r="L373" s="117" t="s">
        <v>1693</v>
      </c>
      <c r="M373" s="119">
        <v>0</v>
      </c>
      <c r="N373" s="119">
        <v>0</v>
      </c>
      <c r="O373" s="119">
        <v>0</v>
      </c>
      <c r="P373" s="119">
        <v>0</v>
      </c>
      <c r="Q373" s="119">
        <v>0</v>
      </c>
      <c r="R373" s="1" t="s">
        <v>357</v>
      </c>
      <c r="S373" s="120" t="s">
        <v>206</v>
      </c>
      <c r="T373" s="120" t="s">
        <v>373</v>
      </c>
      <c r="U373" s="120" t="s">
        <v>197</v>
      </c>
      <c r="V373" s="1" t="s">
        <v>357</v>
      </c>
      <c r="W373" s="120" t="s">
        <v>208</v>
      </c>
      <c r="X373" s="120" t="s">
        <v>206</v>
      </c>
      <c r="Y373" s="120" t="s">
        <v>441</v>
      </c>
      <c r="Z373" s="1" t="s">
        <v>207</v>
      </c>
      <c r="AA373" s="120" t="s">
        <v>206</v>
      </c>
      <c r="AB373" s="120" t="s">
        <v>206</v>
      </c>
      <c r="AC373" s="1" t="s">
        <v>238</v>
      </c>
      <c r="AD373" s="120" t="s">
        <v>492</v>
      </c>
      <c r="AE373" s="120" t="s">
        <v>208</v>
      </c>
      <c r="AF373" s="120" t="s">
        <v>208</v>
      </c>
      <c r="AG373" s="120" t="s">
        <v>492</v>
      </c>
      <c r="AH373" s="1" t="s">
        <v>208</v>
      </c>
      <c r="AI373" s="120" t="s">
        <v>227</v>
      </c>
    </row>
    <row x14ac:dyDescent="0.25" r="374" customHeight="1" ht="17.25">
      <c r="A374" s="120" t="s">
        <v>1702</v>
      </c>
      <c r="B374" s="61" t="s">
        <v>1195</v>
      </c>
      <c r="C374" s="1" t="s">
        <v>132</v>
      </c>
      <c r="D374" s="120" t="s">
        <v>42</v>
      </c>
      <c r="E374" s="1" t="s">
        <v>1703</v>
      </c>
      <c r="F374" s="1" t="s">
        <v>158</v>
      </c>
      <c r="G374" s="120" t="s">
        <v>22</v>
      </c>
      <c r="H374" s="61">
        <v>31462</v>
      </c>
      <c r="I374" s="120" t="s">
        <v>175</v>
      </c>
      <c r="J374" s="120" t="s">
        <v>354</v>
      </c>
      <c r="K374" s="120" t="s">
        <v>366</v>
      </c>
      <c r="L374" s="119">
        <v>0</v>
      </c>
      <c r="M374" s="117" t="s">
        <v>1704</v>
      </c>
      <c r="N374" s="119">
        <v>0</v>
      </c>
      <c r="O374" s="119">
        <v>0</v>
      </c>
      <c r="P374" s="119">
        <v>0</v>
      </c>
      <c r="Q374" s="119">
        <v>0</v>
      </c>
      <c r="R374" s="1" t="s">
        <v>357</v>
      </c>
      <c r="S374" s="120" t="s">
        <v>206</v>
      </c>
      <c r="T374" s="120" t="s">
        <v>1705</v>
      </c>
      <c r="U374" s="120" t="s">
        <v>197</v>
      </c>
      <c r="V374" s="1" t="s">
        <v>357</v>
      </c>
      <c r="W374" s="120" t="s">
        <v>208</v>
      </c>
      <c r="X374" s="120" t="s">
        <v>206</v>
      </c>
      <c r="Y374" s="120" t="s">
        <v>1660</v>
      </c>
      <c r="Z374" s="1" t="s">
        <v>207</v>
      </c>
      <c r="AA374" s="120" t="s">
        <v>206</v>
      </c>
      <c r="AB374" s="120" t="s">
        <v>206</v>
      </c>
      <c r="AC374" s="1" t="s">
        <v>238</v>
      </c>
      <c r="AD374" s="120" t="s">
        <v>492</v>
      </c>
      <c r="AE374" s="120" t="s">
        <v>208</v>
      </c>
      <c r="AF374" s="120" t="s">
        <v>208</v>
      </c>
      <c r="AG374" s="120" t="s">
        <v>492</v>
      </c>
      <c r="AH374" s="1" t="s">
        <v>208</v>
      </c>
      <c r="AI374" s="120" t="s">
        <v>227</v>
      </c>
    </row>
    <row x14ac:dyDescent="0.25" r="375" customHeight="1" ht="17.25">
      <c r="A375" s="120" t="s">
        <v>1232</v>
      </c>
      <c r="B375" s="61" t="s">
        <v>1233</v>
      </c>
      <c r="C375" s="1" t="s">
        <v>132</v>
      </c>
      <c r="D375" s="120" t="s">
        <v>42</v>
      </c>
      <c r="E375" s="1" t="s">
        <v>1234</v>
      </c>
      <c r="F375" s="1" t="s">
        <v>158</v>
      </c>
      <c r="G375" s="120" t="s">
        <v>22</v>
      </c>
      <c r="H375" s="61">
        <v>33832</v>
      </c>
      <c r="I375" s="120" t="s">
        <v>177</v>
      </c>
      <c r="J375" s="120" t="s">
        <v>365</v>
      </c>
      <c r="K375" s="120" t="s">
        <v>1235</v>
      </c>
      <c r="L375" s="117" t="s">
        <v>1236</v>
      </c>
      <c r="M375" s="117" t="s">
        <v>1237</v>
      </c>
      <c r="N375" s="117" t="s">
        <v>1238</v>
      </c>
      <c r="O375" s="119">
        <v>0</v>
      </c>
      <c r="P375" s="119">
        <v>0</v>
      </c>
      <c r="Q375" s="117" t="s">
        <v>1239</v>
      </c>
      <c r="R375" s="1" t="s">
        <v>357</v>
      </c>
      <c r="S375" s="120" t="s">
        <v>206</v>
      </c>
      <c r="T375" s="120" t="s">
        <v>373</v>
      </c>
      <c r="U375" s="120" t="s">
        <v>197</v>
      </c>
      <c r="V375" s="1" t="s">
        <v>357</v>
      </c>
      <c r="W375" s="120" t="s">
        <v>208</v>
      </c>
      <c r="X375" s="120" t="s">
        <v>406</v>
      </c>
      <c r="Y375" s="120" t="s">
        <v>492</v>
      </c>
      <c r="Z375" s="120" t="s">
        <v>206</v>
      </c>
      <c r="AA375" s="120" t="s">
        <v>206</v>
      </c>
      <c r="AB375" s="120" t="s">
        <v>206</v>
      </c>
      <c r="AC375" s="1" t="s">
        <v>237</v>
      </c>
      <c r="AD375" s="120" t="s">
        <v>1231</v>
      </c>
      <c r="AE375" s="120" t="s">
        <v>208</v>
      </c>
      <c r="AF375" s="120" t="s">
        <v>208</v>
      </c>
      <c r="AG375" s="120" t="s">
        <v>1231</v>
      </c>
      <c r="AH375" s="1" t="s">
        <v>206</v>
      </c>
      <c r="AI375" s="1" t="s">
        <v>228</v>
      </c>
    </row>
    <row x14ac:dyDescent="0.25" r="376" customHeight="1" ht="15.75">
      <c r="A376" s="120" t="s">
        <v>1563</v>
      </c>
      <c r="B376" s="61" t="s">
        <v>613</v>
      </c>
      <c r="C376" s="1" t="s">
        <v>135</v>
      </c>
      <c r="D376" s="120" t="s">
        <v>42</v>
      </c>
      <c r="E376" s="1" t="s">
        <v>1564</v>
      </c>
      <c r="F376" s="1" t="s">
        <v>158</v>
      </c>
      <c r="G376" s="120" t="s">
        <v>22</v>
      </c>
      <c r="H376" s="61">
        <v>35973</v>
      </c>
      <c r="I376" s="120" t="s">
        <v>176</v>
      </c>
      <c r="J376" s="120" t="s">
        <v>354</v>
      </c>
      <c r="K376" s="120" t="s">
        <v>366</v>
      </c>
      <c r="L376" s="117" t="s">
        <v>1565</v>
      </c>
      <c r="M376" s="117" t="s">
        <v>1566</v>
      </c>
      <c r="N376" s="117" t="s">
        <v>1567</v>
      </c>
      <c r="O376" s="119">
        <v>0</v>
      </c>
      <c r="P376" s="119">
        <v>0</v>
      </c>
      <c r="Q376" s="119">
        <v>0</v>
      </c>
      <c r="R376" s="1" t="s">
        <v>357</v>
      </c>
      <c r="S376" s="120" t="s">
        <v>206</v>
      </c>
      <c r="T376" s="120" t="s">
        <v>447</v>
      </c>
      <c r="U376" s="120" t="s">
        <v>197</v>
      </c>
      <c r="V376" s="1" t="s">
        <v>357</v>
      </c>
      <c r="W376" s="120" t="s">
        <v>208</v>
      </c>
      <c r="X376" s="120" t="s">
        <v>206</v>
      </c>
      <c r="Y376" s="120" t="s">
        <v>441</v>
      </c>
      <c r="Z376" s="120" t="s">
        <v>206</v>
      </c>
      <c r="AA376" s="120" t="s">
        <v>206</v>
      </c>
      <c r="AB376" s="120" t="s">
        <v>206</v>
      </c>
      <c r="AC376" s="1" t="s">
        <v>206</v>
      </c>
      <c r="AD376" s="120" t="s">
        <v>441</v>
      </c>
      <c r="AE376" s="120" t="s">
        <v>208</v>
      </c>
      <c r="AF376" s="120" t="s">
        <v>208</v>
      </c>
      <c r="AG376" s="120" t="s">
        <v>441</v>
      </c>
      <c r="AH376" s="1" t="s">
        <v>208</v>
      </c>
      <c r="AI376" s="120" t="s">
        <v>227</v>
      </c>
    </row>
    <row x14ac:dyDescent="0.25" r="377" customHeight="1" ht="15.75">
      <c r="A377" s="120" t="s">
        <v>1543</v>
      </c>
      <c r="B377" s="61" t="s">
        <v>1544</v>
      </c>
      <c r="C377" s="1" t="s">
        <v>135</v>
      </c>
      <c r="D377" s="120" t="s">
        <v>42</v>
      </c>
      <c r="E377" s="1" t="s">
        <v>1545</v>
      </c>
      <c r="F377" s="1" t="s">
        <v>158</v>
      </c>
      <c r="G377" s="120" t="s">
        <v>170</v>
      </c>
      <c r="H377" s="61">
        <v>33816</v>
      </c>
      <c r="I377" s="120" t="s">
        <v>175</v>
      </c>
      <c r="J377" s="120" t="s">
        <v>178</v>
      </c>
      <c r="K377" s="120" t="s">
        <v>366</v>
      </c>
      <c r="L377" s="119">
        <v>0</v>
      </c>
      <c r="M377" s="119">
        <v>0</v>
      </c>
      <c r="N377" s="117" t="s">
        <v>1546</v>
      </c>
      <c r="O377" s="119">
        <v>0</v>
      </c>
      <c r="P377" s="119">
        <v>0</v>
      </c>
      <c r="Q377" s="119">
        <v>0</v>
      </c>
      <c r="R377" s="1" t="s">
        <v>357</v>
      </c>
      <c r="S377" s="120" t="s">
        <v>206</v>
      </c>
      <c r="T377" s="120" t="s">
        <v>373</v>
      </c>
      <c r="U377" s="120" t="s">
        <v>197</v>
      </c>
      <c r="V377" s="1" t="s">
        <v>357</v>
      </c>
      <c r="W377" s="120" t="s">
        <v>208</v>
      </c>
      <c r="X377" s="120" t="s">
        <v>206</v>
      </c>
      <c r="Y377" s="120" t="s">
        <v>441</v>
      </c>
      <c r="Z377" s="120" t="s">
        <v>206</v>
      </c>
      <c r="AA377" s="120" t="s">
        <v>206</v>
      </c>
      <c r="AB377" s="120" t="s">
        <v>206</v>
      </c>
      <c r="AC377" s="1" t="s">
        <v>238</v>
      </c>
      <c r="AD377" s="120" t="s">
        <v>441</v>
      </c>
      <c r="AE377" s="120" t="s">
        <v>208</v>
      </c>
      <c r="AF377" s="120" t="s">
        <v>208</v>
      </c>
      <c r="AG377" s="120" t="s">
        <v>441</v>
      </c>
      <c r="AH377" s="1" t="s">
        <v>208</v>
      </c>
      <c r="AI377" s="120" t="s">
        <v>227</v>
      </c>
    </row>
    <row x14ac:dyDescent="0.25" r="378" customHeight="1" ht="17.25">
      <c r="A378" s="1" t="s">
        <v>486</v>
      </c>
      <c r="B378" s="123" t="s">
        <v>487</v>
      </c>
      <c r="C378" s="116" t="s">
        <v>100</v>
      </c>
      <c r="D378" s="1" t="s">
        <v>43</v>
      </c>
      <c r="E378" s="116" t="s">
        <v>488</v>
      </c>
      <c r="F378" s="1" t="s">
        <v>158</v>
      </c>
      <c r="G378" s="1" t="s">
        <v>22</v>
      </c>
      <c r="H378" s="61">
        <v>34539</v>
      </c>
      <c r="I378" s="1" t="s">
        <v>176</v>
      </c>
      <c r="J378" s="1" t="s">
        <v>365</v>
      </c>
      <c r="K378" s="1" t="s">
        <v>445</v>
      </c>
      <c r="L378" s="117" t="s">
        <v>489</v>
      </c>
      <c r="M378" s="117" t="s">
        <v>490</v>
      </c>
      <c r="N378" s="117" t="s">
        <v>491</v>
      </c>
      <c r="O378" s="119">
        <v>0</v>
      </c>
      <c r="P378" s="119">
        <v>0</v>
      </c>
      <c r="Q378" s="119">
        <v>0</v>
      </c>
      <c r="R378" s="1" t="s">
        <v>357</v>
      </c>
      <c r="S378" s="1" t="s">
        <v>206</v>
      </c>
      <c r="T378" s="1" t="s">
        <v>405</v>
      </c>
      <c r="U378" s="1" t="s">
        <v>197</v>
      </c>
      <c r="V378" s="1" t="s">
        <v>357</v>
      </c>
      <c r="W378" s="1" t="s">
        <v>208</v>
      </c>
      <c r="X378" s="1" t="s">
        <v>406</v>
      </c>
      <c r="Y378" s="1" t="s">
        <v>492</v>
      </c>
      <c r="Z378" s="1" t="s">
        <v>206</v>
      </c>
      <c r="AA378" s="1" t="s">
        <v>206</v>
      </c>
      <c r="AB378" s="1" t="s">
        <v>206</v>
      </c>
      <c r="AC378" s="1" t="s">
        <v>236</v>
      </c>
      <c r="AD378" s="1" t="s">
        <v>433</v>
      </c>
      <c r="AE378" s="1" t="s">
        <v>208</v>
      </c>
      <c r="AF378" s="1" t="s">
        <v>208</v>
      </c>
      <c r="AG378" s="1" t="s">
        <v>433</v>
      </c>
      <c r="AH378" s="1" t="s">
        <v>206</v>
      </c>
      <c r="AI378" s="1" t="s">
        <v>228</v>
      </c>
    </row>
    <row x14ac:dyDescent="0.25" r="379" customHeight="1" ht="17.25">
      <c r="A379" s="1" t="s">
        <v>1672</v>
      </c>
      <c r="B379" s="123" t="s">
        <v>1673</v>
      </c>
      <c r="C379" s="116" t="s">
        <v>131</v>
      </c>
      <c r="D379" s="1" t="s">
        <v>43</v>
      </c>
      <c r="E379" s="116" t="s">
        <v>1674</v>
      </c>
      <c r="F379" s="1" t="s">
        <v>158</v>
      </c>
      <c r="G379" s="1" t="s">
        <v>22</v>
      </c>
      <c r="H379" s="61">
        <v>31371</v>
      </c>
      <c r="I379" s="1" t="s">
        <v>175</v>
      </c>
      <c r="J379" s="1" t="s">
        <v>354</v>
      </c>
      <c r="K379" s="1" t="s">
        <v>1675</v>
      </c>
      <c r="L379" s="117" t="s">
        <v>1676</v>
      </c>
      <c r="M379" s="119">
        <v>0</v>
      </c>
      <c r="N379" s="119">
        <v>0</v>
      </c>
      <c r="O379" s="119">
        <v>0</v>
      </c>
      <c r="P379" s="119">
        <v>0</v>
      </c>
      <c r="Q379" s="119">
        <v>0</v>
      </c>
      <c r="R379" s="1" t="s">
        <v>357</v>
      </c>
      <c r="S379" s="1" t="s">
        <v>206</v>
      </c>
      <c r="T379" s="1" t="s">
        <v>1677</v>
      </c>
      <c r="U379" s="1" t="s">
        <v>197</v>
      </c>
      <c r="V379" s="1" t="s">
        <v>357</v>
      </c>
      <c r="W379" s="1" t="s">
        <v>208</v>
      </c>
      <c r="X379" s="1" t="s">
        <v>206</v>
      </c>
      <c r="Y379" s="1" t="s">
        <v>441</v>
      </c>
      <c r="Z379" s="1" t="s">
        <v>207</v>
      </c>
      <c r="AA379" s="1" t="s">
        <v>206</v>
      </c>
      <c r="AB379" s="1" t="s">
        <v>206</v>
      </c>
      <c r="AC379" s="1" t="s">
        <v>238</v>
      </c>
      <c r="AD379" s="1" t="s">
        <v>492</v>
      </c>
      <c r="AE379" s="1" t="s">
        <v>208</v>
      </c>
      <c r="AF379" s="1" t="s">
        <v>208</v>
      </c>
      <c r="AG379" s="1" t="s">
        <v>492</v>
      </c>
      <c r="AH379" s="1" t="s">
        <v>208</v>
      </c>
      <c r="AI379" s="120" t="s">
        <v>227</v>
      </c>
    </row>
    <row x14ac:dyDescent="0.25" r="380" customHeight="1" ht="17.25">
      <c r="A380" s="1" t="s">
        <v>1781</v>
      </c>
      <c r="B380" s="123" t="s">
        <v>1782</v>
      </c>
      <c r="C380" s="116" t="s">
        <v>100</v>
      </c>
      <c r="D380" s="1" t="s">
        <v>43</v>
      </c>
      <c r="E380" s="116" t="s">
        <v>1783</v>
      </c>
      <c r="F380" s="1" t="s">
        <v>158</v>
      </c>
      <c r="G380" s="1" t="s">
        <v>22</v>
      </c>
      <c r="H380" s="61">
        <v>30534</v>
      </c>
      <c r="I380" s="1" t="s">
        <v>175</v>
      </c>
      <c r="J380" s="1" t="s">
        <v>354</v>
      </c>
      <c r="K380" s="1" t="s">
        <v>1784</v>
      </c>
      <c r="L380" s="119">
        <v>0</v>
      </c>
      <c r="M380" s="117" t="s">
        <v>1785</v>
      </c>
      <c r="N380" s="117" t="s">
        <v>1786</v>
      </c>
      <c r="O380" s="119">
        <v>0</v>
      </c>
      <c r="P380" s="119">
        <v>0</v>
      </c>
      <c r="Q380" s="119">
        <v>0</v>
      </c>
      <c r="R380" s="1" t="s">
        <v>357</v>
      </c>
      <c r="S380" s="1" t="s">
        <v>206</v>
      </c>
      <c r="T380" s="1" t="s">
        <v>405</v>
      </c>
      <c r="U380" s="1" t="s">
        <v>197</v>
      </c>
      <c r="V380" s="1" t="s">
        <v>357</v>
      </c>
      <c r="W380" s="1" t="s">
        <v>208</v>
      </c>
      <c r="X380" s="1" t="s">
        <v>603</v>
      </c>
      <c r="Y380" s="1" t="s">
        <v>432</v>
      </c>
      <c r="Z380" s="1" t="s">
        <v>206</v>
      </c>
      <c r="AA380" s="1" t="s">
        <v>206</v>
      </c>
      <c r="AB380" s="1" t="s">
        <v>206</v>
      </c>
      <c r="AC380" s="1" t="s">
        <v>238</v>
      </c>
      <c r="AD380" s="1" t="s">
        <v>492</v>
      </c>
      <c r="AE380" s="1" t="s">
        <v>208</v>
      </c>
      <c r="AF380" s="1" t="s">
        <v>208</v>
      </c>
      <c r="AG380" s="1" t="s">
        <v>492</v>
      </c>
      <c r="AH380" s="1" t="s">
        <v>208</v>
      </c>
      <c r="AI380" s="120" t="s">
        <v>227</v>
      </c>
    </row>
    <row x14ac:dyDescent="0.25" r="381" customHeight="1" ht="17.25">
      <c r="A381" s="1" t="s">
        <v>2147</v>
      </c>
      <c r="B381" s="123" t="s">
        <v>352</v>
      </c>
      <c r="C381" s="116" t="s">
        <v>131</v>
      </c>
      <c r="D381" s="1" t="s">
        <v>43</v>
      </c>
      <c r="E381" s="116" t="s">
        <v>2148</v>
      </c>
      <c r="F381" s="1" t="s">
        <v>158</v>
      </c>
      <c r="G381" s="1" t="s">
        <v>22</v>
      </c>
      <c r="H381" s="61">
        <v>33280</v>
      </c>
      <c r="I381" s="1" t="s">
        <v>179</v>
      </c>
      <c r="J381" s="1" t="s">
        <v>365</v>
      </c>
      <c r="K381" s="1" t="s">
        <v>1235</v>
      </c>
      <c r="L381" s="119">
        <v>0</v>
      </c>
      <c r="M381" s="117" t="s">
        <v>2149</v>
      </c>
      <c r="N381" s="119">
        <v>0</v>
      </c>
      <c r="O381" s="119">
        <v>0</v>
      </c>
      <c r="P381" s="119">
        <v>0</v>
      </c>
      <c r="Q381" s="119">
        <v>0</v>
      </c>
      <c r="R381" s="1" t="s">
        <v>357</v>
      </c>
      <c r="S381" s="1" t="s">
        <v>206</v>
      </c>
      <c r="T381" s="1" t="s">
        <v>1166</v>
      </c>
      <c r="U381" s="1" t="s">
        <v>197</v>
      </c>
      <c r="V381" s="1" t="s">
        <v>357</v>
      </c>
      <c r="W381" s="1" t="s">
        <v>208</v>
      </c>
      <c r="X381" s="1" t="s">
        <v>406</v>
      </c>
      <c r="Y381" s="1" t="s">
        <v>386</v>
      </c>
      <c r="Z381" s="1" t="s">
        <v>207</v>
      </c>
      <c r="AA381" s="1" t="s">
        <v>206</v>
      </c>
      <c r="AB381" s="1" t="s">
        <v>206</v>
      </c>
      <c r="AC381" s="1" t="s">
        <v>238</v>
      </c>
      <c r="AD381" s="1" t="s">
        <v>375</v>
      </c>
      <c r="AE381" s="1" t="s">
        <v>208</v>
      </c>
      <c r="AF381" s="1" t="s">
        <v>208</v>
      </c>
      <c r="AG381" s="1" t="s">
        <v>375</v>
      </c>
      <c r="AH381" s="1" t="s">
        <v>208</v>
      </c>
      <c r="AI381" s="120" t="s">
        <v>227</v>
      </c>
    </row>
    <row x14ac:dyDescent="0.25" r="382" customHeight="1" ht="17.25">
      <c r="A382" s="1" t="s">
        <v>589</v>
      </c>
      <c r="B382" s="123" t="s">
        <v>590</v>
      </c>
      <c r="C382" s="116" t="s">
        <v>100</v>
      </c>
      <c r="D382" s="1" t="s">
        <v>43</v>
      </c>
      <c r="E382" s="116" t="s">
        <v>591</v>
      </c>
      <c r="F382" s="1" t="s">
        <v>158</v>
      </c>
      <c r="G382" s="1" t="s">
        <v>22</v>
      </c>
      <c r="H382" s="61">
        <v>35345</v>
      </c>
      <c r="I382" s="1" t="s">
        <v>175</v>
      </c>
      <c r="J382" s="1" t="s">
        <v>354</v>
      </c>
      <c r="K382" s="1" t="s">
        <v>592</v>
      </c>
      <c r="L382" s="119">
        <v>0</v>
      </c>
      <c r="M382" s="117" t="s">
        <v>593</v>
      </c>
      <c r="N382" s="119">
        <v>0</v>
      </c>
      <c r="O382" s="119">
        <v>0</v>
      </c>
      <c r="P382" s="119">
        <v>0</v>
      </c>
      <c r="Q382" s="119">
        <v>0</v>
      </c>
      <c r="R382" s="1" t="s">
        <v>371</v>
      </c>
      <c r="S382" s="1" t="s">
        <v>206</v>
      </c>
      <c r="T382" s="1" t="s">
        <v>594</v>
      </c>
      <c r="U382" s="1" t="s">
        <v>198</v>
      </c>
      <c r="V382" s="1" t="s">
        <v>357</v>
      </c>
      <c r="W382" s="1" t="s">
        <v>208</v>
      </c>
      <c r="X382" s="1" t="s">
        <v>206</v>
      </c>
      <c r="Y382" s="1" t="s">
        <v>441</v>
      </c>
      <c r="Z382" s="1" t="s">
        <v>206</v>
      </c>
      <c r="AA382" s="1" t="s">
        <v>206</v>
      </c>
      <c r="AB382" s="1" t="s">
        <v>206</v>
      </c>
      <c r="AC382" s="1" t="s">
        <v>236</v>
      </c>
      <c r="AD382" s="1" t="s">
        <v>497</v>
      </c>
      <c r="AE382" s="1" t="s">
        <v>208</v>
      </c>
      <c r="AF382" s="1" t="s">
        <v>208</v>
      </c>
      <c r="AG382" s="1" t="s">
        <v>497</v>
      </c>
      <c r="AH382" s="1" t="s">
        <v>206</v>
      </c>
      <c r="AI382" s="1" t="s">
        <v>229</v>
      </c>
    </row>
    <row x14ac:dyDescent="0.25" r="383" customHeight="1" ht="17.25">
      <c r="A383" s="1" t="s">
        <v>589</v>
      </c>
      <c r="B383" s="123" t="s">
        <v>590</v>
      </c>
      <c r="C383" s="116" t="s">
        <v>100</v>
      </c>
      <c r="D383" s="1" t="s">
        <v>43</v>
      </c>
      <c r="E383" s="116" t="s">
        <v>595</v>
      </c>
      <c r="F383" s="1" t="s">
        <v>158</v>
      </c>
      <c r="G383" s="1" t="s">
        <v>170</v>
      </c>
      <c r="H383" s="61">
        <v>34211</v>
      </c>
      <c r="I383" s="1" t="s">
        <v>176</v>
      </c>
      <c r="J383" s="1" t="s">
        <v>464</v>
      </c>
      <c r="K383" s="1" t="s">
        <v>592</v>
      </c>
      <c r="L383" s="119">
        <v>0</v>
      </c>
      <c r="M383" s="117" t="s">
        <v>593</v>
      </c>
      <c r="N383" s="119">
        <v>0</v>
      </c>
      <c r="O383" s="119">
        <v>0</v>
      </c>
      <c r="P383" s="119">
        <v>0</v>
      </c>
      <c r="Q383" s="119">
        <v>0</v>
      </c>
      <c r="R383" s="1" t="s">
        <v>371</v>
      </c>
      <c r="S383" s="1" t="s">
        <v>206</v>
      </c>
      <c r="T383" s="1" t="s">
        <v>594</v>
      </c>
      <c r="U383" s="1" t="s">
        <v>198</v>
      </c>
      <c r="V383" s="1" t="s">
        <v>357</v>
      </c>
      <c r="W383" s="1" t="s">
        <v>208</v>
      </c>
      <c r="X383" s="1" t="s">
        <v>206</v>
      </c>
      <c r="Y383" s="1" t="s">
        <v>441</v>
      </c>
      <c r="Z383" s="1" t="s">
        <v>206</v>
      </c>
      <c r="AA383" s="1" t="s">
        <v>206</v>
      </c>
      <c r="AB383" s="1" t="s">
        <v>206</v>
      </c>
      <c r="AC383" s="1" t="s">
        <v>236</v>
      </c>
      <c r="AD383" s="1" t="s">
        <v>497</v>
      </c>
      <c r="AE383" s="1" t="s">
        <v>208</v>
      </c>
      <c r="AF383" s="1" t="s">
        <v>208</v>
      </c>
      <c r="AG383" s="1" t="s">
        <v>497</v>
      </c>
      <c r="AH383" s="1" t="s">
        <v>206</v>
      </c>
      <c r="AI383" s="1" t="s">
        <v>229</v>
      </c>
    </row>
    <row x14ac:dyDescent="0.25" r="384" customHeight="1" ht="17.25">
      <c r="A384" s="1" t="s">
        <v>1706</v>
      </c>
      <c r="B384" s="123" t="s">
        <v>1091</v>
      </c>
      <c r="C384" s="116" t="s">
        <v>100</v>
      </c>
      <c r="D384" s="1" t="s">
        <v>43</v>
      </c>
      <c r="E384" s="116" t="s">
        <v>1707</v>
      </c>
      <c r="F384" s="1" t="s">
        <v>158</v>
      </c>
      <c r="G384" s="1" t="s">
        <v>170</v>
      </c>
      <c r="H384" s="61">
        <v>21180</v>
      </c>
      <c r="I384" s="1" t="s">
        <v>176</v>
      </c>
      <c r="J384" s="1" t="s">
        <v>365</v>
      </c>
      <c r="K384" s="1" t="s">
        <v>507</v>
      </c>
      <c r="L384" s="119">
        <v>0</v>
      </c>
      <c r="M384" s="117" t="s">
        <v>1708</v>
      </c>
      <c r="N384" s="119">
        <v>0</v>
      </c>
      <c r="O384" s="119">
        <v>0</v>
      </c>
      <c r="P384" s="119">
        <v>0</v>
      </c>
      <c r="Q384" s="119">
        <v>0</v>
      </c>
      <c r="R384" s="1" t="s">
        <v>357</v>
      </c>
      <c r="S384" s="1" t="s">
        <v>206</v>
      </c>
      <c r="T384" s="1" t="s">
        <v>1166</v>
      </c>
      <c r="U384" s="1" t="s">
        <v>197</v>
      </c>
      <c r="V384" s="1" t="s">
        <v>357</v>
      </c>
      <c r="W384" s="1" t="s">
        <v>208</v>
      </c>
      <c r="X384" s="1" t="s">
        <v>603</v>
      </c>
      <c r="Y384" s="1" t="s">
        <v>432</v>
      </c>
      <c r="Z384" s="1" t="s">
        <v>206</v>
      </c>
      <c r="AA384" s="1" t="s">
        <v>206</v>
      </c>
      <c r="AB384" s="1" t="s">
        <v>206</v>
      </c>
      <c r="AC384" s="1" t="s">
        <v>238</v>
      </c>
      <c r="AD384" s="1" t="s">
        <v>492</v>
      </c>
      <c r="AE384" s="1" t="s">
        <v>208</v>
      </c>
      <c r="AF384" s="1" t="s">
        <v>208</v>
      </c>
      <c r="AG384" s="1" t="s">
        <v>492</v>
      </c>
      <c r="AH384" s="1" t="s">
        <v>208</v>
      </c>
      <c r="AI384" s="120" t="s">
        <v>227</v>
      </c>
    </row>
    <row x14ac:dyDescent="0.25" r="385" customHeight="1" ht="17.25">
      <c r="A385" s="1" t="s">
        <v>2479</v>
      </c>
      <c r="B385" s="123" t="s">
        <v>686</v>
      </c>
      <c r="C385" s="116" t="s">
        <v>100</v>
      </c>
      <c r="D385" s="1" t="s">
        <v>43</v>
      </c>
      <c r="E385" s="116" t="s">
        <v>2480</v>
      </c>
      <c r="F385" s="1" t="s">
        <v>158</v>
      </c>
      <c r="G385" s="1" t="s">
        <v>22</v>
      </c>
      <c r="H385" s="61">
        <v>24948</v>
      </c>
      <c r="I385" s="1" t="s">
        <v>176</v>
      </c>
      <c r="J385" s="1" t="s">
        <v>365</v>
      </c>
      <c r="K385" s="1" t="s">
        <v>2481</v>
      </c>
      <c r="L385" s="117" t="s">
        <v>2482</v>
      </c>
      <c r="M385" s="117" t="s">
        <v>2483</v>
      </c>
      <c r="N385" s="117" t="s">
        <v>1704</v>
      </c>
      <c r="O385" s="119">
        <v>0</v>
      </c>
      <c r="P385" s="119">
        <v>0</v>
      </c>
      <c r="Q385" s="119">
        <v>0</v>
      </c>
      <c r="R385" s="1" t="s">
        <v>357</v>
      </c>
      <c r="S385" s="1" t="s">
        <v>206</v>
      </c>
      <c r="T385" s="1" t="s">
        <v>2484</v>
      </c>
      <c r="U385" s="1" t="s">
        <v>199</v>
      </c>
      <c r="V385" s="1" t="s">
        <v>208</v>
      </c>
      <c r="W385" s="1" t="s">
        <v>208</v>
      </c>
      <c r="X385" s="1" t="s">
        <v>208</v>
      </c>
      <c r="Y385" s="1" t="s">
        <v>208</v>
      </c>
      <c r="Z385" s="1" t="s">
        <v>208</v>
      </c>
      <c r="AA385" s="1" t="s">
        <v>208</v>
      </c>
      <c r="AB385" s="1" t="s">
        <v>208</v>
      </c>
      <c r="AC385" s="1" t="s">
        <v>208</v>
      </c>
      <c r="AD385" s="1" t="s">
        <v>208</v>
      </c>
      <c r="AE385" s="1" t="s">
        <v>208</v>
      </c>
      <c r="AF385" s="1" t="s">
        <v>208</v>
      </c>
      <c r="AG385" s="1" t="s">
        <v>208</v>
      </c>
      <c r="AH385" s="1" t="s">
        <v>208</v>
      </c>
      <c r="AI385" s="1" t="s">
        <v>208</v>
      </c>
    </row>
    <row x14ac:dyDescent="0.25" r="386" customHeight="1" ht="17.25">
      <c r="A386" s="1" t="s">
        <v>1718</v>
      </c>
      <c r="B386" s="123" t="s">
        <v>1719</v>
      </c>
      <c r="C386" s="116" t="s">
        <v>131</v>
      </c>
      <c r="D386" s="1" t="s">
        <v>43</v>
      </c>
      <c r="E386" s="116" t="s">
        <v>1720</v>
      </c>
      <c r="F386" s="1" t="s">
        <v>158</v>
      </c>
      <c r="G386" s="1" t="s">
        <v>22</v>
      </c>
      <c r="H386" s="61">
        <v>33459</v>
      </c>
      <c r="I386" s="1" t="s">
        <v>175</v>
      </c>
      <c r="J386" s="1" t="s">
        <v>365</v>
      </c>
      <c r="K386" s="1" t="s">
        <v>366</v>
      </c>
      <c r="L386" s="117" t="s">
        <v>1721</v>
      </c>
      <c r="M386" s="117" t="s">
        <v>1722</v>
      </c>
      <c r="N386" s="119">
        <v>0</v>
      </c>
      <c r="O386" s="119">
        <v>0</v>
      </c>
      <c r="P386" s="119">
        <v>0</v>
      </c>
      <c r="Q386" s="119">
        <v>0</v>
      </c>
      <c r="R386" s="1" t="s">
        <v>357</v>
      </c>
      <c r="S386" s="1" t="s">
        <v>206</v>
      </c>
      <c r="T386" s="1" t="s">
        <v>1166</v>
      </c>
      <c r="U386" s="1" t="s">
        <v>197</v>
      </c>
      <c r="V386" s="1" t="s">
        <v>357</v>
      </c>
      <c r="W386" s="1" t="s">
        <v>208</v>
      </c>
      <c r="X386" s="1" t="s">
        <v>206</v>
      </c>
      <c r="Y386" s="1" t="s">
        <v>441</v>
      </c>
      <c r="Z386" s="1" t="s">
        <v>207</v>
      </c>
      <c r="AA386" s="1" t="s">
        <v>206</v>
      </c>
      <c r="AB386" s="1" t="s">
        <v>206</v>
      </c>
      <c r="AC386" s="1" t="s">
        <v>238</v>
      </c>
      <c r="AD386" s="1" t="s">
        <v>492</v>
      </c>
      <c r="AE386" s="1" t="s">
        <v>208</v>
      </c>
      <c r="AF386" s="1" t="s">
        <v>208</v>
      </c>
      <c r="AG386" s="1" t="s">
        <v>492</v>
      </c>
      <c r="AH386" s="1" t="s">
        <v>208</v>
      </c>
      <c r="AI386" s="120" t="s">
        <v>227</v>
      </c>
    </row>
    <row x14ac:dyDescent="0.25" r="387" customHeight="1" ht="17.25">
      <c r="A387" s="1" t="s">
        <v>596</v>
      </c>
      <c r="B387" s="123" t="s">
        <v>597</v>
      </c>
      <c r="C387" s="116" t="s">
        <v>100</v>
      </c>
      <c r="D387" s="1" t="s">
        <v>43</v>
      </c>
      <c r="E387" s="116" t="s">
        <v>598</v>
      </c>
      <c r="F387" s="1" t="s">
        <v>163</v>
      </c>
      <c r="G387" s="1" t="s">
        <v>22</v>
      </c>
      <c r="H387" s="61">
        <v>32199</v>
      </c>
      <c r="I387" s="1" t="s">
        <v>175</v>
      </c>
      <c r="J387" s="1" t="s">
        <v>354</v>
      </c>
      <c r="K387" s="1" t="s">
        <v>599</v>
      </c>
      <c r="L387" s="117" t="s">
        <v>600</v>
      </c>
      <c r="M387" s="117" t="s">
        <v>601</v>
      </c>
      <c r="N387" s="119">
        <v>0</v>
      </c>
      <c r="O387" s="119">
        <v>0</v>
      </c>
      <c r="P387" s="119">
        <v>0</v>
      </c>
      <c r="Q387" s="119">
        <v>0</v>
      </c>
      <c r="R387" s="1" t="s">
        <v>357</v>
      </c>
      <c r="S387" s="1" t="s">
        <v>206</v>
      </c>
      <c r="T387" s="1" t="s">
        <v>602</v>
      </c>
      <c r="U387" s="1" t="s">
        <v>197</v>
      </c>
      <c r="V387" s="1" t="s">
        <v>357</v>
      </c>
      <c r="W387" s="1" t="s">
        <v>208</v>
      </c>
      <c r="X387" s="1" t="s">
        <v>603</v>
      </c>
      <c r="Y387" s="1" t="s">
        <v>604</v>
      </c>
      <c r="Z387" s="1" t="s">
        <v>206</v>
      </c>
      <c r="AA387" s="1" t="s">
        <v>28</v>
      </c>
      <c r="AB387" s="1" t="s">
        <v>206</v>
      </c>
      <c r="AC387" s="1" t="s">
        <v>236</v>
      </c>
      <c r="AD387" s="1" t="s">
        <v>497</v>
      </c>
      <c r="AE387" s="1" t="s">
        <v>208</v>
      </c>
      <c r="AF387" s="1" t="s">
        <v>208</v>
      </c>
      <c r="AG387" s="1" t="s">
        <v>497</v>
      </c>
      <c r="AH387" s="1" t="s">
        <v>206</v>
      </c>
      <c r="AI387" s="1" t="s">
        <v>229</v>
      </c>
    </row>
    <row x14ac:dyDescent="0.25" r="388" customHeight="1" ht="17.25">
      <c r="A388" s="1" t="s">
        <v>2528</v>
      </c>
      <c r="B388" s="61" t="s">
        <v>557</v>
      </c>
      <c r="C388" s="1" t="s">
        <v>100</v>
      </c>
      <c r="D388" s="1" t="s">
        <v>43</v>
      </c>
      <c r="E388" s="1" t="s">
        <v>2529</v>
      </c>
      <c r="F388" s="120" t="s">
        <v>160</v>
      </c>
      <c r="G388" s="1" t="s">
        <v>22</v>
      </c>
      <c r="H388" s="61">
        <v>33012</v>
      </c>
      <c r="I388" s="1" t="s">
        <v>175</v>
      </c>
      <c r="J388" s="1" t="s">
        <v>365</v>
      </c>
      <c r="K388" s="1" t="s">
        <v>2530</v>
      </c>
      <c r="L388" s="117" t="s">
        <v>2531</v>
      </c>
      <c r="M388" s="117" t="s">
        <v>2532</v>
      </c>
      <c r="N388" s="119">
        <v>0</v>
      </c>
      <c r="O388" s="117" t="s">
        <v>2533</v>
      </c>
      <c r="P388" s="119">
        <v>0</v>
      </c>
      <c r="Q388" s="119">
        <v>0</v>
      </c>
      <c r="R388" s="1" t="s">
        <v>371</v>
      </c>
      <c r="S388" s="1" t="s">
        <v>372</v>
      </c>
      <c r="T388" s="1" t="s">
        <v>485</v>
      </c>
      <c r="U388" s="1" t="s">
        <v>199</v>
      </c>
      <c r="V388" s="1" t="s">
        <v>208</v>
      </c>
      <c r="W388" s="1" t="s">
        <v>208</v>
      </c>
      <c r="X388" s="1" t="s">
        <v>208</v>
      </c>
      <c r="Y388" s="1" t="s">
        <v>208</v>
      </c>
      <c r="Z388" s="1" t="s">
        <v>208</v>
      </c>
      <c r="AA388" s="1" t="s">
        <v>208</v>
      </c>
      <c r="AB388" s="1" t="s">
        <v>208</v>
      </c>
      <c r="AC388" s="1" t="s">
        <v>208</v>
      </c>
      <c r="AD388" s="1" t="s">
        <v>208</v>
      </c>
      <c r="AE388" s="1" t="s">
        <v>208</v>
      </c>
      <c r="AF388" s="1" t="s">
        <v>208</v>
      </c>
      <c r="AG388" s="1" t="s">
        <v>208</v>
      </c>
      <c r="AH388" s="1" t="s">
        <v>208</v>
      </c>
      <c r="AI388" s="1" t="s">
        <v>208</v>
      </c>
    </row>
    <row x14ac:dyDescent="0.25" r="389" customHeight="1" ht="17.25">
      <c r="A389" s="120" t="s">
        <v>477</v>
      </c>
      <c r="B389" s="61" t="s">
        <v>478</v>
      </c>
      <c r="C389" s="1" t="s">
        <v>81</v>
      </c>
      <c r="D389" s="120" t="s">
        <v>44</v>
      </c>
      <c r="E389" s="1" t="s">
        <v>2099</v>
      </c>
      <c r="F389" s="1" t="s">
        <v>158</v>
      </c>
      <c r="G389" s="120" t="s">
        <v>22</v>
      </c>
      <c r="H389" s="61">
        <v>33267</v>
      </c>
      <c r="I389" s="120" t="s">
        <v>175</v>
      </c>
      <c r="J389" s="120" t="s">
        <v>365</v>
      </c>
      <c r="K389" s="120" t="s">
        <v>366</v>
      </c>
      <c r="L389" s="117" t="s">
        <v>481</v>
      </c>
      <c r="M389" s="117" t="s">
        <v>482</v>
      </c>
      <c r="N389" s="117" t="s">
        <v>483</v>
      </c>
      <c r="O389" s="119">
        <v>0</v>
      </c>
      <c r="P389" s="119">
        <v>0</v>
      </c>
      <c r="Q389" s="117" t="s">
        <v>484</v>
      </c>
      <c r="R389" s="1" t="s">
        <v>371</v>
      </c>
      <c r="S389" s="120" t="s">
        <v>206</v>
      </c>
      <c r="T389" s="120" t="s">
        <v>485</v>
      </c>
      <c r="U389" s="120" t="s">
        <v>198</v>
      </c>
      <c r="V389" s="1" t="s">
        <v>357</v>
      </c>
      <c r="W389" s="120" t="s">
        <v>208</v>
      </c>
      <c r="X389" s="120" t="s">
        <v>2043</v>
      </c>
      <c r="Y389" s="120" t="s">
        <v>492</v>
      </c>
      <c r="Z389" s="1" t="s">
        <v>207</v>
      </c>
      <c r="AA389" s="120" t="s">
        <v>206</v>
      </c>
      <c r="AB389" s="1" t="s">
        <v>30</v>
      </c>
      <c r="AC389" s="1" t="s">
        <v>238</v>
      </c>
      <c r="AD389" s="120" t="s">
        <v>2038</v>
      </c>
      <c r="AE389" s="120" t="s">
        <v>208</v>
      </c>
      <c r="AF389" s="120" t="s">
        <v>208</v>
      </c>
      <c r="AG389" s="120" t="s">
        <v>2038</v>
      </c>
      <c r="AH389" s="1" t="s">
        <v>208</v>
      </c>
      <c r="AI389" s="120" t="s">
        <v>227</v>
      </c>
    </row>
    <row x14ac:dyDescent="0.25" r="390" customHeight="1" ht="17.25">
      <c r="A390" s="120" t="s">
        <v>477</v>
      </c>
      <c r="B390" s="61" t="s">
        <v>478</v>
      </c>
      <c r="C390" s="1" t="s">
        <v>81</v>
      </c>
      <c r="D390" s="120" t="s">
        <v>44</v>
      </c>
      <c r="E390" s="1" t="s">
        <v>479</v>
      </c>
      <c r="F390" s="1" t="s">
        <v>158</v>
      </c>
      <c r="G390" s="120" t="s">
        <v>22</v>
      </c>
      <c r="H390" s="61">
        <v>34440</v>
      </c>
      <c r="I390" s="120" t="s">
        <v>175</v>
      </c>
      <c r="J390" s="120" t="s">
        <v>365</v>
      </c>
      <c r="K390" s="120" t="s">
        <v>480</v>
      </c>
      <c r="L390" s="117" t="s">
        <v>481</v>
      </c>
      <c r="M390" s="117" t="s">
        <v>482</v>
      </c>
      <c r="N390" s="117" t="s">
        <v>483</v>
      </c>
      <c r="O390" s="119">
        <v>0</v>
      </c>
      <c r="P390" s="119">
        <v>0</v>
      </c>
      <c r="Q390" s="117" t="s">
        <v>484</v>
      </c>
      <c r="R390" s="1" t="s">
        <v>371</v>
      </c>
      <c r="S390" s="120" t="s">
        <v>206</v>
      </c>
      <c r="T390" s="120" t="s">
        <v>485</v>
      </c>
      <c r="U390" s="120" t="s">
        <v>198</v>
      </c>
      <c r="V390" s="1" t="s">
        <v>357</v>
      </c>
      <c r="W390" s="120" t="s">
        <v>208</v>
      </c>
      <c r="X390" s="120" t="s">
        <v>206</v>
      </c>
      <c r="Y390" s="120" t="s">
        <v>441</v>
      </c>
      <c r="Z390" s="120" t="s">
        <v>206</v>
      </c>
      <c r="AA390" s="120" t="s">
        <v>206</v>
      </c>
      <c r="AB390" s="1" t="s">
        <v>30</v>
      </c>
      <c r="AC390" s="1" t="s">
        <v>236</v>
      </c>
      <c r="AD390" s="120" t="s">
        <v>433</v>
      </c>
      <c r="AE390" s="120" t="s">
        <v>208</v>
      </c>
      <c r="AF390" s="120" t="s">
        <v>208</v>
      </c>
      <c r="AG390" s="120" t="s">
        <v>433</v>
      </c>
      <c r="AH390" s="1" t="s">
        <v>35</v>
      </c>
      <c r="AI390" s="1" t="s">
        <v>208</v>
      </c>
    </row>
    <row x14ac:dyDescent="0.25" r="391" customHeight="1" ht="17.25">
      <c r="A391" s="120" t="s">
        <v>2001</v>
      </c>
      <c r="B391" s="61" t="s">
        <v>1544</v>
      </c>
      <c r="C391" s="1" t="s">
        <v>81</v>
      </c>
      <c r="D391" s="120" t="s">
        <v>44</v>
      </c>
      <c r="E391" s="1" t="s">
        <v>2002</v>
      </c>
      <c r="F391" s="1" t="s">
        <v>158</v>
      </c>
      <c r="G391" s="120" t="s">
        <v>170</v>
      </c>
      <c r="H391" s="61">
        <v>32387</v>
      </c>
      <c r="I391" s="120" t="s">
        <v>176</v>
      </c>
      <c r="J391" s="120" t="s">
        <v>464</v>
      </c>
      <c r="K391" s="120" t="s">
        <v>2003</v>
      </c>
      <c r="L391" s="119">
        <v>0</v>
      </c>
      <c r="M391" s="117" t="s">
        <v>2004</v>
      </c>
      <c r="N391" s="119">
        <v>0</v>
      </c>
      <c r="O391" s="119">
        <v>0</v>
      </c>
      <c r="P391" s="119">
        <v>0</v>
      </c>
      <c r="Q391" s="119">
        <v>0</v>
      </c>
      <c r="R391" s="1" t="s">
        <v>371</v>
      </c>
      <c r="S391" s="120" t="s">
        <v>206</v>
      </c>
      <c r="T391" s="120" t="s">
        <v>2005</v>
      </c>
      <c r="U391" s="120" t="s">
        <v>197</v>
      </c>
      <c r="V391" s="1" t="s">
        <v>371</v>
      </c>
      <c r="W391" s="120" t="s">
        <v>208</v>
      </c>
      <c r="X391" s="120" t="s">
        <v>2006</v>
      </c>
      <c r="Y391" s="120" t="s">
        <v>360</v>
      </c>
      <c r="Z391" s="120" t="s">
        <v>206</v>
      </c>
      <c r="AA391" s="120" t="s">
        <v>206</v>
      </c>
      <c r="AB391" s="120" t="s">
        <v>206</v>
      </c>
      <c r="AC391" s="1" t="s">
        <v>237</v>
      </c>
      <c r="AD391" s="120" t="s">
        <v>1374</v>
      </c>
      <c r="AE391" s="120" t="s">
        <v>1101</v>
      </c>
      <c r="AF391" s="120" t="s">
        <v>208</v>
      </c>
      <c r="AG391" s="120" t="s">
        <v>2007</v>
      </c>
      <c r="AH391" s="1" t="s">
        <v>208</v>
      </c>
      <c r="AI391" s="120" t="s">
        <v>227</v>
      </c>
    </row>
    <row x14ac:dyDescent="0.25" r="392" customHeight="1" ht="17.25">
      <c r="A392" s="120" t="s">
        <v>2001</v>
      </c>
      <c r="B392" s="61" t="s">
        <v>1544</v>
      </c>
      <c r="C392" s="1" t="s">
        <v>81</v>
      </c>
      <c r="D392" s="120" t="s">
        <v>44</v>
      </c>
      <c r="E392" s="1" t="s">
        <v>2008</v>
      </c>
      <c r="F392" s="1" t="s">
        <v>158</v>
      </c>
      <c r="G392" s="120" t="s">
        <v>22</v>
      </c>
      <c r="H392" s="61">
        <v>23781</v>
      </c>
      <c r="I392" s="120" t="s">
        <v>177</v>
      </c>
      <c r="J392" s="120" t="s">
        <v>354</v>
      </c>
      <c r="K392" s="120" t="s">
        <v>2009</v>
      </c>
      <c r="L392" s="119">
        <v>0</v>
      </c>
      <c r="M392" s="117" t="s">
        <v>2004</v>
      </c>
      <c r="N392" s="119">
        <v>0</v>
      </c>
      <c r="O392" s="119">
        <v>0</v>
      </c>
      <c r="P392" s="119">
        <v>0</v>
      </c>
      <c r="Q392" s="119">
        <v>0</v>
      </c>
      <c r="R392" s="1" t="s">
        <v>371</v>
      </c>
      <c r="S392" s="120" t="s">
        <v>206</v>
      </c>
      <c r="T392" s="120" t="s">
        <v>2005</v>
      </c>
      <c r="U392" s="120" t="s">
        <v>197</v>
      </c>
      <c r="V392" s="1" t="s">
        <v>371</v>
      </c>
      <c r="W392" s="120" t="s">
        <v>208</v>
      </c>
      <c r="X392" s="120" t="s">
        <v>2006</v>
      </c>
      <c r="Y392" s="120" t="s">
        <v>360</v>
      </c>
      <c r="Z392" s="120" t="s">
        <v>206</v>
      </c>
      <c r="AA392" s="120" t="s">
        <v>206</v>
      </c>
      <c r="AB392" s="120" t="s">
        <v>206</v>
      </c>
      <c r="AC392" s="1" t="s">
        <v>237</v>
      </c>
      <c r="AD392" s="120" t="s">
        <v>1374</v>
      </c>
      <c r="AE392" s="120" t="s">
        <v>1101</v>
      </c>
      <c r="AF392" s="120" t="s">
        <v>208</v>
      </c>
      <c r="AG392" s="120" t="s">
        <v>2007</v>
      </c>
      <c r="AH392" s="1" t="s">
        <v>208</v>
      </c>
      <c r="AI392" s="120" t="s">
        <v>227</v>
      </c>
    </row>
    <row x14ac:dyDescent="0.25" r="393" customHeight="1" ht="17.25">
      <c r="A393" s="120" t="s">
        <v>708</v>
      </c>
      <c r="B393" s="61" t="s">
        <v>709</v>
      </c>
      <c r="C393" s="1" t="s">
        <v>81</v>
      </c>
      <c r="D393" s="120" t="s">
        <v>44</v>
      </c>
      <c r="E393" s="1" t="s">
        <v>710</v>
      </c>
      <c r="F393" s="1" t="s">
        <v>158</v>
      </c>
      <c r="G393" s="120" t="s">
        <v>22</v>
      </c>
      <c r="H393" s="61">
        <v>34163</v>
      </c>
      <c r="I393" s="120" t="s">
        <v>175</v>
      </c>
      <c r="J393" s="120" t="s">
        <v>464</v>
      </c>
      <c r="K393" s="120" t="s">
        <v>445</v>
      </c>
      <c r="L393" s="119">
        <v>0</v>
      </c>
      <c r="M393" s="117" t="s">
        <v>711</v>
      </c>
      <c r="N393" s="119">
        <v>0</v>
      </c>
      <c r="O393" s="119">
        <v>0</v>
      </c>
      <c r="P393" s="119">
        <v>0</v>
      </c>
      <c r="Q393" s="119">
        <v>0</v>
      </c>
      <c r="R393" s="1" t="s">
        <v>357</v>
      </c>
      <c r="S393" s="120" t="s">
        <v>206</v>
      </c>
      <c r="T393" s="120" t="s">
        <v>430</v>
      </c>
      <c r="U393" s="120" t="s">
        <v>197</v>
      </c>
      <c r="V393" s="1" t="s">
        <v>357</v>
      </c>
      <c r="W393" s="120" t="s">
        <v>208</v>
      </c>
      <c r="X393" s="120" t="s">
        <v>206</v>
      </c>
      <c r="Y393" s="120" t="s">
        <v>441</v>
      </c>
      <c r="Z393" s="120" t="s">
        <v>206</v>
      </c>
      <c r="AA393" s="120" t="s">
        <v>206</v>
      </c>
      <c r="AB393" s="120" t="s">
        <v>206</v>
      </c>
      <c r="AC393" s="1" t="s">
        <v>236</v>
      </c>
      <c r="AD393" s="120" t="s">
        <v>497</v>
      </c>
      <c r="AE393" s="120" t="s">
        <v>208</v>
      </c>
      <c r="AF393" s="120" t="s">
        <v>208</v>
      </c>
      <c r="AG393" s="120" t="s">
        <v>497</v>
      </c>
      <c r="AH393" s="1" t="s">
        <v>35</v>
      </c>
      <c r="AI393" s="1" t="s">
        <v>208</v>
      </c>
    </row>
    <row x14ac:dyDescent="0.25" r="394" customHeight="1" ht="17.25">
      <c r="A394" s="120" t="s">
        <v>708</v>
      </c>
      <c r="B394" s="61" t="s">
        <v>709</v>
      </c>
      <c r="C394" s="1" t="s">
        <v>81</v>
      </c>
      <c r="D394" s="120" t="s">
        <v>44</v>
      </c>
      <c r="E394" s="1" t="s">
        <v>712</v>
      </c>
      <c r="F394" s="1" t="s">
        <v>158</v>
      </c>
      <c r="G394" s="120" t="s">
        <v>170</v>
      </c>
      <c r="H394" s="61">
        <v>35297</v>
      </c>
      <c r="I394" s="120" t="s">
        <v>175</v>
      </c>
      <c r="J394" s="120" t="s">
        <v>464</v>
      </c>
      <c r="K394" s="120" t="s">
        <v>366</v>
      </c>
      <c r="L394" s="119">
        <v>0</v>
      </c>
      <c r="M394" s="117" t="s">
        <v>711</v>
      </c>
      <c r="N394" s="119">
        <v>0</v>
      </c>
      <c r="O394" s="119">
        <v>0</v>
      </c>
      <c r="P394" s="119">
        <v>0</v>
      </c>
      <c r="Q394" s="119">
        <v>0</v>
      </c>
      <c r="R394" s="1" t="s">
        <v>357</v>
      </c>
      <c r="S394" s="120" t="s">
        <v>206</v>
      </c>
      <c r="T394" s="120" t="s">
        <v>594</v>
      </c>
      <c r="U394" s="120" t="s">
        <v>197</v>
      </c>
      <c r="V394" s="1" t="s">
        <v>357</v>
      </c>
      <c r="W394" s="120" t="s">
        <v>208</v>
      </c>
      <c r="X394" s="120" t="s">
        <v>206</v>
      </c>
      <c r="Y394" s="120" t="s">
        <v>441</v>
      </c>
      <c r="Z394" s="120" t="s">
        <v>206</v>
      </c>
      <c r="AA394" s="120" t="s">
        <v>206</v>
      </c>
      <c r="AB394" s="120" t="s">
        <v>206</v>
      </c>
      <c r="AC394" s="1" t="s">
        <v>236</v>
      </c>
      <c r="AD394" s="120" t="s">
        <v>497</v>
      </c>
      <c r="AE394" s="120" t="s">
        <v>208</v>
      </c>
      <c r="AF394" s="120" t="s">
        <v>208</v>
      </c>
      <c r="AG394" s="120" t="s">
        <v>497</v>
      </c>
      <c r="AH394" s="1" t="s">
        <v>35</v>
      </c>
      <c r="AI394" s="1" t="s">
        <v>208</v>
      </c>
    </row>
    <row x14ac:dyDescent="0.25" r="395" customHeight="1" ht="17.25">
      <c r="A395" s="120" t="s">
        <v>1464</v>
      </c>
      <c r="B395" s="61" t="s">
        <v>1465</v>
      </c>
      <c r="C395" s="1" t="s">
        <v>81</v>
      </c>
      <c r="D395" s="120" t="s">
        <v>44</v>
      </c>
      <c r="E395" s="1" t="s">
        <v>1466</v>
      </c>
      <c r="F395" s="1" t="s">
        <v>158</v>
      </c>
      <c r="G395" s="120" t="s">
        <v>22</v>
      </c>
      <c r="H395" s="61">
        <v>30337</v>
      </c>
      <c r="I395" s="120" t="s">
        <v>175</v>
      </c>
      <c r="J395" s="120" t="s">
        <v>365</v>
      </c>
      <c r="K395" s="120" t="s">
        <v>547</v>
      </c>
      <c r="L395" s="117" t="s">
        <v>1467</v>
      </c>
      <c r="M395" s="117" t="s">
        <v>1468</v>
      </c>
      <c r="N395" s="119">
        <v>0</v>
      </c>
      <c r="O395" s="119">
        <v>0</v>
      </c>
      <c r="P395" s="119">
        <v>0</v>
      </c>
      <c r="Q395" s="119">
        <v>0</v>
      </c>
      <c r="R395" s="1" t="s">
        <v>357</v>
      </c>
      <c r="S395" s="120" t="s">
        <v>206</v>
      </c>
      <c r="T395" s="120" t="s">
        <v>776</v>
      </c>
      <c r="U395" s="120" t="s">
        <v>197</v>
      </c>
      <c r="V395" s="1" t="s">
        <v>357</v>
      </c>
      <c r="W395" s="120" t="s">
        <v>208</v>
      </c>
      <c r="X395" s="120" t="s">
        <v>206</v>
      </c>
      <c r="Y395" s="120" t="s">
        <v>441</v>
      </c>
      <c r="Z395" s="120" t="s">
        <v>206</v>
      </c>
      <c r="AA395" s="120" t="s">
        <v>206</v>
      </c>
      <c r="AB395" s="120" t="s">
        <v>206</v>
      </c>
      <c r="AC395" s="1" t="s">
        <v>238</v>
      </c>
      <c r="AD395" s="120" t="s">
        <v>441</v>
      </c>
      <c r="AE395" s="120" t="s">
        <v>208</v>
      </c>
      <c r="AF395" s="120" t="s">
        <v>208</v>
      </c>
      <c r="AG395" s="120" t="s">
        <v>441</v>
      </c>
      <c r="AH395" s="1" t="s">
        <v>208</v>
      </c>
      <c r="AI395" s="120" t="s">
        <v>227</v>
      </c>
    </row>
    <row x14ac:dyDescent="0.25" r="396" customHeight="1" ht="17.25">
      <c r="A396" s="120" t="s">
        <v>1555</v>
      </c>
      <c r="B396" s="61" t="s">
        <v>1556</v>
      </c>
      <c r="C396" s="1" t="s">
        <v>81</v>
      </c>
      <c r="D396" s="120" t="s">
        <v>44</v>
      </c>
      <c r="E396" s="1" t="s">
        <v>1557</v>
      </c>
      <c r="F396" s="120" t="s">
        <v>160</v>
      </c>
      <c r="G396" s="120" t="s">
        <v>22</v>
      </c>
      <c r="H396" s="61">
        <v>35222</v>
      </c>
      <c r="I396" s="120" t="s">
        <v>175</v>
      </c>
      <c r="J396" s="120" t="s">
        <v>354</v>
      </c>
      <c r="K396" s="120" t="s">
        <v>1419</v>
      </c>
      <c r="L396" s="117" t="s">
        <v>1558</v>
      </c>
      <c r="M396" s="117" t="s">
        <v>1559</v>
      </c>
      <c r="N396" s="117" t="s">
        <v>1560</v>
      </c>
      <c r="O396" s="119">
        <v>0</v>
      </c>
      <c r="P396" s="119">
        <v>0</v>
      </c>
      <c r="Q396" s="119">
        <v>0</v>
      </c>
      <c r="R396" s="1" t="s">
        <v>371</v>
      </c>
      <c r="S396" s="120" t="s">
        <v>206</v>
      </c>
      <c r="T396" s="120" t="s">
        <v>953</v>
      </c>
      <c r="U396" s="120" t="s">
        <v>198</v>
      </c>
      <c r="V396" s="1" t="s">
        <v>357</v>
      </c>
      <c r="W396" s="120" t="s">
        <v>208</v>
      </c>
      <c r="X396" s="120" t="s">
        <v>206</v>
      </c>
      <c r="Y396" s="120" t="s">
        <v>441</v>
      </c>
      <c r="Z396" s="1" t="s">
        <v>207</v>
      </c>
      <c r="AA396" s="1" t="s">
        <v>29</v>
      </c>
      <c r="AB396" s="120" t="s">
        <v>206</v>
      </c>
      <c r="AC396" s="1" t="s">
        <v>238</v>
      </c>
      <c r="AD396" s="120" t="s">
        <v>441</v>
      </c>
      <c r="AE396" s="120" t="s">
        <v>208</v>
      </c>
      <c r="AF396" s="120" t="s">
        <v>208</v>
      </c>
      <c r="AG396" s="120" t="s">
        <v>441</v>
      </c>
      <c r="AH396" s="1" t="s">
        <v>208</v>
      </c>
      <c r="AI396" s="120" t="s">
        <v>227</v>
      </c>
    </row>
    <row x14ac:dyDescent="0.25" r="397" customHeight="1" ht="17.25">
      <c r="A397" s="120" t="s">
        <v>1555</v>
      </c>
      <c r="B397" s="61" t="s">
        <v>1556</v>
      </c>
      <c r="C397" s="1" t="s">
        <v>81</v>
      </c>
      <c r="D397" s="120" t="s">
        <v>44</v>
      </c>
      <c r="E397" s="1" t="s">
        <v>1561</v>
      </c>
      <c r="F397" s="120" t="s">
        <v>160</v>
      </c>
      <c r="G397" s="120" t="s">
        <v>22</v>
      </c>
      <c r="H397" s="61" t="s">
        <v>10254</v>
      </c>
      <c r="I397" s="120" t="s">
        <v>177</v>
      </c>
      <c r="J397" s="120" t="s">
        <v>354</v>
      </c>
      <c r="K397" s="120" t="s">
        <v>1562</v>
      </c>
      <c r="L397" s="117" t="s">
        <v>1558</v>
      </c>
      <c r="M397" s="117" t="s">
        <v>1559</v>
      </c>
      <c r="N397" s="117" t="s">
        <v>1560</v>
      </c>
      <c r="O397" s="119">
        <v>0</v>
      </c>
      <c r="P397" s="119">
        <v>0</v>
      </c>
      <c r="Q397" s="119">
        <v>0</v>
      </c>
      <c r="R397" s="1" t="s">
        <v>371</v>
      </c>
      <c r="S397" s="120" t="s">
        <v>526</v>
      </c>
      <c r="T397" s="120" t="s">
        <v>953</v>
      </c>
      <c r="U397" s="120" t="s">
        <v>198</v>
      </c>
      <c r="V397" s="1" t="s">
        <v>357</v>
      </c>
      <c r="W397" s="120" t="s">
        <v>526</v>
      </c>
      <c r="X397" s="120" t="s">
        <v>206</v>
      </c>
      <c r="Y397" s="120" t="s">
        <v>441</v>
      </c>
      <c r="Z397" s="120" t="s">
        <v>206</v>
      </c>
      <c r="AA397" s="120" t="s">
        <v>206</v>
      </c>
      <c r="AB397" s="120" t="s">
        <v>206</v>
      </c>
      <c r="AC397" s="1" t="s">
        <v>206</v>
      </c>
      <c r="AD397" s="120" t="s">
        <v>441</v>
      </c>
      <c r="AE397" s="120" t="s">
        <v>208</v>
      </c>
      <c r="AF397" s="120" t="s">
        <v>1101</v>
      </c>
      <c r="AG397" s="120" t="s">
        <v>360</v>
      </c>
      <c r="AH397" s="1" t="s">
        <v>208</v>
      </c>
      <c r="AI397" s="120" t="s">
        <v>227</v>
      </c>
    </row>
    <row x14ac:dyDescent="0.25" r="398" customHeight="1" ht="17.25">
      <c r="A398" s="120" t="s">
        <v>2310</v>
      </c>
      <c r="B398" s="61" t="s">
        <v>2311</v>
      </c>
      <c r="C398" s="1" t="s">
        <v>81</v>
      </c>
      <c r="D398" s="120" t="s">
        <v>44</v>
      </c>
      <c r="E398" s="1" t="s">
        <v>2312</v>
      </c>
      <c r="F398" s="1" t="s">
        <v>158</v>
      </c>
      <c r="G398" s="120" t="s">
        <v>22</v>
      </c>
      <c r="H398" s="61">
        <v>33559</v>
      </c>
      <c r="I398" s="120" t="s">
        <v>175</v>
      </c>
      <c r="J398" s="120" t="s">
        <v>365</v>
      </c>
      <c r="K398" s="120" t="s">
        <v>2313</v>
      </c>
      <c r="L398" s="117" t="s">
        <v>2314</v>
      </c>
      <c r="M398" s="119">
        <v>0</v>
      </c>
      <c r="N398" s="119">
        <v>0</v>
      </c>
      <c r="O398" s="119">
        <v>0</v>
      </c>
      <c r="P398" s="119">
        <v>0</v>
      </c>
      <c r="Q398" s="119">
        <v>0</v>
      </c>
      <c r="R398" s="1" t="s">
        <v>357</v>
      </c>
      <c r="S398" s="120" t="s">
        <v>206</v>
      </c>
      <c r="T398" s="120" t="s">
        <v>2315</v>
      </c>
      <c r="U398" s="120" t="s">
        <v>199</v>
      </c>
      <c r="V398" s="120" t="s">
        <v>208</v>
      </c>
      <c r="W398" s="120" t="s">
        <v>208</v>
      </c>
      <c r="X398" s="120" t="s">
        <v>208</v>
      </c>
      <c r="Y398" s="120" t="s">
        <v>208</v>
      </c>
      <c r="Z398" s="120" t="s">
        <v>208</v>
      </c>
      <c r="AA398" s="120" t="s">
        <v>208</v>
      </c>
      <c r="AB398" s="120" t="s">
        <v>208</v>
      </c>
      <c r="AC398" s="120" t="s">
        <v>208</v>
      </c>
      <c r="AD398" s="120" t="s">
        <v>208</v>
      </c>
      <c r="AE398" s="120" t="s">
        <v>208</v>
      </c>
      <c r="AF398" s="120" t="s">
        <v>208</v>
      </c>
      <c r="AG398" s="120" t="s">
        <v>208</v>
      </c>
      <c r="AH398" s="120" t="s">
        <v>208</v>
      </c>
      <c r="AI398" s="120" t="s">
        <v>208</v>
      </c>
    </row>
    <row x14ac:dyDescent="0.25" r="399" customHeight="1" ht="17.25">
      <c r="A399" s="1" t="s">
        <v>2230</v>
      </c>
      <c r="B399" s="123" t="s">
        <v>2231</v>
      </c>
      <c r="C399" s="116" t="s">
        <v>147</v>
      </c>
      <c r="D399" s="1" t="s">
        <v>45</v>
      </c>
      <c r="E399" s="116" t="s">
        <v>1680</v>
      </c>
      <c r="F399" s="1" t="s">
        <v>159</v>
      </c>
      <c r="G399" s="1" t="s">
        <v>22</v>
      </c>
      <c r="H399" s="61">
        <v>27653</v>
      </c>
      <c r="I399" s="1" t="s">
        <v>176</v>
      </c>
      <c r="J399" s="1" t="s">
        <v>517</v>
      </c>
      <c r="K399" s="1" t="s">
        <v>366</v>
      </c>
      <c r="L399" s="117" t="s">
        <v>2232</v>
      </c>
      <c r="M399" s="119">
        <v>0</v>
      </c>
      <c r="N399" s="119">
        <v>0</v>
      </c>
      <c r="O399" s="119">
        <v>0</v>
      </c>
      <c r="P399" s="119">
        <v>0</v>
      </c>
      <c r="Q399" s="119">
        <v>0</v>
      </c>
      <c r="R399" s="1" t="s">
        <v>357</v>
      </c>
      <c r="S399" s="1" t="s">
        <v>206</v>
      </c>
      <c r="T399" s="1" t="s">
        <v>405</v>
      </c>
      <c r="U399" s="1" t="s">
        <v>197</v>
      </c>
      <c r="V399" s="1" t="s">
        <v>357</v>
      </c>
      <c r="W399" s="1" t="s">
        <v>208</v>
      </c>
      <c r="X399" s="1" t="s">
        <v>2087</v>
      </c>
      <c r="Y399" s="1" t="s">
        <v>375</v>
      </c>
      <c r="Z399" s="1" t="s">
        <v>207</v>
      </c>
      <c r="AA399" s="1" t="s">
        <v>206</v>
      </c>
      <c r="AB399" s="1" t="s">
        <v>206</v>
      </c>
      <c r="AC399" s="1" t="s">
        <v>238</v>
      </c>
      <c r="AD399" s="1" t="s">
        <v>2233</v>
      </c>
      <c r="AE399" s="1" t="s">
        <v>208</v>
      </c>
      <c r="AF399" s="1" t="s">
        <v>208</v>
      </c>
      <c r="AG399" s="1" t="s">
        <v>2233</v>
      </c>
      <c r="AH399" s="1" t="s">
        <v>208</v>
      </c>
      <c r="AI399" s="120" t="s">
        <v>227</v>
      </c>
    </row>
    <row x14ac:dyDescent="0.25" r="400" customHeight="1" ht="17.25">
      <c r="A400" s="1" t="s">
        <v>1856</v>
      </c>
      <c r="B400" s="123" t="s">
        <v>363</v>
      </c>
      <c r="C400" s="116" t="s">
        <v>85</v>
      </c>
      <c r="D400" s="1" t="s">
        <v>45</v>
      </c>
      <c r="E400" s="116" t="s">
        <v>1857</v>
      </c>
      <c r="F400" s="1" t="s">
        <v>158</v>
      </c>
      <c r="G400" s="1" t="s">
        <v>22</v>
      </c>
      <c r="H400" s="61">
        <v>31806</v>
      </c>
      <c r="I400" s="1" t="s">
        <v>175</v>
      </c>
      <c r="J400" s="1" t="s">
        <v>354</v>
      </c>
      <c r="K400" s="1" t="s">
        <v>1858</v>
      </c>
      <c r="L400" s="117" t="s">
        <v>1859</v>
      </c>
      <c r="M400" s="117" t="s">
        <v>1860</v>
      </c>
      <c r="N400" s="117" t="s">
        <v>1861</v>
      </c>
      <c r="O400" s="119">
        <v>0</v>
      </c>
      <c r="P400" s="119">
        <v>0</v>
      </c>
      <c r="Q400" s="119">
        <v>0</v>
      </c>
      <c r="R400" s="1" t="s">
        <v>357</v>
      </c>
      <c r="S400" s="1" t="s">
        <v>206</v>
      </c>
      <c r="T400" s="1" t="s">
        <v>1862</v>
      </c>
      <c r="U400" s="1" t="s">
        <v>197</v>
      </c>
      <c r="V400" s="1" t="s">
        <v>357</v>
      </c>
      <c r="W400" s="1" t="s">
        <v>208</v>
      </c>
      <c r="X400" s="1" t="s">
        <v>206</v>
      </c>
      <c r="Y400" s="1" t="s">
        <v>441</v>
      </c>
      <c r="Z400" s="1" t="s">
        <v>207</v>
      </c>
      <c r="AA400" s="1" t="s">
        <v>206</v>
      </c>
      <c r="AB400" s="1" t="s">
        <v>206</v>
      </c>
      <c r="AC400" s="1" t="s">
        <v>238</v>
      </c>
      <c r="AD400" s="1" t="s">
        <v>1849</v>
      </c>
      <c r="AE400" s="1" t="s">
        <v>208</v>
      </c>
      <c r="AF400" s="1" t="s">
        <v>208</v>
      </c>
      <c r="AG400" s="1" t="s">
        <v>1849</v>
      </c>
      <c r="AH400" s="1" t="s">
        <v>208</v>
      </c>
      <c r="AI400" s="120" t="s">
        <v>227</v>
      </c>
    </row>
    <row x14ac:dyDescent="0.25" r="401" customHeight="1" ht="17.25">
      <c r="A401" s="1" t="s">
        <v>1850</v>
      </c>
      <c r="B401" s="123" t="s">
        <v>709</v>
      </c>
      <c r="C401" s="116" t="s">
        <v>85</v>
      </c>
      <c r="D401" s="1" t="s">
        <v>45</v>
      </c>
      <c r="E401" s="116" t="s">
        <v>1851</v>
      </c>
      <c r="F401" s="1" t="s">
        <v>159</v>
      </c>
      <c r="G401" s="1" t="s">
        <v>22</v>
      </c>
      <c r="H401" s="61">
        <v>34492</v>
      </c>
      <c r="I401" s="1" t="s">
        <v>177</v>
      </c>
      <c r="J401" s="1" t="s">
        <v>365</v>
      </c>
      <c r="K401" s="1" t="s">
        <v>366</v>
      </c>
      <c r="L401" s="117" t="s">
        <v>1852</v>
      </c>
      <c r="M401" s="117" t="s">
        <v>1853</v>
      </c>
      <c r="N401" s="117" t="s">
        <v>1854</v>
      </c>
      <c r="O401" s="119">
        <v>0</v>
      </c>
      <c r="P401" s="119">
        <v>0</v>
      </c>
      <c r="Q401" s="119">
        <v>0</v>
      </c>
      <c r="R401" s="1" t="s">
        <v>357</v>
      </c>
      <c r="S401" s="1" t="s">
        <v>206</v>
      </c>
      <c r="T401" s="1" t="s">
        <v>1855</v>
      </c>
      <c r="U401" s="1" t="s">
        <v>197</v>
      </c>
      <c r="V401" s="1" t="s">
        <v>357</v>
      </c>
      <c r="W401" s="1" t="s">
        <v>208</v>
      </c>
      <c r="X401" s="1" t="s">
        <v>206</v>
      </c>
      <c r="Y401" s="1" t="s">
        <v>441</v>
      </c>
      <c r="Z401" s="1" t="s">
        <v>207</v>
      </c>
      <c r="AA401" s="1" t="s">
        <v>206</v>
      </c>
      <c r="AB401" s="1" t="s">
        <v>206</v>
      </c>
      <c r="AC401" s="1" t="s">
        <v>238</v>
      </c>
      <c r="AD401" s="1" t="s">
        <v>1849</v>
      </c>
      <c r="AE401" s="1" t="s">
        <v>208</v>
      </c>
      <c r="AF401" s="1" t="s">
        <v>208</v>
      </c>
      <c r="AG401" s="1" t="s">
        <v>1849</v>
      </c>
      <c r="AH401" s="1" t="s">
        <v>208</v>
      </c>
      <c r="AI401" s="120" t="s">
        <v>227</v>
      </c>
    </row>
    <row x14ac:dyDescent="0.25" r="402" customHeight="1" ht="17.25">
      <c r="A402" s="1" t="s">
        <v>1061</v>
      </c>
      <c r="B402" s="123" t="s">
        <v>1062</v>
      </c>
      <c r="C402" s="116" t="s">
        <v>85</v>
      </c>
      <c r="D402" s="1" t="s">
        <v>45</v>
      </c>
      <c r="E402" s="116" t="s">
        <v>1063</v>
      </c>
      <c r="F402" s="1" t="s">
        <v>158</v>
      </c>
      <c r="G402" s="1" t="s">
        <v>170</v>
      </c>
      <c r="H402" s="61">
        <v>28893</v>
      </c>
      <c r="I402" s="1" t="s">
        <v>176</v>
      </c>
      <c r="J402" s="1" t="s">
        <v>365</v>
      </c>
      <c r="K402" s="1" t="s">
        <v>1064</v>
      </c>
      <c r="L402" s="119">
        <v>0</v>
      </c>
      <c r="M402" s="117" t="s">
        <v>1065</v>
      </c>
      <c r="N402" s="119">
        <v>0</v>
      </c>
      <c r="O402" s="119">
        <v>0</v>
      </c>
      <c r="P402" s="119">
        <v>0</v>
      </c>
      <c r="Q402" s="119">
        <v>0</v>
      </c>
      <c r="R402" s="1" t="s">
        <v>357</v>
      </c>
      <c r="S402" s="1" t="s">
        <v>206</v>
      </c>
      <c r="T402" s="1" t="s">
        <v>1066</v>
      </c>
      <c r="U402" s="1" t="s">
        <v>197</v>
      </c>
      <c r="V402" s="1" t="s">
        <v>357</v>
      </c>
      <c r="W402" s="1" t="s">
        <v>208</v>
      </c>
      <c r="X402" s="1" t="s">
        <v>206</v>
      </c>
      <c r="Y402" s="1" t="s">
        <v>441</v>
      </c>
      <c r="Z402" s="1" t="s">
        <v>206</v>
      </c>
      <c r="AA402" s="1" t="s">
        <v>206</v>
      </c>
      <c r="AB402" s="1" t="s">
        <v>206</v>
      </c>
      <c r="AC402" s="1" t="s">
        <v>237</v>
      </c>
      <c r="AD402" s="1" t="s">
        <v>1052</v>
      </c>
      <c r="AE402" s="1" t="s">
        <v>208</v>
      </c>
      <c r="AF402" s="1" t="s">
        <v>208</v>
      </c>
      <c r="AG402" s="1" t="s">
        <v>1052</v>
      </c>
      <c r="AH402" s="1" t="s">
        <v>206</v>
      </c>
      <c r="AI402" s="1" t="s">
        <v>228</v>
      </c>
    </row>
    <row x14ac:dyDescent="0.25" r="403" customHeight="1" ht="17.25">
      <c r="A403" s="1" t="s">
        <v>809</v>
      </c>
      <c r="B403" s="123" t="s">
        <v>363</v>
      </c>
      <c r="C403" s="116" t="s">
        <v>85</v>
      </c>
      <c r="D403" s="1" t="s">
        <v>45</v>
      </c>
      <c r="E403" s="116" t="s">
        <v>810</v>
      </c>
      <c r="F403" s="1" t="s">
        <v>158</v>
      </c>
      <c r="G403" s="1" t="s">
        <v>22</v>
      </c>
      <c r="H403" s="61">
        <v>35528</v>
      </c>
      <c r="I403" s="1" t="s">
        <v>177</v>
      </c>
      <c r="J403" s="1" t="s">
        <v>354</v>
      </c>
      <c r="K403" s="1" t="s">
        <v>547</v>
      </c>
      <c r="L403" s="117" t="s">
        <v>811</v>
      </c>
      <c r="M403" s="117" t="s">
        <v>812</v>
      </c>
      <c r="N403" s="117" t="s">
        <v>813</v>
      </c>
      <c r="O403" s="119">
        <v>0</v>
      </c>
      <c r="P403" s="119">
        <v>0</v>
      </c>
      <c r="Q403" s="117" t="s">
        <v>814</v>
      </c>
      <c r="R403" s="1" t="s">
        <v>357</v>
      </c>
      <c r="S403" s="1" t="s">
        <v>206</v>
      </c>
      <c r="T403" s="1" t="s">
        <v>815</v>
      </c>
      <c r="U403" s="1" t="s">
        <v>197</v>
      </c>
      <c r="V403" s="1" t="s">
        <v>357</v>
      </c>
      <c r="W403" s="1" t="s">
        <v>208</v>
      </c>
      <c r="X403" s="1" t="s">
        <v>206</v>
      </c>
      <c r="Y403" s="1" t="s">
        <v>441</v>
      </c>
      <c r="Z403" s="1" t="s">
        <v>206</v>
      </c>
      <c r="AA403" s="1" t="s">
        <v>206</v>
      </c>
      <c r="AB403" s="1" t="s">
        <v>206</v>
      </c>
      <c r="AC403" s="1" t="s">
        <v>236</v>
      </c>
      <c r="AD403" s="1" t="s">
        <v>497</v>
      </c>
      <c r="AE403" s="1" t="s">
        <v>208</v>
      </c>
      <c r="AF403" s="1" t="s">
        <v>208</v>
      </c>
      <c r="AG403" s="1" t="s">
        <v>497</v>
      </c>
      <c r="AH403" s="1" t="s">
        <v>35</v>
      </c>
      <c r="AI403" s="1" t="s">
        <v>208</v>
      </c>
    </row>
    <row x14ac:dyDescent="0.25" r="404" customHeight="1" ht="17.25">
      <c r="A404" s="1" t="s">
        <v>1843</v>
      </c>
      <c r="B404" s="123" t="s">
        <v>1844</v>
      </c>
      <c r="C404" s="116" t="s">
        <v>85</v>
      </c>
      <c r="D404" s="1" t="s">
        <v>45</v>
      </c>
      <c r="E404" s="116" t="s">
        <v>1845</v>
      </c>
      <c r="F404" s="1" t="s">
        <v>158</v>
      </c>
      <c r="G404" s="1" t="s">
        <v>22</v>
      </c>
      <c r="H404" s="61">
        <v>34312</v>
      </c>
      <c r="I404" s="1" t="s">
        <v>175</v>
      </c>
      <c r="J404" s="1" t="s">
        <v>354</v>
      </c>
      <c r="K404" s="1" t="s">
        <v>533</v>
      </c>
      <c r="L404" s="117" t="s">
        <v>1846</v>
      </c>
      <c r="M404" s="117" t="s">
        <v>1847</v>
      </c>
      <c r="N404" s="117" t="s">
        <v>1848</v>
      </c>
      <c r="O404" s="119">
        <v>0</v>
      </c>
      <c r="P404" s="119">
        <v>0</v>
      </c>
      <c r="Q404" s="119">
        <v>0</v>
      </c>
      <c r="R404" s="1" t="s">
        <v>357</v>
      </c>
      <c r="S404" s="1" t="s">
        <v>206</v>
      </c>
      <c r="T404" s="1" t="s">
        <v>1579</v>
      </c>
      <c r="U404" s="1" t="s">
        <v>197</v>
      </c>
      <c r="V404" s="1" t="s">
        <v>357</v>
      </c>
      <c r="W404" s="1" t="s">
        <v>208</v>
      </c>
      <c r="X404" s="1" t="s">
        <v>603</v>
      </c>
      <c r="Y404" s="1" t="s">
        <v>1849</v>
      </c>
      <c r="Z404" s="1" t="s">
        <v>207</v>
      </c>
      <c r="AA404" s="1" t="s">
        <v>28</v>
      </c>
      <c r="AB404" s="1" t="s">
        <v>206</v>
      </c>
      <c r="AC404" s="1" t="s">
        <v>238</v>
      </c>
      <c r="AD404" s="1" t="s">
        <v>1849</v>
      </c>
      <c r="AE404" s="1" t="s">
        <v>208</v>
      </c>
      <c r="AF404" s="1" t="s">
        <v>208</v>
      </c>
      <c r="AG404" s="1" t="s">
        <v>1849</v>
      </c>
      <c r="AH404" s="1" t="s">
        <v>208</v>
      </c>
      <c r="AI404" s="1" t="s">
        <v>228</v>
      </c>
    </row>
    <row x14ac:dyDescent="0.25" r="405" customHeight="1" ht="17.25">
      <c r="A405" s="1" t="s">
        <v>1185</v>
      </c>
      <c r="B405" s="123" t="s">
        <v>606</v>
      </c>
      <c r="C405" s="116" t="s">
        <v>85</v>
      </c>
      <c r="D405" s="1" t="s">
        <v>45</v>
      </c>
      <c r="E405" s="116" t="s">
        <v>1186</v>
      </c>
      <c r="F405" s="1" t="s">
        <v>158</v>
      </c>
      <c r="G405" s="1" t="s">
        <v>22</v>
      </c>
      <c r="H405" s="61">
        <v>35620</v>
      </c>
      <c r="I405" s="1" t="s">
        <v>175</v>
      </c>
      <c r="J405" s="1" t="s">
        <v>354</v>
      </c>
      <c r="K405" s="1" t="s">
        <v>1187</v>
      </c>
      <c r="L405" s="117" t="s">
        <v>1188</v>
      </c>
      <c r="M405" s="117" t="s">
        <v>1189</v>
      </c>
      <c r="N405" s="117" t="s">
        <v>1190</v>
      </c>
      <c r="O405" s="117" t="s">
        <v>1191</v>
      </c>
      <c r="P405" s="117" t="s">
        <v>1192</v>
      </c>
      <c r="Q405" s="119">
        <v>0</v>
      </c>
      <c r="R405" s="1" t="s">
        <v>357</v>
      </c>
      <c r="S405" s="1" t="s">
        <v>831</v>
      </c>
      <c r="T405" s="1" t="s">
        <v>1193</v>
      </c>
      <c r="U405" s="1" t="s">
        <v>198</v>
      </c>
      <c r="V405" s="1" t="s">
        <v>357</v>
      </c>
      <c r="W405" s="1" t="s">
        <v>206</v>
      </c>
      <c r="X405" s="1" t="s">
        <v>206</v>
      </c>
      <c r="Y405" s="1" t="s">
        <v>441</v>
      </c>
      <c r="Z405" s="1" t="s">
        <v>206</v>
      </c>
      <c r="AA405" s="1" t="s">
        <v>206</v>
      </c>
      <c r="AB405" s="1" t="s">
        <v>206</v>
      </c>
      <c r="AC405" s="1" t="s">
        <v>237</v>
      </c>
      <c r="AD405" s="1" t="s">
        <v>1052</v>
      </c>
      <c r="AE405" s="1" t="s">
        <v>208</v>
      </c>
      <c r="AF405" s="1" t="s">
        <v>208</v>
      </c>
      <c r="AG405" s="1" t="s">
        <v>1052</v>
      </c>
      <c r="AH405" s="1" t="s">
        <v>206</v>
      </c>
      <c r="AI405" s="1" t="s">
        <v>228</v>
      </c>
    </row>
    <row x14ac:dyDescent="0.25" r="406" customHeight="1" ht="17.25">
      <c r="A406" s="1" t="s">
        <v>1095</v>
      </c>
      <c r="B406" s="123" t="s">
        <v>817</v>
      </c>
      <c r="C406" s="116" t="s">
        <v>85</v>
      </c>
      <c r="D406" s="1" t="s">
        <v>45</v>
      </c>
      <c r="E406" s="116" t="s">
        <v>1096</v>
      </c>
      <c r="F406" s="1" t="s">
        <v>159</v>
      </c>
      <c r="G406" s="1" t="s">
        <v>22</v>
      </c>
      <c r="H406" s="61">
        <v>32518</v>
      </c>
      <c r="I406" s="1" t="s">
        <v>175</v>
      </c>
      <c r="J406" s="1" t="s">
        <v>615</v>
      </c>
      <c r="K406" s="1" t="s">
        <v>1097</v>
      </c>
      <c r="L406" s="117" t="s">
        <v>1098</v>
      </c>
      <c r="M406" s="117" t="s">
        <v>1099</v>
      </c>
      <c r="N406" s="119">
        <v>0</v>
      </c>
      <c r="O406" s="119">
        <v>0</v>
      </c>
      <c r="P406" s="119">
        <v>0</v>
      </c>
      <c r="Q406" s="119">
        <v>0</v>
      </c>
      <c r="R406" s="1" t="s">
        <v>357</v>
      </c>
      <c r="S406" s="1" t="s">
        <v>526</v>
      </c>
      <c r="T406" s="1" t="s">
        <v>1100</v>
      </c>
      <c r="U406" s="1" t="s">
        <v>197</v>
      </c>
      <c r="V406" s="1" t="s">
        <v>357</v>
      </c>
      <c r="W406" s="120" t="s">
        <v>526</v>
      </c>
      <c r="X406" s="1" t="s">
        <v>206</v>
      </c>
      <c r="Y406" s="1" t="s">
        <v>441</v>
      </c>
      <c r="Z406" s="1" t="s">
        <v>206</v>
      </c>
      <c r="AA406" s="1" t="s">
        <v>206</v>
      </c>
      <c r="AB406" s="1" t="s">
        <v>206</v>
      </c>
      <c r="AC406" s="1" t="s">
        <v>237</v>
      </c>
      <c r="AD406" s="1" t="s">
        <v>1052</v>
      </c>
      <c r="AE406" s="1" t="s">
        <v>208</v>
      </c>
      <c r="AF406" s="1" t="s">
        <v>1101</v>
      </c>
      <c r="AG406" s="1" t="s">
        <v>1102</v>
      </c>
      <c r="AH406" s="1" t="s">
        <v>208</v>
      </c>
      <c r="AI406" s="1" t="s">
        <v>228</v>
      </c>
    </row>
    <row x14ac:dyDescent="0.25" r="407" customHeight="1" ht="17.25">
      <c r="A407" s="1" t="s">
        <v>1131</v>
      </c>
      <c r="B407" s="123" t="s">
        <v>1132</v>
      </c>
      <c r="C407" s="116" t="s">
        <v>85</v>
      </c>
      <c r="D407" s="1" t="s">
        <v>45</v>
      </c>
      <c r="E407" s="116" t="s">
        <v>1133</v>
      </c>
      <c r="F407" s="1" t="s">
        <v>158</v>
      </c>
      <c r="G407" s="1" t="s">
        <v>22</v>
      </c>
      <c r="H407" s="61">
        <v>32314</v>
      </c>
      <c r="I407" s="1" t="s">
        <v>176</v>
      </c>
      <c r="J407" s="1" t="s">
        <v>365</v>
      </c>
      <c r="K407" s="1" t="s">
        <v>773</v>
      </c>
      <c r="L407" s="117" t="s">
        <v>1134</v>
      </c>
      <c r="M407" s="119">
        <v>0</v>
      </c>
      <c r="N407" s="117" t="s">
        <v>1135</v>
      </c>
      <c r="O407" s="119">
        <v>0</v>
      </c>
      <c r="P407" s="119">
        <v>0</v>
      </c>
      <c r="Q407" s="119">
        <v>0</v>
      </c>
      <c r="R407" s="1" t="s">
        <v>357</v>
      </c>
      <c r="S407" s="1" t="s">
        <v>372</v>
      </c>
      <c r="T407" s="1" t="s">
        <v>1136</v>
      </c>
      <c r="U407" s="1" t="s">
        <v>198</v>
      </c>
      <c r="V407" s="1" t="s">
        <v>357</v>
      </c>
      <c r="W407" s="1" t="s">
        <v>206</v>
      </c>
      <c r="X407" s="1" t="s">
        <v>206</v>
      </c>
      <c r="Y407" s="1" t="s">
        <v>441</v>
      </c>
      <c r="Z407" s="1" t="s">
        <v>206</v>
      </c>
      <c r="AA407" s="1" t="s">
        <v>206</v>
      </c>
      <c r="AB407" s="1" t="s">
        <v>206</v>
      </c>
      <c r="AC407" s="1" t="s">
        <v>237</v>
      </c>
      <c r="AD407" s="1" t="s">
        <v>1052</v>
      </c>
      <c r="AE407" s="1" t="s">
        <v>208</v>
      </c>
      <c r="AF407" s="1" t="s">
        <v>208</v>
      </c>
      <c r="AG407" s="1" t="s">
        <v>1052</v>
      </c>
      <c r="AH407" s="1" t="s">
        <v>206</v>
      </c>
      <c r="AI407" s="1" t="s">
        <v>228</v>
      </c>
    </row>
    <row x14ac:dyDescent="0.25" r="408" customHeight="1" ht="17.25">
      <c r="A408" s="1" t="s">
        <v>2280</v>
      </c>
      <c r="B408" s="61" t="s">
        <v>1810</v>
      </c>
      <c r="C408" s="1" t="s">
        <v>85</v>
      </c>
      <c r="D408" s="1" t="s">
        <v>45</v>
      </c>
      <c r="E408" s="116" t="s">
        <v>2281</v>
      </c>
      <c r="F408" s="1" t="s">
        <v>159</v>
      </c>
      <c r="G408" s="1" t="s">
        <v>22</v>
      </c>
      <c r="H408" s="61">
        <v>32645</v>
      </c>
      <c r="I408" s="1" t="s">
        <v>175</v>
      </c>
      <c r="J408" s="1" t="s">
        <v>464</v>
      </c>
      <c r="K408" s="1" t="s">
        <v>2282</v>
      </c>
      <c r="L408" s="117" t="s">
        <v>2283</v>
      </c>
      <c r="M408" s="119">
        <v>0</v>
      </c>
      <c r="N408" s="119">
        <v>0</v>
      </c>
      <c r="O408" s="119">
        <v>0</v>
      </c>
      <c r="P408" s="119">
        <v>0</v>
      </c>
      <c r="Q408" s="119">
        <v>0</v>
      </c>
      <c r="R408" s="1" t="s">
        <v>357</v>
      </c>
      <c r="S408" s="1" t="s">
        <v>206</v>
      </c>
      <c r="T408" s="1" t="s">
        <v>2284</v>
      </c>
      <c r="U408" s="1" t="s">
        <v>200</v>
      </c>
      <c r="V408" s="1" t="s">
        <v>2285</v>
      </c>
      <c r="W408" s="1" t="s">
        <v>208</v>
      </c>
      <c r="X408" s="1" t="s">
        <v>208</v>
      </c>
      <c r="Y408" s="1" t="s">
        <v>208</v>
      </c>
      <c r="Z408" s="1" t="s">
        <v>208</v>
      </c>
      <c r="AA408" s="1" t="s">
        <v>208</v>
      </c>
      <c r="AB408" s="1" t="s">
        <v>208</v>
      </c>
      <c r="AC408" s="1" t="s">
        <v>208</v>
      </c>
      <c r="AD408" s="1" t="s">
        <v>208</v>
      </c>
      <c r="AE408" s="1" t="s">
        <v>206</v>
      </c>
      <c r="AF408" s="1" t="s">
        <v>208</v>
      </c>
      <c r="AG408" s="1" t="s">
        <v>208</v>
      </c>
      <c r="AH408" s="1" t="s">
        <v>208</v>
      </c>
      <c r="AI408" s="1" t="s">
        <v>208</v>
      </c>
    </row>
    <row x14ac:dyDescent="0.25" r="409" customHeight="1" ht="17.25">
      <c r="A409" s="1" t="s">
        <v>1878</v>
      </c>
      <c r="B409" s="61" t="s">
        <v>1844</v>
      </c>
      <c r="C409" s="1" t="s">
        <v>85</v>
      </c>
      <c r="D409" s="1" t="s">
        <v>45</v>
      </c>
      <c r="E409" s="1" t="s">
        <v>1879</v>
      </c>
      <c r="F409" s="1" t="s">
        <v>158</v>
      </c>
      <c r="G409" s="1" t="s">
        <v>22</v>
      </c>
      <c r="H409" s="61">
        <v>25966</v>
      </c>
      <c r="I409" s="1" t="s">
        <v>175</v>
      </c>
      <c r="J409" s="1" t="s">
        <v>354</v>
      </c>
      <c r="K409" s="1" t="s">
        <v>1880</v>
      </c>
      <c r="L409" s="117" t="s">
        <v>1881</v>
      </c>
      <c r="M409" s="117" t="s">
        <v>1882</v>
      </c>
      <c r="N409" s="117" t="s">
        <v>1883</v>
      </c>
      <c r="O409" s="119">
        <v>0</v>
      </c>
      <c r="P409" s="119">
        <v>0</v>
      </c>
      <c r="Q409" s="119">
        <v>0</v>
      </c>
      <c r="R409" s="1" t="s">
        <v>357</v>
      </c>
      <c r="S409" s="1" t="s">
        <v>206</v>
      </c>
      <c r="T409" s="1" t="s">
        <v>1136</v>
      </c>
      <c r="U409" s="1" t="s">
        <v>197</v>
      </c>
      <c r="V409" s="1" t="s">
        <v>357</v>
      </c>
      <c r="W409" s="1" t="s">
        <v>208</v>
      </c>
      <c r="X409" s="1" t="s">
        <v>603</v>
      </c>
      <c r="Y409" s="1" t="s">
        <v>1849</v>
      </c>
      <c r="Z409" s="1" t="s">
        <v>207</v>
      </c>
      <c r="AA409" s="1" t="s">
        <v>206</v>
      </c>
      <c r="AB409" s="1" t="s">
        <v>206</v>
      </c>
      <c r="AC409" s="1" t="s">
        <v>238</v>
      </c>
      <c r="AD409" s="1" t="s">
        <v>1102</v>
      </c>
      <c r="AE409" s="1" t="s">
        <v>208</v>
      </c>
      <c r="AF409" s="1" t="s">
        <v>208</v>
      </c>
      <c r="AG409" s="1" t="s">
        <v>1102</v>
      </c>
      <c r="AH409" s="1" t="s">
        <v>208</v>
      </c>
      <c r="AI409" s="120" t="s">
        <v>227</v>
      </c>
    </row>
    <row x14ac:dyDescent="0.25" r="410" customHeight="1" ht="17.25">
      <c r="A410" s="1" t="s">
        <v>1748</v>
      </c>
      <c r="B410" s="123" t="s">
        <v>449</v>
      </c>
      <c r="C410" s="116" t="s">
        <v>116</v>
      </c>
      <c r="D410" s="1" t="s">
        <v>46</v>
      </c>
      <c r="E410" s="116" t="s">
        <v>1749</v>
      </c>
      <c r="F410" s="1" t="s">
        <v>158</v>
      </c>
      <c r="G410" s="1" t="s">
        <v>22</v>
      </c>
      <c r="H410" s="61">
        <v>31148</v>
      </c>
      <c r="I410" s="1" t="s">
        <v>175</v>
      </c>
      <c r="J410" s="1" t="s">
        <v>615</v>
      </c>
      <c r="K410" s="1" t="s">
        <v>1750</v>
      </c>
      <c r="L410" s="117" t="s">
        <v>1751</v>
      </c>
      <c r="M410" s="117" t="s">
        <v>1752</v>
      </c>
      <c r="N410" s="119">
        <v>0</v>
      </c>
      <c r="O410" s="119">
        <v>0</v>
      </c>
      <c r="P410" s="119">
        <v>0</v>
      </c>
      <c r="Q410" s="119">
        <v>0</v>
      </c>
      <c r="R410" s="1" t="s">
        <v>357</v>
      </c>
      <c r="S410" s="1" t="s">
        <v>206</v>
      </c>
      <c r="T410" s="1" t="s">
        <v>358</v>
      </c>
      <c r="U410" s="1" t="s">
        <v>197</v>
      </c>
      <c r="V410" s="1" t="s">
        <v>357</v>
      </c>
      <c r="W410" s="1" t="s">
        <v>208</v>
      </c>
      <c r="X410" s="1" t="s">
        <v>206</v>
      </c>
      <c r="Y410" s="1" t="s">
        <v>441</v>
      </c>
      <c r="Z410" s="1" t="s">
        <v>207</v>
      </c>
      <c r="AA410" s="1" t="s">
        <v>206</v>
      </c>
      <c r="AB410" s="1" t="s">
        <v>206</v>
      </c>
      <c r="AC410" s="1" t="s">
        <v>238</v>
      </c>
      <c r="AD410" s="1" t="s">
        <v>492</v>
      </c>
      <c r="AE410" s="1" t="s">
        <v>208</v>
      </c>
      <c r="AF410" s="1" t="s">
        <v>208</v>
      </c>
      <c r="AG410" s="1" t="s">
        <v>492</v>
      </c>
      <c r="AH410" s="1" t="s">
        <v>208</v>
      </c>
      <c r="AI410" s="120" t="s">
        <v>227</v>
      </c>
    </row>
    <row x14ac:dyDescent="0.25" r="411" customHeight="1" ht="17.25">
      <c r="A411" s="1" t="s">
        <v>795</v>
      </c>
      <c r="B411" s="123" t="s">
        <v>796</v>
      </c>
      <c r="C411" s="116" t="s">
        <v>108</v>
      </c>
      <c r="D411" s="1" t="s">
        <v>46</v>
      </c>
      <c r="E411" s="116" t="s">
        <v>797</v>
      </c>
      <c r="F411" s="1" t="s">
        <v>158</v>
      </c>
      <c r="G411" s="1" t="s">
        <v>22</v>
      </c>
      <c r="H411" s="61">
        <v>35473</v>
      </c>
      <c r="I411" s="1" t="s">
        <v>175</v>
      </c>
      <c r="J411" s="1" t="s">
        <v>365</v>
      </c>
      <c r="K411" s="1" t="s">
        <v>366</v>
      </c>
      <c r="L411" s="119">
        <v>0</v>
      </c>
      <c r="M411" s="119">
        <v>0</v>
      </c>
      <c r="N411" s="117" t="s">
        <v>798</v>
      </c>
      <c r="O411" s="119">
        <v>0</v>
      </c>
      <c r="P411" s="119">
        <v>0</v>
      </c>
      <c r="Q411" s="119">
        <v>0</v>
      </c>
      <c r="R411" s="1" t="s">
        <v>357</v>
      </c>
      <c r="S411" s="1" t="s">
        <v>206</v>
      </c>
      <c r="T411" s="1" t="s">
        <v>373</v>
      </c>
      <c r="U411" s="1" t="s">
        <v>197</v>
      </c>
      <c r="V411" s="1" t="s">
        <v>357</v>
      </c>
      <c r="W411" s="1" t="s">
        <v>208</v>
      </c>
      <c r="X411" s="1" t="s">
        <v>206</v>
      </c>
      <c r="Y411" s="1" t="s">
        <v>441</v>
      </c>
      <c r="Z411" s="1" t="s">
        <v>206</v>
      </c>
      <c r="AA411" s="1" t="s">
        <v>206</v>
      </c>
      <c r="AB411" s="1" t="s">
        <v>206</v>
      </c>
      <c r="AC411" s="1" t="s">
        <v>236</v>
      </c>
      <c r="AD411" s="1" t="s">
        <v>497</v>
      </c>
      <c r="AE411" s="1" t="s">
        <v>208</v>
      </c>
      <c r="AF411" s="1" t="s">
        <v>208</v>
      </c>
      <c r="AG411" s="1" t="s">
        <v>497</v>
      </c>
      <c r="AH411" s="1" t="s">
        <v>206</v>
      </c>
      <c r="AI411" s="1" t="s">
        <v>229</v>
      </c>
    </row>
    <row x14ac:dyDescent="0.25" r="412" customHeight="1" ht="17.25">
      <c r="A412" s="1" t="s">
        <v>1770</v>
      </c>
      <c r="B412" s="123" t="s">
        <v>1771</v>
      </c>
      <c r="C412" s="116" t="s">
        <v>116</v>
      </c>
      <c r="D412" s="1" t="s">
        <v>46</v>
      </c>
      <c r="E412" s="116" t="s">
        <v>1772</v>
      </c>
      <c r="F412" s="1" t="s">
        <v>158</v>
      </c>
      <c r="G412" s="1" t="s">
        <v>22</v>
      </c>
      <c r="H412" s="61">
        <v>35155</v>
      </c>
      <c r="I412" s="1" t="s">
        <v>175</v>
      </c>
      <c r="J412" s="1" t="s">
        <v>517</v>
      </c>
      <c r="K412" s="1" t="s">
        <v>1773</v>
      </c>
      <c r="L412" s="119">
        <v>0</v>
      </c>
      <c r="M412" s="117" t="s">
        <v>1774</v>
      </c>
      <c r="N412" s="119">
        <v>0</v>
      </c>
      <c r="O412" s="119">
        <v>0</v>
      </c>
      <c r="P412" s="119">
        <v>0</v>
      </c>
      <c r="Q412" s="119">
        <v>0</v>
      </c>
      <c r="R412" s="1" t="s">
        <v>357</v>
      </c>
      <c r="S412" s="1" t="s">
        <v>206</v>
      </c>
      <c r="T412" s="1" t="s">
        <v>373</v>
      </c>
      <c r="U412" s="1" t="s">
        <v>197</v>
      </c>
      <c r="V412" s="1" t="s">
        <v>357</v>
      </c>
      <c r="W412" s="1" t="s">
        <v>208</v>
      </c>
      <c r="X412" s="1" t="s">
        <v>206</v>
      </c>
      <c r="Y412" s="1" t="s">
        <v>441</v>
      </c>
      <c r="Z412" s="1" t="s">
        <v>206</v>
      </c>
      <c r="AA412" s="1" t="s">
        <v>206</v>
      </c>
      <c r="AB412" s="1" t="s">
        <v>34</v>
      </c>
      <c r="AC412" s="1" t="s">
        <v>206</v>
      </c>
      <c r="AD412" s="1" t="s">
        <v>492</v>
      </c>
      <c r="AE412" s="1" t="s">
        <v>208</v>
      </c>
      <c r="AF412" s="1" t="s">
        <v>208</v>
      </c>
      <c r="AG412" s="1" t="s">
        <v>492</v>
      </c>
      <c r="AH412" s="1" t="s">
        <v>208</v>
      </c>
      <c r="AI412" s="120" t="s">
        <v>227</v>
      </c>
    </row>
    <row x14ac:dyDescent="0.25" r="413" customHeight="1" ht="17.25">
      <c r="A413" s="1" t="s">
        <v>456</v>
      </c>
      <c r="B413" s="123" t="s">
        <v>457</v>
      </c>
      <c r="C413" s="116" t="s">
        <v>116</v>
      </c>
      <c r="D413" s="1" t="s">
        <v>46</v>
      </c>
      <c r="E413" s="116" t="s">
        <v>458</v>
      </c>
      <c r="F413" s="1" t="s">
        <v>161</v>
      </c>
      <c r="G413" s="1" t="s">
        <v>22</v>
      </c>
      <c r="H413" s="61">
        <v>31567</v>
      </c>
      <c r="I413" s="1" t="s">
        <v>175</v>
      </c>
      <c r="J413" s="1" t="s">
        <v>354</v>
      </c>
      <c r="K413" s="1" t="s">
        <v>459</v>
      </c>
      <c r="L413" s="117" t="s">
        <v>460</v>
      </c>
      <c r="M413" s="117" t="s">
        <v>461</v>
      </c>
      <c r="N413" s="119">
        <v>0</v>
      </c>
      <c r="O413" s="119">
        <v>0</v>
      </c>
      <c r="P413" s="119">
        <v>0</v>
      </c>
      <c r="Q413" s="119">
        <v>0</v>
      </c>
      <c r="R413" s="1" t="s">
        <v>357</v>
      </c>
      <c r="S413" s="1" t="s">
        <v>206</v>
      </c>
      <c r="T413" s="1" t="s">
        <v>373</v>
      </c>
      <c r="U413" s="1" t="s">
        <v>197</v>
      </c>
      <c r="V413" s="1" t="s">
        <v>357</v>
      </c>
      <c r="W413" s="1" t="s">
        <v>208</v>
      </c>
      <c r="X413" s="1" t="s">
        <v>431</v>
      </c>
      <c r="Y413" s="1" t="s">
        <v>432</v>
      </c>
      <c r="Z413" s="1" t="s">
        <v>206</v>
      </c>
      <c r="AA413" s="1" t="s">
        <v>206</v>
      </c>
      <c r="AB413" s="1" t="s">
        <v>206</v>
      </c>
      <c r="AC413" s="1" t="s">
        <v>236</v>
      </c>
      <c r="AD413" s="1" t="s">
        <v>433</v>
      </c>
      <c r="AE413" s="1" t="s">
        <v>208</v>
      </c>
      <c r="AF413" s="1" t="s">
        <v>208</v>
      </c>
      <c r="AG413" s="1" t="s">
        <v>433</v>
      </c>
      <c r="AH413" s="1" t="s">
        <v>206</v>
      </c>
      <c r="AI413" s="1" t="s">
        <v>229</v>
      </c>
    </row>
    <row x14ac:dyDescent="0.25" r="414" customHeight="1" ht="17.25">
      <c r="A414" s="1" t="s">
        <v>1487</v>
      </c>
      <c r="B414" s="123" t="s">
        <v>948</v>
      </c>
      <c r="C414" s="116" t="s">
        <v>116</v>
      </c>
      <c r="D414" s="1" t="s">
        <v>46</v>
      </c>
      <c r="E414" s="116" t="s">
        <v>1488</v>
      </c>
      <c r="F414" s="1" t="s">
        <v>158</v>
      </c>
      <c r="G414" s="1" t="s">
        <v>22</v>
      </c>
      <c r="H414" s="61">
        <v>35923</v>
      </c>
      <c r="I414" s="1" t="s">
        <v>175</v>
      </c>
      <c r="J414" s="1" t="s">
        <v>365</v>
      </c>
      <c r="K414" s="1" t="s">
        <v>1161</v>
      </c>
      <c r="L414" s="117" t="s">
        <v>1489</v>
      </c>
      <c r="M414" s="117" t="s">
        <v>1490</v>
      </c>
      <c r="N414" s="119">
        <v>0</v>
      </c>
      <c r="O414" s="119">
        <v>0</v>
      </c>
      <c r="P414" s="119">
        <v>0</v>
      </c>
      <c r="Q414" s="119">
        <v>0</v>
      </c>
      <c r="R414" s="1" t="s">
        <v>357</v>
      </c>
      <c r="S414" s="1" t="s">
        <v>206</v>
      </c>
      <c r="T414" s="1" t="s">
        <v>373</v>
      </c>
      <c r="U414" s="1" t="s">
        <v>197</v>
      </c>
      <c r="V414" s="1" t="s">
        <v>357</v>
      </c>
      <c r="W414" s="1" t="s">
        <v>208</v>
      </c>
      <c r="X414" s="1" t="s">
        <v>206</v>
      </c>
      <c r="Y414" s="1" t="s">
        <v>441</v>
      </c>
      <c r="Z414" s="1" t="s">
        <v>206</v>
      </c>
      <c r="AA414" s="1" t="s">
        <v>206</v>
      </c>
      <c r="AB414" s="1" t="s">
        <v>206</v>
      </c>
      <c r="AC414" s="1" t="s">
        <v>206</v>
      </c>
      <c r="AD414" s="1" t="s">
        <v>441</v>
      </c>
      <c r="AE414" s="1" t="s">
        <v>208</v>
      </c>
      <c r="AF414" s="1" t="s">
        <v>208</v>
      </c>
      <c r="AG414" s="1" t="s">
        <v>441</v>
      </c>
      <c r="AH414" s="1" t="s">
        <v>208</v>
      </c>
      <c r="AI414" s="120" t="s">
        <v>227</v>
      </c>
    </row>
    <row x14ac:dyDescent="0.25" r="415" customHeight="1" ht="17.25">
      <c r="A415" s="1" t="s">
        <v>426</v>
      </c>
      <c r="B415" s="123" t="s">
        <v>427</v>
      </c>
      <c r="C415" s="116" t="s">
        <v>108</v>
      </c>
      <c r="D415" s="1" t="s">
        <v>46</v>
      </c>
      <c r="E415" s="116" t="s">
        <v>2175</v>
      </c>
      <c r="F415" s="1" t="s">
        <v>158</v>
      </c>
      <c r="G415" s="1" t="s">
        <v>22</v>
      </c>
      <c r="H415" s="61">
        <v>34527</v>
      </c>
      <c r="I415" s="1" t="s">
        <v>175</v>
      </c>
      <c r="J415" s="1" t="s">
        <v>365</v>
      </c>
      <c r="K415" s="1" t="s">
        <v>429</v>
      </c>
      <c r="L415" s="117" t="s">
        <v>2176</v>
      </c>
      <c r="M415" s="117" t="s">
        <v>2177</v>
      </c>
      <c r="N415" s="117" t="s">
        <v>2178</v>
      </c>
      <c r="O415" s="119">
        <v>0</v>
      </c>
      <c r="P415" s="119">
        <v>0</v>
      </c>
      <c r="Q415" s="119">
        <v>0</v>
      </c>
      <c r="R415" s="1" t="s">
        <v>371</v>
      </c>
      <c r="S415" s="1" t="s">
        <v>206</v>
      </c>
      <c r="T415" s="1" t="s">
        <v>373</v>
      </c>
      <c r="U415" s="1" t="s">
        <v>198</v>
      </c>
      <c r="V415" s="1" t="s">
        <v>357</v>
      </c>
      <c r="W415" s="1" t="s">
        <v>208</v>
      </c>
      <c r="X415" s="1" t="s">
        <v>2179</v>
      </c>
      <c r="Y415" s="1" t="s">
        <v>386</v>
      </c>
      <c r="Z415" s="1" t="s">
        <v>207</v>
      </c>
      <c r="AA415" s="1" t="s">
        <v>206</v>
      </c>
      <c r="AB415" s="1" t="s">
        <v>206</v>
      </c>
      <c r="AC415" s="1" t="s">
        <v>238</v>
      </c>
      <c r="AD415" s="1" t="s">
        <v>375</v>
      </c>
      <c r="AE415" s="1" t="s">
        <v>208</v>
      </c>
      <c r="AF415" s="1" t="s">
        <v>208</v>
      </c>
      <c r="AG415" s="1" t="s">
        <v>375</v>
      </c>
      <c r="AH415" s="1" t="s">
        <v>208</v>
      </c>
      <c r="AI415" s="120" t="s">
        <v>227</v>
      </c>
    </row>
    <row x14ac:dyDescent="0.25" r="416" customHeight="1" ht="17.25">
      <c r="A416" s="1" t="s">
        <v>426</v>
      </c>
      <c r="B416" s="123" t="s">
        <v>427</v>
      </c>
      <c r="C416" s="116" t="s">
        <v>108</v>
      </c>
      <c r="D416" s="1" t="s">
        <v>46</v>
      </c>
      <c r="E416" s="116" t="s">
        <v>428</v>
      </c>
      <c r="F416" s="1" t="s">
        <v>158</v>
      </c>
      <c r="G416" s="1" t="s">
        <v>22</v>
      </c>
      <c r="H416" s="61">
        <v>32973</v>
      </c>
      <c r="I416" s="1" t="s">
        <v>175</v>
      </c>
      <c r="J416" s="1" t="s">
        <v>365</v>
      </c>
      <c r="K416" s="1" t="s">
        <v>429</v>
      </c>
      <c r="L416" s="119">
        <v>0</v>
      </c>
      <c r="M416" s="119">
        <v>0</v>
      </c>
      <c r="N416" s="119">
        <v>0</v>
      </c>
      <c r="O416" s="119">
        <v>0</v>
      </c>
      <c r="P416" s="119">
        <v>0</v>
      </c>
      <c r="Q416" s="119">
        <v>0</v>
      </c>
      <c r="R416" s="1" t="s">
        <v>371</v>
      </c>
      <c r="S416" s="1" t="s">
        <v>206</v>
      </c>
      <c r="T416" s="1" t="s">
        <v>430</v>
      </c>
      <c r="U416" s="1" t="s">
        <v>198</v>
      </c>
      <c r="V416" s="1" t="s">
        <v>357</v>
      </c>
      <c r="W416" s="1" t="s">
        <v>208</v>
      </c>
      <c r="X416" s="1" t="s">
        <v>431</v>
      </c>
      <c r="Y416" s="1" t="s">
        <v>432</v>
      </c>
      <c r="Z416" s="1" t="s">
        <v>206</v>
      </c>
      <c r="AA416" s="1" t="s">
        <v>206</v>
      </c>
      <c r="AB416" s="1" t="s">
        <v>206</v>
      </c>
      <c r="AC416" s="1" t="s">
        <v>236</v>
      </c>
      <c r="AD416" s="1" t="s">
        <v>433</v>
      </c>
      <c r="AE416" s="1" t="s">
        <v>208</v>
      </c>
      <c r="AF416" s="1" t="s">
        <v>208</v>
      </c>
      <c r="AG416" s="1" t="s">
        <v>433</v>
      </c>
      <c r="AH416" s="1" t="s">
        <v>206</v>
      </c>
      <c r="AI416" s="1" t="s">
        <v>229</v>
      </c>
    </row>
    <row x14ac:dyDescent="0.25" r="417" customHeight="1" ht="17.25">
      <c r="A417" s="1" t="s">
        <v>2100</v>
      </c>
      <c r="B417" s="123" t="s">
        <v>1233</v>
      </c>
      <c r="C417" s="116" t="s">
        <v>108</v>
      </c>
      <c r="D417" s="1" t="s">
        <v>46</v>
      </c>
      <c r="E417" s="116" t="s">
        <v>2101</v>
      </c>
      <c r="F417" s="1" t="s">
        <v>158</v>
      </c>
      <c r="G417" s="1" t="s">
        <v>22</v>
      </c>
      <c r="H417" s="61">
        <v>32519</v>
      </c>
      <c r="I417" s="1" t="s">
        <v>176</v>
      </c>
      <c r="J417" s="1" t="s">
        <v>615</v>
      </c>
      <c r="K417" s="1" t="s">
        <v>2102</v>
      </c>
      <c r="L417" s="117" t="s">
        <v>2103</v>
      </c>
      <c r="M417" s="117" t="s">
        <v>2104</v>
      </c>
      <c r="N417" s="117" t="s">
        <v>2105</v>
      </c>
      <c r="O417" s="119">
        <v>0</v>
      </c>
      <c r="P417" s="119">
        <v>0</v>
      </c>
      <c r="Q417" s="119">
        <v>0</v>
      </c>
      <c r="R417" s="1" t="s">
        <v>357</v>
      </c>
      <c r="S417" s="1" t="s">
        <v>206</v>
      </c>
      <c r="T417" s="1" t="s">
        <v>373</v>
      </c>
      <c r="U417" s="1" t="s">
        <v>197</v>
      </c>
      <c r="V417" s="1" t="s">
        <v>357</v>
      </c>
      <c r="W417" s="1" t="s">
        <v>208</v>
      </c>
      <c r="X417" s="1" t="s">
        <v>431</v>
      </c>
      <c r="Y417" s="1" t="s">
        <v>432</v>
      </c>
      <c r="Z417" s="1" t="s">
        <v>207</v>
      </c>
      <c r="AA417" s="1" t="s">
        <v>206</v>
      </c>
      <c r="AB417" s="1" t="s">
        <v>206</v>
      </c>
      <c r="AC417" s="1" t="s">
        <v>238</v>
      </c>
      <c r="AD417" s="1" t="s">
        <v>2038</v>
      </c>
      <c r="AE417" s="1" t="s">
        <v>208</v>
      </c>
      <c r="AF417" s="1" t="s">
        <v>208</v>
      </c>
      <c r="AG417" s="1" t="s">
        <v>2038</v>
      </c>
      <c r="AH417" s="1" t="s">
        <v>208</v>
      </c>
      <c r="AI417" s="120" t="s">
        <v>227</v>
      </c>
    </row>
    <row x14ac:dyDescent="0.25" r="418" customHeight="1" ht="17.25">
      <c r="A418" s="1" t="s">
        <v>720</v>
      </c>
      <c r="B418" s="123" t="s">
        <v>721</v>
      </c>
      <c r="C418" s="116" t="s">
        <v>141</v>
      </c>
      <c r="D418" s="1" t="s">
        <v>46</v>
      </c>
      <c r="E418" s="116" t="s">
        <v>722</v>
      </c>
      <c r="F418" s="1" t="s">
        <v>158</v>
      </c>
      <c r="G418" s="1" t="s">
        <v>22</v>
      </c>
      <c r="H418" s="61">
        <v>32935</v>
      </c>
      <c r="I418" s="1" t="s">
        <v>176</v>
      </c>
      <c r="J418" s="1" t="s">
        <v>365</v>
      </c>
      <c r="K418" s="1" t="s">
        <v>723</v>
      </c>
      <c r="L418" s="117" t="s">
        <v>724</v>
      </c>
      <c r="M418" s="117" t="s">
        <v>725</v>
      </c>
      <c r="N418" s="119">
        <v>0</v>
      </c>
      <c r="O418" s="119">
        <v>0</v>
      </c>
      <c r="P418" s="119">
        <v>0</v>
      </c>
      <c r="Q418" s="119">
        <v>0</v>
      </c>
      <c r="R418" s="1" t="s">
        <v>357</v>
      </c>
      <c r="S418" s="1" t="s">
        <v>206</v>
      </c>
      <c r="T418" s="1" t="s">
        <v>726</v>
      </c>
      <c r="U418" s="1" t="s">
        <v>197</v>
      </c>
      <c r="V418" s="1" t="s">
        <v>357</v>
      </c>
      <c r="W418" s="1" t="s">
        <v>208</v>
      </c>
      <c r="X418" s="1" t="s">
        <v>206</v>
      </c>
      <c r="Y418" s="1" t="s">
        <v>441</v>
      </c>
      <c r="Z418" s="1" t="s">
        <v>206</v>
      </c>
      <c r="AA418" s="1" t="s">
        <v>206</v>
      </c>
      <c r="AB418" s="1" t="s">
        <v>206</v>
      </c>
      <c r="AC418" s="1" t="s">
        <v>236</v>
      </c>
      <c r="AD418" s="1" t="s">
        <v>497</v>
      </c>
      <c r="AE418" s="1" t="s">
        <v>208</v>
      </c>
      <c r="AF418" s="1" t="s">
        <v>208</v>
      </c>
      <c r="AG418" s="1" t="s">
        <v>497</v>
      </c>
      <c r="AH418" s="1" t="s">
        <v>206</v>
      </c>
      <c r="AI418" s="1" t="s">
        <v>228</v>
      </c>
    </row>
    <row x14ac:dyDescent="0.25" r="419" customHeight="1" ht="17.25">
      <c r="A419" s="1" t="s">
        <v>1727</v>
      </c>
      <c r="B419" s="123" t="s">
        <v>427</v>
      </c>
      <c r="C419" s="116" t="s">
        <v>116</v>
      </c>
      <c r="D419" s="1" t="s">
        <v>46</v>
      </c>
      <c r="E419" s="116" t="s">
        <v>1728</v>
      </c>
      <c r="F419" s="1" t="s">
        <v>158</v>
      </c>
      <c r="G419" s="1" t="s">
        <v>22</v>
      </c>
      <c r="H419" s="61">
        <v>32884</v>
      </c>
      <c r="I419" s="1" t="s">
        <v>175</v>
      </c>
      <c r="J419" s="1" t="s">
        <v>354</v>
      </c>
      <c r="K419" s="1" t="s">
        <v>1729</v>
      </c>
      <c r="L419" s="117" t="s">
        <v>1730</v>
      </c>
      <c r="M419" s="117" t="s">
        <v>1731</v>
      </c>
      <c r="N419" s="119">
        <v>0</v>
      </c>
      <c r="O419" s="119">
        <v>0</v>
      </c>
      <c r="P419" s="119">
        <v>0</v>
      </c>
      <c r="Q419" s="119">
        <v>0</v>
      </c>
      <c r="R419" s="1" t="s">
        <v>357</v>
      </c>
      <c r="S419" s="1" t="s">
        <v>206</v>
      </c>
      <c r="T419" s="1" t="s">
        <v>1108</v>
      </c>
      <c r="U419" s="1" t="s">
        <v>197</v>
      </c>
      <c r="V419" s="1" t="s">
        <v>357</v>
      </c>
      <c r="W419" s="1" t="s">
        <v>208</v>
      </c>
      <c r="X419" s="1" t="s">
        <v>206</v>
      </c>
      <c r="Y419" s="1" t="s">
        <v>441</v>
      </c>
      <c r="Z419" s="1" t="s">
        <v>206</v>
      </c>
      <c r="AA419" s="1" t="s">
        <v>206</v>
      </c>
      <c r="AB419" s="1" t="s">
        <v>34</v>
      </c>
      <c r="AC419" s="1" t="s">
        <v>206</v>
      </c>
      <c r="AD419" s="1" t="s">
        <v>492</v>
      </c>
      <c r="AE419" s="1" t="s">
        <v>208</v>
      </c>
      <c r="AF419" s="1" t="s">
        <v>208</v>
      </c>
      <c r="AG419" s="1" t="s">
        <v>492</v>
      </c>
      <c r="AH419" s="1" t="s">
        <v>208</v>
      </c>
      <c r="AI419" s="120" t="s">
        <v>227</v>
      </c>
    </row>
    <row x14ac:dyDescent="0.25" r="420" customHeight="1" ht="17.25">
      <c r="A420" s="1" t="s">
        <v>1678</v>
      </c>
      <c r="B420" s="123" t="s">
        <v>1679</v>
      </c>
      <c r="C420" s="116" t="s">
        <v>108</v>
      </c>
      <c r="D420" s="1" t="s">
        <v>46</v>
      </c>
      <c r="E420" s="116" t="s">
        <v>1680</v>
      </c>
      <c r="F420" s="1" t="s">
        <v>158</v>
      </c>
      <c r="G420" s="1" t="s">
        <v>22</v>
      </c>
      <c r="H420" s="61">
        <v>27653</v>
      </c>
      <c r="I420" s="1" t="s">
        <v>176</v>
      </c>
      <c r="J420" s="1" t="s">
        <v>464</v>
      </c>
      <c r="K420" s="1" t="s">
        <v>1681</v>
      </c>
      <c r="L420" s="117" t="s">
        <v>1682</v>
      </c>
      <c r="M420" s="119">
        <v>0</v>
      </c>
      <c r="N420" s="119">
        <v>0</v>
      </c>
      <c r="O420" s="119">
        <v>0</v>
      </c>
      <c r="P420" s="119">
        <v>0</v>
      </c>
      <c r="Q420" s="119">
        <v>0</v>
      </c>
      <c r="R420" s="1" t="s">
        <v>357</v>
      </c>
      <c r="S420" s="1" t="s">
        <v>206</v>
      </c>
      <c r="T420" s="1" t="s">
        <v>358</v>
      </c>
      <c r="U420" s="1" t="s">
        <v>197</v>
      </c>
      <c r="V420" s="1" t="s">
        <v>357</v>
      </c>
      <c r="W420" s="1" t="s">
        <v>208</v>
      </c>
      <c r="X420" s="1" t="s">
        <v>406</v>
      </c>
      <c r="Y420" s="1" t="s">
        <v>492</v>
      </c>
      <c r="Z420" s="1" t="s">
        <v>206</v>
      </c>
      <c r="AA420" s="1" t="s">
        <v>206</v>
      </c>
      <c r="AB420" s="1" t="s">
        <v>206</v>
      </c>
      <c r="AC420" s="1" t="s">
        <v>238</v>
      </c>
      <c r="AD420" s="1" t="s">
        <v>492</v>
      </c>
      <c r="AE420" s="1" t="s">
        <v>208</v>
      </c>
      <c r="AF420" s="1" t="s">
        <v>208</v>
      </c>
      <c r="AG420" s="1" t="s">
        <v>492</v>
      </c>
      <c r="AH420" s="1" t="s">
        <v>208</v>
      </c>
      <c r="AI420" s="1" t="s">
        <v>228</v>
      </c>
    </row>
    <row x14ac:dyDescent="0.25" r="421" customHeight="1" ht="17.25">
      <c r="A421" s="1" t="s">
        <v>1698</v>
      </c>
      <c r="B421" s="123" t="s">
        <v>1679</v>
      </c>
      <c r="C421" s="116" t="s">
        <v>108</v>
      </c>
      <c r="D421" s="1" t="s">
        <v>46</v>
      </c>
      <c r="E421" s="116" t="s">
        <v>1699</v>
      </c>
      <c r="F421" s="1" t="s">
        <v>158</v>
      </c>
      <c r="G421" s="1" t="s">
        <v>22</v>
      </c>
      <c r="H421" s="61">
        <v>31834</v>
      </c>
      <c r="I421" s="1" t="s">
        <v>175</v>
      </c>
      <c r="J421" s="1" t="s">
        <v>354</v>
      </c>
      <c r="K421" s="1" t="s">
        <v>1235</v>
      </c>
      <c r="L421" s="117" t="s">
        <v>1700</v>
      </c>
      <c r="M421" s="117" t="s">
        <v>1701</v>
      </c>
      <c r="N421" s="119">
        <v>0</v>
      </c>
      <c r="O421" s="119">
        <v>0</v>
      </c>
      <c r="P421" s="119">
        <v>0</v>
      </c>
      <c r="Q421" s="119">
        <v>0</v>
      </c>
      <c r="R421" s="1" t="s">
        <v>357</v>
      </c>
      <c r="S421" s="1" t="s">
        <v>206</v>
      </c>
      <c r="T421" s="1" t="s">
        <v>520</v>
      </c>
      <c r="U421" s="1" t="s">
        <v>197</v>
      </c>
      <c r="V421" s="1" t="s">
        <v>357</v>
      </c>
      <c r="W421" s="1" t="s">
        <v>208</v>
      </c>
      <c r="X421" s="1" t="s">
        <v>206</v>
      </c>
      <c r="Y421" s="1" t="s">
        <v>441</v>
      </c>
      <c r="Z421" s="1" t="s">
        <v>207</v>
      </c>
      <c r="AA421" s="1" t="s">
        <v>206</v>
      </c>
      <c r="AB421" s="1" t="s">
        <v>206</v>
      </c>
      <c r="AC421" s="1" t="s">
        <v>238</v>
      </c>
      <c r="AD421" s="1" t="s">
        <v>492</v>
      </c>
      <c r="AE421" s="1" t="s">
        <v>208</v>
      </c>
      <c r="AF421" s="1" t="s">
        <v>208</v>
      </c>
      <c r="AG421" s="1" t="s">
        <v>492</v>
      </c>
      <c r="AH421" s="1" t="s">
        <v>208</v>
      </c>
      <c r="AI421" s="120" t="s">
        <v>227</v>
      </c>
    </row>
    <row x14ac:dyDescent="0.25" r="422" customHeight="1" ht="17.25">
      <c r="A422" s="1"/>
      <c r="B422" s="114"/>
      <c r="C422" s="1"/>
      <c r="D422" s="1"/>
      <c r="E422" s="1"/>
      <c r="F422" s="1"/>
      <c r="G422" s="1"/>
      <c r="H422" s="114"/>
      <c r="I422" s="1"/>
      <c r="J422" s="1"/>
      <c r="K422" s="1"/>
      <c r="L422" s="54"/>
      <c r="M422" s="54"/>
      <c r="N422" s="54"/>
      <c r="O422" s="54"/>
      <c r="P422" s="54"/>
      <c r="Q422" s="54"/>
      <c r="R422" s="1"/>
      <c r="S422" s="1"/>
      <c r="T422" s="1"/>
      <c r="U422" s="1"/>
      <c r="V422" s="1"/>
      <c r="W422" s="1"/>
      <c r="X422" s="1"/>
      <c r="Y422" s="1"/>
      <c r="Z422" s="1"/>
      <c r="AA422" s="1"/>
      <c r="AB422" s="1"/>
      <c r="AC422" s="1"/>
      <c r="AD422" s="1"/>
      <c r="AE422" s="1"/>
      <c r="AF422" s="1"/>
      <c r="AG422" s="1"/>
      <c r="AH422" s="1"/>
      <c r="AI422" s="1"/>
    </row>
    <row x14ac:dyDescent="0.25" r="423" customHeight="1" ht="17.25">
      <c r="A423" s="1"/>
      <c r="B423" s="114"/>
      <c r="C423" s="1"/>
      <c r="D423" s="1"/>
      <c r="E423" s="116"/>
      <c r="F423" s="1"/>
      <c r="G423" s="1"/>
      <c r="H423" s="114"/>
      <c r="I423" s="1"/>
      <c r="J423" s="1"/>
      <c r="K423" s="1"/>
      <c r="L423" s="54"/>
      <c r="M423" s="54"/>
      <c r="N423" s="54"/>
      <c r="O423" s="54"/>
      <c r="P423" s="54"/>
      <c r="Q423" s="54"/>
      <c r="R423" s="1"/>
      <c r="S423" s="1"/>
      <c r="T423" s="1"/>
      <c r="U423" s="1"/>
      <c r="V423" s="1"/>
      <c r="W423" s="1"/>
      <c r="X423" s="1"/>
      <c r="Y423" s="1"/>
      <c r="Z423" s="1"/>
      <c r="AA423" s="1"/>
      <c r="AB423" s="1"/>
      <c r="AC423" s="1"/>
      <c r="AD423" s="1"/>
      <c r="AE423" s="1"/>
      <c r="AF423" s="1"/>
      <c r="AG423" s="1"/>
      <c r="AH423" s="1"/>
      <c r="AI423" s="1"/>
    </row>
    <row x14ac:dyDescent="0.25" r="424" customHeight="1" ht="17.25">
      <c r="A424" s="1"/>
      <c r="B424" s="114"/>
      <c r="C424" s="116"/>
      <c r="D424" s="1"/>
      <c r="E424" s="116"/>
      <c r="F424" s="1"/>
      <c r="G424" s="1"/>
      <c r="H424" s="114"/>
      <c r="I424" s="1"/>
      <c r="J424" s="1"/>
      <c r="K424" s="1"/>
      <c r="L424" s="54"/>
      <c r="M424" s="54"/>
      <c r="N424" s="54"/>
      <c r="O424" s="54"/>
      <c r="P424" s="54"/>
      <c r="Q424" s="54"/>
      <c r="R424" s="1"/>
      <c r="S424" s="1"/>
      <c r="T424" s="1"/>
      <c r="U424" s="1"/>
      <c r="V424" s="1"/>
      <c r="W424" s="1"/>
      <c r="X424" s="1"/>
      <c r="Y424" s="1"/>
      <c r="Z424" s="1"/>
      <c r="AA424" s="1"/>
      <c r="AB424" s="1"/>
      <c r="AC424" s="1"/>
      <c r="AD424" s="1"/>
      <c r="AE424" s="1"/>
      <c r="AF424" s="1"/>
      <c r="AG424" s="1"/>
      <c r="AH424" s="1"/>
      <c r="AI424" s="1"/>
    </row>
    <row x14ac:dyDescent="0.25" r="425" customHeight="1" ht="17.25">
      <c r="A425" s="1"/>
      <c r="B425" s="114"/>
      <c r="C425" s="1"/>
      <c r="D425" s="1"/>
      <c r="E425" s="1"/>
      <c r="F425" s="1"/>
      <c r="G425" s="1"/>
      <c r="H425" s="114"/>
      <c r="I425" s="1"/>
      <c r="J425" s="1"/>
      <c r="K425" s="1"/>
      <c r="L425" s="54"/>
      <c r="M425" s="54"/>
      <c r="N425" s="54"/>
      <c r="O425" s="54"/>
      <c r="P425" s="54"/>
      <c r="Q425" s="54"/>
      <c r="R425" s="1"/>
      <c r="S425" s="1"/>
      <c r="T425" s="1"/>
      <c r="U425" s="1"/>
      <c r="V425" s="1"/>
      <c r="W425" s="1"/>
      <c r="X425" s="1"/>
      <c r="Y425" s="1"/>
      <c r="Z425" s="1"/>
      <c r="AA425" s="1"/>
      <c r="AB425" s="1"/>
      <c r="AC425" s="1"/>
      <c r="AD425" s="1"/>
      <c r="AE425" s="1"/>
      <c r="AF425" s="1"/>
      <c r="AG425" s="1"/>
      <c r="AH425" s="1"/>
      <c r="AI425" s="1"/>
    </row>
    <row x14ac:dyDescent="0.25" r="426" customHeight="1" ht="17.25">
      <c r="A426" s="1"/>
      <c r="B426" s="114"/>
      <c r="C426" s="1"/>
      <c r="D426" s="1"/>
      <c r="E426" s="116"/>
      <c r="F426" s="1"/>
      <c r="G426" s="1"/>
      <c r="H426" s="114"/>
      <c r="I426" s="1"/>
      <c r="J426" s="1"/>
      <c r="K426" s="1"/>
      <c r="L426" s="54"/>
      <c r="M426" s="54"/>
      <c r="N426" s="54"/>
      <c r="O426" s="54"/>
      <c r="P426" s="54"/>
      <c r="Q426" s="54"/>
      <c r="R426" s="1"/>
      <c r="S426" s="1"/>
      <c r="T426" s="1"/>
      <c r="U426" s="1"/>
      <c r="V426" s="1"/>
      <c r="W426" s="1"/>
      <c r="X426" s="1"/>
      <c r="Y426" s="1"/>
      <c r="Z426" s="1"/>
      <c r="AA426" s="1"/>
      <c r="AB426" s="1"/>
      <c r="AC426" s="1"/>
      <c r="AD426" s="1"/>
      <c r="AE426" s="1"/>
      <c r="AF426" s="1"/>
      <c r="AG426" s="1"/>
      <c r="AH426" s="1"/>
      <c r="AI426" s="1"/>
    </row>
    <row x14ac:dyDescent="0.25" r="427" customHeight="1" ht="17.25">
      <c r="A427" s="1"/>
      <c r="B427" s="114"/>
      <c r="C427" s="116"/>
      <c r="D427" s="1"/>
      <c r="E427" s="116"/>
      <c r="F427" s="1"/>
      <c r="G427" s="1"/>
      <c r="H427" s="114"/>
      <c r="I427" s="1"/>
      <c r="J427" s="1"/>
      <c r="K427" s="1"/>
      <c r="L427" s="54"/>
      <c r="M427" s="54"/>
      <c r="N427" s="54"/>
      <c r="O427" s="54"/>
      <c r="P427" s="54"/>
      <c r="Q427" s="54"/>
      <c r="R427" s="1"/>
      <c r="S427" s="1"/>
      <c r="T427" s="1"/>
      <c r="U427" s="1"/>
      <c r="V427" s="1"/>
      <c r="W427" s="1"/>
      <c r="X427" s="1"/>
      <c r="Y427" s="1"/>
      <c r="Z427" s="1"/>
      <c r="AA427" s="1"/>
      <c r="AB427" s="1"/>
      <c r="AC427" s="1"/>
      <c r="AD427" s="1"/>
      <c r="AE427" s="1"/>
      <c r="AF427" s="1"/>
      <c r="AG427" s="1"/>
      <c r="AH427" s="1"/>
      <c r="AI427" s="1"/>
    </row>
    <row x14ac:dyDescent="0.25" r="428" customHeight="1" ht="17.25">
      <c r="A428" s="1"/>
      <c r="B428" s="114"/>
      <c r="C428" s="1"/>
      <c r="D428" s="1"/>
      <c r="E428" s="116"/>
      <c r="F428" s="1"/>
      <c r="G428" s="1"/>
      <c r="H428" s="114"/>
      <c r="I428" s="1"/>
      <c r="J428" s="1"/>
      <c r="K428" s="1"/>
      <c r="L428" s="54"/>
      <c r="M428" s="54"/>
      <c r="N428" s="54"/>
      <c r="O428" s="54"/>
      <c r="P428" s="54"/>
      <c r="Q428" s="54"/>
      <c r="R428" s="1"/>
      <c r="S428" s="1"/>
      <c r="T428" s="1"/>
      <c r="U428" s="1"/>
      <c r="V428" s="1"/>
      <c r="W428" s="1"/>
      <c r="X428" s="1"/>
      <c r="Y428" s="1"/>
      <c r="Z428" s="1"/>
      <c r="AA428" s="1"/>
      <c r="AB428" s="1"/>
      <c r="AC428" s="1"/>
      <c r="AD428" s="1"/>
      <c r="AE428" s="1"/>
      <c r="AF428" s="1"/>
      <c r="AG428" s="1"/>
      <c r="AH428" s="1"/>
      <c r="AI428" s="1"/>
    </row>
    <row x14ac:dyDescent="0.25" r="429" customHeight="1" ht="17.25">
      <c r="A429" s="1"/>
      <c r="B429" s="114"/>
      <c r="C429" s="1"/>
      <c r="D429" s="1"/>
      <c r="E429" s="116"/>
      <c r="F429" s="1"/>
      <c r="G429" s="1"/>
      <c r="H429" s="114"/>
      <c r="I429" s="1"/>
      <c r="J429" s="1"/>
      <c r="K429" s="1"/>
      <c r="L429" s="54"/>
      <c r="M429" s="54"/>
      <c r="N429" s="54"/>
      <c r="O429" s="54"/>
      <c r="P429" s="54"/>
      <c r="Q429" s="54"/>
      <c r="R429" s="1"/>
      <c r="S429" s="1"/>
      <c r="T429" s="1"/>
      <c r="U429" s="1"/>
      <c r="V429" s="1"/>
      <c r="W429" s="1"/>
      <c r="X429" s="1"/>
      <c r="Y429" s="1"/>
      <c r="Z429" s="1"/>
      <c r="AA429" s="1"/>
      <c r="AB429" s="1"/>
      <c r="AC429" s="1"/>
      <c r="AD429" s="1"/>
      <c r="AE429" s="1"/>
      <c r="AF429" s="1"/>
      <c r="AG429" s="1"/>
      <c r="AH429" s="1"/>
      <c r="AI429" s="1"/>
    </row>
    <row x14ac:dyDescent="0.25" r="430" customHeight="1" ht="17.25">
      <c r="A430" s="1"/>
      <c r="B430" s="114"/>
      <c r="C430" s="1"/>
      <c r="D430" s="1"/>
      <c r="E430" s="1"/>
      <c r="F430" s="1"/>
      <c r="G430" s="1"/>
      <c r="H430" s="114"/>
      <c r="I430" s="1"/>
      <c r="J430" s="1"/>
      <c r="K430" s="1"/>
      <c r="L430" s="54"/>
      <c r="M430" s="54"/>
      <c r="N430" s="54"/>
      <c r="O430" s="54"/>
      <c r="P430" s="54"/>
      <c r="Q430" s="54"/>
      <c r="R430" s="1"/>
      <c r="S430" s="1"/>
      <c r="T430" s="1"/>
      <c r="U430" s="1"/>
      <c r="V430" s="1"/>
      <c r="W430" s="1"/>
      <c r="X430" s="1"/>
      <c r="Y430" s="1"/>
      <c r="Z430" s="1"/>
      <c r="AA430" s="1"/>
      <c r="AB430" s="1"/>
      <c r="AC430" s="1"/>
      <c r="AD430" s="1"/>
      <c r="AE430" s="1"/>
      <c r="AF430" s="1"/>
      <c r="AG430" s="1"/>
      <c r="AH430" s="1"/>
      <c r="AI430" s="1"/>
    </row>
    <row x14ac:dyDescent="0.25" r="431" customHeight="1" ht="17.25">
      <c r="A431" s="1"/>
      <c r="B431" s="114"/>
      <c r="C431" s="1"/>
      <c r="D431" s="1"/>
      <c r="E431" s="1"/>
      <c r="F431" s="1"/>
      <c r="G431" s="1"/>
      <c r="H431" s="114"/>
      <c r="I431" s="1"/>
      <c r="J431" s="1"/>
      <c r="K431" s="1"/>
      <c r="L431" s="54"/>
      <c r="M431" s="54"/>
      <c r="N431" s="54"/>
      <c r="O431" s="54"/>
      <c r="P431" s="54"/>
      <c r="Q431" s="54"/>
      <c r="R431" s="1"/>
      <c r="S431" s="1"/>
      <c r="T431" s="1"/>
      <c r="U431" s="1"/>
      <c r="V431" s="1"/>
      <c r="W431" s="1"/>
      <c r="X431" s="1"/>
      <c r="Y431" s="1"/>
      <c r="Z431" s="1"/>
      <c r="AA431" s="1"/>
      <c r="AB431" s="1"/>
      <c r="AC431" s="1"/>
      <c r="AD431" s="1"/>
      <c r="AE431" s="1"/>
      <c r="AF431" s="1"/>
      <c r="AG431" s="1"/>
      <c r="AH431" s="1"/>
      <c r="AI431" s="1"/>
    </row>
    <row x14ac:dyDescent="0.25" r="432" customHeight="1" ht="17.25">
      <c r="A432" s="1"/>
      <c r="B432" s="114"/>
      <c r="C432" s="1"/>
      <c r="D432" s="1"/>
      <c r="E432" s="1"/>
      <c r="F432" s="1"/>
      <c r="G432" s="1"/>
      <c r="H432" s="114"/>
      <c r="I432" s="1"/>
      <c r="J432" s="1"/>
      <c r="K432" s="1"/>
      <c r="L432" s="54"/>
      <c r="M432" s="54"/>
      <c r="N432" s="54"/>
      <c r="O432" s="54"/>
      <c r="P432" s="54"/>
      <c r="Q432" s="54"/>
      <c r="R432" s="1"/>
      <c r="S432" s="1"/>
      <c r="T432" s="1"/>
      <c r="U432" s="1"/>
      <c r="V432" s="1"/>
      <c r="W432" s="1"/>
      <c r="X432" s="1"/>
      <c r="Y432" s="1"/>
      <c r="Z432" s="1"/>
      <c r="AA432" s="1"/>
      <c r="AB432" s="1"/>
      <c r="AC432" s="1"/>
      <c r="AD432" s="1"/>
      <c r="AE432" s="1"/>
      <c r="AF432" s="1"/>
      <c r="AG432" s="1"/>
      <c r="AH432" s="1"/>
      <c r="AI432" s="1"/>
    </row>
    <row x14ac:dyDescent="0.25" r="433" customHeight="1" ht="17.25">
      <c r="A433" s="1"/>
      <c r="B433" s="114"/>
      <c r="C433" s="116"/>
      <c r="D433" s="1"/>
      <c r="E433" s="1"/>
      <c r="F433" s="1"/>
      <c r="G433" s="1"/>
      <c r="H433" s="114"/>
      <c r="I433" s="1"/>
      <c r="J433" s="1"/>
      <c r="K433" s="1"/>
      <c r="L433" s="54"/>
      <c r="M433" s="54"/>
      <c r="N433" s="54"/>
      <c r="O433" s="54"/>
      <c r="P433" s="54"/>
      <c r="Q433" s="54"/>
      <c r="R433" s="1"/>
      <c r="S433" s="1"/>
      <c r="T433" s="1"/>
      <c r="U433" s="1"/>
      <c r="V433" s="1"/>
      <c r="W433" s="1"/>
      <c r="X433" s="1"/>
      <c r="Y433" s="1"/>
      <c r="Z433" s="1"/>
      <c r="AA433" s="1"/>
      <c r="AB433" s="1"/>
      <c r="AC433" s="1"/>
      <c r="AD433" s="1"/>
      <c r="AE433" s="1"/>
      <c r="AF433" s="1"/>
      <c r="AG433" s="1"/>
      <c r="AH433" s="1"/>
      <c r="AI433" s="1"/>
    </row>
    <row x14ac:dyDescent="0.25" r="434" customHeight="1" ht="17.25">
      <c r="A434" s="1"/>
      <c r="B434" s="114"/>
      <c r="C434" s="116"/>
      <c r="D434" s="1"/>
      <c r="E434" s="1"/>
      <c r="F434" s="1"/>
      <c r="G434" s="1"/>
      <c r="H434" s="114"/>
      <c r="I434" s="1"/>
      <c r="J434" s="1"/>
      <c r="K434" s="1"/>
      <c r="L434" s="54"/>
      <c r="M434" s="54"/>
      <c r="N434" s="54"/>
      <c r="O434" s="54"/>
      <c r="P434" s="54"/>
      <c r="Q434" s="54"/>
      <c r="R434" s="1"/>
      <c r="S434" s="1"/>
      <c r="T434" s="1"/>
      <c r="U434" s="1"/>
      <c r="V434" s="1"/>
      <c r="W434" s="1"/>
      <c r="X434" s="1"/>
      <c r="Y434" s="1"/>
      <c r="Z434" s="1"/>
      <c r="AA434" s="1"/>
      <c r="AB434" s="1"/>
      <c r="AC434" s="1"/>
      <c r="AD434" s="1"/>
      <c r="AE434" s="1"/>
      <c r="AF434" s="1"/>
      <c r="AG434" s="1"/>
      <c r="AH434" s="1"/>
      <c r="AI434" s="1"/>
    </row>
    <row x14ac:dyDescent="0.25" r="435" customHeight="1" ht="17.25">
      <c r="A435" s="1"/>
      <c r="B435" s="114"/>
      <c r="C435" s="116"/>
      <c r="D435" s="1"/>
      <c r="E435" s="1"/>
      <c r="F435" s="1"/>
      <c r="G435" s="1"/>
      <c r="H435" s="114"/>
      <c r="I435" s="1"/>
      <c r="J435" s="1"/>
      <c r="K435" s="1"/>
      <c r="L435" s="54"/>
      <c r="M435" s="54"/>
      <c r="N435" s="54"/>
      <c r="O435" s="54"/>
      <c r="P435" s="54"/>
      <c r="Q435" s="54"/>
      <c r="R435" s="1"/>
      <c r="S435" s="1"/>
      <c r="T435" s="1"/>
      <c r="U435" s="1"/>
      <c r="V435" s="1"/>
      <c r="W435" s="1"/>
      <c r="X435" s="1"/>
      <c r="Y435" s="1"/>
      <c r="Z435" s="1"/>
      <c r="AA435" s="1"/>
      <c r="AB435" s="1"/>
      <c r="AC435" s="1"/>
      <c r="AD435" s="1"/>
      <c r="AE435" s="1"/>
      <c r="AF435" s="1"/>
      <c r="AG435" s="1"/>
      <c r="AH435" s="1"/>
      <c r="AI435" s="1"/>
    </row>
    <row x14ac:dyDescent="0.25" r="436" customHeight="1" ht="17.25">
      <c r="A436" s="1"/>
      <c r="B436" s="114"/>
      <c r="C436" s="1"/>
      <c r="D436" s="1"/>
      <c r="E436" s="1"/>
      <c r="F436" s="1"/>
      <c r="G436" s="1"/>
      <c r="H436" s="114"/>
      <c r="I436" s="1"/>
      <c r="J436" s="1"/>
      <c r="K436" s="1"/>
      <c r="L436" s="54"/>
      <c r="M436" s="54"/>
      <c r="N436" s="54"/>
      <c r="O436" s="54"/>
      <c r="P436" s="54"/>
      <c r="Q436" s="54"/>
      <c r="R436" s="1"/>
      <c r="S436" s="1"/>
      <c r="T436" s="1"/>
      <c r="U436" s="1"/>
      <c r="V436" s="1"/>
      <c r="W436" s="1"/>
      <c r="X436" s="1"/>
      <c r="Y436" s="1"/>
      <c r="Z436" s="1"/>
      <c r="AA436" s="1"/>
      <c r="AB436" s="1"/>
      <c r="AC436" s="1"/>
      <c r="AD436" s="1"/>
      <c r="AE436" s="1"/>
      <c r="AF436" s="1"/>
      <c r="AG436" s="1"/>
      <c r="AH436" s="1"/>
      <c r="AI436" s="1"/>
    </row>
    <row x14ac:dyDescent="0.25" r="437" customHeight="1" ht="17.25">
      <c r="A437" s="1"/>
      <c r="B437" s="114"/>
      <c r="C437" s="116"/>
      <c r="D437" s="1"/>
      <c r="E437" s="116"/>
      <c r="F437" s="1"/>
      <c r="G437" s="1"/>
      <c r="H437" s="114"/>
      <c r="I437" s="1"/>
      <c r="J437" s="1"/>
      <c r="K437" s="1"/>
      <c r="L437" s="54"/>
      <c r="M437" s="54"/>
      <c r="N437" s="54"/>
      <c r="O437" s="54"/>
      <c r="P437" s="54"/>
      <c r="Q437" s="54"/>
      <c r="R437" s="1"/>
      <c r="S437" s="1"/>
      <c r="T437" s="1"/>
      <c r="U437" s="1"/>
      <c r="V437" s="1"/>
      <c r="W437" s="1"/>
      <c r="X437" s="1"/>
      <c r="Y437" s="1"/>
      <c r="Z437" s="1"/>
      <c r="AA437" s="1"/>
      <c r="AB437" s="1"/>
      <c r="AC437" s="1"/>
      <c r="AD437" s="1"/>
      <c r="AE437" s="1"/>
      <c r="AF437" s="1"/>
      <c r="AG437" s="1"/>
      <c r="AH437" s="1"/>
      <c r="AI437" s="1"/>
    </row>
    <row x14ac:dyDescent="0.25" r="438" customHeight="1" ht="17.25">
      <c r="A438" s="1"/>
      <c r="B438" s="114"/>
      <c r="C438" s="1"/>
      <c r="D438" s="1"/>
      <c r="E438" s="116"/>
      <c r="F438" s="1"/>
      <c r="G438" s="1"/>
      <c r="H438" s="114"/>
      <c r="I438" s="1"/>
      <c r="J438" s="1"/>
      <c r="K438" s="1"/>
      <c r="L438" s="54"/>
      <c r="M438" s="54"/>
      <c r="N438" s="54"/>
      <c r="O438" s="54"/>
      <c r="P438" s="54"/>
      <c r="Q438" s="54"/>
      <c r="R438" s="1"/>
      <c r="S438" s="1"/>
      <c r="T438" s="1"/>
      <c r="U438" s="1"/>
      <c r="V438" s="1"/>
      <c r="W438" s="1"/>
      <c r="X438" s="1"/>
      <c r="Y438" s="1"/>
      <c r="Z438" s="1"/>
      <c r="AA438" s="1"/>
      <c r="AB438" s="1"/>
      <c r="AC438" s="1"/>
      <c r="AD438" s="1"/>
      <c r="AE438" s="1"/>
      <c r="AF438" s="1"/>
      <c r="AG438" s="1"/>
      <c r="AH438" s="1"/>
      <c r="AI438" s="1"/>
    </row>
    <row x14ac:dyDescent="0.25" r="439" customHeight="1" ht="17.25">
      <c r="A439" s="1"/>
      <c r="B439" s="114"/>
      <c r="C439" s="1"/>
      <c r="D439" s="1"/>
      <c r="E439" s="116"/>
      <c r="F439" s="1"/>
      <c r="G439" s="1"/>
      <c r="H439" s="114"/>
      <c r="I439" s="1"/>
      <c r="J439" s="1"/>
      <c r="K439" s="1"/>
      <c r="L439" s="54"/>
      <c r="M439" s="54"/>
      <c r="N439" s="54"/>
      <c r="O439" s="54"/>
      <c r="P439" s="54"/>
      <c r="Q439" s="54"/>
      <c r="R439" s="1"/>
      <c r="S439" s="1"/>
      <c r="T439" s="1"/>
      <c r="U439" s="1"/>
      <c r="V439" s="1"/>
      <c r="W439" s="1"/>
      <c r="X439" s="1"/>
      <c r="Y439" s="1"/>
      <c r="Z439" s="1"/>
      <c r="AA439" s="1"/>
      <c r="AB439" s="1"/>
      <c r="AC439" s="1"/>
      <c r="AD439" s="1"/>
      <c r="AE439" s="1"/>
      <c r="AF439" s="1"/>
      <c r="AG439" s="1"/>
      <c r="AH439" s="1"/>
      <c r="AI439" s="1"/>
    </row>
    <row x14ac:dyDescent="0.25" r="440" customHeight="1" ht="17.25">
      <c r="A440" s="1"/>
      <c r="B440" s="114"/>
      <c r="C440" s="1"/>
      <c r="D440" s="1"/>
      <c r="E440" s="116"/>
      <c r="F440" s="1"/>
      <c r="G440" s="1"/>
      <c r="H440" s="114"/>
      <c r="I440" s="1"/>
      <c r="J440" s="1"/>
      <c r="K440" s="1"/>
      <c r="L440" s="54"/>
      <c r="M440" s="54"/>
      <c r="N440" s="54"/>
      <c r="O440" s="54"/>
      <c r="P440" s="54"/>
      <c r="Q440" s="54"/>
      <c r="R440" s="1"/>
      <c r="S440" s="1"/>
      <c r="T440" s="1"/>
      <c r="U440" s="1"/>
      <c r="V440" s="1"/>
      <c r="W440" s="1"/>
      <c r="X440" s="1"/>
      <c r="Y440" s="1"/>
      <c r="Z440" s="1"/>
      <c r="AA440" s="1"/>
      <c r="AB440" s="1"/>
      <c r="AC440" s="1"/>
      <c r="AD440" s="1"/>
      <c r="AE440" s="1"/>
      <c r="AF440" s="1"/>
      <c r="AG440" s="1"/>
      <c r="AH440" s="1"/>
      <c r="AI440" s="1"/>
    </row>
    <row x14ac:dyDescent="0.25" r="441" customHeight="1" ht="17.25">
      <c r="A441" s="1"/>
      <c r="B441" s="114"/>
      <c r="C441" s="1"/>
      <c r="D441" s="1"/>
      <c r="E441" s="116"/>
      <c r="F441" s="1"/>
      <c r="G441" s="1"/>
      <c r="H441" s="114"/>
      <c r="I441" s="1"/>
      <c r="J441" s="1"/>
      <c r="K441" s="1"/>
      <c r="L441" s="54"/>
      <c r="M441" s="54"/>
      <c r="N441" s="54"/>
      <c r="O441" s="54"/>
      <c r="P441" s="54"/>
      <c r="Q441" s="54"/>
      <c r="R441" s="1"/>
      <c r="S441" s="1"/>
      <c r="T441" s="1"/>
      <c r="U441" s="1"/>
      <c r="V441" s="1"/>
      <c r="W441" s="1"/>
      <c r="X441" s="1"/>
      <c r="Y441" s="1"/>
      <c r="Z441" s="1"/>
      <c r="AA441" s="1"/>
      <c r="AB441" s="1"/>
      <c r="AC441" s="1"/>
      <c r="AD441" s="1"/>
      <c r="AE441" s="1"/>
      <c r="AF441" s="1"/>
      <c r="AG441" s="1"/>
      <c r="AH441" s="1"/>
      <c r="AI441" s="1"/>
    </row>
    <row x14ac:dyDescent="0.25" r="442" customHeight="1" ht="17.25">
      <c r="A442" s="1"/>
      <c r="B442" s="114"/>
      <c r="C442" s="116"/>
      <c r="D442" s="1"/>
      <c r="E442" s="116"/>
      <c r="F442" s="1"/>
      <c r="G442" s="1"/>
      <c r="H442" s="114"/>
      <c r="I442" s="1"/>
      <c r="J442" s="1"/>
      <c r="K442" s="1"/>
      <c r="L442" s="54"/>
      <c r="M442" s="54"/>
      <c r="N442" s="54"/>
      <c r="O442" s="54"/>
      <c r="P442" s="54"/>
      <c r="Q442" s="54"/>
      <c r="R442" s="1"/>
      <c r="S442" s="1"/>
      <c r="T442" s="1"/>
      <c r="U442" s="1"/>
      <c r="V442" s="1"/>
      <c r="W442" s="1"/>
      <c r="X442" s="1"/>
      <c r="Y442" s="1"/>
      <c r="Z442" s="1"/>
      <c r="AA442" s="1"/>
      <c r="AB442" s="1"/>
      <c r="AC442" s="1"/>
      <c r="AD442" s="1"/>
      <c r="AE442" s="1"/>
      <c r="AF442" s="1"/>
      <c r="AG442" s="1"/>
      <c r="AH442" s="1"/>
      <c r="AI442" s="1"/>
    </row>
    <row x14ac:dyDescent="0.25" r="443" customHeight="1" ht="17.25">
      <c r="A443" s="1"/>
      <c r="B443" s="114"/>
      <c r="C443" s="1"/>
      <c r="D443" s="1"/>
      <c r="E443" s="116"/>
      <c r="F443" s="1"/>
      <c r="G443" s="1"/>
      <c r="H443" s="114"/>
      <c r="I443" s="1"/>
      <c r="J443" s="1"/>
      <c r="K443" s="1"/>
      <c r="L443" s="54"/>
      <c r="M443" s="54"/>
      <c r="N443" s="54"/>
      <c r="O443" s="54"/>
      <c r="P443" s="54"/>
      <c r="Q443" s="54"/>
      <c r="R443" s="1"/>
      <c r="S443" s="1"/>
      <c r="T443" s="1"/>
      <c r="U443" s="1"/>
      <c r="V443" s="1"/>
      <c r="W443" s="1"/>
      <c r="X443" s="1"/>
      <c r="Y443" s="1"/>
      <c r="Z443" s="1"/>
      <c r="AA443" s="1"/>
      <c r="AB443" s="1"/>
      <c r="AC443" s="1"/>
      <c r="AD443" s="1"/>
      <c r="AE443" s="1"/>
      <c r="AF443" s="1"/>
      <c r="AG443" s="1"/>
      <c r="AH443" s="1"/>
      <c r="AI443" s="1"/>
    </row>
    <row x14ac:dyDescent="0.25" r="444" customHeight="1" ht="17.25">
      <c r="A444" s="1"/>
      <c r="B444" s="114"/>
      <c r="C444" s="1"/>
      <c r="D444" s="1"/>
      <c r="E444" s="116"/>
      <c r="F444" s="1"/>
      <c r="G444" s="1"/>
      <c r="H444" s="114"/>
      <c r="I444" s="1"/>
      <c r="J444" s="1"/>
      <c r="K444" s="1"/>
      <c r="L444" s="54"/>
      <c r="M444" s="54"/>
      <c r="N444" s="54"/>
      <c r="O444" s="54"/>
      <c r="P444" s="54"/>
      <c r="Q444" s="54"/>
      <c r="R444" s="1"/>
      <c r="S444" s="1"/>
      <c r="T444" s="1"/>
      <c r="U444" s="1"/>
      <c r="V444" s="1"/>
      <c r="W444" s="1"/>
      <c r="X444" s="1"/>
      <c r="Y444" s="1"/>
      <c r="Z444" s="1"/>
      <c r="AA444" s="1"/>
      <c r="AB444" s="1"/>
      <c r="AC444" s="1"/>
      <c r="AD444" s="1"/>
      <c r="AE444" s="1"/>
      <c r="AF444" s="1"/>
      <c r="AG444" s="1"/>
      <c r="AH444" s="1"/>
      <c r="AI444" s="1"/>
    </row>
    <row x14ac:dyDescent="0.25" r="445" customHeight="1" ht="17.25">
      <c r="A445" s="1"/>
      <c r="B445" s="114"/>
      <c r="C445" s="1"/>
      <c r="D445" s="1"/>
      <c r="E445" s="116"/>
      <c r="F445" s="1"/>
      <c r="G445" s="1"/>
      <c r="H445" s="114"/>
      <c r="I445" s="1"/>
      <c r="J445" s="1"/>
      <c r="K445" s="1"/>
      <c r="L445" s="54"/>
      <c r="M445" s="54"/>
      <c r="N445" s="54"/>
      <c r="O445" s="54"/>
      <c r="P445" s="54"/>
      <c r="Q445" s="54"/>
      <c r="R445" s="1"/>
      <c r="S445" s="1"/>
      <c r="T445" s="1"/>
      <c r="U445" s="1"/>
      <c r="V445" s="1"/>
      <c r="W445" s="1"/>
      <c r="X445" s="1"/>
      <c r="Y445" s="1"/>
      <c r="Z445" s="1"/>
      <c r="AA445" s="1"/>
      <c r="AB445" s="1"/>
      <c r="AC445" s="1"/>
      <c r="AD445" s="1"/>
      <c r="AE445" s="1"/>
      <c r="AF445" s="1"/>
      <c r="AG445" s="1"/>
      <c r="AH445" s="1"/>
      <c r="AI445" s="1"/>
    </row>
    <row x14ac:dyDescent="0.25" r="446" customHeight="1" ht="17.25">
      <c r="A446" s="1"/>
      <c r="B446" s="114"/>
      <c r="C446" s="1"/>
      <c r="D446" s="1"/>
      <c r="E446" s="116"/>
      <c r="F446" s="1"/>
      <c r="G446" s="1"/>
      <c r="H446" s="114"/>
      <c r="I446" s="1"/>
      <c r="J446" s="1"/>
      <c r="K446" s="1"/>
      <c r="L446" s="54"/>
      <c r="M446" s="54"/>
      <c r="N446" s="54"/>
      <c r="O446" s="54"/>
      <c r="P446" s="54"/>
      <c r="Q446" s="54"/>
      <c r="R446" s="1"/>
      <c r="S446" s="1"/>
      <c r="T446" s="1"/>
      <c r="U446" s="1"/>
      <c r="V446" s="1"/>
      <c r="W446" s="1"/>
      <c r="X446" s="1"/>
      <c r="Y446" s="1"/>
      <c r="Z446" s="1"/>
      <c r="AA446" s="1"/>
      <c r="AB446" s="1"/>
      <c r="AC446" s="1"/>
      <c r="AD446" s="1"/>
      <c r="AE446" s="1"/>
      <c r="AF446" s="1"/>
      <c r="AG446" s="1"/>
      <c r="AH446" s="1"/>
      <c r="AI446" s="1"/>
    </row>
    <row x14ac:dyDescent="0.25" r="447" customHeight="1" ht="17.25">
      <c r="A447" s="1"/>
      <c r="B447" s="114"/>
      <c r="C447" s="116"/>
      <c r="D447" s="1"/>
      <c r="E447" s="116"/>
      <c r="F447" s="1"/>
      <c r="G447" s="1"/>
      <c r="H447" s="114"/>
      <c r="I447" s="1"/>
      <c r="J447" s="1"/>
      <c r="K447" s="1"/>
      <c r="L447" s="54"/>
      <c r="M447" s="54"/>
      <c r="N447" s="54"/>
      <c r="O447" s="54"/>
      <c r="P447" s="54"/>
      <c r="Q447" s="54"/>
      <c r="R447" s="1"/>
      <c r="S447" s="1"/>
      <c r="T447" s="1"/>
      <c r="U447" s="1"/>
      <c r="V447" s="1"/>
      <c r="W447" s="1"/>
      <c r="X447" s="1"/>
      <c r="Y447" s="1"/>
      <c r="Z447" s="1"/>
      <c r="AA447" s="1"/>
      <c r="AB447" s="1"/>
      <c r="AC447" s="1"/>
      <c r="AD447" s="1"/>
      <c r="AE447" s="1"/>
      <c r="AF447" s="1"/>
      <c r="AG447" s="1"/>
      <c r="AH447" s="1"/>
      <c r="AI447" s="1"/>
    </row>
    <row x14ac:dyDescent="0.25" r="448" customHeight="1" ht="17.25">
      <c r="A448" s="1"/>
      <c r="B448" s="114"/>
      <c r="C448" s="116"/>
      <c r="D448" s="1"/>
      <c r="E448" s="116"/>
      <c r="F448" s="1"/>
      <c r="G448" s="1"/>
      <c r="H448" s="114"/>
      <c r="I448" s="1"/>
      <c r="J448" s="1"/>
      <c r="K448" s="1"/>
      <c r="L448" s="54"/>
      <c r="M448" s="54"/>
      <c r="N448" s="54"/>
      <c r="O448" s="54"/>
      <c r="P448" s="54"/>
      <c r="Q448" s="54"/>
      <c r="R448" s="1"/>
      <c r="S448" s="1"/>
      <c r="T448" s="1"/>
      <c r="U448" s="1"/>
      <c r="V448" s="1"/>
      <c r="W448" s="1"/>
      <c r="X448" s="1"/>
      <c r="Y448" s="1"/>
      <c r="Z448" s="1"/>
      <c r="AA448" s="1"/>
      <c r="AB448" s="1"/>
      <c r="AC448" s="1"/>
      <c r="AD448" s="1"/>
      <c r="AE448" s="1"/>
      <c r="AF448" s="1"/>
      <c r="AG448" s="1"/>
      <c r="AH448" s="1"/>
      <c r="AI448" s="1"/>
    </row>
    <row x14ac:dyDescent="0.25" r="449" customHeight="1" ht="17.25">
      <c r="A449" s="1"/>
      <c r="B449" s="114"/>
      <c r="C449" s="1"/>
      <c r="D449" s="1"/>
      <c r="E449" s="116"/>
      <c r="F449" s="1"/>
      <c r="G449" s="1"/>
      <c r="H449" s="114"/>
      <c r="I449" s="1"/>
      <c r="J449" s="1"/>
      <c r="K449" s="1"/>
      <c r="L449" s="54"/>
      <c r="M449" s="54"/>
      <c r="N449" s="54"/>
      <c r="O449" s="54"/>
      <c r="P449" s="54"/>
      <c r="Q449" s="54"/>
      <c r="R449" s="1"/>
      <c r="S449" s="1"/>
      <c r="T449" s="1"/>
      <c r="U449" s="1"/>
      <c r="V449" s="1"/>
      <c r="W449" s="1"/>
      <c r="X449" s="1"/>
      <c r="Y449" s="1"/>
      <c r="Z449" s="1"/>
      <c r="AA449" s="1"/>
      <c r="AB449" s="1"/>
      <c r="AC449" s="1"/>
      <c r="AD449" s="1"/>
      <c r="AE449" s="1"/>
      <c r="AF449" s="1"/>
      <c r="AG449" s="1"/>
      <c r="AH449" s="1"/>
      <c r="AI449" s="1"/>
    </row>
    <row x14ac:dyDescent="0.25" r="450" customHeight="1" ht="17.25">
      <c r="A450" s="1"/>
      <c r="B450" s="114"/>
      <c r="C450" s="1"/>
      <c r="D450" s="1"/>
      <c r="E450" s="116"/>
      <c r="F450" s="1"/>
      <c r="G450" s="1"/>
      <c r="H450" s="114"/>
      <c r="I450" s="1"/>
      <c r="J450" s="1"/>
      <c r="K450" s="1"/>
      <c r="L450" s="54"/>
      <c r="M450" s="54"/>
      <c r="N450" s="54"/>
      <c r="O450" s="54"/>
      <c r="P450" s="54"/>
      <c r="Q450" s="54"/>
      <c r="R450" s="1"/>
      <c r="S450" s="1"/>
      <c r="T450" s="1"/>
      <c r="U450" s="1"/>
      <c r="V450" s="1"/>
      <c r="W450" s="1"/>
      <c r="X450" s="1"/>
      <c r="Y450" s="1"/>
      <c r="Z450" s="1"/>
      <c r="AA450" s="1"/>
      <c r="AB450" s="1"/>
      <c r="AC450" s="1"/>
      <c r="AD450" s="1"/>
      <c r="AE450" s="1"/>
      <c r="AF450" s="1"/>
      <c r="AG450" s="1"/>
      <c r="AH450" s="1"/>
      <c r="AI450" s="1"/>
    </row>
    <row x14ac:dyDescent="0.25" r="451" customHeight="1" ht="17.25">
      <c r="A451" s="1"/>
      <c r="B451" s="114"/>
      <c r="C451" s="116"/>
      <c r="D451" s="1"/>
      <c r="E451" s="116"/>
      <c r="F451" s="1"/>
      <c r="G451" s="1"/>
      <c r="H451" s="114"/>
      <c r="I451" s="1"/>
      <c r="J451" s="1"/>
      <c r="K451" s="1"/>
      <c r="L451" s="54"/>
      <c r="M451" s="54"/>
      <c r="N451" s="54"/>
      <c r="O451" s="54"/>
      <c r="P451" s="54"/>
      <c r="Q451" s="54"/>
      <c r="R451" s="1"/>
      <c r="S451" s="1"/>
      <c r="T451" s="1"/>
      <c r="U451" s="1"/>
      <c r="V451" s="1"/>
      <c r="W451" s="1"/>
      <c r="X451" s="1"/>
      <c r="Y451" s="1"/>
      <c r="Z451" s="1"/>
      <c r="AA451" s="1"/>
      <c r="AB451" s="1"/>
      <c r="AC451" s="1"/>
      <c r="AD451" s="1"/>
      <c r="AE451" s="1"/>
      <c r="AF451" s="1"/>
      <c r="AG451" s="1"/>
      <c r="AH451" s="1"/>
      <c r="AI451" s="1"/>
    </row>
    <row x14ac:dyDescent="0.25" r="452" customHeight="1" ht="17.25">
      <c r="A452" s="1"/>
      <c r="B452" s="114"/>
      <c r="C452" s="1"/>
      <c r="D452" s="1"/>
      <c r="E452" s="116"/>
      <c r="F452" s="1"/>
      <c r="G452" s="1"/>
      <c r="H452" s="114"/>
      <c r="I452" s="1"/>
      <c r="J452" s="1"/>
      <c r="K452" s="1"/>
      <c r="L452" s="54"/>
      <c r="M452" s="54"/>
      <c r="N452" s="54"/>
      <c r="O452" s="54"/>
      <c r="P452" s="54"/>
      <c r="Q452" s="54"/>
      <c r="R452" s="1"/>
      <c r="S452" s="1"/>
      <c r="T452" s="1"/>
      <c r="U452" s="1"/>
      <c r="V452" s="1"/>
      <c r="W452" s="1"/>
      <c r="X452" s="1"/>
      <c r="Y452" s="1"/>
      <c r="Z452" s="1"/>
      <c r="AA452" s="1"/>
      <c r="AB452" s="1"/>
      <c r="AC452" s="1"/>
      <c r="AD452" s="1"/>
      <c r="AE452" s="1"/>
      <c r="AF452" s="1"/>
      <c r="AG452" s="1"/>
      <c r="AH452" s="1"/>
      <c r="AI452" s="1"/>
    </row>
    <row x14ac:dyDescent="0.25" r="453" customHeight="1" ht="17.25">
      <c r="A453" s="1"/>
      <c r="B453" s="114"/>
      <c r="C453" s="1"/>
      <c r="D453" s="1"/>
      <c r="E453" s="116"/>
      <c r="F453" s="1"/>
      <c r="G453" s="1"/>
      <c r="H453" s="114"/>
      <c r="I453" s="1"/>
      <c r="J453" s="1"/>
      <c r="K453" s="1"/>
      <c r="L453" s="54"/>
      <c r="M453" s="54"/>
      <c r="N453" s="54"/>
      <c r="O453" s="54"/>
      <c r="P453" s="54"/>
      <c r="Q453" s="54"/>
      <c r="R453" s="1"/>
      <c r="S453" s="1"/>
      <c r="T453" s="1"/>
      <c r="U453" s="1"/>
      <c r="V453" s="1"/>
      <c r="W453" s="1"/>
      <c r="X453" s="1"/>
      <c r="Y453" s="1"/>
      <c r="Z453" s="1"/>
      <c r="AA453" s="1"/>
      <c r="AB453" s="1"/>
      <c r="AC453" s="1"/>
      <c r="AD453" s="1"/>
      <c r="AE453" s="1"/>
      <c r="AF453" s="1"/>
      <c r="AG453" s="1"/>
      <c r="AH453" s="1"/>
      <c r="AI453" s="1"/>
    </row>
    <row x14ac:dyDescent="0.25" r="454" customHeight="1" ht="17.25">
      <c r="A454" s="1"/>
      <c r="B454" s="114"/>
      <c r="C454" s="1"/>
      <c r="D454" s="1"/>
      <c r="E454" s="116"/>
      <c r="F454" s="1"/>
      <c r="G454" s="1"/>
      <c r="H454" s="114"/>
      <c r="I454" s="1"/>
      <c r="J454" s="1"/>
      <c r="K454" s="1"/>
      <c r="L454" s="54"/>
      <c r="M454" s="54"/>
      <c r="N454" s="54"/>
      <c r="O454" s="54"/>
      <c r="P454" s="54"/>
      <c r="Q454" s="54"/>
      <c r="R454" s="1"/>
      <c r="S454" s="1"/>
      <c r="T454" s="1"/>
      <c r="U454" s="1"/>
      <c r="V454" s="1"/>
      <c r="W454" s="1"/>
      <c r="X454" s="1"/>
      <c r="Y454" s="1"/>
      <c r="Z454" s="1"/>
      <c r="AA454" s="1"/>
      <c r="AB454" s="1"/>
      <c r="AC454" s="1"/>
      <c r="AD454" s="1"/>
      <c r="AE454" s="1"/>
      <c r="AF454" s="1"/>
      <c r="AG454" s="1"/>
      <c r="AH454" s="1"/>
      <c r="AI454" s="1"/>
    </row>
    <row x14ac:dyDescent="0.25" r="455" customHeight="1" ht="17.25">
      <c r="A455" s="1"/>
      <c r="B455" s="114"/>
      <c r="C455" s="1"/>
      <c r="D455" s="1"/>
      <c r="E455" s="116"/>
      <c r="F455" s="1"/>
      <c r="G455" s="1"/>
      <c r="H455" s="114"/>
      <c r="I455" s="1"/>
      <c r="J455" s="1"/>
      <c r="K455" s="1"/>
      <c r="L455" s="54"/>
      <c r="M455" s="54"/>
      <c r="N455" s="54"/>
      <c r="O455" s="54"/>
      <c r="P455" s="54"/>
      <c r="Q455" s="54"/>
      <c r="R455" s="1"/>
      <c r="S455" s="1"/>
      <c r="T455" s="1"/>
      <c r="U455" s="1"/>
      <c r="V455" s="1"/>
      <c r="W455" s="1"/>
      <c r="X455" s="1"/>
      <c r="Y455" s="1"/>
      <c r="Z455" s="1"/>
      <c r="AA455" s="1"/>
      <c r="AB455" s="1"/>
      <c r="AC455" s="1"/>
      <c r="AD455" s="1"/>
      <c r="AE455" s="1"/>
      <c r="AF455" s="1"/>
      <c r="AG455" s="1"/>
      <c r="AH455" s="1"/>
      <c r="AI455" s="1"/>
    </row>
    <row x14ac:dyDescent="0.25" r="456" customHeight="1" ht="17.25">
      <c r="A456" s="1"/>
      <c r="B456" s="114"/>
      <c r="C456" s="1"/>
      <c r="D456" s="1"/>
      <c r="E456" s="116"/>
      <c r="F456" s="1"/>
      <c r="G456" s="1"/>
      <c r="H456" s="114"/>
      <c r="I456" s="1"/>
      <c r="J456" s="1"/>
      <c r="K456" s="1"/>
      <c r="L456" s="54"/>
      <c r="M456" s="54"/>
      <c r="N456" s="54"/>
      <c r="O456" s="54"/>
      <c r="P456" s="54"/>
      <c r="Q456" s="54"/>
      <c r="R456" s="1"/>
      <c r="S456" s="1"/>
      <c r="T456" s="1"/>
      <c r="U456" s="1"/>
      <c r="V456" s="1"/>
      <c r="W456" s="1"/>
      <c r="X456" s="1"/>
      <c r="Y456" s="1"/>
      <c r="Z456" s="1"/>
      <c r="AA456" s="1"/>
      <c r="AB456" s="1"/>
      <c r="AC456" s="1"/>
      <c r="AD456" s="1"/>
      <c r="AE456" s="1"/>
      <c r="AF456" s="1"/>
      <c r="AG456" s="1"/>
      <c r="AH456" s="1"/>
      <c r="AI456" s="1"/>
    </row>
    <row x14ac:dyDescent="0.25" r="457" customHeight="1" ht="17.25">
      <c r="A457" s="1"/>
      <c r="B457" s="114"/>
      <c r="C457" s="1"/>
      <c r="D457" s="1"/>
      <c r="E457" s="116"/>
      <c r="F457" s="1"/>
      <c r="G457" s="1"/>
      <c r="H457" s="114"/>
      <c r="I457" s="1"/>
      <c r="J457" s="1"/>
      <c r="K457" s="1"/>
      <c r="L457" s="54"/>
      <c r="M457" s="54"/>
      <c r="N457" s="54"/>
      <c r="O457" s="54"/>
      <c r="P457" s="54"/>
      <c r="Q457" s="54"/>
      <c r="R457" s="1"/>
      <c r="S457" s="1"/>
      <c r="T457" s="1"/>
      <c r="U457" s="1"/>
      <c r="V457" s="1"/>
      <c r="W457" s="1"/>
      <c r="X457" s="1"/>
      <c r="Y457" s="1"/>
      <c r="Z457" s="1"/>
      <c r="AA457" s="1"/>
      <c r="AB457" s="1"/>
      <c r="AC457" s="1"/>
      <c r="AD457" s="1"/>
      <c r="AE457" s="1"/>
      <c r="AF457" s="1"/>
      <c r="AG457" s="1"/>
      <c r="AH457" s="1"/>
      <c r="AI457" s="1"/>
    </row>
    <row x14ac:dyDescent="0.25" r="458" customHeight="1" ht="17.25">
      <c r="A458" s="1"/>
      <c r="B458" s="114"/>
      <c r="C458" s="116"/>
      <c r="D458" s="1"/>
      <c r="E458" s="116"/>
      <c r="F458" s="1"/>
      <c r="G458" s="1"/>
      <c r="H458" s="114"/>
      <c r="I458" s="1"/>
      <c r="J458" s="1"/>
      <c r="K458" s="1"/>
      <c r="L458" s="54"/>
      <c r="M458" s="54"/>
      <c r="N458" s="54"/>
      <c r="O458" s="54"/>
      <c r="P458" s="54"/>
      <c r="Q458" s="54"/>
      <c r="R458" s="1"/>
      <c r="S458" s="1"/>
      <c r="T458" s="1"/>
      <c r="U458" s="1"/>
      <c r="V458" s="1"/>
      <c r="W458" s="1"/>
      <c r="X458" s="1"/>
      <c r="Y458" s="1"/>
      <c r="Z458" s="1"/>
      <c r="AA458" s="1"/>
      <c r="AB458" s="1"/>
      <c r="AC458" s="1"/>
      <c r="AD458" s="1"/>
      <c r="AE458" s="1"/>
      <c r="AF458" s="1"/>
      <c r="AG458" s="1"/>
      <c r="AH458" s="1"/>
      <c r="AI458" s="1"/>
    </row>
    <row x14ac:dyDescent="0.25" r="459" customHeight="1" ht="17.25">
      <c r="A459" s="1"/>
      <c r="B459" s="114"/>
      <c r="C459" s="116"/>
      <c r="D459" s="1"/>
      <c r="E459" s="116"/>
      <c r="F459" s="1"/>
      <c r="G459" s="1"/>
      <c r="H459" s="114"/>
      <c r="I459" s="1"/>
      <c r="J459" s="1"/>
      <c r="K459" s="1"/>
      <c r="L459" s="54"/>
      <c r="M459" s="54"/>
      <c r="N459" s="54"/>
      <c r="O459" s="54"/>
      <c r="P459" s="54"/>
      <c r="Q459" s="54"/>
      <c r="R459" s="1"/>
      <c r="S459" s="1"/>
      <c r="T459" s="1"/>
      <c r="U459" s="1"/>
      <c r="V459" s="1"/>
      <c r="W459" s="1"/>
      <c r="X459" s="1"/>
      <c r="Y459" s="1"/>
      <c r="Z459" s="1"/>
      <c r="AA459" s="1"/>
      <c r="AB459" s="1"/>
      <c r="AC459" s="1"/>
      <c r="AD459" s="1"/>
      <c r="AE459" s="1"/>
      <c r="AF459" s="1"/>
      <c r="AG459" s="1"/>
      <c r="AH459" s="1"/>
      <c r="AI459" s="1"/>
    </row>
    <row x14ac:dyDescent="0.25" r="460" customHeight="1" ht="17.25">
      <c r="A460" s="1"/>
      <c r="B460" s="114"/>
      <c r="C460" s="1"/>
      <c r="D460" s="1"/>
      <c r="E460" s="116"/>
      <c r="F460" s="1"/>
      <c r="G460" s="1"/>
      <c r="H460" s="114"/>
      <c r="I460" s="1"/>
      <c r="J460" s="1"/>
      <c r="K460" s="1"/>
      <c r="L460" s="54"/>
      <c r="M460" s="54"/>
      <c r="N460" s="54"/>
      <c r="O460" s="54"/>
      <c r="P460" s="54"/>
      <c r="Q460" s="54"/>
      <c r="R460" s="1"/>
      <c r="S460" s="1"/>
      <c r="T460" s="1"/>
      <c r="U460" s="1"/>
      <c r="V460" s="1"/>
      <c r="W460" s="1"/>
      <c r="X460" s="1"/>
      <c r="Y460" s="1"/>
      <c r="Z460" s="1"/>
      <c r="AA460" s="1"/>
      <c r="AB460" s="1"/>
      <c r="AC460" s="1"/>
      <c r="AD460" s="1"/>
      <c r="AE460" s="1"/>
      <c r="AF460" s="1"/>
      <c r="AG460" s="1"/>
      <c r="AH460" s="1"/>
      <c r="AI460" s="1"/>
    </row>
    <row x14ac:dyDescent="0.25" r="461" customHeight="1" ht="17.25">
      <c r="A461" s="1"/>
      <c r="B461" s="114"/>
      <c r="C461" s="116"/>
      <c r="D461" s="1"/>
      <c r="E461" s="116"/>
      <c r="F461" s="1"/>
      <c r="G461" s="1"/>
      <c r="H461" s="114"/>
      <c r="I461" s="1"/>
      <c r="J461" s="1"/>
      <c r="K461" s="1"/>
      <c r="L461" s="54"/>
      <c r="M461" s="54"/>
      <c r="N461" s="54"/>
      <c r="O461" s="54"/>
      <c r="P461" s="54"/>
      <c r="Q461" s="54"/>
      <c r="R461" s="1"/>
      <c r="S461" s="1"/>
      <c r="T461" s="1"/>
      <c r="U461" s="1"/>
      <c r="V461" s="1"/>
      <c r="W461" s="1"/>
      <c r="X461" s="1"/>
      <c r="Y461" s="1"/>
      <c r="Z461" s="1"/>
      <c r="AA461" s="1"/>
      <c r="AB461" s="1"/>
      <c r="AC461" s="1"/>
      <c r="AD461" s="1"/>
      <c r="AE461" s="1"/>
      <c r="AF461" s="1"/>
      <c r="AG461" s="1"/>
      <c r="AH461" s="1"/>
      <c r="AI461" s="1"/>
    </row>
    <row x14ac:dyDescent="0.25" r="462" customHeight="1" ht="17.25">
      <c r="A462" s="1"/>
      <c r="B462" s="114"/>
      <c r="C462" s="1"/>
      <c r="D462" s="1"/>
      <c r="E462" s="116"/>
      <c r="F462" s="1"/>
      <c r="G462" s="1"/>
      <c r="H462" s="114"/>
      <c r="I462" s="1"/>
      <c r="J462" s="1"/>
      <c r="K462" s="1"/>
      <c r="L462" s="54"/>
      <c r="M462" s="54"/>
      <c r="N462" s="54"/>
      <c r="O462" s="54"/>
      <c r="P462" s="54"/>
      <c r="Q462" s="54"/>
      <c r="R462" s="1"/>
      <c r="S462" s="1"/>
      <c r="T462" s="1"/>
      <c r="U462" s="1"/>
      <c r="V462" s="1"/>
      <c r="W462" s="1"/>
      <c r="X462" s="1"/>
      <c r="Y462" s="1"/>
      <c r="Z462" s="1"/>
      <c r="AA462" s="1"/>
      <c r="AB462" s="1"/>
      <c r="AC462" s="1"/>
      <c r="AD462" s="1"/>
      <c r="AE462" s="1"/>
      <c r="AF462" s="1"/>
      <c r="AG462" s="1"/>
      <c r="AH462" s="1"/>
      <c r="AI462" s="1"/>
    </row>
    <row x14ac:dyDescent="0.25" r="463" customHeight="1" ht="17.25">
      <c r="A463" s="1"/>
      <c r="B463" s="114"/>
      <c r="C463" s="116"/>
      <c r="D463" s="1"/>
      <c r="E463" s="116"/>
      <c r="F463" s="1"/>
      <c r="G463" s="1"/>
      <c r="H463" s="114"/>
      <c r="I463" s="1"/>
      <c r="J463" s="1"/>
      <c r="K463" s="1"/>
      <c r="L463" s="54"/>
      <c r="M463" s="54"/>
      <c r="N463" s="54"/>
      <c r="O463" s="54"/>
      <c r="P463" s="54"/>
      <c r="Q463" s="54"/>
      <c r="R463" s="1"/>
      <c r="S463" s="1"/>
      <c r="T463" s="1"/>
      <c r="U463" s="1"/>
      <c r="V463" s="1"/>
      <c r="W463" s="1"/>
      <c r="X463" s="1"/>
      <c r="Y463" s="1"/>
      <c r="Z463" s="1"/>
      <c r="AA463" s="1"/>
      <c r="AB463" s="1"/>
      <c r="AC463" s="1"/>
      <c r="AD463" s="1"/>
      <c r="AE463" s="1"/>
      <c r="AF463" s="1"/>
      <c r="AG463" s="1"/>
      <c r="AH463" s="1"/>
      <c r="AI463" s="1"/>
    </row>
    <row x14ac:dyDescent="0.25" r="464" customHeight="1" ht="17.25">
      <c r="A464" s="1"/>
      <c r="B464" s="114"/>
      <c r="C464" s="116"/>
      <c r="D464" s="1"/>
      <c r="E464" s="116"/>
      <c r="F464" s="1"/>
      <c r="G464" s="1"/>
      <c r="H464" s="114"/>
      <c r="I464" s="1"/>
      <c r="J464" s="1"/>
      <c r="K464" s="1"/>
      <c r="L464" s="54"/>
      <c r="M464" s="54"/>
      <c r="N464" s="54"/>
      <c r="O464" s="54"/>
      <c r="P464" s="54"/>
      <c r="Q464" s="54"/>
      <c r="R464" s="1"/>
      <c r="S464" s="1"/>
      <c r="T464" s="1"/>
      <c r="U464" s="1"/>
      <c r="V464" s="1"/>
      <c r="W464" s="1"/>
      <c r="X464" s="1"/>
      <c r="Y464" s="1"/>
      <c r="Z464" s="1"/>
      <c r="AA464" s="1"/>
      <c r="AB464" s="1"/>
      <c r="AC464" s="1"/>
      <c r="AD464" s="1"/>
      <c r="AE464" s="1"/>
      <c r="AF464" s="1"/>
      <c r="AG464" s="1"/>
      <c r="AH464" s="1"/>
      <c r="AI464" s="1"/>
    </row>
    <row x14ac:dyDescent="0.25" r="465" customHeight="1" ht="17.25">
      <c r="A465" s="1"/>
      <c r="B465" s="114"/>
      <c r="C465" s="1"/>
      <c r="D465" s="1"/>
      <c r="E465" s="116"/>
      <c r="F465" s="1"/>
      <c r="G465" s="1"/>
      <c r="H465" s="114"/>
      <c r="I465" s="1"/>
      <c r="J465" s="1"/>
      <c r="K465" s="1"/>
      <c r="L465" s="54"/>
      <c r="M465" s="54"/>
      <c r="N465" s="54"/>
      <c r="O465" s="54"/>
      <c r="P465" s="54"/>
      <c r="Q465" s="54"/>
      <c r="R465" s="1"/>
      <c r="S465" s="1"/>
      <c r="T465" s="1"/>
      <c r="U465" s="1"/>
      <c r="V465" s="1"/>
      <c r="W465" s="1"/>
      <c r="X465" s="1"/>
      <c r="Y465" s="1"/>
      <c r="Z465" s="1"/>
      <c r="AA465" s="1"/>
      <c r="AB465" s="1"/>
      <c r="AC465" s="1"/>
      <c r="AD465" s="1"/>
      <c r="AE465" s="1"/>
      <c r="AF465" s="1"/>
      <c r="AG465" s="1"/>
      <c r="AH465" s="1"/>
      <c r="AI465" s="1"/>
    </row>
    <row x14ac:dyDescent="0.25" r="466" customHeight="1" ht="17.25">
      <c r="A466" s="1"/>
      <c r="B466" s="114"/>
      <c r="C466" s="1"/>
      <c r="D466" s="1"/>
      <c r="E466" s="116"/>
      <c r="F466" s="1"/>
      <c r="G466" s="1"/>
      <c r="H466" s="114"/>
      <c r="I466" s="1"/>
      <c r="J466" s="1"/>
      <c r="K466" s="1"/>
      <c r="L466" s="54"/>
      <c r="M466" s="54"/>
      <c r="N466" s="54"/>
      <c r="O466" s="54"/>
      <c r="P466" s="54"/>
      <c r="Q466" s="54"/>
      <c r="R466" s="1"/>
      <c r="S466" s="1"/>
      <c r="T466" s="1"/>
      <c r="U466" s="1"/>
      <c r="V466" s="1"/>
      <c r="W466" s="1"/>
      <c r="X466" s="1"/>
      <c r="Y466" s="1"/>
      <c r="Z466" s="1"/>
      <c r="AA466" s="1"/>
      <c r="AB466" s="1"/>
      <c r="AC466" s="1"/>
      <c r="AD466" s="1"/>
      <c r="AE466" s="1"/>
      <c r="AF466" s="1"/>
      <c r="AG466" s="1"/>
      <c r="AH466" s="1"/>
      <c r="AI466" s="1"/>
    </row>
    <row x14ac:dyDescent="0.25" r="467" customHeight="1" ht="17.25">
      <c r="A467" s="1"/>
      <c r="B467" s="114"/>
      <c r="C467" s="120"/>
      <c r="D467" s="1"/>
      <c r="E467" s="116"/>
      <c r="F467" s="1"/>
      <c r="G467" s="1"/>
      <c r="H467" s="114"/>
      <c r="I467" s="1"/>
      <c r="J467" s="1"/>
      <c r="K467" s="1"/>
      <c r="L467" s="54"/>
      <c r="M467" s="54"/>
      <c r="N467" s="54"/>
      <c r="O467" s="54"/>
      <c r="P467" s="54"/>
      <c r="Q467" s="54"/>
      <c r="R467" s="1"/>
      <c r="S467" s="1"/>
      <c r="T467" s="1"/>
      <c r="U467" s="1"/>
      <c r="V467" s="1"/>
      <c r="W467" s="1"/>
      <c r="X467" s="1"/>
      <c r="Y467" s="1"/>
      <c r="Z467" s="1"/>
      <c r="AA467" s="1"/>
      <c r="AB467" s="1"/>
      <c r="AC467" s="1"/>
      <c r="AD467" s="1"/>
      <c r="AE467" s="1"/>
      <c r="AF467" s="1"/>
      <c r="AG467" s="1"/>
      <c r="AH467" s="1"/>
      <c r="AI467" s="1"/>
    </row>
    <row x14ac:dyDescent="0.25" r="468" customHeight="1" ht="17.25">
      <c r="A468" s="1"/>
      <c r="B468" s="114"/>
      <c r="C468" s="1"/>
      <c r="D468" s="1"/>
      <c r="E468" s="116"/>
      <c r="F468" s="1"/>
      <c r="G468" s="1"/>
      <c r="H468" s="114"/>
      <c r="I468" s="1"/>
      <c r="J468" s="1"/>
      <c r="K468" s="1"/>
      <c r="L468" s="54"/>
      <c r="M468" s="54"/>
      <c r="N468" s="54"/>
      <c r="O468" s="54"/>
      <c r="P468" s="54"/>
      <c r="Q468" s="54"/>
      <c r="R468" s="1"/>
      <c r="S468" s="1"/>
      <c r="T468" s="1"/>
      <c r="U468" s="1"/>
      <c r="V468" s="1"/>
      <c r="W468" s="1"/>
      <c r="X468" s="1"/>
      <c r="Y468" s="1"/>
      <c r="Z468" s="1"/>
      <c r="AA468" s="1"/>
      <c r="AB468" s="1"/>
      <c r="AC468" s="1"/>
      <c r="AD468" s="1"/>
      <c r="AE468" s="1"/>
      <c r="AF468" s="1"/>
      <c r="AG468" s="1"/>
      <c r="AH468" s="1"/>
      <c r="AI468" s="1"/>
    </row>
    <row x14ac:dyDescent="0.25" r="469" customHeight="1" ht="17.25">
      <c r="A469" s="1"/>
      <c r="B469" s="114"/>
      <c r="C469" s="1"/>
      <c r="D469" s="1"/>
      <c r="E469" s="116"/>
      <c r="F469" s="1"/>
      <c r="G469" s="1"/>
      <c r="H469" s="114"/>
      <c r="I469" s="1"/>
      <c r="J469" s="1"/>
      <c r="K469" s="1"/>
      <c r="L469" s="54"/>
      <c r="M469" s="54"/>
      <c r="N469" s="54"/>
      <c r="O469" s="54"/>
      <c r="P469" s="54"/>
      <c r="Q469" s="54"/>
      <c r="R469" s="1"/>
      <c r="S469" s="1"/>
      <c r="T469" s="1"/>
      <c r="U469" s="1"/>
      <c r="V469" s="1"/>
      <c r="W469" s="1"/>
      <c r="X469" s="1"/>
      <c r="Y469" s="1"/>
      <c r="Z469" s="1"/>
      <c r="AA469" s="1"/>
      <c r="AB469" s="1"/>
      <c r="AC469" s="1"/>
      <c r="AD469" s="1"/>
      <c r="AE469" s="1"/>
      <c r="AF469" s="1"/>
      <c r="AG469" s="1"/>
      <c r="AH469" s="1"/>
      <c r="AI469" s="1"/>
    </row>
    <row x14ac:dyDescent="0.25" r="470" customHeight="1" ht="17.25">
      <c r="A470" s="1"/>
      <c r="B470" s="114"/>
      <c r="C470" s="1"/>
      <c r="D470" s="1"/>
      <c r="E470" s="116"/>
      <c r="F470" s="1"/>
      <c r="G470" s="1"/>
      <c r="H470" s="114"/>
      <c r="I470" s="1"/>
      <c r="J470" s="1"/>
      <c r="K470" s="1"/>
      <c r="L470" s="54"/>
      <c r="M470" s="54"/>
      <c r="N470" s="54"/>
      <c r="O470" s="54"/>
      <c r="P470" s="54"/>
      <c r="Q470" s="54"/>
      <c r="R470" s="1"/>
      <c r="S470" s="1"/>
      <c r="T470" s="1"/>
      <c r="U470" s="1"/>
      <c r="V470" s="1"/>
      <c r="W470" s="1"/>
      <c r="X470" s="1"/>
      <c r="Y470" s="1"/>
      <c r="Z470" s="1"/>
      <c r="AA470" s="1"/>
      <c r="AB470" s="1"/>
      <c r="AC470" s="1"/>
      <c r="AD470" s="1"/>
      <c r="AE470" s="1"/>
      <c r="AF470" s="1"/>
      <c r="AG470" s="1"/>
      <c r="AH470" s="1"/>
      <c r="AI470" s="1"/>
    </row>
    <row x14ac:dyDescent="0.25" r="471" customHeight="1" ht="17.25">
      <c r="A471" s="1"/>
      <c r="B471" s="114"/>
      <c r="C471" s="1"/>
      <c r="D471" s="1"/>
      <c r="E471" s="116"/>
      <c r="F471" s="1"/>
      <c r="G471" s="1"/>
      <c r="H471" s="114"/>
      <c r="I471" s="1"/>
      <c r="J471" s="1"/>
      <c r="K471" s="1"/>
      <c r="L471" s="54"/>
      <c r="M471" s="54"/>
      <c r="N471" s="54"/>
      <c r="O471" s="54"/>
      <c r="P471" s="54"/>
      <c r="Q471" s="54"/>
      <c r="R471" s="1"/>
      <c r="S471" s="1"/>
      <c r="T471" s="1"/>
      <c r="U471" s="1"/>
      <c r="V471" s="1"/>
      <c r="W471" s="1"/>
      <c r="X471" s="1"/>
      <c r="Y471" s="1"/>
      <c r="Z471" s="1"/>
      <c r="AA471" s="1"/>
      <c r="AB471" s="1"/>
      <c r="AC471" s="1"/>
      <c r="AD471" s="1"/>
      <c r="AE471" s="1"/>
      <c r="AF471" s="1"/>
      <c r="AG471" s="1"/>
      <c r="AH471" s="1"/>
      <c r="AI471" s="1"/>
    </row>
    <row x14ac:dyDescent="0.25" r="472" customHeight="1" ht="17.25">
      <c r="A472" s="1"/>
      <c r="B472" s="114"/>
      <c r="C472" s="1"/>
      <c r="D472" s="1"/>
      <c r="E472" s="116"/>
      <c r="F472" s="1"/>
      <c r="G472" s="1"/>
      <c r="H472" s="114"/>
      <c r="I472" s="1"/>
      <c r="J472" s="1"/>
      <c r="K472" s="1"/>
      <c r="L472" s="54"/>
      <c r="M472" s="54"/>
      <c r="N472" s="54"/>
      <c r="O472" s="54"/>
      <c r="P472" s="54"/>
      <c r="Q472" s="54"/>
      <c r="R472" s="1"/>
      <c r="S472" s="1"/>
      <c r="T472" s="1"/>
      <c r="U472" s="1"/>
      <c r="V472" s="1"/>
      <c r="W472" s="1"/>
      <c r="X472" s="1"/>
      <c r="Y472" s="1"/>
      <c r="Z472" s="1"/>
      <c r="AA472" s="1"/>
      <c r="AB472" s="1"/>
      <c r="AC472" s="1"/>
      <c r="AD472" s="1"/>
      <c r="AE472" s="1"/>
      <c r="AF472" s="1"/>
      <c r="AG472" s="1"/>
      <c r="AH472" s="1"/>
      <c r="AI472" s="1"/>
    </row>
    <row x14ac:dyDescent="0.25" r="473" customHeight="1" ht="17.25">
      <c r="A473" s="1"/>
      <c r="B473" s="114"/>
      <c r="C473" s="116"/>
      <c r="D473" s="1"/>
      <c r="E473" s="116"/>
      <c r="F473" s="1"/>
      <c r="G473" s="1"/>
      <c r="H473" s="114"/>
      <c r="I473" s="1"/>
      <c r="J473" s="1"/>
      <c r="K473" s="1"/>
      <c r="L473" s="54"/>
      <c r="M473" s="54"/>
      <c r="N473" s="54"/>
      <c r="O473" s="54"/>
      <c r="P473" s="54"/>
      <c r="Q473" s="54"/>
      <c r="R473" s="1"/>
      <c r="S473" s="1"/>
      <c r="T473" s="1"/>
      <c r="U473" s="1"/>
      <c r="V473" s="1"/>
      <c r="W473" s="1"/>
      <c r="X473" s="1"/>
      <c r="Y473" s="1"/>
      <c r="Z473" s="1"/>
      <c r="AA473" s="1"/>
      <c r="AB473" s="1"/>
      <c r="AC473" s="1"/>
      <c r="AD473" s="1"/>
      <c r="AE473" s="1"/>
      <c r="AF473" s="1"/>
      <c r="AG473" s="1"/>
      <c r="AH473" s="1"/>
      <c r="AI473" s="1"/>
    </row>
    <row x14ac:dyDescent="0.25" r="474" customHeight="1" ht="17.25">
      <c r="A474" s="1"/>
      <c r="B474" s="114"/>
      <c r="C474" s="1"/>
      <c r="D474" s="1"/>
      <c r="E474" s="116"/>
      <c r="F474" s="1"/>
      <c r="G474" s="1"/>
      <c r="H474" s="114"/>
      <c r="I474" s="1"/>
      <c r="J474" s="1"/>
      <c r="K474" s="1"/>
      <c r="L474" s="54"/>
      <c r="M474" s="54"/>
      <c r="N474" s="54"/>
      <c r="O474" s="54"/>
      <c r="P474" s="54"/>
      <c r="Q474" s="54"/>
      <c r="R474" s="1"/>
      <c r="S474" s="1"/>
      <c r="T474" s="1"/>
      <c r="U474" s="1"/>
      <c r="V474" s="1"/>
      <c r="W474" s="1"/>
      <c r="X474" s="1"/>
      <c r="Y474" s="1"/>
      <c r="Z474" s="1"/>
      <c r="AA474" s="1"/>
      <c r="AB474" s="1"/>
      <c r="AC474" s="1"/>
      <c r="AD474" s="1"/>
      <c r="AE474" s="1"/>
      <c r="AF474" s="1"/>
      <c r="AG474" s="1"/>
      <c r="AH474" s="1"/>
      <c r="AI474" s="1"/>
    </row>
    <row x14ac:dyDescent="0.25" r="475" customHeight="1" ht="17.25">
      <c r="A475" s="1"/>
      <c r="B475" s="114"/>
      <c r="C475" s="1"/>
      <c r="D475" s="1"/>
      <c r="E475" s="116"/>
      <c r="F475" s="1"/>
      <c r="G475" s="1"/>
      <c r="H475" s="114"/>
      <c r="I475" s="1"/>
      <c r="J475" s="1"/>
      <c r="K475" s="1"/>
      <c r="L475" s="54"/>
      <c r="M475" s="54"/>
      <c r="N475" s="54"/>
      <c r="O475" s="54"/>
      <c r="P475" s="54"/>
      <c r="Q475" s="54"/>
      <c r="R475" s="1"/>
      <c r="S475" s="1"/>
      <c r="T475" s="1"/>
      <c r="U475" s="1"/>
      <c r="V475" s="1"/>
      <c r="W475" s="1"/>
      <c r="X475" s="1"/>
      <c r="Y475" s="1"/>
      <c r="Z475" s="1"/>
      <c r="AA475" s="1"/>
      <c r="AB475" s="1"/>
      <c r="AC475" s="1"/>
      <c r="AD475" s="1"/>
      <c r="AE475" s="1"/>
      <c r="AF475" s="1"/>
      <c r="AG475" s="1"/>
      <c r="AH475" s="1"/>
      <c r="AI475" s="1"/>
    </row>
    <row x14ac:dyDescent="0.25" r="476" customHeight="1" ht="17.25">
      <c r="A476" s="1"/>
      <c r="B476" s="114"/>
      <c r="C476" s="1"/>
      <c r="D476" s="1"/>
      <c r="E476" s="116"/>
      <c r="F476" s="1"/>
      <c r="G476" s="1"/>
      <c r="H476" s="114"/>
      <c r="I476" s="1"/>
      <c r="J476" s="1"/>
      <c r="K476" s="1"/>
      <c r="L476" s="54"/>
      <c r="M476" s="54"/>
      <c r="N476" s="54"/>
      <c r="O476" s="54"/>
      <c r="P476" s="54"/>
      <c r="Q476" s="54"/>
      <c r="R476" s="1"/>
      <c r="S476" s="1"/>
      <c r="T476" s="1"/>
      <c r="U476" s="1"/>
      <c r="V476" s="1"/>
      <c r="W476" s="1"/>
      <c r="X476" s="1"/>
      <c r="Y476" s="1"/>
      <c r="Z476" s="1"/>
      <c r="AA476" s="1"/>
      <c r="AB476" s="1"/>
      <c r="AC476" s="1"/>
      <c r="AD476" s="1"/>
      <c r="AE476" s="1"/>
      <c r="AF476" s="1"/>
      <c r="AG476" s="1"/>
      <c r="AH476" s="1"/>
      <c r="AI476" s="1"/>
    </row>
    <row x14ac:dyDescent="0.25" r="477" customHeight="1" ht="17.25">
      <c r="A477" s="1"/>
      <c r="B477" s="114"/>
      <c r="C477" s="1"/>
      <c r="D477" s="1"/>
      <c r="E477" s="116"/>
      <c r="F477" s="1"/>
      <c r="G477" s="1"/>
      <c r="H477" s="114"/>
      <c r="I477" s="1"/>
      <c r="J477" s="1"/>
      <c r="K477" s="1"/>
      <c r="L477" s="54"/>
      <c r="M477" s="54"/>
      <c r="N477" s="54"/>
      <c r="O477" s="54"/>
      <c r="P477" s="54"/>
      <c r="Q477" s="54"/>
      <c r="R477" s="1"/>
      <c r="S477" s="1"/>
      <c r="T477" s="1"/>
      <c r="U477" s="1"/>
      <c r="V477" s="1"/>
      <c r="W477" s="1"/>
      <c r="X477" s="1"/>
      <c r="Y477" s="1"/>
      <c r="Z477" s="1"/>
      <c r="AA477" s="1"/>
      <c r="AB477" s="1"/>
      <c r="AC477" s="1"/>
      <c r="AD477" s="1"/>
      <c r="AE477" s="1"/>
      <c r="AF477" s="1"/>
      <c r="AG477" s="1"/>
      <c r="AH477" s="1"/>
      <c r="AI477" s="1"/>
    </row>
    <row x14ac:dyDescent="0.25" r="478" customHeight="1" ht="17.25">
      <c r="A478" s="1"/>
      <c r="B478" s="114"/>
      <c r="C478" s="116"/>
      <c r="D478" s="1"/>
      <c r="E478" s="116"/>
      <c r="F478" s="1"/>
      <c r="G478" s="1"/>
      <c r="H478" s="114"/>
      <c r="I478" s="1"/>
      <c r="J478" s="1"/>
      <c r="K478" s="1"/>
      <c r="L478" s="54"/>
      <c r="M478" s="54"/>
      <c r="N478" s="54"/>
      <c r="O478" s="54"/>
      <c r="P478" s="54"/>
      <c r="Q478" s="54"/>
      <c r="R478" s="1"/>
      <c r="S478" s="1"/>
      <c r="T478" s="1"/>
      <c r="U478" s="1"/>
      <c r="V478" s="1"/>
      <c r="W478" s="1"/>
      <c r="X478" s="1"/>
      <c r="Y478" s="1"/>
      <c r="Z478" s="1"/>
      <c r="AA478" s="1"/>
      <c r="AB478" s="1"/>
      <c r="AC478" s="1"/>
      <c r="AD478" s="1"/>
      <c r="AE478" s="1"/>
      <c r="AF478" s="1"/>
      <c r="AG478" s="1"/>
      <c r="AH478" s="1"/>
      <c r="AI478" s="1"/>
    </row>
    <row x14ac:dyDescent="0.25" r="479" customHeight="1" ht="17.25">
      <c r="A479" s="1"/>
      <c r="B479" s="114"/>
      <c r="C479" s="1"/>
      <c r="D479" s="1"/>
      <c r="E479" s="116"/>
      <c r="F479" s="1"/>
      <c r="G479" s="1"/>
      <c r="H479" s="114"/>
      <c r="I479" s="1"/>
      <c r="J479" s="1"/>
      <c r="K479" s="1"/>
      <c r="L479" s="54"/>
      <c r="M479" s="54"/>
      <c r="N479" s="54"/>
      <c r="O479" s="54"/>
      <c r="P479" s="54"/>
      <c r="Q479" s="54"/>
      <c r="R479" s="1"/>
      <c r="S479" s="1"/>
      <c r="T479" s="1"/>
      <c r="U479" s="1"/>
      <c r="V479" s="1"/>
      <c r="W479" s="1"/>
      <c r="X479" s="1"/>
      <c r="Y479" s="1"/>
      <c r="Z479" s="1"/>
      <c r="AA479" s="1"/>
      <c r="AB479" s="1"/>
      <c r="AC479" s="1"/>
      <c r="AD479" s="1"/>
      <c r="AE479" s="1"/>
      <c r="AF479" s="1"/>
      <c r="AG479" s="1"/>
      <c r="AH479" s="1"/>
      <c r="AI479" s="1"/>
    </row>
    <row x14ac:dyDescent="0.25" r="480" customHeight="1" ht="17.25">
      <c r="A480" s="1"/>
      <c r="B480" s="114"/>
      <c r="C480" s="116"/>
      <c r="D480" s="1"/>
      <c r="E480" s="116"/>
      <c r="F480" s="1"/>
      <c r="G480" s="1"/>
      <c r="H480" s="114"/>
      <c r="I480" s="1"/>
      <c r="J480" s="1"/>
      <c r="K480" s="1"/>
      <c r="L480" s="54"/>
      <c r="M480" s="54"/>
      <c r="N480" s="54"/>
      <c r="O480" s="54"/>
      <c r="P480" s="54"/>
      <c r="Q480" s="54"/>
      <c r="R480" s="1"/>
      <c r="S480" s="1"/>
      <c r="T480" s="1"/>
      <c r="U480" s="1"/>
      <c r="V480" s="1"/>
      <c r="W480" s="1"/>
      <c r="X480" s="1"/>
      <c r="Y480" s="1"/>
      <c r="Z480" s="1"/>
      <c r="AA480" s="1"/>
      <c r="AB480" s="1"/>
      <c r="AC480" s="1"/>
      <c r="AD480" s="1"/>
      <c r="AE480" s="1"/>
      <c r="AF480" s="1"/>
      <c r="AG480" s="1"/>
      <c r="AH480" s="1"/>
      <c r="AI480" s="1"/>
    </row>
    <row x14ac:dyDescent="0.25" r="481" customHeight="1" ht="17.25">
      <c r="A481" s="1"/>
      <c r="B481" s="114"/>
      <c r="C481" s="1"/>
      <c r="D481" s="1"/>
      <c r="E481" s="116"/>
      <c r="F481" s="1"/>
      <c r="G481" s="1"/>
      <c r="H481" s="114"/>
      <c r="I481" s="1"/>
      <c r="J481" s="1"/>
      <c r="K481" s="1"/>
      <c r="L481" s="54"/>
      <c r="M481" s="54"/>
      <c r="N481" s="54"/>
      <c r="O481" s="54"/>
      <c r="P481" s="54"/>
      <c r="Q481" s="54"/>
      <c r="R481" s="1"/>
      <c r="S481" s="1"/>
      <c r="T481" s="1"/>
      <c r="U481" s="1"/>
      <c r="V481" s="1"/>
      <c r="W481" s="1"/>
      <c r="X481" s="1"/>
      <c r="Y481" s="1"/>
      <c r="Z481" s="1"/>
      <c r="AA481" s="1"/>
      <c r="AB481" s="1"/>
      <c r="AC481" s="1"/>
      <c r="AD481" s="1"/>
      <c r="AE481" s="1"/>
      <c r="AF481" s="1"/>
      <c r="AG481" s="1"/>
      <c r="AH481" s="1"/>
      <c r="AI481" s="1"/>
    </row>
    <row x14ac:dyDescent="0.25" r="482" customHeight="1" ht="17.25">
      <c r="A482" s="1"/>
      <c r="B482" s="114"/>
      <c r="C482" s="116"/>
      <c r="D482" s="1"/>
      <c r="E482" s="116"/>
      <c r="F482" s="1"/>
      <c r="G482" s="1"/>
      <c r="H482" s="114"/>
      <c r="I482" s="1"/>
      <c r="J482" s="1"/>
      <c r="K482" s="1"/>
      <c r="L482" s="54"/>
      <c r="M482" s="54"/>
      <c r="N482" s="54"/>
      <c r="O482" s="54"/>
      <c r="P482" s="54"/>
      <c r="Q482" s="54"/>
      <c r="R482" s="1"/>
      <c r="S482" s="1"/>
      <c r="T482" s="1"/>
      <c r="U482" s="1"/>
      <c r="V482" s="1"/>
      <c r="W482" s="1"/>
      <c r="X482" s="1"/>
      <c r="Y482" s="1"/>
      <c r="Z482" s="1"/>
      <c r="AA482" s="1"/>
      <c r="AB482" s="1"/>
      <c r="AC482" s="1"/>
      <c r="AD482" s="1"/>
      <c r="AE482" s="1"/>
      <c r="AF482" s="1"/>
      <c r="AG482" s="1"/>
      <c r="AH482" s="1"/>
      <c r="AI482" s="1"/>
    </row>
    <row x14ac:dyDescent="0.25" r="483" customHeight="1" ht="17.25">
      <c r="A483" s="1"/>
      <c r="B483" s="114"/>
      <c r="C483" s="1"/>
      <c r="D483" s="1"/>
      <c r="E483" s="116"/>
      <c r="F483" s="1"/>
      <c r="G483" s="1"/>
      <c r="H483" s="114"/>
      <c r="I483" s="1"/>
      <c r="J483" s="1"/>
      <c r="K483" s="1"/>
      <c r="L483" s="54"/>
      <c r="M483" s="54"/>
      <c r="N483" s="54"/>
      <c r="O483" s="54"/>
      <c r="P483" s="54"/>
      <c r="Q483" s="54"/>
      <c r="R483" s="1"/>
      <c r="S483" s="1"/>
      <c r="T483" s="1"/>
      <c r="U483" s="1"/>
      <c r="V483" s="1"/>
      <c r="W483" s="1"/>
      <c r="X483" s="1"/>
      <c r="Y483" s="1"/>
      <c r="Z483" s="1"/>
      <c r="AA483" s="1"/>
      <c r="AB483" s="1"/>
      <c r="AC483" s="1"/>
      <c r="AD483" s="1"/>
      <c r="AE483" s="1"/>
      <c r="AF483" s="1"/>
      <c r="AG483" s="1"/>
      <c r="AH483" s="1"/>
      <c r="AI483" s="1"/>
    </row>
    <row x14ac:dyDescent="0.25" r="484" customHeight="1" ht="17.25">
      <c r="A484" s="1"/>
      <c r="B484" s="114"/>
      <c r="C484" s="1"/>
      <c r="D484" s="1"/>
      <c r="E484" s="116"/>
      <c r="F484" s="1"/>
      <c r="G484" s="1"/>
      <c r="H484" s="114"/>
      <c r="I484" s="1"/>
      <c r="J484" s="1"/>
      <c r="K484" s="1"/>
      <c r="L484" s="54"/>
      <c r="M484" s="54"/>
      <c r="N484" s="54"/>
      <c r="O484" s="54"/>
      <c r="P484" s="54"/>
      <c r="Q484" s="54"/>
      <c r="R484" s="1"/>
      <c r="S484" s="1"/>
      <c r="T484" s="1"/>
      <c r="U484" s="1"/>
      <c r="V484" s="1"/>
      <c r="W484" s="1"/>
      <c r="X484" s="1"/>
      <c r="Y484" s="1"/>
      <c r="Z484" s="1"/>
      <c r="AA484" s="1"/>
      <c r="AB484" s="1"/>
      <c r="AC484" s="1"/>
      <c r="AD484" s="1"/>
      <c r="AE484" s="1"/>
      <c r="AF484" s="1"/>
      <c r="AG484" s="1"/>
      <c r="AH484" s="1"/>
      <c r="AI484" s="1"/>
    </row>
    <row x14ac:dyDescent="0.25" r="485" customHeight="1" ht="17.25">
      <c r="A485" s="1"/>
      <c r="B485" s="114"/>
      <c r="C485" s="1"/>
      <c r="D485" s="1"/>
      <c r="E485" s="116"/>
      <c r="F485" s="1"/>
      <c r="G485" s="1"/>
      <c r="H485" s="114"/>
      <c r="I485" s="1"/>
      <c r="J485" s="1"/>
      <c r="K485" s="1"/>
      <c r="L485" s="54"/>
      <c r="M485" s="54"/>
      <c r="N485" s="54"/>
      <c r="O485" s="54"/>
      <c r="P485" s="54"/>
      <c r="Q485" s="54"/>
      <c r="R485" s="1"/>
      <c r="S485" s="1"/>
      <c r="T485" s="1"/>
      <c r="U485" s="1"/>
      <c r="V485" s="1"/>
      <c r="W485" s="1"/>
      <c r="X485" s="1"/>
      <c r="Y485" s="1"/>
      <c r="Z485" s="1"/>
      <c r="AA485" s="1"/>
      <c r="AB485" s="1"/>
      <c r="AC485" s="1"/>
      <c r="AD485" s="1"/>
      <c r="AE485" s="1"/>
      <c r="AF485" s="1"/>
      <c r="AG485" s="1"/>
      <c r="AH485" s="1"/>
      <c r="AI485" s="1"/>
    </row>
    <row x14ac:dyDescent="0.25" r="486" customHeight="1" ht="17.25">
      <c r="A486" s="1"/>
      <c r="B486" s="114"/>
      <c r="C486" s="1"/>
      <c r="D486" s="1"/>
      <c r="E486" s="116"/>
      <c r="F486" s="1"/>
      <c r="G486" s="1"/>
      <c r="H486" s="114"/>
      <c r="I486" s="1"/>
      <c r="J486" s="1"/>
      <c r="K486" s="1"/>
      <c r="L486" s="54"/>
      <c r="M486" s="54"/>
      <c r="N486" s="54"/>
      <c r="O486" s="54"/>
      <c r="P486" s="54"/>
      <c r="Q486" s="54"/>
      <c r="R486" s="1"/>
      <c r="S486" s="1"/>
      <c r="T486" s="1"/>
      <c r="U486" s="1"/>
      <c r="V486" s="1"/>
      <c r="W486" s="1"/>
      <c r="X486" s="1"/>
      <c r="Y486" s="1"/>
      <c r="Z486" s="1"/>
      <c r="AA486" s="1"/>
      <c r="AB486" s="1"/>
      <c r="AC486" s="1"/>
      <c r="AD486" s="1"/>
      <c r="AE486" s="1"/>
      <c r="AF486" s="1"/>
      <c r="AG486" s="1"/>
      <c r="AH486" s="1"/>
      <c r="AI486" s="1"/>
    </row>
    <row x14ac:dyDescent="0.25" r="487" customHeight="1" ht="17.25">
      <c r="A487" s="1"/>
      <c r="B487" s="114"/>
      <c r="C487" s="120"/>
      <c r="D487" s="1"/>
      <c r="E487" s="116"/>
      <c r="F487" s="1"/>
      <c r="G487" s="1"/>
      <c r="H487" s="114"/>
      <c r="I487" s="1"/>
      <c r="J487" s="1"/>
      <c r="K487" s="1"/>
      <c r="L487" s="54"/>
      <c r="M487" s="54"/>
      <c r="N487" s="54"/>
      <c r="O487" s="54"/>
      <c r="P487" s="54"/>
      <c r="Q487" s="54"/>
      <c r="R487" s="1"/>
      <c r="S487" s="1"/>
      <c r="T487" s="1"/>
      <c r="U487" s="1"/>
      <c r="V487" s="1"/>
      <c r="W487" s="1"/>
      <c r="X487" s="1"/>
      <c r="Y487" s="1"/>
      <c r="Z487" s="1"/>
      <c r="AA487" s="1"/>
      <c r="AB487" s="1"/>
      <c r="AC487" s="1"/>
      <c r="AD487" s="1"/>
      <c r="AE487" s="1"/>
      <c r="AF487" s="1"/>
      <c r="AG487" s="1"/>
      <c r="AH487" s="1"/>
      <c r="AI487" s="1"/>
    </row>
    <row x14ac:dyDescent="0.25" r="488" customHeight="1" ht="17.25">
      <c r="A488" s="1"/>
      <c r="B488" s="114"/>
      <c r="C488" s="1"/>
      <c r="D488" s="1"/>
      <c r="E488" s="116"/>
      <c r="F488" s="1"/>
      <c r="G488" s="1"/>
      <c r="H488" s="114"/>
      <c r="I488" s="1"/>
      <c r="J488" s="1"/>
      <c r="K488" s="1"/>
      <c r="L488" s="54"/>
      <c r="M488" s="54"/>
      <c r="N488" s="54"/>
      <c r="O488" s="54"/>
      <c r="P488" s="54"/>
      <c r="Q488" s="54"/>
      <c r="R488" s="1"/>
      <c r="S488" s="1"/>
      <c r="T488" s="1"/>
      <c r="U488" s="1"/>
      <c r="V488" s="1"/>
      <c r="W488" s="1"/>
      <c r="X488" s="1"/>
      <c r="Y488" s="1"/>
      <c r="Z488" s="1"/>
      <c r="AA488" s="1"/>
      <c r="AB488" s="1"/>
      <c r="AC488" s="1"/>
      <c r="AD488" s="1"/>
      <c r="AE488" s="1"/>
      <c r="AF488" s="1"/>
      <c r="AG488" s="1"/>
      <c r="AH488" s="1"/>
      <c r="AI488" s="1"/>
    </row>
    <row x14ac:dyDescent="0.25" r="489" customHeight="1" ht="17.25">
      <c r="A489" s="1"/>
      <c r="B489" s="114"/>
      <c r="C489" s="1"/>
      <c r="D489" s="1"/>
      <c r="E489" s="116"/>
      <c r="F489" s="1"/>
      <c r="G489" s="1"/>
      <c r="H489" s="114"/>
      <c r="I489" s="1"/>
      <c r="J489" s="1"/>
      <c r="K489" s="1"/>
      <c r="L489" s="54"/>
      <c r="M489" s="54"/>
      <c r="N489" s="54"/>
      <c r="O489" s="54"/>
      <c r="P489" s="54"/>
      <c r="Q489" s="54"/>
      <c r="R489" s="1"/>
      <c r="S489" s="1"/>
      <c r="T489" s="1"/>
      <c r="U489" s="1"/>
      <c r="V489" s="1"/>
      <c r="W489" s="1"/>
      <c r="X489" s="1"/>
      <c r="Y489" s="1"/>
      <c r="Z489" s="1"/>
      <c r="AA489" s="1"/>
      <c r="AB489" s="1"/>
      <c r="AC489" s="1"/>
      <c r="AD489" s="1"/>
      <c r="AE489" s="1"/>
      <c r="AF489" s="1"/>
      <c r="AG489" s="1"/>
      <c r="AH489" s="1"/>
      <c r="AI489" s="1"/>
    </row>
    <row x14ac:dyDescent="0.25" r="490" customHeight="1" ht="17.25">
      <c r="A490" s="1"/>
      <c r="B490" s="114"/>
      <c r="C490" s="1"/>
      <c r="D490" s="1"/>
      <c r="E490" s="116"/>
      <c r="F490" s="1"/>
      <c r="G490" s="1"/>
      <c r="H490" s="114"/>
      <c r="I490" s="1"/>
      <c r="J490" s="1"/>
      <c r="K490" s="1"/>
      <c r="L490" s="54"/>
      <c r="M490" s="54"/>
      <c r="N490" s="54"/>
      <c r="O490" s="54"/>
      <c r="P490" s="54"/>
      <c r="Q490" s="54"/>
      <c r="R490" s="1"/>
      <c r="S490" s="1"/>
      <c r="T490" s="1"/>
      <c r="U490" s="1"/>
      <c r="V490" s="1"/>
      <c r="W490" s="1"/>
      <c r="X490" s="1"/>
      <c r="Y490" s="1"/>
      <c r="Z490" s="1"/>
      <c r="AA490" s="1"/>
      <c r="AB490" s="1"/>
      <c r="AC490" s="1"/>
      <c r="AD490" s="1"/>
      <c r="AE490" s="1"/>
      <c r="AF490" s="1"/>
      <c r="AG490" s="1"/>
      <c r="AH490" s="1"/>
      <c r="AI490" s="1"/>
    </row>
    <row x14ac:dyDescent="0.25" r="491" customHeight="1" ht="17.25">
      <c r="A491" s="1"/>
      <c r="B491" s="114"/>
      <c r="C491" s="116"/>
      <c r="D491" s="1"/>
      <c r="E491" s="116"/>
      <c r="F491" s="1"/>
      <c r="G491" s="1"/>
      <c r="H491" s="114"/>
      <c r="I491" s="1"/>
      <c r="J491" s="1"/>
      <c r="K491" s="1"/>
      <c r="L491" s="54"/>
      <c r="M491" s="54"/>
      <c r="N491" s="54"/>
      <c r="O491" s="54"/>
      <c r="P491" s="54"/>
      <c r="Q491" s="54"/>
      <c r="R491" s="1"/>
      <c r="S491" s="1"/>
      <c r="T491" s="1"/>
      <c r="U491" s="1"/>
      <c r="V491" s="1"/>
      <c r="W491" s="1"/>
      <c r="X491" s="1"/>
      <c r="Y491" s="1"/>
      <c r="Z491" s="1"/>
      <c r="AA491" s="1"/>
      <c r="AB491" s="1"/>
      <c r="AC491" s="1"/>
      <c r="AD491" s="1"/>
      <c r="AE491" s="1"/>
      <c r="AF491" s="1"/>
      <c r="AG491" s="1"/>
      <c r="AH491" s="1"/>
      <c r="AI491" s="1"/>
    </row>
    <row x14ac:dyDescent="0.25" r="492" customHeight="1" ht="17.25">
      <c r="A492" s="1"/>
      <c r="B492" s="114"/>
      <c r="C492" s="1"/>
      <c r="D492" s="1"/>
      <c r="E492" s="116"/>
      <c r="F492" s="1"/>
      <c r="G492" s="1"/>
      <c r="H492" s="114"/>
      <c r="I492" s="1"/>
      <c r="J492" s="1"/>
      <c r="K492" s="1"/>
      <c r="L492" s="54"/>
      <c r="M492" s="54"/>
      <c r="N492" s="54"/>
      <c r="O492" s="54"/>
      <c r="P492" s="54"/>
      <c r="Q492" s="54"/>
      <c r="R492" s="1"/>
      <c r="S492" s="1"/>
      <c r="T492" s="1"/>
      <c r="U492" s="1"/>
      <c r="V492" s="1"/>
      <c r="W492" s="1"/>
      <c r="X492" s="1"/>
      <c r="Y492" s="1"/>
      <c r="Z492" s="1"/>
      <c r="AA492" s="1"/>
      <c r="AB492" s="1"/>
      <c r="AC492" s="1"/>
      <c r="AD492" s="1"/>
      <c r="AE492" s="1"/>
      <c r="AF492" s="1"/>
      <c r="AG492" s="1"/>
      <c r="AH492" s="1"/>
      <c r="AI492" s="1"/>
    </row>
    <row x14ac:dyDescent="0.25" r="493" customHeight="1" ht="17.25">
      <c r="A493" s="1"/>
      <c r="B493" s="114"/>
      <c r="C493" s="1"/>
      <c r="D493" s="1"/>
      <c r="E493" s="116"/>
      <c r="F493" s="1"/>
      <c r="G493" s="1"/>
      <c r="H493" s="114"/>
      <c r="I493" s="1"/>
      <c r="J493" s="1"/>
      <c r="K493" s="1"/>
      <c r="L493" s="54"/>
      <c r="M493" s="54"/>
      <c r="N493" s="54"/>
      <c r="O493" s="54"/>
      <c r="P493" s="54"/>
      <c r="Q493" s="54"/>
      <c r="R493" s="1"/>
      <c r="S493" s="1"/>
      <c r="T493" s="1"/>
      <c r="U493" s="1"/>
      <c r="V493" s="1"/>
      <c r="W493" s="1"/>
      <c r="X493" s="1"/>
      <c r="Y493" s="1"/>
      <c r="Z493" s="1"/>
      <c r="AA493" s="1"/>
      <c r="AB493" s="1"/>
      <c r="AC493" s="1"/>
      <c r="AD493" s="1"/>
      <c r="AE493" s="1"/>
      <c r="AF493" s="1"/>
      <c r="AG493" s="1"/>
      <c r="AH493" s="1"/>
      <c r="AI493" s="1"/>
    </row>
    <row x14ac:dyDescent="0.25" r="494" customHeight="1" ht="17.25">
      <c r="A494" s="1"/>
      <c r="B494" s="114"/>
      <c r="C494" s="116"/>
      <c r="D494" s="1"/>
      <c r="E494" s="116"/>
      <c r="F494" s="1"/>
      <c r="G494" s="1"/>
      <c r="H494" s="114"/>
      <c r="I494" s="1"/>
      <c r="J494" s="1"/>
      <c r="K494" s="1"/>
      <c r="L494" s="54"/>
      <c r="M494" s="54"/>
      <c r="N494" s="54"/>
      <c r="O494" s="54"/>
      <c r="P494" s="54"/>
      <c r="Q494" s="54"/>
      <c r="R494" s="1"/>
      <c r="S494" s="1"/>
      <c r="T494" s="1"/>
      <c r="U494" s="1"/>
      <c r="V494" s="1"/>
      <c r="W494" s="1"/>
      <c r="X494" s="1"/>
      <c r="Y494" s="1"/>
      <c r="Z494" s="1"/>
      <c r="AA494" s="1"/>
      <c r="AB494" s="1"/>
      <c r="AC494" s="1"/>
      <c r="AD494" s="1"/>
      <c r="AE494" s="1"/>
      <c r="AF494" s="1"/>
      <c r="AG494" s="1"/>
      <c r="AH494" s="1"/>
      <c r="AI494" s="1"/>
    </row>
    <row x14ac:dyDescent="0.25" r="495" customHeight="1" ht="17.25">
      <c r="A495" s="1"/>
      <c r="B495" s="114"/>
      <c r="C495" s="1"/>
      <c r="D495" s="1"/>
      <c r="E495" s="116"/>
      <c r="F495" s="1"/>
      <c r="G495" s="1"/>
      <c r="H495" s="114"/>
      <c r="I495" s="1"/>
      <c r="J495" s="1"/>
      <c r="K495" s="1"/>
      <c r="L495" s="54"/>
      <c r="M495" s="54"/>
      <c r="N495" s="54"/>
      <c r="O495" s="54"/>
      <c r="P495" s="54"/>
      <c r="Q495" s="54"/>
      <c r="R495" s="1"/>
      <c r="S495" s="1"/>
      <c r="T495" s="1"/>
      <c r="U495" s="1"/>
      <c r="V495" s="1"/>
      <c r="W495" s="1"/>
      <c r="X495" s="1"/>
      <c r="Y495" s="1"/>
      <c r="Z495" s="1"/>
      <c r="AA495" s="1"/>
      <c r="AB495" s="1"/>
      <c r="AC495" s="1"/>
      <c r="AD495" s="1"/>
      <c r="AE495" s="1"/>
      <c r="AF495" s="1"/>
      <c r="AG495" s="1"/>
      <c r="AH495" s="1"/>
      <c r="AI495" s="1"/>
    </row>
    <row x14ac:dyDescent="0.25" r="496" customHeight="1" ht="17.25">
      <c r="A496" s="1"/>
      <c r="B496" s="114"/>
      <c r="C496" s="120"/>
      <c r="D496" s="1"/>
      <c r="E496" s="116"/>
      <c r="F496" s="1"/>
      <c r="G496" s="1"/>
      <c r="H496" s="114"/>
      <c r="I496" s="1"/>
      <c r="J496" s="1"/>
      <c r="K496" s="1"/>
      <c r="L496" s="54"/>
      <c r="M496" s="54"/>
      <c r="N496" s="54"/>
      <c r="O496" s="54"/>
      <c r="P496" s="54"/>
      <c r="Q496" s="54"/>
      <c r="R496" s="1"/>
      <c r="S496" s="1"/>
      <c r="T496" s="1"/>
      <c r="U496" s="1"/>
      <c r="V496" s="1"/>
      <c r="W496" s="1"/>
      <c r="X496" s="1"/>
      <c r="Y496" s="1"/>
      <c r="Z496" s="1"/>
      <c r="AA496" s="1"/>
      <c r="AB496" s="1"/>
      <c r="AC496" s="1"/>
      <c r="AD496" s="1"/>
      <c r="AE496" s="1"/>
      <c r="AF496" s="1"/>
      <c r="AG496" s="1"/>
      <c r="AH496" s="1"/>
      <c r="AI496" s="1"/>
    </row>
    <row x14ac:dyDescent="0.25" r="497" customHeight="1" ht="17.25">
      <c r="A497" s="1"/>
      <c r="B497" s="114"/>
      <c r="C497" s="1"/>
      <c r="D497" s="1"/>
      <c r="E497" s="116"/>
      <c r="F497" s="1"/>
      <c r="G497" s="1"/>
      <c r="H497" s="114"/>
      <c r="I497" s="1"/>
      <c r="J497" s="1"/>
      <c r="K497" s="1"/>
      <c r="L497" s="54"/>
      <c r="M497" s="54"/>
      <c r="N497" s="54"/>
      <c r="O497" s="54"/>
      <c r="P497" s="54"/>
      <c r="Q497" s="54"/>
      <c r="R497" s="1"/>
      <c r="S497" s="1"/>
      <c r="T497" s="1"/>
      <c r="U497" s="1"/>
      <c r="V497" s="1"/>
      <c r="W497" s="1"/>
      <c r="X497" s="1"/>
      <c r="Y497" s="1"/>
      <c r="Z497" s="1"/>
      <c r="AA497" s="1"/>
      <c r="AB497" s="1"/>
      <c r="AC497" s="1"/>
      <c r="AD497" s="1"/>
      <c r="AE497" s="1"/>
      <c r="AF497" s="1"/>
      <c r="AG497" s="1"/>
      <c r="AH497" s="1"/>
      <c r="AI497" s="1"/>
    </row>
    <row x14ac:dyDescent="0.25" r="498" customHeight="1" ht="17.25">
      <c r="A498" s="1"/>
      <c r="B498" s="114"/>
      <c r="C498" s="1"/>
      <c r="D498" s="1"/>
      <c r="E498" s="116"/>
      <c r="F498" s="1"/>
      <c r="G498" s="1"/>
      <c r="H498" s="114"/>
      <c r="I498" s="1"/>
      <c r="J498" s="1"/>
      <c r="K498" s="1"/>
      <c r="L498" s="54"/>
      <c r="M498" s="54"/>
      <c r="N498" s="54"/>
      <c r="O498" s="54"/>
      <c r="P498" s="54"/>
      <c r="Q498" s="54"/>
      <c r="R498" s="1"/>
      <c r="S498" s="1"/>
      <c r="T498" s="1"/>
      <c r="U498" s="1"/>
      <c r="V498" s="1"/>
      <c r="W498" s="1"/>
      <c r="X498" s="1"/>
      <c r="Y498" s="1"/>
      <c r="Z498" s="1"/>
      <c r="AA498" s="1"/>
      <c r="AB498" s="1"/>
      <c r="AC498" s="1"/>
      <c r="AD498" s="1"/>
      <c r="AE498" s="1"/>
      <c r="AF498" s="1"/>
      <c r="AG498" s="1"/>
      <c r="AH498" s="1"/>
      <c r="AI498" s="1"/>
    </row>
    <row x14ac:dyDescent="0.25" r="499" customHeight="1" ht="17.25">
      <c r="A499" s="1"/>
      <c r="B499" s="114"/>
      <c r="C499" s="120"/>
      <c r="D499" s="1"/>
      <c r="E499" s="116"/>
      <c r="F499" s="1"/>
      <c r="G499" s="1"/>
      <c r="H499" s="114"/>
      <c r="I499" s="1"/>
      <c r="J499" s="1"/>
      <c r="K499" s="1"/>
      <c r="L499" s="54"/>
      <c r="M499" s="54"/>
      <c r="N499" s="54"/>
      <c r="O499" s="54"/>
      <c r="P499" s="54"/>
      <c r="Q499" s="54"/>
      <c r="R499" s="1"/>
      <c r="S499" s="1"/>
      <c r="T499" s="1"/>
      <c r="U499" s="1"/>
      <c r="V499" s="1"/>
      <c r="W499" s="1"/>
      <c r="X499" s="1"/>
      <c r="Y499" s="1"/>
      <c r="Z499" s="1"/>
      <c r="AA499" s="1"/>
      <c r="AB499" s="1"/>
      <c r="AC499" s="1"/>
      <c r="AD499" s="1"/>
      <c r="AE499" s="1"/>
      <c r="AF499" s="1"/>
      <c r="AG499" s="1"/>
      <c r="AH499" s="1"/>
      <c r="AI499" s="1"/>
    </row>
    <row x14ac:dyDescent="0.25" r="500" customHeight="1" ht="17.25">
      <c r="A500" s="1"/>
      <c r="B500" s="114"/>
      <c r="C500" s="116"/>
      <c r="D500" s="1"/>
      <c r="E500" s="116"/>
      <c r="F500" s="1"/>
      <c r="G500" s="1"/>
      <c r="H500" s="114"/>
      <c r="I500" s="1"/>
      <c r="J500" s="1"/>
      <c r="K500" s="1"/>
      <c r="L500" s="54"/>
      <c r="M500" s="54"/>
      <c r="N500" s="54"/>
      <c r="O500" s="54"/>
      <c r="P500" s="54"/>
      <c r="Q500" s="54"/>
      <c r="R500" s="1"/>
      <c r="S500" s="1"/>
      <c r="T500" s="1"/>
      <c r="U500" s="1"/>
      <c r="V500" s="1"/>
      <c r="W500" s="1"/>
      <c r="X500" s="1"/>
      <c r="Y500" s="1"/>
      <c r="Z500" s="1"/>
      <c r="AA500" s="1"/>
      <c r="AB500" s="1"/>
      <c r="AC500" s="1"/>
      <c r="AD500" s="1"/>
      <c r="AE500" s="1"/>
      <c r="AF500" s="1"/>
      <c r="AG500" s="1"/>
      <c r="AH500" s="1"/>
      <c r="AI500" s="1"/>
    </row>
    <row x14ac:dyDescent="0.25" r="501" customHeight="1" ht="17.25">
      <c r="A501" s="1"/>
      <c r="B501" s="114"/>
      <c r="C501" s="1"/>
      <c r="D501" s="1"/>
      <c r="E501" s="116"/>
      <c r="F501" s="1"/>
      <c r="G501" s="1"/>
      <c r="H501" s="114"/>
      <c r="I501" s="1"/>
      <c r="J501" s="1"/>
      <c r="K501" s="1"/>
      <c r="L501" s="54"/>
      <c r="M501" s="54"/>
      <c r="N501" s="54"/>
      <c r="O501" s="54"/>
      <c r="P501" s="54"/>
      <c r="Q501" s="54"/>
      <c r="R501" s="1"/>
      <c r="S501" s="1"/>
      <c r="T501" s="1"/>
      <c r="U501" s="1"/>
      <c r="V501" s="1"/>
      <c r="W501" s="1"/>
      <c r="X501" s="1"/>
      <c r="Y501" s="1"/>
      <c r="Z501" s="1"/>
      <c r="AA501" s="1"/>
      <c r="AB501" s="1"/>
      <c r="AC501" s="1"/>
      <c r="AD501" s="1"/>
      <c r="AE501" s="1"/>
      <c r="AF501" s="1"/>
      <c r="AG501" s="1"/>
      <c r="AH501" s="1"/>
      <c r="AI501" s="1"/>
    </row>
    <row x14ac:dyDescent="0.25" r="502" customHeight="1" ht="17.25">
      <c r="A502" s="1"/>
      <c r="B502" s="114"/>
      <c r="C502" s="1"/>
      <c r="D502" s="1"/>
      <c r="E502" s="116"/>
      <c r="F502" s="1"/>
      <c r="G502" s="1"/>
      <c r="H502" s="114"/>
      <c r="I502" s="1"/>
      <c r="J502" s="1"/>
      <c r="K502" s="1"/>
      <c r="L502" s="54"/>
      <c r="M502" s="54"/>
      <c r="N502" s="54"/>
      <c r="O502" s="54"/>
      <c r="P502" s="54"/>
      <c r="Q502" s="54"/>
      <c r="R502" s="1"/>
      <c r="S502" s="1"/>
      <c r="T502" s="1"/>
      <c r="U502" s="1"/>
      <c r="V502" s="1"/>
      <c r="W502" s="1"/>
      <c r="X502" s="1"/>
      <c r="Y502" s="1"/>
      <c r="Z502" s="1"/>
      <c r="AA502" s="1"/>
      <c r="AB502" s="1"/>
      <c r="AC502" s="1"/>
      <c r="AD502" s="1"/>
      <c r="AE502" s="1"/>
      <c r="AF502" s="1"/>
      <c r="AG502" s="1"/>
      <c r="AH502" s="1"/>
      <c r="AI502" s="1"/>
    </row>
    <row x14ac:dyDescent="0.25" r="503" customHeight="1" ht="17.25">
      <c r="A503" s="1"/>
      <c r="B503" s="114"/>
      <c r="C503" s="1"/>
      <c r="D503" s="1"/>
      <c r="E503" s="116"/>
      <c r="F503" s="1"/>
      <c r="G503" s="1"/>
      <c r="H503" s="114"/>
      <c r="I503" s="1"/>
      <c r="J503" s="1"/>
      <c r="K503" s="1"/>
      <c r="L503" s="54"/>
      <c r="M503" s="54"/>
      <c r="N503" s="54"/>
      <c r="O503" s="54"/>
      <c r="P503" s="54"/>
      <c r="Q503" s="54"/>
      <c r="R503" s="1"/>
      <c r="S503" s="1"/>
      <c r="T503" s="1"/>
      <c r="U503" s="1"/>
      <c r="V503" s="1"/>
      <c r="W503" s="1"/>
      <c r="X503" s="1"/>
      <c r="Y503" s="1"/>
      <c r="Z503" s="1"/>
      <c r="AA503" s="1"/>
      <c r="AB503" s="1"/>
      <c r="AC503" s="1"/>
      <c r="AD503" s="1"/>
      <c r="AE503" s="1"/>
      <c r="AF503" s="1"/>
      <c r="AG503" s="1"/>
      <c r="AH503" s="1"/>
      <c r="AI503" s="1"/>
    </row>
    <row x14ac:dyDescent="0.25" r="504" customHeight="1" ht="17.25">
      <c r="A504" s="1"/>
      <c r="B504" s="114"/>
      <c r="C504" s="1"/>
      <c r="D504" s="1"/>
      <c r="E504" s="116"/>
      <c r="F504" s="1"/>
      <c r="G504" s="1"/>
      <c r="H504" s="114"/>
      <c r="I504" s="1"/>
      <c r="J504" s="1"/>
      <c r="K504" s="1"/>
      <c r="L504" s="54"/>
      <c r="M504" s="54"/>
      <c r="N504" s="54"/>
      <c r="O504" s="54"/>
      <c r="P504" s="54"/>
      <c r="Q504" s="54"/>
      <c r="R504" s="1"/>
      <c r="S504" s="1"/>
      <c r="T504" s="1"/>
      <c r="U504" s="1"/>
      <c r="V504" s="1"/>
      <c r="W504" s="1"/>
      <c r="X504" s="1"/>
      <c r="Y504" s="1"/>
      <c r="Z504" s="1"/>
      <c r="AA504" s="1"/>
      <c r="AB504" s="1"/>
      <c r="AC504" s="1"/>
      <c r="AD504" s="1"/>
      <c r="AE504" s="1"/>
      <c r="AF504" s="1"/>
      <c r="AG504" s="1"/>
      <c r="AH504" s="1"/>
      <c r="AI504" s="1"/>
    </row>
    <row x14ac:dyDescent="0.25" r="505" customHeight="1" ht="17.25">
      <c r="A505" s="1"/>
      <c r="B505" s="114"/>
      <c r="C505" s="1"/>
      <c r="D505" s="1"/>
      <c r="E505" s="116"/>
      <c r="F505" s="1"/>
      <c r="G505" s="1"/>
      <c r="H505" s="114"/>
      <c r="I505" s="1"/>
      <c r="J505" s="1"/>
      <c r="K505" s="1"/>
      <c r="L505" s="54"/>
      <c r="M505" s="54"/>
      <c r="N505" s="54"/>
      <c r="O505" s="54"/>
      <c r="P505" s="54"/>
      <c r="Q505" s="54"/>
      <c r="R505" s="1"/>
      <c r="S505" s="1"/>
      <c r="T505" s="1"/>
      <c r="U505" s="1"/>
      <c r="V505" s="1"/>
      <c r="W505" s="1"/>
      <c r="X505" s="1"/>
      <c r="Y505" s="1"/>
      <c r="Z505" s="1"/>
      <c r="AA505" s="1"/>
      <c r="AB505" s="1"/>
      <c r="AC505" s="1"/>
      <c r="AD505" s="1"/>
      <c r="AE505" s="1"/>
      <c r="AF505" s="1"/>
      <c r="AG505" s="1"/>
      <c r="AH505" s="1"/>
      <c r="AI505" s="1"/>
    </row>
    <row x14ac:dyDescent="0.25" r="506" customHeight="1" ht="17.25">
      <c r="A506" s="1"/>
      <c r="B506" s="114"/>
      <c r="C506" s="1"/>
      <c r="D506" s="1"/>
      <c r="E506" s="1"/>
      <c r="F506" s="1"/>
      <c r="G506" s="1"/>
      <c r="H506" s="114"/>
      <c r="I506" s="1"/>
      <c r="J506" s="1"/>
      <c r="K506" s="1"/>
      <c r="L506" s="54"/>
      <c r="M506" s="54"/>
      <c r="N506" s="54"/>
      <c r="O506" s="54"/>
      <c r="P506" s="54"/>
      <c r="Q506" s="54"/>
      <c r="R506" s="1"/>
      <c r="S506" s="1"/>
      <c r="T506" s="1"/>
      <c r="U506" s="1"/>
      <c r="V506" s="1"/>
      <c r="W506" s="1"/>
      <c r="X506" s="1"/>
      <c r="Y506" s="1"/>
      <c r="Z506" s="1"/>
      <c r="AA506" s="1"/>
      <c r="AB506" s="1"/>
      <c r="AC506" s="1"/>
      <c r="AD506" s="1"/>
      <c r="AE506" s="1"/>
      <c r="AF506" s="1"/>
      <c r="AG506" s="1"/>
      <c r="AH506" s="1"/>
      <c r="AI506" s="1"/>
    </row>
    <row x14ac:dyDescent="0.25" r="507" customHeight="1" ht="17.25">
      <c r="A507" s="1"/>
      <c r="B507" s="114"/>
      <c r="C507" s="1"/>
      <c r="D507" s="1"/>
      <c r="E507" s="1"/>
      <c r="F507" s="1"/>
      <c r="G507" s="1"/>
      <c r="H507" s="114"/>
      <c r="I507" s="1"/>
      <c r="J507" s="1"/>
      <c r="K507" s="1"/>
      <c r="L507" s="54"/>
      <c r="M507" s="54"/>
      <c r="N507" s="54"/>
      <c r="O507" s="54"/>
      <c r="P507" s="54"/>
      <c r="Q507" s="54"/>
      <c r="R507" s="1"/>
      <c r="S507" s="1"/>
      <c r="T507" s="1"/>
      <c r="U507" s="1"/>
      <c r="V507" s="1"/>
      <c r="W507" s="1"/>
      <c r="X507" s="1"/>
      <c r="Y507" s="1"/>
      <c r="Z507" s="1"/>
      <c r="AA507" s="1"/>
      <c r="AB507" s="1"/>
      <c r="AC507" s="1"/>
      <c r="AD507" s="1"/>
      <c r="AE507" s="1"/>
      <c r="AF507" s="1"/>
      <c r="AG507" s="1"/>
      <c r="AH507" s="1"/>
      <c r="AI507" s="1"/>
    </row>
    <row x14ac:dyDescent="0.25" r="508" customHeight="1" ht="17.25">
      <c r="A508" s="1"/>
      <c r="B508" s="114"/>
      <c r="C508" s="1"/>
      <c r="D508" s="1"/>
      <c r="E508" s="1"/>
      <c r="F508" s="1"/>
      <c r="G508" s="1"/>
      <c r="H508" s="114"/>
      <c r="I508" s="1"/>
      <c r="J508" s="1"/>
      <c r="K508" s="1"/>
      <c r="L508" s="54"/>
      <c r="M508" s="54"/>
      <c r="N508" s="54"/>
      <c r="O508" s="54"/>
      <c r="P508" s="54"/>
      <c r="Q508" s="54"/>
      <c r="R508" s="1"/>
      <c r="S508" s="1"/>
      <c r="T508" s="1"/>
      <c r="U508" s="1"/>
      <c r="V508" s="1"/>
      <c r="W508" s="1"/>
      <c r="X508" s="1"/>
      <c r="Y508" s="1"/>
      <c r="Z508" s="1"/>
      <c r="AA508" s="1"/>
      <c r="AB508" s="1"/>
      <c r="AC508" s="1"/>
      <c r="AD508" s="1"/>
      <c r="AE508" s="1"/>
      <c r="AF508" s="1"/>
      <c r="AG508" s="1"/>
      <c r="AH508" s="1"/>
      <c r="AI508" s="1"/>
    </row>
    <row x14ac:dyDescent="0.25" r="509" customHeight="1" ht="17.25">
      <c r="A509" s="1"/>
      <c r="B509" s="114"/>
      <c r="C509" s="1"/>
      <c r="D509" s="1"/>
      <c r="E509" s="1"/>
      <c r="F509" s="1"/>
      <c r="G509" s="1"/>
      <c r="H509" s="114"/>
      <c r="I509" s="1"/>
      <c r="J509" s="1"/>
      <c r="K509" s="1"/>
      <c r="L509" s="54"/>
      <c r="M509" s="54"/>
      <c r="N509" s="54"/>
      <c r="O509" s="54"/>
      <c r="P509" s="54"/>
      <c r="Q509" s="54"/>
      <c r="R509" s="1"/>
      <c r="S509" s="1"/>
      <c r="T509" s="1"/>
      <c r="U509" s="1"/>
      <c r="V509" s="1"/>
      <c r="W509" s="1"/>
      <c r="X509" s="1"/>
      <c r="Y509" s="1"/>
      <c r="Z509" s="1"/>
      <c r="AA509" s="1"/>
      <c r="AB509" s="1"/>
      <c r="AC509" s="1"/>
      <c r="AD509" s="1"/>
      <c r="AE509" s="1"/>
      <c r="AF509" s="1"/>
      <c r="AG509" s="1"/>
      <c r="AH509" s="1"/>
      <c r="AI509" s="1"/>
    </row>
    <row x14ac:dyDescent="0.25" r="510" customHeight="1" ht="17.25">
      <c r="A510" s="1"/>
      <c r="B510" s="114"/>
      <c r="C510" s="1"/>
      <c r="D510" s="1"/>
      <c r="E510" s="1"/>
      <c r="F510" s="1"/>
      <c r="G510" s="1"/>
      <c r="H510" s="114"/>
      <c r="I510" s="1"/>
      <c r="J510" s="1"/>
      <c r="K510" s="1"/>
      <c r="L510" s="54"/>
      <c r="M510" s="54"/>
      <c r="N510" s="54"/>
      <c r="O510" s="54"/>
      <c r="P510" s="54"/>
      <c r="Q510" s="54"/>
      <c r="R510" s="1"/>
      <c r="S510" s="1"/>
      <c r="T510" s="1"/>
      <c r="U510" s="1"/>
      <c r="V510" s="1"/>
      <c r="W510" s="1"/>
      <c r="X510" s="1"/>
      <c r="Y510" s="1"/>
      <c r="Z510" s="1"/>
      <c r="AA510" s="1"/>
      <c r="AB510" s="1"/>
      <c r="AC510" s="1"/>
      <c r="AD510" s="1"/>
      <c r="AE510" s="1"/>
      <c r="AF510" s="1"/>
      <c r="AG510" s="1"/>
      <c r="AH510" s="1"/>
      <c r="AI510" s="1"/>
    </row>
    <row x14ac:dyDescent="0.25" r="511" customHeight="1" ht="17.25">
      <c r="A511" s="1"/>
      <c r="B511" s="114"/>
      <c r="C511" s="1"/>
      <c r="D511" s="1"/>
      <c r="E511" s="1"/>
      <c r="F511" s="1"/>
      <c r="G511" s="1"/>
      <c r="H511" s="114"/>
      <c r="I511" s="1"/>
      <c r="J511" s="1"/>
      <c r="K511" s="1"/>
      <c r="L511" s="54"/>
      <c r="M511" s="54"/>
      <c r="N511" s="54"/>
      <c r="O511" s="54"/>
      <c r="P511" s="54"/>
      <c r="Q511" s="54"/>
      <c r="R511" s="1"/>
      <c r="S511" s="1"/>
      <c r="T511" s="1"/>
      <c r="U511" s="1"/>
      <c r="V511" s="1"/>
      <c r="W511" s="1"/>
      <c r="X511" s="1"/>
      <c r="Y511" s="1"/>
      <c r="Z511" s="1"/>
      <c r="AA511" s="1"/>
      <c r="AB511" s="1"/>
      <c r="AC511" s="1"/>
      <c r="AD511" s="1"/>
      <c r="AE511" s="1"/>
      <c r="AF511" s="1"/>
      <c r="AG511" s="1"/>
      <c r="AH511" s="1"/>
      <c r="AI511" s="1"/>
    </row>
    <row x14ac:dyDescent="0.25" r="512" customHeight="1" ht="17.25">
      <c r="A512" s="1"/>
      <c r="B512" s="114"/>
      <c r="C512" s="1"/>
      <c r="D512" s="1"/>
      <c r="E512" s="1"/>
      <c r="F512" s="1"/>
      <c r="G512" s="1"/>
      <c r="H512" s="114"/>
      <c r="I512" s="1"/>
      <c r="J512" s="1"/>
      <c r="K512" s="1"/>
      <c r="L512" s="54"/>
      <c r="M512" s="54"/>
      <c r="N512" s="54"/>
      <c r="O512" s="54"/>
      <c r="P512" s="54"/>
      <c r="Q512" s="54"/>
      <c r="R512" s="1"/>
      <c r="S512" s="1"/>
      <c r="T512" s="1"/>
      <c r="U512" s="1"/>
      <c r="V512" s="1"/>
      <c r="W512" s="1"/>
      <c r="X512" s="1"/>
      <c r="Y512" s="1"/>
      <c r="Z512" s="1"/>
      <c r="AA512" s="1"/>
      <c r="AB512" s="1"/>
      <c r="AC512" s="1"/>
      <c r="AD512" s="1"/>
      <c r="AE512" s="1"/>
      <c r="AF512" s="1"/>
      <c r="AG512" s="1"/>
      <c r="AH512" s="1"/>
      <c r="AI512" s="1"/>
    </row>
    <row x14ac:dyDescent="0.25" r="513" customHeight="1" ht="17.25">
      <c r="A513" s="1"/>
      <c r="B513" s="114"/>
      <c r="C513" s="1"/>
      <c r="D513" s="1"/>
      <c r="E513" s="1"/>
      <c r="F513" s="1"/>
      <c r="G513" s="1"/>
      <c r="H513" s="114"/>
      <c r="I513" s="1"/>
      <c r="J513" s="1"/>
      <c r="K513" s="1"/>
      <c r="L513" s="54"/>
      <c r="M513" s="54"/>
      <c r="N513" s="54"/>
      <c r="O513" s="54"/>
      <c r="P513" s="54"/>
      <c r="Q513" s="54"/>
      <c r="R513" s="1"/>
      <c r="S513" s="1"/>
      <c r="T513" s="1"/>
      <c r="U513" s="1"/>
      <c r="V513" s="1"/>
      <c r="W513" s="1"/>
      <c r="X513" s="1"/>
      <c r="Y513" s="1"/>
      <c r="Z513" s="1"/>
      <c r="AA513" s="1"/>
      <c r="AB513" s="1"/>
      <c r="AC513" s="1"/>
      <c r="AD513" s="1"/>
      <c r="AE513" s="1"/>
      <c r="AF513" s="1"/>
      <c r="AG513" s="1"/>
      <c r="AH513" s="1"/>
      <c r="AI513" s="1"/>
    </row>
    <row x14ac:dyDescent="0.25" r="514" customHeight="1" ht="17.25">
      <c r="A514" s="1"/>
      <c r="B514" s="114"/>
      <c r="C514" s="1"/>
      <c r="D514" s="1"/>
      <c r="E514" s="1"/>
      <c r="F514" s="1"/>
      <c r="G514" s="1"/>
      <c r="H514" s="114"/>
      <c r="I514" s="1"/>
      <c r="J514" s="1"/>
      <c r="K514" s="1"/>
      <c r="L514" s="54"/>
      <c r="M514" s="54"/>
      <c r="N514" s="54"/>
      <c r="O514" s="54"/>
      <c r="P514" s="54"/>
      <c r="Q514" s="54"/>
      <c r="R514" s="1"/>
      <c r="S514" s="1"/>
      <c r="T514" s="1"/>
      <c r="U514" s="1"/>
      <c r="V514" s="1"/>
      <c r="W514" s="1"/>
      <c r="X514" s="1"/>
      <c r="Y514" s="1"/>
      <c r="Z514" s="1"/>
      <c r="AA514" s="1"/>
      <c r="AB514" s="1"/>
      <c r="AC514" s="1"/>
      <c r="AD514" s="1"/>
      <c r="AE514" s="1"/>
      <c r="AF514" s="1"/>
      <c r="AG514" s="1"/>
      <c r="AH514" s="1"/>
      <c r="AI514" s="1"/>
    </row>
    <row x14ac:dyDescent="0.25" r="515" customHeight="1" ht="17.25">
      <c r="A515" s="1"/>
      <c r="B515" s="114"/>
      <c r="C515" s="1"/>
      <c r="D515" s="1"/>
      <c r="E515" s="1"/>
      <c r="F515" s="1"/>
      <c r="G515" s="1"/>
      <c r="H515" s="114"/>
      <c r="I515" s="1"/>
      <c r="J515" s="1"/>
      <c r="K515" s="1"/>
      <c r="L515" s="54"/>
      <c r="M515" s="54"/>
      <c r="N515" s="54"/>
      <c r="O515" s="54"/>
      <c r="P515" s="54"/>
      <c r="Q515" s="54"/>
      <c r="R515" s="1"/>
      <c r="S515" s="1"/>
      <c r="T515" s="1"/>
      <c r="U515" s="1"/>
      <c r="V515" s="1"/>
      <c r="W515" s="1"/>
      <c r="X515" s="1"/>
      <c r="Y515" s="1"/>
      <c r="Z515" s="1"/>
      <c r="AA515" s="1"/>
      <c r="AB515" s="1"/>
      <c r="AC515" s="1"/>
      <c r="AD515" s="1"/>
      <c r="AE515" s="1"/>
      <c r="AF515" s="1"/>
      <c r="AG515" s="1"/>
      <c r="AH515" s="1"/>
      <c r="AI515" s="1"/>
    </row>
    <row x14ac:dyDescent="0.25" r="516" customHeight="1" ht="17.25">
      <c r="A516" s="1"/>
      <c r="B516" s="114"/>
      <c r="C516" s="1"/>
      <c r="D516" s="1"/>
      <c r="E516" s="1"/>
      <c r="F516" s="1"/>
      <c r="G516" s="1"/>
      <c r="H516" s="114"/>
      <c r="I516" s="1"/>
      <c r="J516" s="1"/>
      <c r="K516" s="1"/>
      <c r="L516" s="54"/>
      <c r="M516" s="54"/>
      <c r="N516" s="54"/>
      <c r="O516" s="54"/>
      <c r="P516" s="54"/>
      <c r="Q516" s="54"/>
      <c r="R516" s="1"/>
      <c r="S516" s="1"/>
      <c r="T516" s="1"/>
      <c r="U516" s="1"/>
      <c r="V516" s="1"/>
      <c r="W516" s="1"/>
      <c r="X516" s="1"/>
      <c r="Y516" s="1"/>
      <c r="Z516" s="1"/>
      <c r="AA516" s="1"/>
      <c r="AB516" s="1"/>
      <c r="AC516" s="1"/>
      <c r="AD516" s="1"/>
      <c r="AE516" s="1"/>
      <c r="AF516" s="1"/>
      <c r="AG516" s="1"/>
      <c r="AH516" s="1"/>
      <c r="AI516" s="1"/>
    </row>
    <row x14ac:dyDescent="0.25" r="517" customHeight="1" ht="17.25">
      <c r="A517" s="1"/>
      <c r="B517" s="114"/>
      <c r="C517" s="1"/>
      <c r="D517" s="1"/>
      <c r="E517" s="1"/>
      <c r="F517" s="1"/>
      <c r="G517" s="1"/>
      <c r="H517" s="114"/>
      <c r="I517" s="1"/>
      <c r="J517" s="1"/>
      <c r="K517" s="1"/>
      <c r="L517" s="54"/>
      <c r="M517" s="54"/>
      <c r="N517" s="54"/>
      <c r="O517" s="54"/>
      <c r="P517" s="54"/>
      <c r="Q517" s="54"/>
      <c r="R517" s="1"/>
      <c r="S517" s="1"/>
      <c r="T517" s="1"/>
      <c r="U517" s="1"/>
      <c r="V517" s="1"/>
      <c r="W517" s="1"/>
      <c r="X517" s="1"/>
      <c r="Y517" s="1"/>
      <c r="Z517" s="1"/>
      <c r="AA517" s="1"/>
      <c r="AB517" s="1"/>
      <c r="AC517" s="1"/>
      <c r="AD517" s="1"/>
      <c r="AE517" s="1"/>
      <c r="AF517" s="1"/>
      <c r="AG517" s="1"/>
      <c r="AH517" s="1"/>
      <c r="AI517" s="1"/>
    </row>
    <row x14ac:dyDescent="0.25" r="518" customHeight="1" ht="17.25">
      <c r="A518" s="1"/>
      <c r="B518" s="114"/>
      <c r="C518" s="1"/>
      <c r="D518" s="1"/>
      <c r="E518" s="1"/>
      <c r="F518" s="1"/>
      <c r="G518" s="1"/>
      <c r="H518" s="114"/>
      <c r="I518" s="1"/>
      <c r="J518" s="1"/>
      <c r="K518" s="1"/>
      <c r="L518" s="54"/>
      <c r="M518" s="54"/>
      <c r="N518" s="54"/>
      <c r="O518" s="54"/>
      <c r="P518" s="54"/>
      <c r="Q518" s="54"/>
      <c r="R518" s="1"/>
      <c r="S518" s="1"/>
      <c r="T518" s="1"/>
      <c r="U518" s="1"/>
      <c r="V518" s="1"/>
      <c r="W518" s="1"/>
      <c r="X518" s="1"/>
      <c r="Y518" s="1"/>
      <c r="Z518" s="1"/>
      <c r="AA518" s="1"/>
      <c r="AB518" s="1"/>
      <c r="AC518" s="1"/>
      <c r="AD518" s="1"/>
      <c r="AE518" s="1"/>
      <c r="AF518" s="1"/>
      <c r="AG518" s="1"/>
      <c r="AH518" s="1"/>
      <c r="AI518" s="1"/>
    </row>
    <row x14ac:dyDescent="0.25" r="519" customHeight="1" ht="17.25">
      <c r="A519" s="1"/>
      <c r="B519" s="114"/>
      <c r="C519" s="1"/>
      <c r="D519" s="1"/>
      <c r="E519" s="1"/>
      <c r="F519" s="1"/>
      <c r="G519" s="1"/>
      <c r="H519" s="114"/>
      <c r="I519" s="1"/>
      <c r="J519" s="1"/>
      <c r="K519" s="1"/>
      <c r="L519" s="54"/>
      <c r="M519" s="54"/>
      <c r="N519" s="54"/>
      <c r="O519" s="54"/>
      <c r="P519" s="54"/>
      <c r="Q519" s="54"/>
      <c r="R519" s="1"/>
      <c r="S519" s="1"/>
      <c r="T519" s="1"/>
      <c r="U519" s="1"/>
      <c r="V519" s="1"/>
      <c r="W519" s="1"/>
      <c r="X519" s="1"/>
      <c r="Y519" s="1"/>
      <c r="Z519" s="1"/>
      <c r="AA519" s="1"/>
      <c r="AB519" s="1"/>
      <c r="AC519" s="1"/>
      <c r="AD519" s="1"/>
      <c r="AE519" s="1"/>
      <c r="AF519" s="1"/>
      <c r="AG519" s="1"/>
      <c r="AH519" s="1"/>
      <c r="AI519" s="1"/>
    </row>
    <row x14ac:dyDescent="0.25" r="520" customHeight="1" ht="17.25">
      <c r="A520" s="1"/>
      <c r="B520" s="114"/>
      <c r="C520" s="1"/>
      <c r="D520" s="1"/>
      <c r="E520" s="1"/>
      <c r="F520" s="1"/>
      <c r="G520" s="1"/>
      <c r="H520" s="114"/>
      <c r="I520" s="1"/>
      <c r="J520" s="1"/>
      <c r="K520" s="1"/>
      <c r="L520" s="54"/>
      <c r="M520" s="54"/>
      <c r="N520" s="54"/>
      <c r="O520" s="54"/>
      <c r="P520" s="54"/>
      <c r="Q520" s="54"/>
      <c r="R520" s="1"/>
      <c r="S520" s="1"/>
      <c r="T520" s="1"/>
      <c r="U520" s="1"/>
      <c r="V520" s="1"/>
      <c r="W520" s="1"/>
      <c r="X520" s="1"/>
      <c r="Y520" s="1"/>
      <c r="Z520" s="1"/>
      <c r="AA520" s="1"/>
      <c r="AB520" s="1"/>
      <c r="AC520" s="1"/>
      <c r="AD520" s="1"/>
      <c r="AE520" s="1"/>
      <c r="AF520" s="1"/>
      <c r="AG520" s="1"/>
      <c r="AH520" s="1"/>
      <c r="AI520" s="1"/>
    </row>
    <row x14ac:dyDescent="0.25" r="521" customHeight="1" ht="17.25">
      <c r="A521" s="1"/>
      <c r="B521" s="114"/>
      <c r="C521" s="1"/>
      <c r="D521" s="1"/>
      <c r="E521" s="1"/>
      <c r="F521" s="1"/>
      <c r="G521" s="1"/>
      <c r="H521" s="114"/>
      <c r="I521" s="1"/>
      <c r="J521" s="1"/>
      <c r="K521" s="1"/>
      <c r="L521" s="54"/>
      <c r="M521" s="54"/>
      <c r="N521" s="54"/>
      <c r="O521" s="54"/>
      <c r="P521" s="54"/>
      <c r="Q521" s="54"/>
      <c r="R521" s="1"/>
      <c r="S521" s="1"/>
      <c r="T521" s="1"/>
      <c r="U521" s="1"/>
      <c r="V521" s="1"/>
      <c r="W521" s="1"/>
      <c r="X521" s="1"/>
      <c r="Y521" s="1"/>
      <c r="Z521" s="1"/>
      <c r="AA521" s="1"/>
      <c r="AB521" s="1"/>
      <c r="AC521" s="1"/>
      <c r="AD521" s="1"/>
      <c r="AE521" s="1"/>
      <c r="AF521" s="1"/>
      <c r="AG521" s="1"/>
      <c r="AH521" s="1"/>
      <c r="AI521" s="1"/>
    </row>
    <row x14ac:dyDescent="0.25" r="522" customHeight="1" ht="17.25">
      <c r="A522" s="1"/>
      <c r="B522" s="114"/>
      <c r="C522" s="1"/>
      <c r="D522" s="1"/>
      <c r="E522" s="1"/>
      <c r="F522" s="1"/>
      <c r="G522" s="1"/>
      <c r="H522" s="114"/>
      <c r="I522" s="1"/>
      <c r="J522" s="1"/>
      <c r="K522" s="1"/>
      <c r="L522" s="54"/>
      <c r="M522" s="54"/>
      <c r="N522" s="54"/>
      <c r="O522" s="54"/>
      <c r="P522" s="54"/>
      <c r="Q522" s="54"/>
      <c r="R522" s="1"/>
      <c r="S522" s="1"/>
      <c r="T522" s="1"/>
      <c r="U522" s="1"/>
      <c r="V522" s="1"/>
      <c r="W522" s="1"/>
      <c r="X522" s="1"/>
      <c r="Y522" s="1"/>
      <c r="Z522" s="1"/>
      <c r="AA522" s="1"/>
      <c r="AB522" s="1"/>
      <c r="AC522" s="1"/>
      <c r="AD522" s="1"/>
      <c r="AE522" s="1"/>
      <c r="AF522" s="1"/>
      <c r="AG522" s="1"/>
      <c r="AH522" s="1"/>
      <c r="AI522" s="1"/>
    </row>
    <row x14ac:dyDescent="0.25" r="523" customHeight="1" ht="17.25">
      <c r="A523" s="1"/>
      <c r="B523" s="114"/>
      <c r="C523" s="1"/>
      <c r="D523" s="1"/>
      <c r="E523" s="1"/>
      <c r="F523" s="1"/>
      <c r="G523" s="1"/>
      <c r="H523" s="114"/>
      <c r="I523" s="1"/>
      <c r="J523" s="1"/>
      <c r="K523" s="1"/>
      <c r="L523" s="54"/>
      <c r="M523" s="54"/>
      <c r="N523" s="54"/>
      <c r="O523" s="54"/>
      <c r="P523" s="54"/>
      <c r="Q523" s="54"/>
      <c r="R523" s="1"/>
      <c r="S523" s="1"/>
      <c r="T523" s="1"/>
      <c r="U523" s="1"/>
      <c r="V523" s="1"/>
      <c r="W523" s="1"/>
      <c r="X523" s="1"/>
      <c r="Y523" s="1"/>
      <c r="Z523" s="1"/>
      <c r="AA523" s="1"/>
      <c r="AB523" s="1"/>
      <c r="AC523" s="1"/>
      <c r="AD523" s="1"/>
      <c r="AE523" s="1"/>
      <c r="AF523" s="1"/>
      <c r="AG523" s="1"/>
      <c r="AH523" s="1"/>
      <c r="AI523" s="1"/>
    </row>
    <row x14ac:dyDescent="0.25" r="524" customHeight="1" ht="17.25">
      <c r="A524" s="1"/>
      <c r="B524" s="114"/>
      <c r="C524" s="1"/>
      <c r="D524" s="1"/>
      <c r="E524" s="116"/>
      <c r="F524" s="1"/>
      <c r="G524" s="1"/>
      <c r="H524" s="114"/>
      <c r="I524" s="1"/>
      <c r="J524" s="1"/>
      <c r="K524" s="1"/>
      <c r="L524" s="54"/>
      <c r="M524" s="54"/>
      <c r="N524" s="54"/>
      <c r="O524" s="54"/>
      <c r="P524" s="54"/>
      <c r="Q524" s="54"/>
      <c r="R524" s="1"/>
      <c r="S524" s="1"/>
      <c r="T524" s="1"/>
      <c r="U524" s="1"/>
      <c r="V524" s="1"/>
      <c r="W524" s="1"/>
      <c r="X524" s="1"/>
      <c r="Y524" s="1"/>
      <c r="Z524" s="1"/>
      <c r="AA524" s="1"/>
      <c r="AB524" s="1"/>
      <c r="AC524" s="1"/>
      <c r="AD524" s="1"/>
      <c r="AE524" s="1"/>
      <c r="AF524" s="1"/>
      <c r="AG524" s="1"/>
      <c r="AH524" s="1"/>
      <c r="AI524" s="1"/>
    </row>
    <row x14ac:dyDescent="0.25" r="525" customHeight="1" ht="17.25">
      <c r="A525" s="1"/>
      <c r="B525" s="114"/>
      <c r="C525" s="1"/>
      <c r="D525" s="1"/>
      <c r="E525" s="116"/>
      <c r="F525" s="1"/>
      <c r="G525" s="1"/>
      <c r="H525" s="114"/>
      <c r="I525" s="1"/>
      <c r="J525" s="1"/>
      <c r="K525" s="1"/>
      <c r="L525" s="54"/>
      <c r="M525" s="54"/>
      <c r="N525" s="54"/>
      <c r="O525" s="54"/>
      <c r="P525" s="54"/>
      <c r="Q525" s="54"/>
      <c r="R525" s="1"/>
      <c r="S525" s="1"/>
      <c r="T525" s="1"/>
      <c r="U525" s="1"/>
      <c r="V525" s="1"/>
      <c r="W525" s="1"/>
      <c r="X525" s="1"/>
      <c r="Y525" s="1"/>
      <c r="Z525" s="1"/>
      <c r="AA525" s="1"/>
      <c r="AB525" s="1"/>
      <c r="AC525" s="1"/>
      <c r="AD525" s="1"/>
      <c r="AE525" s="1"/>
      <c r="AF525" s="1"/>
      <c r="AG525" s="1"/>
      <c r="AH525" s="1"/>
      <c r="AI525" s="1"/>
    </row>
    <row x14ac:dyDescent="0.25" r="526" customHeight="1" ht="17.25">
      <c r="A526" s="1"/>
      <c r="B526" s="114"/>
      <c r="C526" s="1"/>
      <c r="D526" s="1"/>
      <c r="E526" s="116"/>
      <c r="F526" s="1"/>
      <c r="G526" s="1"/>
      <c r="H526" s="114"/>
      <c r="I526" s="1"/>
      <c r="J526" s="1"/>
      <c r="K526" s="1"/>
      <c r="L526" s="54"/>
      <c r="M526" s="54"/>
      <c r="N526" s="54"/>
      <c r="O526" s="54"/>
      <c r="P526" s="54"/>
      <c r="Q526" s="54"/>
      <c r="R526" s="1"/>
      <c r="S526" s="1"/>
      <c r="T526" s="1"/>
      <c r="U526" s="1"/>
      <c r="V526" s="1"/>
      <c r="W526" s="1"/>
      <c r="X526" s="1"/>
      <c r="Y526" s="1"/>
      <c r="Z526" s="1"/>
      <c r="AA526" s="1"/>
      <c r="AB526" s="1"/>
      <c r="AC526" s="1"/>
      <c r="AD526" s="1"/>
      <c r="AE526" s="1"/>
      <c r="AF526" s="1"/>
      <c r="AG526" s="1"/>
      <c r="AH526" s="1"/>
      <c r="AI526" s="1"/>
    </row>
    <row x14ac:dyDescent="0.25" r="527" customHeight="1" ht="17.25">
      <c r="A527" s="1"/>
      <c r="B527" s="114"/>
      <c r="C527" s="1"/>
      <c r="D527" s="1"/>
      <c r="E527" s="116"/>
      <c r="F527" s="1"/>
      <c r="G527" s="1"/>
      <c r="H527" s="114"/>
      <c r="I527" s="1"/>
      <c r="J527" s="1"/>
      <c r="K527" s="1"/>
      <c r="L527" s="54"/>
      <c r="M527" s="54"/>
      <c r="N527" s="54"/>
      <c r="O527" s="54"/>
      <c r="P527" s="54"/>
      <c r="Q527" s="54"/>
      <c r="R527" s="1"/>
      <c r="S527" s="1"/>
      <c r="T527" s="1"/>
      <c r="U527" s="1"/>
      <c r="V527" s="1"/>
      <c r="W527" s="1"/>
      <c r="X527" s="1"/>
      <c r="Y527" s="1"/>
      <c r="Z527" s="1"/>
      <c r="AA527" s="1"/>
      <c r="AB527" s="1"/>
      <c r="AC527" s="1"/>
      <c r="AD527" s="1"/>
      <c r="AE527" s="1"/>
      <c r="AF527" s="1"/>
      <c r="AG527" s="1"/>
      <c r="AH527" s="1"/>
      <c r="AI527" s="1"/>
    </row>
    <row x14ac:dyDescent="0.25" r="528" customHeight="1" ht="17.25">
      <c r="A528" s="1"/>
      <c r="B528" s="114"/>
      <c r="C528" s="1"/>
      <c r="D528" s="1"/>
      <c r="E528" s="116"/>
      <c r="F528" s="1"/>
      <c r="G528" s="1"/>
      <c r="H528" s="114"/>
      <c r="I528" s="1"/>
      <c r="J528" s="1"/>
      <c r="K528" s="1"/>
      <c r="L528" s="54"/>
      <c r="M528" s="54"/>
      <c r="N528" s="54"/>
      <c r="O528" s="54"/>
      <c r="P528" s="54"/>
      <c r="Q528" s="54"/>
      <c r="R528" s="1"/>
      <c r="S528" s="1"/>
      <c r="T528" s="1"/>
      <c r="U528" s="1"/>
      <c r="V528" s="1"/>
      <c r="W528" s="1"/>
      <c r="X528" s="1"/>
      <c r="Y528" s="1"/>
      <c r="Z528" s="1"/>
      <c r="AA528" s="1"/>
      <c r="AB528" s="1"/>
      <c r="AC528" s="1"/>
      <c r="AD528" s="1"/>
      <c r="AE528" s="1"/>
      <c r="AF528" s="1"/>
      <c r="AG528" s="1"/>
      <c r="AH528" s="1"/>
      <c r="AI528" s="1"/>
    </row>
    <row x14ac:dyDescent="0.25" r="529" customHeight="1" ht="17.25">
      <c r="A529" s="1"/>
      <c r="B529" s="114"/>
      <c r="C529" s="1"/>
      <c r="D529" s="1"/>
      <c r="E529" s="116"/>
      <c r="F529" s="1"/>
      <c r="G529" s="1"/>
      <c r="H529" s="114"/>
      <c r="I529" s="1"/>
      <c r="J529" s="1"/>
      <c r="K529" s="1"/>
      <c r="L529" s="54"/>
      <c r="M529" s="54"/>
      <c r="N529" s="54"/>
      <c r="O529" s="54"/>
      <c r="P529" s="54"/>
      <c r="Q529" s="54"/>
      <c r="R529" s="1"/>
      <c r="S529" s="1"/>
      <c r="T529" s="1"/>
      <c r="U529" s="1"/>
      <c r="V529" s="1"/>
      <c r="W529" s="1"/>
      <c r="X529" s="1"/>
      <c r="Y529" s="1"/>
      <c r="Z529" s="1"/>
      <c r="AA529" s="1"/>
      <c r="AB529" s="1"/>
      <c r="AC529" s="1"/>
      <c r="AD529" s="1"/>
      <c r="AE529" s="1"/>
      <c r="AF529" s="1"/>
      <c r="AG529" s="1"/>
      <c r="AH529" s="1"/>
      <c r="AI529" s="1"/>
    </row>
    <row x14ac:dyDescent="0.25" r="530" customHeight="1" ht="17.25">
      <c r="A530" s="1"/>
      <c r="B530" s="114"/>
      <c r="C530" s="1"/>
      <c r="D530" s="1"/>
      <c r="E530" s="116"/>
      <c r="F530" s="1"/>
      <c r="G530" s="1"/>
      <c r="H530" s="114"/>
      <c r="I530" s="1"/>
      <c r="J530" s="1"/>
      <c r="K530" s="1"/>
      <c r="L530" s="54"/>
      <c r="M530" s="54"/>
      <c r="N530" s="54"/>
      <c r="O530" s="54"/>
      <c r="P530" s="54"/>
      <c r="Q530" s="54"/>
      <c r="R530" s="1"/>
      <c r="S530" s="1"/>
      <c r="T530" s="1"/>
      <c r="U530" s="1"/>
      <c r="V530" s="1"/>
      <c r="W530" s="1"/>
      <c r="X530" s="1"/>
      <c r="Y530" s="1"/>
      <c r="Z530" s="1"/>
      <c r="AA530" s="1"/>
      <c r="AB530" s="1"/>
      <c r="AC530" s="1"/>
      <c r="AD530" s="1"/>
      <c r="AE530" s="1"/>
      <c r="AF530" s="1"/>
      <c r="AG530" s="1"/>
      <c r="AH530" s="1"/>
      <c r="AI530" s="1"/>
    </row>
    <row x14ac:dyDescent="0.25" r="531" customHeight="1" ht="17.25">
      <c r="A531" s="1"/>
      <c r="B531" s="114"/>
      <c r="C531" s="1"/>
      <c r="D531" s="1"/>
      <c r="E531" s="116"/>
      <c r="F531" s="1"/>
      <c r="G531" s="1"/>
      <c r="H531" s="114"/>
      <c r="I531" s="1"/>
      <c r="J531" s="1"/>
      <c r="K531" s="1"/>
      <c r="L531" s="54"/>
      <c r="M531" s="54"/>
      <c r="N531" s="54"/>
      <c r="O531" s="54"/>
      <c r="P531" s="54"/>
      <c r="Q531" s="54"/>
      <c r="R531" s="1"/>
      <c r="S531" s="1"/>
      <c r="T531" s="1"/>
      <c r="U531" s="1"/>
      <c r="V531" s="1"/>
      <c r="W531" s="1"/>
      <c r="X531" s="1"/>
      <c r="Y531" s="1"/>
      <c r="Z531" s="1"/>
      <c r="AA531" s="1"/>
      <c r="AB531" s="1"/>
      <c r="AC531" s="1"/>
      <c r="AD531" s="1"/>
      <c r="AE531" s="1"/>
      <c r="AF531" s="1"/>
      <c r="AG531" s="1"/>
      <c r="AH531" s="1"/>
      <c r="AI531" s="1"/>
    </row>
    <row x14ac:dyDescent="0.25" r="532" customHeight="1" ht="17.25">
      <c r="A532" s="1"/>
      <c r="B532" s="114"/>
      <c r="C532" s="1"/>
      <c r="D532" s="1"/>
      <c r="E532" s="116"/>
      <c r="F532" s="1"/>
      <c r="G532" s="1"/>
      <c r="H532" s="114"/>
      <c r="I532" s="1"/>
      <c r="J532" s="1"/>
      <c r="K532" s="1"/>
      <c r="L532" s="54"/>
      <c r="M532" s="54"/>
      <c r="N532" s="54"/>
      <c r="O532" s="54"/>
      <c r="P532" s="54"/>
      <c r="Q532" s="54"/>
      <c r="R532" s="1"/>
      <c r="S532" s="1"/>
      <c r="T532" s="1"/>
      <c r="U532" s="1"/>
      <c r="V532" s="1"/>
      <c r="W532" s="1"/>
      <c r="X532" s="1"/>
      <c r="Y532" s="1"/>
      <c r="Z532" s="1"/>
      <c r="AA532" s="1"/>
      <c r="AB532" s="1"/>
      <c r="AC532" s="1"/>
      <c r="AD532" s="1"/>
      <c r="AE532" s="1"/>
      <c r="AF532" s="1"/>
      <c r="AG532" s="1"/>
      <c r="AH532" s="1"/>
      <c r="AI532" s="1"/>
    </row>
    <row x14ac:dyDescent="0.25" r="533" customHeight="1" ht="17.25">
      <c r="A533" s="1"/>
      <c r="B533" s="114"/>
      <c r="C533" s="1"/>
      <c r="D533" s="1"/>
      <c r="E533" s="116"/>
      <c r="F533" s="1"/>
      <c r="G533" s="1"/>
      <c r="H533" s="114"/>
      <c r="I533" s="1"/>
      <c r="J533" s="1"/>
      <c r="K533" s="1"/>
      <c r="L533" s="54"/>
      <c r="M533" s="54"/>
      <c r="N533" s="54"/>
      <c r="O533" s="54"/>
      <c r="P533" s="54"/>
      <c r="Q533" s="54"/>
      <c r="R533" s="1"/>
      <c r="S533" s="1"/>
      <c r="T533" s="1"/>
      <c r="U533" s="1"/>
      <c r="V533" s="1"/>
      <c r="W533" s="1"/>
      <c r="X533" s="1"/>
      <c r="Y533" s="1"/>
      <c r="Z533" s="1"/>
      <c r="AA533" s="1"/>
      <c r="AB533" s="1"/>
      <c r="AC533" s="1"/>
      <c r="AD533" s="1"/>
      <c r="AE533" s="1"/>
      <c r="AF533" s="1"/>
      <c r="AG533" s="1"/>
      <c r="AH533" s="1"/>
      <c r="AI533" s="1"/>
    </row>
    <row x14ac:dyDescent="0.25" r="534" customHeight="1" ht="17.25">
      <c r="A534" s="1"/>
      <c r="B534" s="114"/>
      <c r="C534" s="1"/>
      <c r="D534" s="1"/>
      <c r="E534" s="116"/>
      <c r="F534" s="1"/>
      <c r="G534" s="1"/>
      <c r="H534" s="114"/>
      <c r="I534" s="1"/>
      <c r="J534" s="1"/>
      <c r="K534" s="1"/>
      <c r="L534" s="54"/>
      <c r="M534" s="54"/>
      <c r="N534" s="54"/>
      <c r="O534" s="54"/>
      <c r="P534" s="54"/>
      <c r="Q534" s="54"/>
      <c r="R534" s="1"/>
      <c r="S534" s="1"/>
      <c r="T534" s="1"/>
      <c r="U534" s="1"/>
      <c r="V534" s="1"/>
      <c r="W534" s="1"/>
      <c r="X534" s="1"/>
      <c r="Y534" s="1"/>
      <c r="Z534" s="1"/>
      <c r="AA534" s="1"/>
      <c r="AB534" s="1"/>
      <c r="AC534" s="1"/>
      <c r="AD534" s="1"/>
      <c r="AE534" s="1"/>
      <c r="AF534" s="1"/>
      <c r="AG534" s="1"/>
      <c r="AH534" s="1"/>
      <c r="AI534" s="1"/>
    </row>
    <row x14ac:dyDescent="0.25" r="535" customHeight="1" ht="17.25">
      <c r="A535" s="1"/>
      <c r="B535" s="114"/>
      <c r="C535" s="1"/>
      <c r="D535" s="1"/>
      <c r="E535" s="116"/>
      <c r="F535" s="1"/>
      <c r="G535" s="1"/>
      <c r="H535" s="114"/>
      <c r="I535" s="1"/>
      <c r="J535" s="1"/>
      <c r="K535" s="1"/>
      <c r="L535" s="54"/>
      <c r="M535" s="54"/>
      <c r="N535" s="54"/>
      <c r="O535" s="54"/>
      <c r="P535" s="54"/>
      <c r="Q535" s="54"/>
      <c r="R535" s="1"/>
      <c r="S535" s="1"/>
      <c r="T535" s="1"/>
      <c r="U535" s="1"/>
      <c r="V535" s="1"/>
      <c r="W535" s="1"/>
      <c r="X535" s="1"/>
      <c r="Y535" s="1"/>
      <c r="Z535" s="1"/>
      <c r="AA535" s="1"/>
      <c r="AB535" s="1"/>
      <c r="AC535" s="1"/>
      <c r="AD535" s="1"/>
      <c r="AE535" s="1"/>
      <c r="AF535" s="1"/>
      <c r="AG535" s="1"/>
      <c r="AH535" s="1"/>
      <c r="AI535" s="1"/>
    </row>
    <row x14ac:dyDescent="0.25" r="536" customHeight="1" ht="17.25">
      <c r="A536" s="1"/>
      <c r="B536" s="114"/>
      <c r="C536" s="1"/>
      <c r="D536" s="1"/>
      <c r="E536" s="116"/>
      <c r="F536" s="1"/>
      <c r="G536" s="1"/>
      <c r="H536" s="114"/>
      <c r="I536" s="1"/>
      <c r="J536" s="1"/>
      <c r="K536" s="1"/>
      <c r="L536" s="54"/>
      <c r="M536" s="54"/>
      <c r="N536" s="54"/>
      <c r="O536" s="54"/>
      <c r="P536" s="54"/>
      <c r="Q536" s="54"/>
      <c r="R536" s="1"/>
      <c r="S536" s="1"/>
      <c r="T536" s="1"/>
      <c r="U536" s="1"/>
      <c r="V536" s="1"/>
      <c r="W536" s="1"/>
      <c r="X536" s="1"/>
      <c r="Y536" s="1"/>
      <c r="Z536" s="1"/>
      <c r="AA536" s="1"/>
      <c r="AB536" s="1"/>
      <c r="AC536" s="1"/>
      <c r="AD536" s="1"/>
      <c r="AE536" s="1"/>
      <c r="AF536" s="1"/>
      <c r="AG536" s="1"/>
      <c r="AH536" s="1"/>
      <c r="AI536" s="1"/>
    </row>
    <row x14ac:dyDescent="0.25" r="537" customHeight="1" ht="17.25">
      <c r="A537" s="1"/>
      <c r="B537" s="114"/>
      <c r="C537" s="1"/>
      <c r="D537" s="1"/>
      <c r="E537" s="116"/>
      <c r="F537" s="1"/>
      <c r="G537" s="1"/>
      <c r="H537" s="114"/>
      <c r="I537" s="1"/>
      <c r="J537" s="1"/>
      <c r="K537" s="1"/>
      <c r="L537" s="54"/>
      <c r="M537" s="54"/>
      <c r="N537" s="54"/>
      <c r="O537" s="54"/>
      <c r="P537" s="54"/>
      <c r="Q537" s="54"/>
      <c r="R537" s="1"/>
      <c r="S537" s="1"/>
      <c r="T537" s="1"/>
      <c r="U537" s="1"/>
      <c r="V537" s="1"/>
      <c r="W537" s="1"/>
      <c r="X537" s="1"/>
      <c r="Y537" s="1"/>
      <c r="Z537" s="1"/>
      <c r="AA537" s="1"/>
      <c r="AB537" s="1"/>
      <c r="AC537" s="1"/>
      <c r="AD537" s="1"/>
      <c r="AE537" s="1"/>
      <c r="AF537" s="1"/>
      <c r="AG537" s="1"/>
      <c r="AH537" s="1"/>
      <c r="AI537" s="1"/>
    </row>
    <row x14ac:dyDescent="0.25" r="538" customHeight="1" ht="17.25">
      <c r="A538" s="1"/>
      <c r="B538" s="114"/>
      <c r="C538" s="1"/>
      <c r="D538" s="1"/>
      <c r="E538" s="116"/>
      <c r="F538" s="1"/>
      <c r="G538" s="1"/>
      <c r="H538" s="114"/>
      <c r="I538" s="1"/>
      <c r="J538" s="1"/>
      <c r="K538" s="1"/>
      <c r="L538" s="54"/>
      <c r="M538" s="54"/>
      <c r="N538" s="54"/>
      <c r="O538" s="54"/>
      <c r="P538" s="54"/>
      <c r="Q538" s="54"/>
      <c r="R538" s="1"/>
      <c r="S538" s="1"/>
      <c r="T538" s="1"/>
      <c r="U538" s="1"/>
      <c r="V538" s="1"/>
      <c r="W538" s="1"/>
      <c r="X538" s="1"/>
      <c r="Y538" s="1"/>
      <c r="Z538" s="1"/>
      <c r="AA538" s="1"/>
      <c r="AB538" s="1"/>
      <c r="AC538" s="1"/>
      <c r="AD538" s="1"/>
      <c r="AE538" s="1"/>
      <c r="AF538" s="1"/>
      <c r="AG538" s="1"/>
      <c r="AH538" s="1"/>
      <c r="AI538" s="1"/>
    </row>
    <row x14ac:dyDescent="0.25" r="539" customHeight="1" ht="17.25">
      <c r="A539" s="1"/>
      <c r="B539" s="114"/>
      <c r="C539" s="1"/>
      <c r="D539" s="1"/>
      <c r="E539" s="116"/>
      <c r="F539" s="1"/>
      <c r="G539" s="1"/>
      <c r="H539" s="114"/>
      <c r="I539" s="1"/>
      <c r="J539" s="1"/>
      <c r="K539" s="1"/>
      <c r="L539" s="54"/>
      <c r="M539" s="54"/>
      <c r="N539" s="54"/>
      <c r="O539" s="54"/>
      <c r="P539" s="54"/>
      <c r="Q539" s="54"/>
      <c r="R539" s="1"/>
      <c r="S539" s="1"/>
      <c r="T539" s="1"/>
      <c r="U539" s="1"/>
      <c r="V539" s="1"/>
      <c r="W539" s="1"/>
      <c r="X539" s="1"/>
      <c r="Y539" s="1"/>
      <c r="Z539" s="1"/>
      <c r="AA539" s="1"/>
      <c r="AB539" s="1"/>
      <c r="AC539" s="1"/>
      <c r="AD539" s="1"/>
      <c r="AE539" s="1"/>
      <c r="AF539" s="1"/>
      <c r="AG539" s="1"/>
      <c r="AH539" s="1"/>
      <c r="AI539" s="1"/>
    </row>
    <row x14ac:dyDescent="0.25" r="540" customHeight="1" ht="17.25">
      <c r="A540" s="1"/>
      <c r="B540" s="114"/>
      <c r="C540" s="1"/>
      <c r="D540" s="1"/>
      <c r="E540" s="116"/>
      <c r="F540" s="1"/>
      <c r="G540" s="1"/>
      <c r="H540" s="114"/>
      <c r="I540" s="1"/>
      <c r="J540" s="1"/>
      <c r="K540" s="1"/>
      <c r="L540" s="54"/>
      <c r="M540" s="54"/>
      <c r="N540" s="54"/>
      <c r="O540" s="54"/>
      <c r="P540" s="54"/>
      <c r="Q540" s="54"/>
      <c r="R540" s="1"/>
      <c r="S540" s="1"/>
      <c r="T540" s="1"/>
      <c r="U540" s="1"/>
      <c r="V540" s="1"/>
      <c r="W540" s="1"/>
      <c r="X540" s="1"/>
      <c r="Y540" s="1"/>
      <c r="Z540" s="1"/>
      <c r="AA540" s="1"/>
      <c r="AB540" s="1"/>
      <c r="AC540" s="1"/>
      <c r="AD540" s="1"/>
      <c r="AE540" s="1"/>
      <c r="AF540" s="1"/>
      <c r="AG540" s="1"/>
      <c r="AH540" s="1"/>
      <c r="AI540" s="1"/>
    </row>
    <row x14ac:dyDescent="0.25" r="541" customHeight="1" ht="17.25">
      <c r="A541" s="1"/>
      <c r="B541" s="114"/>
      <c r="C541" s="1"/>
      <c r="D541" s="1"/>
      <c r="E541" s="116"/>
      <c r="F541" s="1"/>
      <c r="G541" s="1"/>
      <c r="H541" s="114"/>
      <c r="I541" s="1"/>
      <c r="J541" s="1"/>
      <c r="K541" s="1"/>
      <c r="L541" s="54"/>
      <c r="M541" s="54"/>
      <c r="N541" s="54"/>
      <c r="O541" s="54"/>
      <c r="P541" s="54"/>
      <c r="Q541" s="54"/>
      <c r="R541" s="1"/>
      <c r="S541" s="1"/>
      <c r="T541" s="1"/>
      <c r="U541" s="1"/>
      <c r="V541" s="1"/>
      <c r="W541" s="1"/>
      <c r="X541" s="1"/>
      <c r="Y541" s="1"/>
      <c r="Z541" s="1"/>
      <c r="AA541" s="1"/>
      <c r="AB541" s="1"/>
      <c r="AC541" s="1"/>
      <c r="AD541" s="1"/>
      <c r="AE541" s="1"/>
      <c r="AF541" s="1"/>
      <c r="AG541" s="1"/>
      <c r="AH541" s="1"/>
      <c r="AI541" s="1"/>
    </row>
    <row x14ac:dyDescent="0.25" r="542" customHeight="1" ht="17.25">
      <c r="A542" s="1"/>
      <c r="B542" s="114"/>
      <c r="C542" s="1"/>
      <c r="D542" s="1"/>
      <c r="E542" s="116"/>
      <c r="F542" s="1"/>
      <c r="G542" s="1"/>
      <c r="H542" s="114"/>
      <c r="I542" s="1"/>
      <c r="J542" s="1"/>
      <c r="K542" s="1"/>
      <c r="L542" s="54"/>
      <c r="M542" s="54"/>
      <c r="N542" s="54"/>
      <c r="O542" s="54"/>
      <c r="P542" s="54"/>
      <c r="Q542" s="54"/>
      <c r="R542" s="1"/>
      <c r="S542" s="1"/>
      <c r="T542" s="1"/>
      <c r="U542" s="1"/>
      <c r="V542" s="1"/>
      <c r="W542" s="1"/>
      <c r="X542" s="1"/>
      <c r="Y542" s="1"/>
      <c r="Z542" s="1"/>
      <c r="AA542" s="1"/>
      <c r="AB542" s="1"/>
      <c r="AC542" s="1"/>
      <c r="AD542" s="1"/>
      <c r="AE542" s="1"/>
      <c r="AF542" s="1"/>
      <c r="AG542" s="1"/>
      <c r="AH542" s="1"/>
      <c r="AI542" s="1"/>
    </row>
    <row x14ac:dyDescent="0.25" r="543" customHeight="1" ht="17.25">
      <c r="A543" s="1"/>
      <c r="B543" s="114"/>
      <c r="C543" s="1"/>
      <c r="D543" s="1"/>
      <c r="E543" s="116"/>
      <c r="F543" s="1"/>
      <c r="G543" s="1"/>
      <c r="H543" s="114"/>
      <c r="I543" s="1"/>
      <c r="J543" s="1"/>
      <c r="K543" s="1"/>
      <c r="L543" s="54"/>
      <c r="M543" s="54"/>
      <c r="N543" s="54"/>
      <c r="O543" s="54"/>
      <c r="P543" s="54"/>
      <c r="Q543" s="54"/>
      <c r="R543" s="1"/>
      <c r="S543" s="1"/>
      <c r="T543" s="1"/>
      <c r="U543" s="1"/>
      <c r="V543" s="1"/>
      <c r="W543" s="1"/>
      <c r="X543" s="1"/>
      <c r="Y543" s="1"/>
      <c r="Z543" s="1"/>
      <c r="AA543" s="1"/>
      <c r="AB543" s="1"/>
      <c r="AC543" s="1"/>
      <c r="AD543" s="1"/>
      <c r="AE543" s="1"/>
      <c r="AF543" s="1"/>
      <c r="AG543" s="1"/>
      <c r="AH543" s="1"/>
      <c r="AI543" s="1"/>
    </row>
    <row x14ac:dyDescent="0.25" r="544" customHeight="1" ht="17.25">
      <c r="A544" s="1"/>
      <c r="B544" s="114"/>
      <c r="C544" s="1"/>
      <c r="D544" s="1"/>
      <c r="E544" s="116"/>
      <c r="F544" s="1"/>
      <c r="G544" s="1"/>
      <c r="H544" s="114"/>
      <c r="I544" s="1"/>
      <c r="J544" s="1"/>
      <c r="K544" s="1"/>
      <c r="L544" s="54"/>
      <c r="M544" s="54"/>
      <c r="N544" s="54"/>
      <c r="O544" s="54"/>
      <c r="P544" s="54"/>
      <c r="Q544" s="54"/>
      <c r="R544" s="1"/>
      <c r="S544" s="1"/>
      <c r="T544" s="1"/>
      <c r="U544" s="1"/>
      <c r="V544" s="1"/>
      <c r="W544" s="1"/>
      <c r="X544" s="1"/>
      <c r="Y544" s="1"/>
      <c r="Z544" s="1"/>
      <c r="AA544" s="1"/>
      <c r="AB544" s="1"/>
      <c r="AC544" s="1"/>
      <c r="AD544" s="1"/>
      <c r="AE544" s="1"/>
      <c r="AF544" s="1"/>
      <c r="AG544" s="1"/>
      <c r="AH544" s="1"/>
      <c r="AI544" s="1"/>
    </row>
    <row x14ac:dyDescent="0.25" r="545" customHeight="1" ht="17.25">
      <c r="A545" s="1"/>
      <c r="B545" s="114"/>
      <c r="C545" s="1"/>
      <c r="D545" s="1"/>
      <c r="E545" s="116"/>
      <c r="F545" s="1"/>
      <c r="G545" s="1"/>
      <c r="H545" s="114"/>
      <c r="I545" s="1"/>
      <c r="J545" s="1"/>
      <c r="K545" s="1"/>
      <c r="L545" s="54"/>
      <c r="M545" s="54"/>
      <c r="N545" s="54"/>
      <c r="O545" s="54"/>
      <c r="P545" s="54"/>
      <c r="Q545" s="54"/>
      <c r="R545" s="1"/>
      <c r="S545" s="1"/>
      <c r="T545" s="1"/>
      <c r="U545" s="1"/>
      <c r="V545" s="1"/>
      <c r="W545" s="1"/>
      <c r="X545" s="1"/>
      <c r="Y545" s="1"/>
      <c r="Z545" s="1"/>
      <c r="AA545" s="1"/>
      <c r="AB545" s="1"/>
      <c r="AC545" s="1"/>
      <c r="AD545" s="1"/>
      <c r="AE545" s="1"/>
      <c r="AF545" s="1"/>
      <c r="AG545" s="1"/>
      <c r="AH545" s="1"/>
      <c r="AI545" s="1"/>
    </row>
    <row x14ac:dyDescent="0.25" r="546" customHeight="1" ht="17.25">
      <c r="A546" s="1"/>
      <c r="B546" s="114"/>
      <c r="C546" s="1"/>
      <c r="D546" s="1"/>
      <c r="E546" s="116"/>
      <c r="F546" s="1"/>
      <c r="G546" s="1"/>
      <c r="H546" s="114"/>
      <c r="I546" s="1"/>
      <c r="J546" s="1"/>
      <c r="K546" s="1"/>
      <c r="L546" s="54"/>
      <c r="M546" s="54"/>
      <c r="N546" s="54"/>
      <c r="O546" s="54"/>
      <c r="P546" s="54"/>
      <c r="Q546" s="54"/>
      <c r="R546" s="1"/>
      <c r="S546" s="1"/>
      <c r="T546" s="1"/>
      <c r="U546" s="1"/>
      <c r="V546" s="1"/>
      <c r="W546" s="1"/>
      <c r="X546" s="1"/>
      <c r="Y546" s="1"/>
      <c r="Z546" s="1"/>
      <c r="AA546" s="1"/>
      <c r="AB546" s="1"/>
      <c r="AC546" s="1"/>
      <c r="AD546" s="1"/>
      <c r="AE546" s="1"/>
      <c r="AF546" s="1"/>
      <c r="AG546" s="1"/>
      <c r="AH546" s="1"/>
      <c r="AI546" s="1"/>
    </row>
    <row x14ac:dyDescent="0.25" r="547" customHeight="1" ht="17.25">
      <c r="A547" s="1"/>
      <c r="B547" s="114"/>
      <c r="C547" s="1"/>
      <c r="D547" s="1"/>
      <c r="E547" s="116"/>
      <c r="F547" s="1"/>
      <c r="G547" s="1"/>
      <c r="H547" s="114"/>
      <c r="I547" s="1"/>
      <c r="J547" s="1"/>
      <c r="K547" s="1"/>
      <c r="L547" s="54"/>
      <c r="M547" s="54"/>
      <c r="N547" s="54"/>
      <c r="O547" s="54"/>
      <c r="P547" s="54"/>
      <c r="Q547" s="54"/>
      <c r="R547" s="1"/>
      <c r="S547" s="1"/>
      <c r="T547" s="1"/>
      <c r="U547" s="1"/>
      <c r="V547" s="1"/>
      <c r="W547" s="1"/>
      <c r="X547" s="1"/>
      <c r="Y547" s="1"/>
      <c r="Z547" s="1"/>
      <c r="AA547" s="1"/>
      <c r="AB547" s="1"/>
      <c r="AC547" s="1"/>
      <c r="AD547" s="1"/>
      <c r="AE547" s="1"/>
      <c r="AF547" s="1"/>
      <c r="AG547" s="1"/>
      <c r="AH547" s="1"/>
      <c r="AI547" s="1"/>
    </row>
    <row x14ac:dyDescent="0.25" r="548" customHeight="1" ht="17.25">
      <c r="A548" s="1"/>
      <c r="B548" s="114"/>
      <c r="C548" s="1"/>
      <c r="D548" s="1"/>
      <c r="E548" s="116"/>
      <c r="F548" s="1"/>
      <c r="G548" s="1"/>
      <c r="H548" s="114"/>
      <c r="I548" s="1"/>
      <c r="J548" s="1"/>
      <c r="K548" s="1"/>
      <c r="L548" s="54"/>
      <c r="M548" s="54"/>
      <c r="N548" s="54"/>
      <c r="O548" s="54"/>
      <c r="P548" s="54"/>
      <c r="Q548" s="54"/>
      <c r="R548" s="1"/>
      <c r="S548" s="1"/>
      <c r="T548" s="1"/>
      <c r="U548" s="1"/>
      <c r="V548" s="1"/>
      <c r="W548" s="1"/>
      <c r="X548" s="1"/>
      <c r="Y548" s="1"/>
      <c r="Z548" s="1"/>
      <c r="AA548" s="1"/>
      <c r="AB548" s="1"/>
      <c r="AC548" s="1"/>
      <c r="AD548" s="1"/>
      <c r="AE548" s="1"/>
      <c r="AF548" s="1"/>
      <c r="AG548" s="1"/>
      <c r="AH548" s="1"/>
      <c r="AI548" s="1"/>
    </row>
    <row x14ac:dyDescent="0.25" r="549" customHeight="1" ht="17.25">
      <c r="A549" s="1"/>
      <c r="B549" s="114"/>
      <c r="C549" s="1"/>
      <c r="D549" s="1"/>
      <c r="E549" s="116"/>
      <c r="F549" s="1"/>
      <c r="G549" s="1"/>
      <c r="H549" s="114"/>
      <c r="I549" s="1"/>
      <c r="J549" s="1"/>
      <c r="K549" s="1"/>
      <c r="L549" s="54"/>
      <c r="M549" s="54"/>
      <c r="N549" s="54"/>
      <c r="O549" s="54"/>
      <c r="P549" s="54"/>
      <c r="Q549" s="54"/>
      <c r="R549" s="1"/>
      <c r="S549" s="1"/>
      <c r="T549" s="1"/>
      <c r="U549" s="1"/>
      <c r="V549" s="1"/>
      <c r="W549" s="1"/>
      <c r="X549" s="1"/>
      <c r="Y549" s="1"/>
      <c r="Z549" s="1"/>
      <c r="AA549" s="1"/>
      <c r="AB549" s="1"/>
      <c r="AC549" s="1"/>
      <c r="AD549" s="1"/>
      <c r="AE549" s="1"/>
      <c r="AF549" s="1"/>
      <c r="AG549" s="1"/>
      <c r="AH549" s="1"/>
      <c r="AI549" s="1"/>
    </row>
    <row x14ac:dyDescent="0.25" r="550" customHeight="1" ht="17.25">
      <c r="A550" s="1"/>
      <c r="B550" s="114"/>
      <c r="C550" s="1"/>
      <c r="D550" s="1"/>
      <c r="E550" s="116"/>
      <c r="F550" s="1"/>
      <c r="G550" s="1"/>
      <c r="H550" s="114"/>
      <c r="I550" s="1"/>
      <c r="J550" s="1"/>
      <c r="K550" s="1"/>
      <c r="L550" s="54"/>
      <c r="M550" s="54"/>
      <c r="N550" s="54"/>
      <c r="O550" s="54"/>
      <c r="P550" s="54"/>
      <c r="Q550" s="54"/>
      <c r="R550" s="1"/>
      <c r="S550" s="1"/>
      <c r="T550" s="1"/>
      <c r="U550" s="1"/>
      <c r="V550" s="1"/>
      <c r="W550" s="1"/>
      <c r="X550" s="1"/>
      <c r="Y550" s="1"/>
      <c r="Z550" s="1"/>
      <c r="AA550" s="1"/>
      <c r="AB550" s="1"/>
      <c r="AC550" s="1"/>
      <c r="AD550" s="1"/>
      <c r="AE550" s="1"/>
      <c r="AF550" s="1"/>
      <c r="AG550" s="1"/>
      <c r="AH550" s="1"/>
      <c r="AI550" s="1"/>
    </row>
    <row x14ac:dyDescent="0.25" r="551" customHeight="1" ht="17.25">
      <c r="A551" s="1"/>
      <c r="B551" s="114"/>
      <c r="C551" s="1"/>
      <c r="D551" s="1"/>
      <c r="E551" s="116"/>
      <c r="F551" s="1"/>
      <c r="G551" s="1"/>
      <c r="H551" s="114"/>
      <c r="I551" s="1"/>
      <c r="J551" s="1"/>
      <c r="K551" s="1"/>
      <c r="L551" s="54"/>
      <c r="M551" s="54"/>
      <c r="N551" s="54"/>
      <c r="O551" s="54"/>
      <c r="P551" s="54"/>
      <c r="Q551" s="54"/>
      <c r="R551" s="1"/>
      <c r="S551" s="1"/>
      <c r="T551" s="1"/>
      <c r="U551" s="1"/>
      <c r="V551" s="1"/>
      <c r="W551" s="1"/>
      <c r="X551" s="1"/>
      <c r="Y551" s="1"/>
      <c r="Z551" s="1"/>
      <c r="AA551" s="1"/>
      <c r="AB551" s="1"/>
      <c r="AC551" s="1"/>
      <c r="AD551" s="1"/>
      <c r="AE551" s="1"/>
      <c r="AF551" s="1"/>
      <c r="AG551" s="1"/>
      <c r="AH551" s="1"/>
      <c r="AI551" s="1"/>
    </row>
    <row x14ac:dyDescent="0.25" r="552" customHeight="1" ht="17.25">
      <c r="A552" s="1"/>
      <c r="B552" s="114"/>
      <c r="C552" s="1"/>
      <c r="D552" s="1"/>
      <c r="E552" s="116"/>
      <c r="F552" s="1"/>
      <c r="G552" s="1"/>
      <c r="H552" s="114"/>
      <c r="I552" s="1"/>
      <c r="J552" s="1"/>
      <c r="K552" s="1"/>
      <c r="L552" s="54"/>
      <c r="M552" s="54"/>
      <c r="N552" s="54"/>
      <c r="O552" s="54"/>
      <c r="P552" s="54"/>
      <c r="Q552" s="54"/>
      <c r="R552" s="1"/>
      <c r="S552" s="1"/>
      <c r="T552" s="1"/>
      <c r="U552" s="1"/>
      <c r="V552" s="1"/>
      <c r="W552" s="1"/>
      <c r="X552" s="1"/>
      <c r="Y552" s="1"/>
      <c r="Z552" s="1"/>
      <c r="AA552" s="1"/>
      <c r="AB552" s="1"/>
      <c r="AC552" s="1"/>
      <c r="AD552" s="1"/>
      <c r="AE552" s="1"/>
      <c r="AF552" s="1"/>
      <c r="AG552" s="1"/>
      <c r="AH552" s="1"/>
      <c r="AI552" s="1"/>
    </row>
    <row x14ac:dyDescent="0.25" r="553" customHeight="1" ht="17.25">
      <c r="A553" s="1"/>
      <c r="B553" s="114"/>
      <c r="C553" s="1"/>
      <c r="D553" s="1"/>
      <c r="E553" s="116"/>
      <c r="F553" s="1"/>
      <c r="G553" s="1"/>
      <c r="H553" s="114"/>
      <c r="I553" s="1"/>
      <c r="J553" s="1"/>
      <c r="K553" s="1"/>
      <c r="L553" s="54"/>
      <c r="M553" s="54"/>
      <c r="N553" s="54"/>
      <c r="O553" s="54"/>
      <c r="P553" s="54"/>
      <c r="Q553" s="54"/>
      <c r="R553" s="1"/>
      <c r="S553" s="1"/>
      <c r="T553" s="1"/>
      <c r="U553" s="1"/>
      <c r="V553" s="1"/>
      <c r="W553" s="1"/>
      <c r="X553" s="1"/>
      <c r="Y553" s="1"/>
      <c r="Z553" s="1"/>
      <c r="AA553" s="1"/>
      <c r="AB553" s="1"/>
      <c r="AC553" s="1"/>
      <c r="AD553" s="1"/>
      <c r="AE553" s="1"/>
      <c r="AF553" s="1"/>
      <c r="AG553" s="1"/>
      <c r="AH553" s="1"/>
      <c r="AI553" s="1"/>
    </row>
    <row x14ac:dyDescent="0.25" r="554" customHeight="1" ht="17.25">
      <c r="A554" s="1"/>
      <c r="B554" s="114"/>
      <c r="C554" s="1"/>
      <c r="D554" s="1"/>
      <c r="E554" s="116"/>
      <c r="F554" s="1"/>
      <c r="G554" s="1"/>
      <c r="H554" s="114"/>
      <c r="I554" s="1"/>
      <c r="J554" s="1"/>
      <c r="K554" s="1"/>
      <c r="L554" s="54"/>
      <c r="M554" s="54"/>
      <c r="N554" s="54"/>
      <c r="O554" s="54"/>
      <c r="P554" s="54"/>
      <c r="Q554" s="54"/>
      <c r="R554" s="1"/>
      <c r="S554" s="1"/>
      <c r="T554" s="1"/>
      <c r="U554" s="1"/>
      <c r="V554" s="1"/>
      <c r="W554" s="1"/>
      <c r="X554" s="1"/>
      <c r="Y554" s="1"/>
      <c r="Z554" s="1"/>
      <c r="AA554" s="1"/>
      <c r="AB554" s="1"/>
      <c r="AC554" s="1"/>
      <c r="AD554" s="1"/>
      <c r="AE554" s="1"/>
      <c r="AF554" s="1"/>
      <c r="AG554" s="1"/>
      <c r="AH554" s="1"/>
      <c r="AI554" s="1"/>
    </row>
    <row x14ac:dyDescent="0.25" r="555" customHeight="1" ht="17.25">
      <c r="A555" s="1"/>
      <c r="B555" s="114"/>
      <c r="C555" s="1"/>
      <c r="D555" s="1"/>
      <c r="E555" s="1"/>
      <c r="F555" s="1"/>
      <c r="G555" s="1"/>
      <c r="H555" s="114"/>
      <c r="I555" s="1"/>
      <c r="J555" s="1"/>
      <c r="K555" s="1"/>
      <c r="L555" s="54"/>
      <c r="M555" s="54"/>
      <c r="N555" s="54"/>
      <c r="O555" s="54"/>
      <c r="P555" s="54"/>
      <c r="Q555" s="54"/>
      <c r="R555" s="1"/>
      <c r="S555" s="1"/>
      <c r="T555" s="1"/>
      <c r="U555" s="1"/>
      <c r="V555" s="1"/>
      <c r="W555" s="1"/>
      <c r="X555" s="1"/>
      <c r="Y555" s="1"/>
      <c r="Z555" s="1"/>
      <c r="AA555" s="1"/>
      <c r="AB555" s="1"/>
      <c r="AC555" s="1"/>
      <c r="AD555" s="1"/>
      <c r="AE555" s="1"/>
      <c r="AF555" s="1"/>
      <c r="AG555" s="1"/>
      <c r="AH555" s="1"/>
      <c r="AI555" s="1"/>
    </row>
    <row x14ac:dyDescent="0.25" r="556" customHeight="1" ht="17.25">
      <c r="A556" s="1"/>
      <c r="B556" s="114"/>
      <c r="C556" s="1"/>
      <c r="D556" s="1"/>
      <c r="E556" s="116"/>
      <c r="F556" s="1"/>
      <c r="G556" s="1"/>
      <c r="H556" s="114"/>
      <c r="I556" s="1"/>
      <c r="J556" s="1"/>
      <c r="K556" s="1"/>
      <c r="L556" s="54"/>
      <c r="M556" s="54"/>
      <c r="N556" s="54"/>
      <c r="O556" s="54"/>
      <c r="P556" s="54"/>
      <c r="Q556" s="54"/>
      <c r="R556" s="1"/>
      <c r="S556" s="1"/>
      <c r="T556" s="1"/>
      <c r="U556" s="1"/>
      <c r="V556" s="1"/>
      <c r="W556" s="1"/>
      <c r="X556" s="1"/>
      <c r="Y556" s="1"/>
      <c r="Z556" s="1"/>
      <c r="AA556" s="1"/>
      <c r="AB556" s="1"/>
      <c r="AC556" s="1"/>
      <c r="AD556" s="1"/>
      <c r="AE556" s="1"/>
      <c r="AF556" s="1"/>
      <c r="AG556" s="1"/>
      <c r="AH556" s="1"/>
      <c r="AI556" s="1"/>
    </row>
    <row x14ac:dyDescent="0.25" r="557" customHeight="1" ht="17.25">
      <c r="A557" s="1"/>
      <c r="B557" s="114"/>
      <c r="C557" s="1"/>
      <c r="D557" s="1"/>
      <c r="E557" s="116"/>
      <c r="F557" s="1"/>
      <c r="G557" s="1"/>
      <c r="H557" s="114"/>
      <c r="I557" s="1"/>
      <c r="J557" s="1"/>
      <c r="K557" s="1"/>
      <c r="L557" s="54"/>
      <c r="M557" s="54"/>
      <c r="N557" s="54"/>
      <c r="O557" s="54"/>
      <c r="P557" s="54"/>
      <c r="Q557" s="54"/>
      <c r="R557" s="1"/>
      <c r="S557" s="1"/>
      <c r="T557" s="1"/>
      <c r="U557" s="1"/>
      <c r="V557" s="1"/>
      <c r="W557" s="1"/>
      <c r="X557" s="1"/>
      <c r="Y557" s="1"/>
      <c r="Z557" s="1"/>
      <c r="AA557" s="1"/>
      <c r="AB557" s="1"/>
      <c r="AC557" s="1"/>
      <c r="AD557" s="1"/>
      <c r="AE557" s="1"/>
      <c r="AF557" s="1"/>
      <c r="AG557" s="1"/>
      <c r="AH557" s="1"/>
      <c r="AI557" s="1"/>
    </row>
    <row x14ac:dyDescent="0.25" r="558" customHeight="1" ht="17.25">
      <c r="A558" s="1"/>
      <c r="B558" s="114"/>
      <c r="C558" s="1"/>
      <c r="D558" s="1"/>
      <c r="E558" s="116"/>
      <c r="F558" s="1"/>
      <c r="G558" s="1"/>
      <c r="H558" s="114"/>
      <c r="I558" s="1"/>
      <c r="J558" s="1"/>
      <c r="K558" s="1"/>
      <c r="L558" s="54"/>
      <c r="M558" s="54"/>
      <c r="N558" s="54"/>
      <c r="O558" s="54"/>
      <c r="P558" s="54"/>
      <c r="Q558" s="54"/>
      <c r="R558" s="1"/>
      <c r="S558" s="1"/>
      <c r="T558" s="1"/>
      <c r="U558" s="1"/>
      <c r="V558" s="1"/>
      <c r="W558" s="1"/>
      <c r="X558" s="1"/>
      <c r="Y558" s="1"/>
      <c r="Z558" s="1"/>
      <c r="AA558" s="1"/>
      <c r="AB558" s="1"/>
      <c r="AC558" s="1"/>
      <c r="AD558" s="1"/>
      <c r="AE558" s="1"/>
      <c r="AF558" s="1"/>
      <c r="AG558" s="1"/>
      <c r="AH558" s="1"/>
      <c r="AI558" s="1"/>
    </row>
    <row x14ac:dyDescent="0.25" r="559" customHeight="1" ht="17.25">
      <c r="A559" s="1"/>
      <c r="B559" s="114"/>
      <c r="C559" s="1"/>
      <c r="D559" s="1"/>
      <c r="E559" s="116"/>
      <c r="F559" s="1"/>
      <c r="G559" s="1"/>
      <c r="H559" s="114"/>
      <c r="I559" s="1"/>
      <c r="J559" s="1"/>
      <c r="K559" s="1"/>
      <c r="L559" s="54"/>
      <c r="M559" s="54"/>
      <c r="N559" s="54"/>
      <c r="O559" s="54"/>
      <c r="P559" s="54"/>
      <c r="Q559" s="54"/>
      <c r="R559" s="1"/>
      <c r="S559" s="1"/>
      <c r="T559" s="1"/>
      <c r="U559" s="1"/>
      <c r="V559" s="1"/>
      <c r="W559" s="1"/>
      <c r="X559" s="1"/>
      <c r="Y559" s="1"/>
      <c r="Z559" s="1"/>
      <c r="AA559" s="1"/>
      <c r="AB559" s="1"/>
      <c r="AC559" s="1"/>
      <c r="AD559" s="1"/>
      <c r="AE559" s="1"/>
      <c r="AF559" s="1"/>
      <c r="AG559" s="1"/>
      <c r="AH559" s="1"/>
      <c r="AI559" s="1"/>
    </row>
    <row x14ac:dyDescent="0.25" r="560" customHeight="1" ht="17.25">
      <c r="A560" s="1"/>
      <c r="B560" s="114"/>
      <c r="C560" s="1"/>
      <c r="D560" s="1"/>
      <c r="E560" s="116"/>
      <c r="F560" s="1"/>
      <c r="G560" s="1"/>
      <c r="H560" s="114"/>
      <c r="I560" s="1"/>
      <c r="J560" s="1"/>
      <c r="K560" s="1"/>
      <c r="L560" s="54"/>
      <c r="M560" s="54"/>
      <c r="N560" s="54"/>
      <c r="O560" s="54"/>
      <c r="P560" s="54"/>
      <c r="Q560" s="54"/>
      <c r="R560" s="1"/>
      <c r="S560" s="1"/>
      <c r="T560" s="1"/>
      <c r="U560" s="1"/>
      <c r="V560" s="1"/>
      <c r="W560" s="1"/>
      <c r="X560" s="1"/>
      <c r="Y560" s="1"/>
      <c r="Z560" s="1"/>
      <c r="AA560" s="1"/>
      <c r="AB560" s="1"/>
      <c r="AC560" s="1"/>
      <c r="AD560" s="1"/>
      <c r="AE560" s="1"/>
      <c r="AF560" s="1"/>
      <c r="AG560" s="1"/>
      <c r="AH560" s="1"/>
      <c r="AI560" s="1"/>
    </row>
    <row x14ac:dyDescent="0.25" r="561" customHeight="1" ht="17.25">
      <c r="A561" s="1"/>
      <c r="B561" s="114"/>
      <c r="C561" s="1"/>
      <c r="D561" s="1"/>
      <c r="E561" s="116"/>
      <c r="F561" s="1"/>
      <c r="G561" s="1"/>
      <c r="H561" s="114"/>
      <c r="I561" s="1"/>
      <c r="J561" s="1"/>
      <c r="K561" s="1"/>
      <c r="L561" s="54"/>
      <c r="M561" s="54"/>
      <c r="N561" s="54"/>
      <c r="O561" s="54"/>
      <c r="P561" s="54"/>
      <c r="Q561" s="54"/>
      <c r="R561" s="1"/>
      <c r="S561" s="1"/>
      <c r="T561" s="1"/>
      <c r="U561" s="1"/>
      <c r="V561" s="1"/>
      <c r="W561" s="1"/>
      <c r="X561" s="1"/>
      <c r="Y561" s="1"/>
      <c r="Z561" s="1"/>
      <c r="AA561" s="1"/>
      <c r="AB561" s="1"/>
      <c r="AC561" s="1"/>
      <c r="AD561" s="1"/>
      <c r="AE561" s="1"/>
      <c r="AF561" s="1"/>
      <c r="AG561" s="1"/>
      <c r="AH561" s="1"/>
      <c r="AI561" s="1"/>
    </row>
    <row x14ac:dyDescent="0.25" r="562" customHeight="1" ht="17.25">
      <c r="A562" s="1"/>
      <c r="B562" s="114"/>
      <c r="C562" s="1"/>
      <c r="D562" s="1"/>
      <c r="E562" s="116"/>
      <c r="F562" s="1"/>
      <c r="G562" s="1"/>
      <c r="H562" s="114"/>
      <c r="I562" s="1"/>
      <c r="J562" s="1"/>
      <c r="K562" s="1"/>
      <c r="L562" s="54"/>
      <c r="M562" s="54"/>
      <c r="N562" s="54"/>
      <c r="O562" s="54"/>
      <c r="P562" s="54"/>
      <c r="Q562" s="54"/>
      <c r="R562" s="1"/>
      <c r="S562" s="1"/>
      <c r="T562" s="1"/>
      <c r="U562" s="1"/>
      <c r="V562" s="1"/>
      <c r="W562" s="1"/>
      <c r="X562" s="1"/>
      <c r="Y562" s="1"/>
      <c r="Z562" s="1"/>
      <c r="AA562" s="1"/>
      <c r="AB562" s="1"/>
      <c r="AC562" s="1"/>
      <c r="AD562" s="1"/>
      <c r="AE562" s="1"/>
      <c r="AF562" s="1"/>
      <c r="AG562" s="1"/>
      <c r="AH562" s="1"/>
      <c r="AI562" s="1"/>
    </row>
    <row x14ac:dyDescent="0.25" r="563" customHeight="1" ht="17.25">
      <c r="A563" s="1"/>
      <c r="B563" s="114"/>
      <c r="C563" s="1"/>
      <c r="D563" s="1"/>
      <c r="E563" s="116"/>
      <c r="F563" s="1"/>
      <c r="G563" s="1"/>
      <c r="H563" s="114"/>
      <c r="I563" s="1"/>
      <c r="J563" s="1"/>
      <c r="K563" s="1"/>
      <c r="L563" s="54"/>
      <c r="M563" s="54"/>
      <c r="N563" s="54"/>
      <c r="O563" s="54"/>
      <c r="P563" s="54"/>
      <c r="Q563" s="54"/>
      <c r="R563" s="1"/>
      <c r="S563" s="1"/>
      <c r="T563" s="1"/>
      <c r="U563" s="1"/>
      <c r="V563" s="1"/>
      <c r="W563" s="1"/>
      <c r="X563" s="1"/>
      <c r="Y563" s="1"/>
      <c r="Z563" s="1"/>
      <c r="AA563" s="1"/>
      <c r="AB563" s="1"/>
      <c r="AC563" s="1"/>
      <c r="AD563" s="1"/>
      <c r="AE563" s="1"/>
      <c r="AF563" s="1"/>
      <c r="AG563" s="1"/>
      <c r="AH563" s="1"/>
      <c r="AI563" s="1"/>
    </row>
    <row x14ac:dyDescent="0.25" r="564" customHeight="1" ht="17.25">
      <c r="A564" s="1"/>
      <c r="B564" s="114"/>
      <c r="C564" s="1"/>
      <c r="D564" s="1"/>
      <c r="E564" s="116"/>
      <c r="F564" s="1"/>
      <c r="G564" s="1"/>
      <c r="H564" s="114"/>
      <c r="I564" s="1"/>
      <c r="J564" s="1"/>
      <c r="K564" s="1"/>
      <c r="L564" s="54"/>
      <c r="M564" s="54"/>
      <c r="N564" s="54"/>
      <c r="O564" s="54"/>
      <c r="P564" s="54"/>
      <c r="Q564" s="54"/>
      <c r="R564" s="1"/>
      <c r="S564" s="1"/>
      <c r="T564" s="1"/>
      <c r="U564" s="1"/>
      <c r="V564" s="1"/>
      <c r="W564" s="1"/>
      <c r="X564" s="1"/>
      <c r="Y564" s="1"/>
      <c r="Z564" s="1"/>
      <c r="AA564" s="1"/>
      <c r="AB564" s="1"/>
      <c r="AC564" s="1"/>
      <c r="AD564" s="1"/>
      <c r="AE564" s="1"/>
      <c r="AF564" s="1"/>
      <c r="AG564" s="1"/>
      <c r="AH564" s="1"/>
      <c r="AI564" s="1"/>
    </row>
    <row x14ac:dyDescent="0.25" r="565" customHeight="1" ht="17.25">
      <c r="A565" s="1"/>
      <c r="B565" s="114"/>
      <c r="C565" s="1"/>
      <c r="D565" s="1"/>
      <c r="E565" s="116"/>
      <c r="F565" s="1"/>
      <c r="G565" s="1"/>
      <c r="H565" s="114"/>
      <c r="I565" s="1"/>
      <c r="J565" s="1"/>
      <c r="K565" s="1"/>
      <c r="L565" s="54"/>
      <c r="M565" s="54"/>
      <c r="N565" s="54"/>
      <c r="O565" s="54"/>
      <c r="P565" s="54"/>
      <c r="Q565" s="54"/>
      <c r="R565" s="1"/>
      <c r="S565" s="1"/>
      <c r="T565" s="1"/>
      <c r="U565" s="1"/>
      <c r="V565" s="1"/>
      <c r="W565" s="1"/>
      <c r="X565" s="1"/>
      <c r="Y565" s="1"/>
      <c r="Z565" s="1"/>
      <c r="AA565" s="1"/>
      <c r="AB565" s="1"/>
      <c r="AC565" s="1"/>
      <c r="AD565" s="1"/>
      <c r="AE565" s="1"/>
      <c r="AF565" s="1"/>
      <c r="AG565" s="1"/>
      <c r="AH565" s="1"/>
      <c r="AI565" s="1"/>
    </row>
    <row x14ac:dyDescent="0.25" r="566" customHeight="1" ht="17.25">
      <c r="A566" s="1"/>
      <c r="B566" s="114"/>
      <c r="C566" s="1"/>
      <c r="D566" s="1"/>
      <c r="E566" s="116"/>
      <c r="F566" s="1"/>
      <c r="G566" s="1"/>
      <c r="H566" s="114"/>
      <c r="I566" s="1"/>
      <c r="J566" s="1"/>
      <c r="K566" s="1"/>
      <c r="L566" s="54"/>
      <c r="M566" s="54"/>
      <c r="N566" s="54"/>
      <c r="O566" s="54"/>
      <c r="P566" s="54"/>
      <c r="Q566" s="54"/>
      <c r="R566" s="1"/>
      <c r="S566" s="1"/>
      <c r="T566" s="1"/>
      <c r="U566" s="1"/>
      <c r="V566" s="1"/>
      <c r="W566" s="1"/>
      <c r="X566" s="1"/>
      <c r="Y566" s="1"/>
      <c r="Z566" s="1"/>
      <c r="AA566" s="1"/>
      <c r="AB566" s="1"/>
      <c r="AC566" s="1"/>
      <c r="AD566" s="1"/>
      <c r="AE566" s="1"/>
      <c r="AF566" s="1"/>
      <c r="AG566" s="1"/>
      <c r="AH566" s="1"/>
      <c r="AI566" s="1"/>
    </row>
    <row x14ac:dyDescent="0.25" r="567" customHeight="1" ht="17.25">
      <c r="A567" s="1"/>
      <c r="B567" s="114"/>
      <c r="C567" s="1"/>
      <c r="D567" s="1"/>
      <c r="E567" s="116"/>
      <c r="F567" s="1"/>
      <c r="G567" s="1"/>
      <c r="H567" s="114"/>
      <c r="I567" s="1"/>
      <c r="J567" s="1"/>
      <c r="K567" s="1"/>
      <c r="L567" s="54"/>
      <c r="M567" s="54"/>
      <c r="N567" s="54"/>
      <c r="O567" s="54"/>
      <c r="P567" s="54"/>
      <c r="Q567" s="54"/>
      <c r="R567" s="1"/>
      <c r="S567" s="1"/>
      <c r="T567" s="1"/>
      <c r="U567" s="1"/>
      <c r="V567" s="1"/>
      <c r="W567" s="1"/>
      <c r="X567" s="1"/>
      <c r="Y567" s="1"/>
      <c r="Z567" s="1"/>
      <c r="AA567" s="1"/>
      <c r="AB567" s="1"/>
      <c r="AC567" s="1"/>
      <c r="AD567" s="1"/>
      <c r="AE567" s="1"/>
      <c r="AF567" s="1"/>
      <c r="AG567" s="1"/>
      <c r="AH567" s="1"/>
      <c r="AI567" s="1"/>
    </row>
    <row x14ac:dyDescent="0.25" r="568" customHeight="1" ht="17.25">
      <c r="A568" s="1"/>
      <c r="B568" s="114"/>
      <c r="C568" s="1"/>
      <c r="D568" s="1"/>
      <c r="E568" s="116"/>
      <c r="F568" s="1"/>
      <c r="G568" s="1"/>
      <c r="H568" s="114"/>
      <c r="I568" s="1"/>
      <c r="J568" s="1"/>
      <c r="K568" s="1"/>
      <c r="L568" s="54"/>
      <c r="M568" s="54"/>
      <c r="N568" s="54"/>
      <c r="O568" s="54"/>
      <c r="P568" s="54"/>
      <c r="Q568" s="54"/>
      <c r="R568" s="1"/>
      <c r="S568" s="1"/>
      <c r="T568" s="1"/>
      <c r="U568" s="1"/>
      <c r="V568" s="1"/>
      <c r="W568" s="1"/>
      <c r="X568" s="1"/>
      <c r="Y568" s="1"/>
      <c r="Z568" s="1"/>
      <c r="AA568" s="1"/>
      <c r="AB568" s="1"/>
      <c r="AC568" s="1"/>
      <c r="AD568" s="1"/>
      <c r="AE568" s="1"/>
      <c r="AF568" s="1"/>
      <c r="AG568" s="1"/>
      <c r="AH568" s="1"/>
      <c r="AI568" s="1"/>
    </row>
    <row x14ac:dyDescent="0.25" r="569" customHeight="1" ht="17.25">
      <c r="A569" s="1"/>
      <c r="B569" s="114"/>
      <c r="C569" s="1"/>
      <c r="D569" s="1"/>
      <c r="E569" s="116"/>
      <c r="F569" s="1"/>
      <c r="G569" s="1"/>
      <c r="H569" s="114"/>
      <c r="I569" s="1"/>
      <c r="J569" s="1"/>
      <c r="K569" s="1"/>
      <c r="L569" s="54"/>
      <c r="M569" s="54"/>
      <c r="N569" s="54"/>
      <c r="O569" s="54"/>
      <c r="P569" s="54"/>
      <c r="Q569" s="54"/>
      <c r="R569" s="1"/>
      <c r="S569" s="1"/>
      <c r="T569" s="1"/>
      <c r="U569" s="1"/>
      <c r="V569" s="1"/>
      <c r="W569" s="1"/>
      <c r="X569" s="1"/>
      <c r="Y569" s="1"/>
      <c r="Z569" s="1"/>
      <c r="AA569" s="1"/>
      <c r="AB569" s="1"/>
      <c r="AC569" s="1"/>
      <c r="AD569" s="1"/>
      <c r="AE569" s="1"/>
      <c r="AF569" s="1"/>
      <c r="AG569" s="1"/>
      <c r="AH569" s="1"/>
      <c r="AI569" s="1"/>
    </row>
    <row x14ac:dyDescent="0.25" r="570" customHeight="1" ht="17.25">
      <c r="A570" s="1"/>
      <c r="B570" s="114"/>
      <c r="C570" s="1"/>
      <c r="D570" s="1"/>
      <c r="E570" s="116"/>
      <c r="F570" s="1"/>
      <c r="G570" s="1"/>
      <c r="H570" s="114"/>
      <c r="I570" s="1"/>
      <c r="J570" s="1"/>
      <c r="K570" s="1"/>
      <c r="L570" s="54"/>
      <c r="M570" s="54"/>
      <c r="N570" s="54"/>
      <c r="O570" s="54"/>
      <c r="P570" s="54"/>
      <c r="Q570" s="54"/>
      <c r="R570" s="1"/>
      <c r="S570" s="1"/>
      <c r="T570" s="1"/>
      <c r="U570" s="1"/>
      <c r="V570" s="1"/>
      <c r="W570" s="1"/>
      <c r="X570" s="1"/>
      <c r="Y570" s="1"/>
      <c r="Z570" s="1"/>
      <c r="AA570" s="1"/>
      <c r="AB570" s="1"/>
      <c r="AC570" s="1"/>
      <c r="AD570" s="1"/>
      <c r="AE570" s="1"/>
      <c r="AF570" s="1"/>
      <c r="AG570" s="1"/>
      <c r="AH570" s="1"/>
      <c r="AI570" s="1"/>
    </row>
    <row x14ac:dyDescent="0.25" r="571" customHeight="1" ht="17.25">
      <c r="A571" s="1"/>
      <c r="B571" s="114"/>
      <c r="C571" s="1"/>
      <c r="D571" s="1"/>
      <c r="E571" s="116"/>
      <c r="F571" s="1"/>
      <c r="G571" s="1"/>
      <c r="H571" s="114"/>
      <c r="I571" s="1"/>
      <c r="J571" s="1"/>
      <c r="K571" s="1"/>
      <c r="L571" s="54"/>
      <c r="M571" s="54"/>
      <c r="N571" s="54"/>
      <c r="O571" s="54"/>
      <c r="P571" s="54"/>
      <c r="Q571" s="54"/>
      <c r="R571" s="1"/>
      <c r="S571" s="1"/>
      <c r="T571" s="1"/>
      <c r="U571" s="1"/>
      <c r="V571" s="1"/>
      <c r="W571" s="1"/>
      <c r="X571" s="1"/>
      <c r="Y571" s="1"/>
      <c r="Z571" s="1"/>
      <c r="AA571" s="1"/>
      <c r="AB571" s="1"/>
      <c r="AC571" s="1"/>
      <c r="AD571" s="1"/>
      <c r="AE571" s="1"/>
      <c r="AF571" s="1"/>
      <c r="AG571" s="1"/>
      <c r="AH571" s="1"/>
      <c r="AI571" s="1"/>
    </row>
    <row x14ac:dyDescent="0.25" r="572" customHeight="1" ht="17.25">
      <c r="A572" s="1"/>
      <c r="B572" s="114"/>
      <c r="C572" s="1"/>
      <c r="D572" s="1"/>
      <c r="E572" s="116"/>
      <c r="F572" s="1"/>
      <c r="G572" s="1"/>
      <c r="H572" s="114"/>
      <c r="I572" s="1"/>
      <c r="J572" s="1"/>
      <c r="K572" s="1"/>
      <c r="L572" s="54"/>
      <c r="M572" s="54"/>
      <c r="N572" s="54"/>
      <c r="O572" s="54"/>
      <c r="P572" s="54"/>
      <c r="Q572" s="54"/>
      <c r="R572" s="1"/>
      <c r="S572" s="1"/>
      <c r="T572" s="1"/>
      <c r="U572" s="1"/>
      <c r="V572" s="1"/>
      <c r="W572" s="1"/>
      <c r="X572" s="1"/>
      <c r="Y572" s="1"/>
      <c r="Z572" s="1"/>
      <c r="AA572" s="1"/>
      <c r="AB572" s="1"/>
      <c r="AC572" s="1"/>
      <c r="AD572" s="1"/>
      <c r="AE572" s="1"/>
      <c r="AF572" s="1"/>
      <c r="AG572" s="1"/>
      <c r="AH572" s="1"/>
      <c r="AI572" s="1"/>
    </row>
    <row x14ac:dyDescent="0.25" r="573" customHeight="1" ht="17.25">
      <c r="A573" s="1"/>
      <c r="B573" s="114"/>
      <c r="C573" s="1"/>
      <c r="D573" s="1"/>
      <c r="E573" s="116"/>
      <c r="F573" s="1"/>
      <c r="G573" s="1"/>
      <c r="H573" s="114"/>
      <c r="I573" s="1"/>
      <c r="J573" s="1"/>
      <c r="K573" s="1"/>
      <c r="L573" s="54"/>
      <c r="M573" s="54"/>
      <c r="N573" s="54"/>
      <c r="O573" s="54"/>
      <c r="P573" s="54"/>
      <c r="Q573" s="54"/>
      <c r="R573" s="1"/>
      <c r="S573" s="1"/>
      <c r="T573" s="1"/>
      <c r="U573" s="1"/>
      <c r="V573" s="1"/>
      <c r="W573" s="1"/>
      <c r="X573" s="1"/>
      <c r="Y573" s="1"/>
      <c r="Z573" s="1"/>
      <c r="AA573" s="1"/>
      <c r="AB573" s="1"/>
      <c r="AC573" s="1"/>
      <c r="AD573" s="1"/>
      <c r="AE573" s="1"/>
      <c r="AF573" s="1"/>
      <c r="AG573" s="1"/>
      <c r="AH573" s="1"/>
      <c r="AI573" s="1"/>
    </row>
    <row x14ac:dyDescent="0.25" r="574" customHeight="1" ht="17.25">
      <c r="A574" s="1"/>
      <c r="B574" s="114"/>
      <c r="C574" s="1"/>
      <c r="D574" s="1"/>
      <c r="E574" s="116"/>
      <c r="F574" s="1"/>
      <c r="G574" s="1"/>
      <c r="H574" s="114"/>
      <c r="I574" s="1"/>
      <c r="J574" s="1"/>
      <c r="K574" s="1"/>
      <c r="L574" s="54"/>
      <c r="M574" s="54"/>
      <c r="N574" s="54"/>
      <c r="O574" s="54"/>
      <c r="P574" s="54"/>
      <c r="Q574" s="54"/>
      <c r="R574" s="1"/>
      <c r="S574" s="1"/>
      <c r="T574" s="1"/>
      <c r="U574" s="1"/>
      <c r="V574" s="1"/>
      <c r="W574" s="1"/>
      <c r="X574" s="1"/>
      <c r="Y574" s="1"/>
      <c r="Z574" s="1"/>
      <c r="AA574" s="1"/>
      <c r="AB574" s="1"/>
      <c r="AC574" s="1"/>
      <c r="AD574" s="1"/>
      <c r="AE574" s="1"/>
      <c r="AF574" s="1"/>
      <c r="AG574" s="1"/>
      <c r="AH574" s="1"/>
      <c r="AI574" s="1"/>
    </row>
    <row x14ac:dyDescent="0.25" r="575" customHeight="1" ht="17.25">
      <c r="A575" s="1"/>
      <c r="B575" s="114"/>
      <c r="C575" s="1"/>
      <c r="D575" s="1"/>
      <c r="E575" s="116"/>
      <c r="F575" s="1"/>
      <c r="G575" s="1"/>
      <c r="H575" s="114"/>
      <c r="I575" s="1"/>
      <c r="J575" s="1"/>
      <c r="K575" s="1"/>
      <c r="L575" s="54"/>
      <c r="M575" s="54"/>
      <c r="N575" s="54"/>
      <c r="O575" s="54"/>
      <c r="P575" s="54"/>
      <c r="Q575" s="54"/>
      <c r="R575" s="1"/>
      <c r="S575" s="1"/>
      <c r="T575" s="1"/>
      <c r="U575" s="1"/>
      <c r="V575" s="1"/>
      <c r="W575" s="1"/>
      <c r="X575" s="1"/>
      <c r="Y575" s="1"/>
      <c r="Z575" s="1"/>
      <c r="AA575" s="1"/>
      <c r="AB575" s="1"/>
      <c r="AC575" s="1"/>
      <c r="AD575" s="1"/>
      <c r="AE575" s="1"/>
      <c r="AF575" s="1"/>
      <c r="AG575" s="1"/>
      <c r="AH575" s="1"/>
      <c r="AI575" s="1"/>
    </row>
    <row x14ac:dyDescent="0.25" r="576" customHeight="1" ht="17.25">
      <c r="A576" s="1"/>
      <c r="B576" s="114"/>
      <c r="C576" s="1"/>
      <c r="D576" s="1"/>
      <c r="E576" s="116"/>
      <c r="F576" s="1"/>
      <c r="G576" s="1"/>
      <c r="H576" s="114"/>
      <c r="I576" s="1"/>
      <c r="J576" s="1"/>
      <c r="K576" s="1"/>
      <c r="L576" s="54"/>
      <c r="M576" s="54"/>
      <c r="N576" s="54"/>
      <c r="O576" s="54"/>
      <c r="P576" s="54"/>
      <c r="Q576" s="54"/>
      <c r="R576" s="1"/>
      <c r="S576" s="1"/>
      <c r="T576" s="1"/>
      <c r="U576" s="1"/>
      <c r="V576" s="1"/>
      <c r="W576" s="1"/>
      <c r="X576" s="1"/>
      <c r="Y576" s="1"/>
      <c r="Z576" s="1"/>
      <c r="AA576" s="1"/>
      <c r="AB576" s="1"/>
      <c r="AC576" s="1"/>
      <c r="AD576" s="1"/>
      <c r="AE576" s="1"/>
      <c r="AF576" s="1"/>
      <c r="AG576" s="1"/>
      <c r="AH576" s="1"/>
      <c r="AI576" s="1"/>
    </row>
    <row x14ac:dyDescent="0.25" r="577" customHeight="1" ht="17.25">
      <c r="A577" s="1"/>
      <c r="B577" s="114"/>
      <c r="C577" s="1"/>
      <c r="D577" s="1"/>
      <c r="E577" s="116"/>
      <c r="F577" s="1"/>
      <c r="G577" s="1"/>
      <c r="H577" s="114"/>
      <c r="I577" s="1"/>
      <c r="J577" s="1"/>
      <c r="K577" s="1"/>
      <c r="L577" s="54"/>
      <c r="M577" s="54"/>
      <c r="N577" s="54"/>
      <c r="O577" s="54"/>
      <c r="P577" s="54"/>
      <c r="Q577" s="54"/>
      <c r="R577" s="1"/>
      <c r="S577" s="1"/>
      <c r="T577" s="1"/>
      <c r="U577" s="1"/>
      <c r="V577" s="1"/>
      <c r="W577" s="1"/>
      <c r="X577" s="1"/>
      <c r="Y577" s="1"/>
      <c r="Z577" s="1"/>
      <c r="AA577" s="1"/>
      <c r="AB577" s="1"/>
      <c r="AC577" s="1"/>
      <c r="AD577" s="1"/>
      <c r="AE577" s="1"/>
      <c r="AF577" s="1"/>
      <c r="AG577" s="1"/>
      <c r="AH577" s="1"/>
      <c r="AI577" s="1"/>
    </row>
    <row x14ac:dyDescent="0.25" r="578" customHeight="1" ht="17.25">
      <c r="A578" s="1"/>
      <c r="B578" s="114"/>
      <c r="C578" s="1"/>
      <c r="D578" s="1"/>
      <c r="E578" s="116"/>
      <c r="F578" s="1"/>
      <c r="G578" s="1"/>
      <c r="H578" s="114"/>
      <c r="I578" s="1"/>
      <c r="J578" s="1"/>
      <c r="K578" s="1"/>
      <c r="L578" s="54"/>
      <c r="M578" s="54"/>
      <c r="N578" s="54"/>
      <c r="O578" s="54"/>
      <c r="P578" s="54"/>
      <c r="Q578" s="54"/>
      <c r="R578" s="1"/>
      <c r="S578" s="1"/>
      <c r="T578" s="1"/>
      <c r="U578" s="1"/>
      <c r="V578" s="1"/>
      <c r="W578" s="1"/>
      <c r="X578" s="1"/>
      <c r="Y578" s="1"/>
      <c r="Z578" s="1"/>
      <c r="AA578" s="1"/>
      <c r="AB578" s="1"/>
      <c r="AC578" s="1"/>
      <c r="AD578" s="1"/>
      <c r="AE578" s="1"/>
      <c r="AF578" s="1"/>
      <c r="AG578" s="1"/>
      <c r="AH578" s="1"/>
      <c r="AI578" s="1"/>
    </row>
    <row x14ac:dyDescent="0.25" r="579" customHeight="1" ht="17.25">
      <c r="A579" s="1"/>
      <c r="B579" s="114"/>
      <c r="C579" s="1"/>
      <c r="D579" s="1"/>
      <c r="E579" s="116"/>
      <c r="F579" s="1"/>
      <c r="G579" s="1"/>
      <c r="H579" s="114"/>
      <c r="I579" s="1"/>
      <c r="J579" s="1"/>
      <c r="K579" s="1"/>
      <c r="L579" s="54"/>
      <c r="M579" s="54"/>
      <c r="N579" s="54"/>
      <c r="O579" s="54"/>
      <c r="P579" s="54"/>
      <c r="Q579" s="54"/>
      <c r="R579" s="1"/>
      <c r="S579" s="1"/>
      <c r="T579" s="1"/>
      <c r="U579" s="1"/>
      <c r="V579" s="1"/>
      <c r="W579" s="1"/>
      <c r="X579" s="1"/>
      <c r="Y579" s="1"/>
      <c r="Z579" s="1"/>
      <c r="AA579" s="1"/>
      <c r="AB579" s="1"/>
      <c r="AC579" s="1"/>
      <c r="AD579" s="1"/>
      <c r="AE579" s="1"/>
      <c r="AF579" s="1"/>
      <c r="AG579" s="1"/>
      <c r="AH579" s="1"/>
      <c r="AI579" s="1"/>
    </row>
    <row x14ac:dyDescent="0.25" r="580" customHeight="1" ht="17.25">
      <c r="A580" s="1"/>
      <c r="B580" s="114"/>
      <c r="C580" s="1"/>
      <c r="D580" s="1"/>
      <c r="E580" s="116"/>
      <c r="F580" s="1"/>
      <c r="G580" s="1"/>
      <c r="H580" s="114"/>
      <c r="I580" s="1"/>
      <c r="J580" s="1"/>
      <c r="K580" s="1"/>
      <c r="L580" s="54"/>
      <c r="M580" s="54"/>
      <c r="N580" s="54"/>
      <c r="O580" s="54"/>
      <c r="P580" s="54"/>
      <c r="Q580" s="54"/>
      <c r="R580" s="1"/>
      <c r="S580" s="1"/>
      <c r="T580" s="1"/>
      <c r="U580" s="1"/>
      <c r="V580" s="1"/>
      <c r="W580" s="1"/>
      <c r="X580" s="1"/>
      <c r="Y580" s="1"/>
      <c r="Z580" s="1"/>
      <c r="AA580" s="1"/>
      <c r="AB580" s="1"/>
      <c r="AC580" s="1"/>
      <c r="AD580" s="1"/>
      <c r="AE580" s="1"/>
      <c r="AF580" s="1"/>
      <c r="AG580" s="1"/>
      <c r="AH580" s="1"/>
      <c r="AI580" s="1"/>
    </row>
    <row x14ac:dyDescent="0.25" r="581" customHeight="1" ht="17.25">
      <c r="A581" s="1"/>
      <c r="B581" s="114"/>
      <c r="C581" s="1"/>
      <c r="D581" s="1"/>
      <c r="E581" s="116"/>
      <c r="F581" s="1"/>
      <c r="G581" s="1"/>
      <c r="H581" s="114"/>
      <c r="I581" s="1"/>
      <c r="J581" s="1"/>
      <c r="K581" s="1"/>
      <c r="L581" s="54"/>
      <c r="M581" s="54"/>
      <c r="N581" s="54"/>
      <c r="O581" s="54"/>
      <c r="P581" s="54"/>
      <c r="Q581" s="54"/>
      <c r="R581" s="1"/>
      <c r="S581" s="1"/>
      <c r="T581" s="1"/>
      <c r="U581" s="1"/>
      <c r="V581" s="1"/>
      <c r="W581" s="1"/>
      <c r="X581" s="1"/>
      <c r="Y581" s="1"/>
      <c r="Z581" s="1"/>
      <c r="AA581" s="1"/>
      <c r="AB581" s="1"/>
      <c r="AC581" s="1"/>
      <c r="AD581" s="1"/>
      <c r="AE581" s="1"/>
      <c r="AF581" s="1"/>
      <c r="AG581" s="1"/>
      <c r="AH581" s="1"/>
      <c r="AI581" s="1"/>
    </row>
    <row x14ac:dyDescent="0.25" r="582" customHeight="1" ht="17.25">
      <c r="A582" s="1"/>
      <c r="B582" s="114"/>
      <c r="C582" s="1"/>
      <c r="D582" s="1"/>
      <c r="E582" s="1"/>
      <c r="F582" s="1"/>
      <c r="G582" s="1"/>
      <c r="H582" s="114"/>
      <c r="I582" s="1"/>
      <c r="J582" s="1"/>
      <c r="K582" s="1"/>
      <c r="L582" s="54"/>
      <c r="M582" s="54"/>
      <c r="N582" s="54"/>
      <c r="O582" s="54"/>
      <c r="P582" s="54"/>
      <c r="Q582" s="54"/>
      <c r="R582" s="1"/>
      <c r="S582" s="1"/>
      <c r="T582" s="1"/>
      <c r="U582" s="1"/>
      <c r="V582" s="1"/>
      <c r="W582" s="1"/>
      <c r="X582" s="1"/>
      <c r="Y582" s="1"/>
      <c r="Z582" s="1"/>
      <c r="AA582" s="1"/>
      <c r="AB582" s="1"/>
      <c r="AC582" s="1"/>
      <c r="AD582" s="1"/>
      <c r="AE582" s="1"/>
      <c r="AF582" s="1"/>
      <c r="AG582" s="1"/>
      <c r="AH582" s="1"/>
      <c r="AI582" s="1"/>
    </row>
    <row x14ac:dyDescent="0.25" r="583" customHeight="1" ht="17.25">
      <c r="A583" s="1"/>
      <c r="B583" s="114"/>
      <c r="C583" s="1"/>
      <c r="D583" s="1"/>
      <c r="E583" s="116"/>
      <c r="F583" s="1"/>
      <c r="G583" s="1"/>
      <c r="H583" s="114"/>
      <c r="I583" s="1"/>
      <c r="J583" s="1"/>
      <c r="K583" s="1"/>
      <c r="L583" s="54"/>
      <c r="M583" s="54"/>
      <c r="N583" s="54"/>
      <c r="O583" s="54"/>
      <c r="P583" s="54"/>
      <c r="Q583" s="54"/>
      <c r="R583" s="1"/>
      <c r="S583" s="1"/>
      <c r="T583" s="1"/>
      <c r="U583" s="1"/>
      <c r="V583" s="1"/>
      <c r="W583" s="1"/>
      <c r="X583" s="1"/>
      <c r="Y583" s="1"/>
      <c r="Z583" s="1"/>
      <c r="AA583" s="1"/>
      <c r="AB583" s="1"/>
      <c r="AC583" s="1"/>
      <c r="AD583" s="1"/>
      <c r="AE583" s="1"/>
      <c r="AF583" s="1"/>
      <c r="AG583" s="1"/>
      <c r="AH583" s="1"/>
      <c r="AI583" s="1"/>
    </row>
    <row x14ac:dyDescent="0.25" r="584" customHeight="1" ht="17.25">
      <c r="A584" s="1"/>
      <c r="B584" s="114"/>
      <c r="C584" s="1"/>
      <c r="D584" s="1"/>
      <c r="E584" s="116"/>
      <c r="F584" s="1"/>
      <c r="G584" s="1"/>
      <c r="H584" s="114"/>
      <c r="I584" s="1"/>
      <c r="J584" s="1"/>
      <c r="K584" s="1"/>
      <c r="L584" s="54"/>
      <c r="M584" s="54"/>
      <c r="N584" s="54"/>
      <c r="O584" s="54"/>
      <c r="P584" s="54"/>
      <c r="Q584" s="54"/>
      <c r="R584" s="1"/>
      <c r="S584" s="1"/>
      <c r="T584" s="1"/>
      <c r="U584" s="1"/>
      <c r="V584" s="1"/>
      <c r="W584" s="1"/>
      <c r="X584" s="1"/>
      <c r="Y584" s="1"/>
      <c r="Z584" s="1"/>
      <c r="AA584" s="1"/>
      <c r="AB584" s="1"/>
      <c r="AC584" s="1"/>
      <c r="AD584" s="1"/>
      <c r="AE584" s="1"/>
      <c r="AF584" s="1"/>
      <c r="AG584" s="1"/>
      <c r="AH584" s="1"/>
      <c r="AI584" s="1"/>
    </row>
    <row x14ac:dyDescent="0.25" r="585" customHeight="1" ht="17.25">
      <c r="A585" s="1"/>
      <c r="B585" s="114"/>
      <c r="C585" s="1"/>
      <c r="D585" s="1"/>
      <c r="E585" s="116"/>
      <c r="F585" s="1"/>
      <c r="G585" s="1"/>
      <c r="H585" s="114"/>
      <c r="I585" s="1"/>
      <c r="J585" s="1"/>
      <c r="K585" s="1"/>
      <c r="L585" s="54"/>
      <c r="M585" s="54"/>
      <c r="N585" s="54"/>
      <c r="O585" s="54"/>
      <c r="P585" s="54"/>
      <c r="Q585" s="54"/>
      <c r="R585" s="1"/>
      <c r="S585" s="1"/>
      <c r="T585" s="1"/>
      <c r="U585" s="1"/>
      <c r="V585" s="1"/>
      <c r="W585" s="1"/>
      <c r="X585" s="1"/>
      <c r="Y585" s="1"/>
      <c r="Z585" s="1"/>
      <c r="AA585" s="1"/>
      <c r="AB585" s="1"/>
      <c r="AC585" s="1"/>
      <c r="AD585" s="1"/>
      <c r="AE585" s="1"/>
      <c r="AF585" s="1"/>
      <c r="AG585" s="1"/>
      <c r="AH585" s="1"/>
      <c r="AI585" s="1"/>
    </row>
    <row x14ac:dyDescent="0.25" r="586" customHeight="1" ht="17.25">
      <c r="A586" s="1"/>
      <c r="B586" s="114"/>
      <c r="C586" s="1"/>
      <c r="D586" s="1"/>
      <c r="E586" s="1"/>
      <c r="F586" s="1"/>
      <c r="G586" s="1"/>
      <c r="H586" s="114"/>
      <c r="I586" s="1"/>
      <c r="J586" s="1"/>
      <c r="K586" s="1"/>
      <c r="L586" s="54"/>
      <c r="M586" s="54"/>
      <c r="N586" s="54"/>
      <c r="O586" s="54"/>
      <c r="P586" s="54"/>
      <c r="Q586" s="54"/>
      <c r="R586" s="1"/>
      <c r="S586" s="1"/>
      <c r="T586" s="1"/>
      <c r="U586" s="1"/>
      <c r="V586" s="1"/>
      <c r="W586" s="1"/>
      <c r="X586" s="1"/>
      <c r="Y586" s="1"/>
      <c r="Z586" s="1"/>
      <c r="AA586" s="1"/>
      <c r="AB586" s="1"/>
      <c r="AC586" s="1"/>
      <c r="AD586" s="1"/>
      <c r="AE586" s="1"/>
      <c r="AF586" s="1"/>
      <c r="AG586" s="1"/>
      <c r="AH586" s="1"/>
      <c r="AI586" s="1"/>
    </row>
    <row x14ac:dyDescent="0.25" r="587" customHeight="1" ht="17.25">
      <c r="A587" s="1"/>
      <c r="B587" s="114"/>
      <c r="C587" s="1"/>
      <c r="D587" s="1"/>
      <c r="E587" s="116"/>
      <c r="F587" s="1"/>
      <c r="G587" s="1"/>
      <c r="H587" s="114"/>
      <c r="I587" s="1"/>
      <c r="J587" s="1"/>
      <c r="K587" s="1"/>
      <c r="L587" s="54"/>
      <c r="M587" s="54"/>
      <c r="N587" s="54"/>
      <c r="O587" s="54"/>
      <c r="P587" s="54"/>
      <c r="Q587" s="54"/>
      <c r="R587" s="1"/>
      <c r="S587" s="1"/>
      <c r="T587" s="1"/>
      <c r="U587" s="1"/>
      <c r="V587" s="1"/>
      <c r="W587" s="1"/>
      <c r="X587" s="1"/>
      <c r="Y587" s="1"/>
      <c r="Z587" s="1"/>
      <c r="AA587" s="1"/>
      <c r="AB587" s="1"/>
      <c r="AC587" s="1"/>
      <c r="AD587" s="1"/>
      <c r="AE587" s="1"/>
      <c r="AF587" s="1"/>
      <c r="AG587" s="1"/>
      <c r="AH587" s="1"/>
      <c r="AI587" s="1"/>
    </row>
    <row x14ac:dyDescent="0.25" r="588" customHeight="1" ht="17.25">
      <c r="A588" s="1"/>
      <c r="B588" s="114"/>
      <c r="C588" s="1"/>
      <c r="D588" s="1"/>
      <c r="E588" s="116"/>
      <c r="F588" s="1"/>
      <c r="G588" s="1"/>
      <c r="H588" s="114"/>
      <c r="I588" s="1"/>
      <c r="J588" s="1"/>
      <c r="K588" s="1"/>
      <c r="L588" s="54"/>
      <c r="M588" s="54"/>
      <c r="N588" s="54"/>
      <c r="O588" s="54"/>
      <c r="P588" s="54"/>
      <c r="Q588" s="54"/>
      <c r="R588" s="1"/>
      <c r="S588" s="1"/>
      <c r="T588" s="1"/>
      <c r="U588" s="1"/>
      <c r="V588" s="1"/>
      <c r="W588" s="1"/>
      <c r="X588" s="1"/>
      <c r="Y588" s="1"/>
      <c r="Z588" s="1"/>
      <c r="AA588" s="1"/>
      <c r="AB588" s="1"/>
      <c r="AC588" s="1"/>
      <c r="AD588" s="1"/>
      <c r="AE588" s="1"/>
      <c r="AF588" s="1"/>
      <c r="AG588" s="1"/>
      <c r="AH588" s="1"/>
      <c r="AI588" s="1"/>
    </row>
    <row x14ac:dyDescent="0.25" r="589" customHeight="1" ht="17.25">
      <c r="A589" s="1"/>
      <c r="B589" s="114"/>
      <c r="C589" s="1"/>
      <c r="D589" s="1"/>
      <c r="E589" s="116"/>
      <c r="F589" s="1"/>
      <c r="G589" s="1"/>
      <c r="H589" s="114"/>
      <c r="I589" s="1"/>
      <c r="J589" s="1"/>
      <c r="K589" s="1"/>
      <c r="L589" s="54"/>
      <c r="M589" s="54"/>
      <c r="N589" s="54"/>
      <c r="O589" s="54"/>
      <c r="P589" s="54"/>
      <c r="Q589" s="54"/>
      <c r="R589" s="1"/>
      <c r="S589" s="1"/>
      <c r="T589" s="1"/>
      <c r="U589" s="1"/>
      <c r="V589" s="1"/>
      <c r="W589" s="1"/>
      <c r="X589" s="1"/>
      <c r="Y589" s="1"/>
      <c r="Z589" s="1"/>
      <c r="AA589" s="1"/>
      <c r="AB589" s="1"/>
      <c r="AC589" s="1"/>
      <c r="AD589" s="1"/>
      <c r="AE589" s="1"/>
      <c r="AF589" s="1"/>
      <c r="AG589" s="1"/>
      <c r="AH589" s="1"/>
      <c r="AI589" s="1"/>
    </row>
    <row x14ac:dyDescent="0.25" r="590" customHeight="1" ht="17.25">
      <c r="A590" s="1"/>
      <c r="B590" s="114"/>
      <c r="C590" s="1"/>
      <c r="D590" s="1"/>
      <c r="E590" s="116"/>
      <c r="F590" s="1"/>
      <c r="G590" s="1"/>
      <c r="H590" s="114"/>
      <c r="I590" s="1"/>
      <c r="J590" s="1"/>
      <c r="K590" s="1"/>
      <c r="L590" s="54"/>
      <c r="M590" s="54"/>
      <c r="N590" s="54"/>
      <c r="O590" s="54"/>
      <c r="P590" s="54"/>
      <c r="Q590" s="54"/>
      <c r="R590" s="1"/>
      <c r="S590" s="1"/>
      <c r="T590" s="1"/>
      <c r="U590" s="1"/>
      <c r="V590" s="1"/>
      <c r="W590" s="1"/>
      <c r="X590" s="1"/>
      <c r="Y590" s="1"/>
      <c r="Z590" s="1"/>
      <c r="AA590" s="1"/>
      <c r="AB590" s="1"/>
      <c r="AC590" s="1"/>
      <c r="AD590" s="1"/>
      <c r="AE590" s="1"/>
      <c r="AF590" s="1"/>
      <c r="AG590" s="1"/>
      <c r="AH590" s="1"/>
      <c r="AI590" s="1"/>
    </row>
    <row x14ac:dyDescent="0.25" r="591" customHeight="1" ht="17.25">
      <c r="A591" s="1"/>
      <c r="B591" s="114"/>
      <c r="C591" s="1"/>
      <c r="D591" s="1"/>
      <c r="E591" s="116"/>
      <c r="F591" s="1"/>
      <c r="G591" s="1"/>
      <c r="H591" s="114"/>
      <c r="I591" s="1"/>
      <c r="J591" s="1"/>
      <c r="K591" s="1"/>
      <c r="L591" s="54"/>
      <c r="M591" s="54"/>
      <c r="N591" s="54"/>
      <c r="O591" s="54"/>
      <c r="P591" s="54"/>
      <c r="Q591" s="54"/>
      <c r="R591" s="1"/>
      <c r="S591" s="1"/>
      <c r="T591" s="1"/>
      <c r="U591" s="1"/>
      <c r="V591" s="1"/>
      <c r="W591" s="1"/>
      <c r="X591" s="1"/>
      <c r="Y591" s="1"/>
      <c r="Z591" s="1"/>
      <c r="AA591" s="1"/>
      <c r="AB591" s="1"/>
      <c r="AC591" s="1"/>
      <c r="AD591" s="1"/>
      <c r="AE591" s="1"/>
      <c r="AF591" s="1"/>
      <c r="AG591" s="1"/>
      <c r="AH591" s="1"/>
      <c r="AI591" s="1"/>
    </row>
    <row x14ac:dyDescent="0.25" r="592" customHeight="1" ht="17.25">
      <c r="A592" s="1"/>
      <c r="B592" s="114"/>
      <c r="C592" s="1"/>
      <c r="D592" s="1"/>
      <c r="E592" s="116"/>
      <c r="F592" s="1"/>
      <c r="G592" s="1"/>
      <c r="H592" s="114"/>
      <c r="I592" s="1"/>
      <c r="J592" s="1"/>
      <c r="K592" s="1"/>
      <c r="L592" s="54"/>
      <c r="M592" s="54"/>
      <c r="N592" s="54"/>
      <c r="O592" s="54"/>
      <c r="P592" s="54"/>
      <c r="Q592" s="54"/>
      <c r="R592" s="1"/>
      <c r="S592" s="1"/>
      <c r="T592" s="1"/>
      <c r="U592" s="1"/>
      <c r="V592" s="1"/>
      <c r="W592" s="1"/>
      <c r="X592" s="1"/>
      <c r="Y592" s="1"/>
      <c r="Z592" s="1"/>
      <c r="AA592" s="1"/>
      <c r="AB592" s="1"/>
      <c r="AC592" s="1"/>
      <c r="AD592" s="1"/>
      <c r="AE592" s="1"/>
      <c r="AF592" s="1"/>
      <c r="AG592" s="1"/>
      <c r="AH592" s="1"/>
      <c r="AI592" s="1"/>
    </row>
    <row x14ac:dyDescent="0.25" r="593" customHeight="1" ht="17.25">
      <c r="A593" s="1"/>
      <c r="B593" s="114"/>
      <c r="C593" s="1"/>
      <c r="D593" s="1"/>
      <c r="E593" s="116"/>
      <c r="F593" s="1"/>
      <c r="G593" s="1"/>
      <c r="H593" s="114"/>
      <c r="I593" s="1"/>
      <c r="J593" s="1"/>
      <c r="K593" s="1"/>
      <c r="L593" s="54"/>
      <c r="M593" s="54"/>
      <c r="N593" s="54"/>
      <c r="O593" s="54"/>
      <c r="P593" s="54"/>
      <c r="Q593" s="54"/>
      <c r="R593" s="1"/>
      <c r="S593" s="1"/>
      <c r="T593" s="1"/>
      <c r="U593" s="1"/>
      <c r="V593" s="1"/>
      <c r="W593" s="1"/>
      <c r="X593" s="1"/>
      <c r="Y593" s="1"/>
      <c r="Z593" s="1"/>
      <c r="AA593" s="1"/>
      <c r="AB593" s="1"/>
      <c r="AC593" s="1"/>
      <c r="AD593" s="1"/>
      <c r="AE593" s="1"/>
      <c r="AF593" s="1"/>
      <c r="AG593" s="1"/>
      <c r="AH593" s="1"/>
      <c r="AI593" s="1"/>
    </row>
    <row x14ac:dyDescent="0.25" r="594" customHeight="1" ht="17.25">
      <c r="A594" s="1"/>
      <c r="B594" s="114"/>
      <c r="C594" s="1"/>
      <c r="D594" s="1"/>
      <c r="E594" s="116"/>
      <c r="F594" s="1"/>
      <c r="G594" s="1"/>
      <c r="H594" s="114"/>
      <c r="I594" s="1"/>
      <c r="J594" s="1"/>
      <c r="K594" s="1"/>
      <c r="L594" s="54"/>
      <c r="M594" s="54"/>
      <c r="N594" s="54"/>
      <c r="O594" s="54"/>
      <c r="P594" s="54"/>
      <c r="Q594" s="54"/>
      <c r="R594" s="1"/>
      <c r="S594" s="1"/>
      <c r="T594" s="1"/>
      <c r="U594" s="1"/>
      <c r="V594" s="1"/>
      <c r="W594" s="1"/>
      <c r="X594" s="1"/>
      <c r="Y594" s="1"/>
      <c r="Z594" s="1"/>
      <c r="AA594" s="1"/>
      <c r="AB594" s="1"/>
      <c r="AC594" s="1"/>
      <c r="AD594" s="1"/>
      <c r="AE594" s="1"/>
      <c r="AF594" s="1"/>
      <c r="AG594" s="1"/>
      <c r="AH594" s="1"/>
      <c r="AI594" s="1"/>
    </row>
    <row x14ac:dyDescent="0.25" r="595" customHeight="1" ht="17.25">
      <c r="A595" s="1"/>
      <c r="B595" s="114"/>
      <c r="C595" s="1"/>
      <c r="D595" s="1"/>
      <c r="E595" s="116"/>
      <c r="F595" s="1"/>
      <c r="G595" s="1"/>
      <c r="H595" s="114"/>
      <c r="I595" s="1"/>
      <c r="J595" s="1"/>
      <c r="K595" s="1"/>
      <c r="L595" s="54"/>
      <c r="M595" s="54"/>
      <c r="N595" s="54"/>
      <c r="O595" s="54"/>
      <c r="P595" s="54"/>
      <c r="Q595" s="54"/>
      <c r="R595" s="1"/>
      <c r="S595" s="1"/>
      <c r="T595" s="1"/>
      <c r="U595" s="1"/>
      <c r="V595" s="1"/>
      <c r="W595" s="1"/>
      <c r="X595" s="1"/>
      <c r="Y595" s="1"/>
      <c r="Z595" s="1"/>
      <c r="AA595" s="1"/>
      <c r="AB595" s="1"/>
      <c r="AC595" s="1"/>
      <c r="AD595" s="1"/>
      <c r="AE595" s="1"/>
      <c r="AF595" s="1"/>
      <c r="AG595" s="1"/>
      <c r="AH595" s="1"/>
      <c r="AI595" s="1"/>
    </row>
    <row x14ac:dyDescent="0.25" r="596" customHeight="1" ht="17.25">
      <c r="A596" s="1"/>
      <c r="B596" s="114"/>
      <c r="C596" s="1"/>
      <c r="D596" s="1"/>
      <c r="E596" s="116"/>
      <c r="F596" s="1"/>
      <c r="G596" s="1"/>
      <c r="H596" s="114"/>
      <c r="I596" s="1"/>
      <c r="J596" s="1"/>
      <c r="K596" s="1"/>
      <c r="L596" s="54"/>
      <c r="M596" s="54"/>
      <c r="N596" s="54"/>
      <c r="O596" s="54"/>
      <c r="P596" s="54"/>
      <c r="Q596" s="54"/>
      <c r="R596" s="1"/>
      <c r="S596" s="1"/>
      <c r="T596" s="1"/>
      <c r="U596" s="1"/>
      <c r="V596" s="1"/>
      <c r="W596" s="1"/>
      <c r="X596" s="1"/>
      <c r="Y596" s="1"/>
      <c r="Z596" s="1"/>
      <c r="AA596" s="1"/>
      <c r="AB596" s="1"/>
      <c r="AC596" s="1"/>
      <c r="AD596" s="1"/>
      <c r="AE596" s="1"/>
      <c r="AF596" s="1"/>
      <c r="AG596" s="1"/>
      <c r="AH596" s="1"/>
      <c r="AI596" s="1"/>
    </row>
    <row x14ac:dyDescent="0.25" r="597" customHeight="1" ht="17.25">
      <c r="A597" s="1"/>
      <c r="B597" s="114"/>
      <c r="C597" s="1"/>
      <c r="D597" s="1"/>
      <c r="E597" s="116"/>
      <c r="F597" s="1"/>
      <c r="G597" s="1"/>
      <c r="H597" s="114"/>
      <c r="I597" s="1"/>
      <c r="J597" s="1"/>
      <c r="K597" s="1"/>
      <c r="L597" s="54"/>
      <c r="M597" s="54"/>
      <c r="N597" s="54"/>
      <c r="O597" s="54"/>
      <c r="P597" s="54"/>
      <c r="Q597" s="54"/>
      <c r="R597" s="1"/>
      <c r="S597" s="1"/>
      <c r="T597" s="1"/>
      <c r="U597" s="1"/>
      <c r="V597" s="1"/>
      <c r="W597" s="1"/>
      <c r="X597" s="1"/>
      <c r="Y597" s="1"/>
      <c r="Z597" s="1"/>
      <c r="AA597" s="1"/>
      <c r="AB597" s="1"/>
      <c r="AC597" s="1"/>
      <c r="AD597" s="1"/>
      <c r="AE597" s="1"/>
      <c r="AF597" s="1"/>
      <c r="AG597" s="1"/>
      <c r="AH597" s="1"/>
      <c r="AI597" s="1"/>
    </row>
    <row x14ac:dyDescent="0.25" r="598" customHeight="1" ht="17.25">
      <c r="A598" s="1"/>
      <c r="B598" s="114"/>
      <c r="C598" s="1"/>
      <c r="D598" s="1"/>
      <c r="E598" s="116"/>
      <c r="F598" s="1"/>
      <c r="G598" s="1"/>
      <c r="H598" s="114"/>
      <c r="I598" s="1"/>
      <c r="J598" s="1"/>
      <c r="K598" s="1"/>
      <c r="L598" s="54"/>
      <c r="M598" s="54"/>
      <c r="N598" s="54"/>
      <c r="O598" s="54"/>
      <c r="P598" s="54"/>
      <c r="Q598" s="54"/>
      <c r="R598" s="1"/>
      <c r="S598" s="1"/>
      <c r="T598" s="1"/>
      <c r="U598" s="1"/>
      <c r="V598" s="1"/>
      <c r="W598" s="1"/>
      <c r="X598" s="1"/>
      <c r="Y598" s="1"/>
      <c r="Z598" s="1"/>
      <c r="AA598" s="1"/>
      <c r="AB598" s="1"/>
      <c r="AC598" s="1"/>
      <c r="AD598" s="1"/>
      <c r="AE598" s="1"/>
      <c r="AF598" s="1"/>
      <c r="AG598" s="1"/>
      <c r="AH598" s="1"/>
      <c r="AI598" s="1"/>
    </row>
    <row x14ac:dyDescent="0.25" r="599" customHeight="1" ht="17.25">
      <c r="A599" s="1"/>
      <c r="B599" s="114"/>
      <c r="C599" s="1"/>
      <c r="D599" s="1"/>
      <c r="E599" s="116"/>
      <c r="F599" s="1"/>
      <c r="G599" s="1"/>
      <c r="H599" s="114"/>
      <c r="I599" s="1"/>
      <c r="J599" s="1"/>
      <c r="K599" s="1"/>
      <c r="L599" s="54"/>
      <c r="M599" s="54"/>
      <c r="N599" s="54"/>
      <c r="O599" s="54"/>
      <c r="P599" s="54"/>
      <c r="Q599" s="54"/>
      <c r="R599" s="1"/>
      <c r="S599" s="1"/>
      <c r="T599" s="1"/>
      <c r="U599" s="1"/>
      <c r="V599" s="1"/>
      <c r="W599" s="1"/>
      <c r="X599" s="1"/>
      <c r="Y599" s="1"/>
      <c r="Z599" s="1"/>
      <c r="AA599" s="1"/>
      <c r="AB599" s="1"/>
      <c r="AC599" s="1"/>
      <c r="AD599" s="1"/>
      <c r="AE599" s="1"/>
      <c r="AF599" s="1"/>
      <c r="AG599" s="1"/>
      <c r="AH599" s="1"/>
      <c r="AI599" s="1"/>
    </row>
    <row x14ac:dyDescent="0.25" r="600" customHeight="1" ht="17.25">
      <c r="A600" s="1"/>
      <c r="B600" s="114"/>
      <c r="C600" s="1"/>
      <c r="D600" s="1"/>
      <c r="E600" s="116"/>
      <c r="F600" s="1"/>
      <c r="G600" s="1"/>
      <c r="H600" s="114"/>
      <c r="I600" s="1"/>
      <c r="J600" s="1"/>
      <c r="K600" s="1"/>
      <c r="L600" s="54"/>
      <c r="M600" s="54"/>
      <c r="N600" s="54"/>
      <c r="O600" s="54"/>
      <c r="P600" s="54"/>
      <c r="Q600" s="54"/>
      <c r="R600" s="1"/>
      <c r="S600" s="1"/>
      <c r="T600" s="1"/>
      <c r="U600" s="1"/>
      <c r="V600" s="1"/>
      <c r="W600" s="1"/>
      <c r="X600" s="1"/>
      <c r="Y600" s="1"/>
      <c r="Z600" s="1"/>
      <c r="AA600" s="1"/>
      <c r="AB600" s="1"/>
      <c r="AC600" s="1"/>
      <c r="AD600" s="1"/>
      <c r="AE600" s="1"/>
      <c r="AF600" s="1"/>
      <c r="AG600" s="1"/>
      <c r="AH600" s="1"/>
      <c r="AI600" s="1"/>
    </row>
    <row x14ac:dyDescent="0.25" r="601" customHeight="1" ht="17.25">
      <c r="A601" s="1"/>
      <c r="B601" s="114"/>
      <c r="C601" s="1"/>
      <c r="D601" s="1"/>
      <c r="E601" s="116"/>
      <c r="F601" s="1"/>
      <c r="G601" s="1"/>
      <c r="H601" s="114"/>
      <c r="I601" s="1"/>
      <c r="J601" s="1"/>
      <c r="K601" s="1"/>
      <c r="L601" s="54"/>
      <c r="M601" s="54"/>
      <c r="N601" s="54"/>
      <c r="O601" s="54"/>
      <c r="P601" s="54"/>
      <c r="Q601" s="54"/>
      <c r="R601" s="1"/>
      <c r="S601" s="1"/>
      <c r="T601" s="1"/>
      <c r="U601" s="1"/>
      <c r="V601" s="1"/>
      <c r="W601" s="1"/>
      <c r="X601" s="1"/>
      <c r="Y601" s="1"/>
      <c r="Z601" s="1"/>
      <c r="AA601" s="1"/>
      <c r="AB601" s="1"/>
      <c r="AC601" s="1"/>
      <c r="AD601" s="1"/>
      <c r="AE601" s="1"/>
      <c r="AF601" s="1"/>
      <c r="AG601" s="1"/>
      <c r="AH601" s="1"/>
      <c r="AI601" s="1"/>
    </row>
    <row x14ac:dyDescent="0.25" r="602" customHeight="1" ht="17.25">
      <c r="A602" s="1"/>
      <c r="B602" s="114"/>
      <c r="C602" s="1"/>
      <c r="D602" s="1"/>
      <c r="E602" s="116"/>
      <c r="F602" s="1"/>
      <c r="G602" s="1"/>
      <c r="H602" s="114"/>
      <c r="I602" s="1"/>
      <c r="J602" s="1"/>
      <c r="K602" s="1"/>
      <c r="L602" s="54"/>
      <c r="M602" s="54"/>
      <c r="N602" s="54"/>
      <c r="O602" s="54"/>
      <c r="P602" s="54"/>
      <c r="Q602" s="54"/>
      <c r="R602" s="1"/>
      <c r="S602" s="1"/>
      <c r="T602" s="1"/>
      <c r="U602" s="1"/>
      <c r="V602" s="1"/>
      <c r="W602" s="1"/>
      <c r="X602" s="1"/>
      <c r="Y602" s="1"/>
      <c r="Z602" s="1"/>
      <c r="AA602" s="1"/>
      <c r="AB602" s="1"/>
      <c r="AC602" s="1"/>
      <c r="AD602" s="1"/>
      <c r="AE602" s="1"/>
      <c r="AF602" s="1"/>
      <c r="AG602" s="1"/>
      <c r="AH602" s="1"/>
      <c r="AI602" s="1"/>
    </row>
    <row x14ac:dyDescent="0.25" r="603" customHeight="1" ht="17.25">
      <c r="A603" s="1"/>
      <c r="B603" s="114"/>
      <c r="C603" s="1"/>
      <c r="D603" s="1"/>
      <c r="E603" s="116"/>
      <c r="F603" s="1"/>
      <c r="G603" s="1"/>
      <c r="H603" s="114"/>
      <c r="I603" s="1"/>
      <c r="J603" s="1"/>
      <c r="K603" s="1"/>
      <c r="L603" s="54"/>
      <c r="M603" s="54"/>
      <c r="N603" s="54"/>
      <c r="O603" s="54"/>
      <c r="P603" s="54"/>
      <c r="Q603" s="54"/>
      <c r="R603" s="1"/>
      <c r="S603" s="1"/>
      <c r="T603" s="1"/>
      <c r="U603" s="1"/>
      <c r="V603" s="1"/>
      <c r="W603" s="1"/>
      <c r="X603" s="1"/>
      <c r="Y603" s="1"/>
      <c r="Z603" s="1"/>
      <c r="AA603" s="1"/>
      <c r="AB603" s="1"/>
      <c r="AC603" s="1"/>
      <c r="AD603" s="1"/>
      <c r="AE603" s="1"/>
      <c r="AF603" s="1"/>
      <c r="AG603" s="1"/>
      <c r="AH603" s="1"/>
      <c r="AI603" s="1"/>
    </row>
    <row x14ac:dyDescent="0.25" r="604" customHeight="1" ht="17.25">
      <c r="A604" s="1"/>
      <c r="B604" s="114"/>
      <c r="C604" s="1"/>
      <c r="D604" s="1"/>
      <c r="E604" s="116"/>
      <c r="F604" s="1"/>
      <c r="G604" s="1"/>
      <c r="H604" s="114"/>
      <c r="I604" s="1"/>
      <c r="J604" s="1"/>
      <c r="K604" s="1"/>
      <c r="L604" s="54"/>
      <c r="M604" s="54"/>
      <c r="N604" s="54"/>
      <c r="O604" s="54"/>
      <c r="P604" s="54"/>
      <c r="Q604" s="54"/>
      <c r="R604" s="1"/>
      <c r="S604" s="1"/>
      <c r="T604" s="1"/>
      <c r="U604" s="1"/>
      <c r="V604" s="1"/>
      <c r="W604" s="1"/>
      <c r="X604" s="1"/>
      <c r="Y604" s="1"/>
      <c r="Z604" s="1"/>
      <c r="AA604" s="1"/>
      <c r="AB604" s="1"/>
      <c r="AC604" s="1"/>
      <c r="AD604" s="1"/>
      <c r="AE604" s="1"/>
      <c r="AF604" s="1"/>
      <c r="AG604" s="1"/>
      <c r="AH604" s="1"/>
      <c r="AI604" s="1"/>
    </row>
    <row x14ac:dyDescent="0.25" r="605" customHeight="1" ht="17.25">
      <c r="A605" s="1"/>
      <c r="B605" s="114"/>
      <c r="C605" s="1"/>
      <c r="D605" s="1"/>
      <c r="E605" s="116"/>
      <c r="F605" s="1"/>
      <c r="G605" s="1"/>
      <c r="H605" s="114"/>
      <c r="I605" s="1"/>
      <c r="J605" s="1"/>
      <c r="K605" s="1"/>
      <c r="L605" s="54"/>
      <c r="M605" s="54"/>
      <c r="N605" s="54"/>
      <c r="O605" s="54"/>
      <c r="P605" s="54"/>
      <c r="Q605" s="54"/>
      <c r="R605" s="1"/>
      <c r="S605" s="1"/>
      <c r="T605" s="1"/>
      <c r="U605" s="1"/>
      <c r="V605" s="1"/>
      <c r="W605" s="1"/>
      <c r="X605" s="1"/>
      <c r="Y605" s="1"/>
      <c r="Z605" s="1"/>
      <c r="AA605" s="1"/>
      <c r="AB605" s="1"/>
      <c r="AC605" s="1"/>
      <c r="AD605" s="1"/>
      <c r="AE605" s="1"/>
      <c r="AF605" s="1"/>
      <c r="AG605" s="1"/>
      <c r="AH605" s="1"/>
      <c r="AI605" s="1"/>
    </row>
    <row x14ac:dyDescent="0.25" r="606" customHeight="1" ht="17.25">
      <c r="A606" s="1"/>
      <c r="B606" s="114"/>
      <c r="C606" s="1"/>
      <c r="D606" s="1"/>
      <c r="E606" s="116"/>
      <c r="F606" s="1"/>
      <c r="G606" s="1"/>
      <c r="H606" s="114"/>
      <c r="I606" s="1"/>
      <c r="J606" s="1"/>
      <c r="K606" s="1"/>
      <c r="L606" s="54"/>
      <c r="M606" s="54"/>
      <c r="N606" s="54"/>
      <c r="O606" s="54"/>
      <c r="P606" s="54"/>
      <c r="Q606" s="54"/>
      <c r="R606" s="1"/>
      <c r="S606" s="1"/>
      <c r="T606" s="1"/>
      <c r="U606" s="1"/>
      <c r="V606" s="1"/>
      <c r="W606" s="1"/>
      <c r="X606" s="1"/>
      <c r="Y606" s="1"/>
      <c r="Z606" s="1"/>
      <c r="AA606" s="1"/>
      <c r="AB606" s="1"/>
      <c r="AC606" s="1"/>
      <c r="AD606" s="1"/>
      <c r="AE606" s="1"/>
      <c r="AF606" s="1"/>
      <c r="AG606" s="1"/>
      <c r="AH606" s="1"/>
      <c r="AI606" s="1"/>
    </row>
    <row x14ac:dyDescent="0.25" r="607" customHeight="1" ht="17.25">
      <c r="A607" s="1"/>
      <c r="B607" s="114"/>
      <c r="C607" s="1"/>
      <c r="D607" s="1"/>
      <c r="E607" s="116"/>
      <c r="F607" s="1"/>
      <c r="G607" s="1"/>
      <c r="H607" s="114"/>
      <c r="I607" s="1"/>
      <c r="J607" s="1"/>
      <c r="K607" s="1"/>
      <c r="L607" s="54"/>
      <c r="M607" s="54"/>
      <c r="N607" s="54"/>
      <c r="O607" s="54"/>
      <c r="P607" s="54"/>
      <c r="Q607" s="54"/>
      <c r="R607" s="1"/>
      <c r="S607" s="1"/>
      <c r="T607" s="1"/>
      <c r="U607" s="1"/>
      <c r="V607" s="1"/>
      <c r="W607" s="1"/>
      <c r="X607" s="1"/>
      <c r="Y607" s="1"/>
      <c r="Z607" s="1"/>
      <c r="AA607" s="1"/>
      <c r="AB607" s="1"/>
      <c r="AC607" s="1"/>
      <c r="AD607" s="1"/>
      <c r="AE607" s="1"/>
      <c r="AF607" s="1"/>
      <c r="AG607" s="1"/>
      <c r="AH607" s="1"/>
      <c r="AI607" s="1"/>
    </row>
    <row x14ac:dyDescent="0.25" r="608" customHeight="1" ht="17.25">
      <c r="A608" s="1"/>
      <c r="B608" s="114"/>
      <c r="C608" s="1"/>
      <c r="D608" s="1"/>
      <c r="E608" s="116"/>
      <c r="F608" s="1"/>
      <c r="G608" s="1"/>
      <c r="H608" s="114"/>
      <c r="I608" s="1"/>
      <c r="J608" s="1"/>
      <c r="K608" s="1"/>
      <c r="L608" s="54"/>
      <c r="M608" s="54"/>
      <c r="N608" s="54"/>
      <c r="O608" s="54"/>
      <c r="P608" s="54"/>
      <c r="Q608" s="54"/>
      <c r="R608" s="1"/>
      <c r="S608" s="1"/>
      <c r="T608" s="1"/>
      <c r="U608" s="1"/>
      <c r="V608" s="1"/>
      <c r="W608" s="1"/>
      <c r="X608" s="1"/>
      <c r="Y608" s="1"/>
      <c r="Z608" s="1"/>
      <c r="AA608" s="1"/>
      <c r="AB608" s="1"/>
      <c r="AC608" s="1"/>
      <c r="AD608" s="1"/>
      <c r="AE608" s="1"/>
      <c r="AF608" s="1"/>
      <c r="AG608" s="1"/>
      <c r="AH608" s="1"/>
      <c r="AI608" s="1"/>
    </row>
    <row x14ac:dyDescent="0.25" r="609" customHeight="1" ht="17.25">
      <c r="A609" s="1"/>
      <c r="B609" s="114"/>
      <c r="C609" s="1"/>
      <c r="D609" s="1"/>
      <c r="E609" s="116"/>
      <c r="F609" s="1"/>
      <c r="G609" s="1"/>
      <c r="H609" s="114"/>
      <c r="I609" s="1"/>
      <c r="J609" s="1"/>
      <c r="K609" s="1"/>
      <c r="L609" s="54"/>
      <c r="M609" s="54"/>
      <c r="N609" s="54"/>
      <c r="O609" s="54"/>
      <c r="P609" s="54"/>
      <c r="Q609" s="54"/>
      <c r="R609" s="1"/>
      <c r="S609" s="1"/>
      <c r="T609" s="1"/>
      <c r="U609" s="1"/>
      <c r="V609" s="1"/>
      <c r="W609" s="1"/>
      <c r="X609" s="1"/>
      <c r="Y609" s="1"/>
      <c r="Z609" s="1"/>
      <c r="AA609" s="1"/>
      <c r="AB609" s="1"/>
      <c r="AC609" s="1"/>
      <c r="AD609" s="1"/>
      <c r="AE609" s="1"/>
      <c r="AF609" s="1"/>
      <c r="AG609" s="1"/>
      <c r="AH609" s="1"/>
      <c r="AI609" s="1"/>
    </row>
    <row x14ac:dyDescent="0.25" r="610" customHeight="1" ht="17.25">
      <c r="A610" s="1"/>
      <c r="B610" s="114"/>
      <c r="C610" s="1"/>
      <c r="D610" s="1"/>
      <c r="E610" s="116"/>
      <c r="F610" s="1"/>
      <c r="G610" s="1"/>
      <c r="H610" s="114"/>
      <c r="I610" s="1"/>
      <c r="J610" s="1"/>
      <c r="K610" s="1"/>
      <c r="L610" s="54"/>
      <c r="M610" s="54"/>
      <c r="N610" s="54"/>
      <c r="O610" s="54"/>
      <c r="P610" s="54"/>
      <c r="Q610" s="54"/>
      <c r="R610" s="1"/>
      <c r="S610" s="1"/>
      <c r="T610" s="1"/>
      <c r="U610" s="1"/>
      <c r="V610" s="1"/>
      <c r="W610" s="1"/>
      <c r="X610" s="1"/>
      <c r="Y610" s="1"/>
      <c r="Z610" s="1"/>
      <c r="AA610" s="1"/>
      <c r="AB610" s="1"/>
      <c r="AC610" s="1"/>
      <c r="AD610" s="1"/>
      <c r="AE610" s="1"/>
      <c r="AF610" s="1"/>
      <c r="AG610" s="1"/>
      <c r="AH610" s="1"/>
      <c r="AI610" s="1"/>
    </row>
    <row x14ac:dyDescent="0.25" r="611" customHeight="1" ht="17.25">
      <c r="A611" s="1"/>
      <c r="B611" s="114"/>
      <c r="C611" s="1"/>
      <c r="D611" s="1"/>
      <c r="E611" s="116"/>
      <c r="F611" s="1"/>
      <c r="G611" s="1"/>
      <c r="H611" s="114"/>
      <c r="I611" s="1"/>
      <c r="J611" s="1"/>
      <c r="K611" s="1"/>
      <c r="L611" s="54"/>
      <c r="M611" s="54"/>
      <c r="N611" s="54"/>
      <c r="O611" s="54"/>
      <c r="P611" s="54"/>
      <c r="Q611" s="54"/>
      <c r="R611" s="1"/>
      <c r="S611" s="1"/>
      <c r="T611" s="1"/>
      <c r="U611" s="1"/>
      <c r="V611" s="1"/>
      <c r="W611" s="1"/>
      <c r="X611" s="1"/>
      <c r="Y611" s="1"/>
      <c r="Z611" s="1"/>
      <c r="AA611" s="1"/>
      <c r="AB611" s="1"/>
      <c r="AC611" s="1"/>
      <c r="AD611" s="1"/>
      <c r="AE611" s="1"/>
      <c r="AF611" s="1"/>
      <c r="AG611" s="1"/>
      <c r="AH611" s="1"/>
      <c r="AI611" s="1"/>
    </row>
    <row x14ac:dyDescent="0.25" r="612" customHeight="1" ht="17.25">
      <c r="A612" s="1"/>
      <c r="B612" s="114"/>
      <c r="C612" s="1"/>
      <c r="D612" s="1"/>
      <c r="E612" s="116"/>
      <c r="F612" s="1"/>
      <c r="G612" s="1"/>
      <c r="H612" s="114"/>
      <c r="I612" s="1"/>
      <c r="J612" s="1"/>
      <c r="K612" s="1"/>
      <c r="L612" s="54"/>
      <c r="M612" s="54"/>
      <c r="N612" s="54"/>
      <c r="O612" s="54"/>
      <c r="P612" s="54"/>
      <c r="Q612" s="54"/>
      <c r="R612" s="1"/>
      <c r="S612" s="1"/>
      <c r="T612" s="1"/>
      <c r="U612" s="1"/>
      <c r="V612" s="1"/>
      <c r="W612" s="1"/>
      <c r="X612" s="1"/>
      <c r="Y612" s="1"/>
      <c r="Z612" s="1"/>
      <c r="AA612" s="1"/>
      <c r="AB612" s="1"/>
      <c r="AC612" s="1"/>
      <c r="AD612" s="1"/>
      <c r="AE612" s="1"/>
      <c r="AF612" s="1"/>
      <c r="AG612" s="1"/>
      <c r="AH612" s="1"/>
      <c r="AI612" s="1"/>
    </row>
    <row x14ac:dyDescent="0.25" r="613" customHeight="1" ht="17.25">
      <c r="A613" s="1"/>
      <c r="B613" s="114"/>
      <c r="C613" s="1"/>
      <c r="D613" s="1"/>
      <c r="E613" s="116"/>
      <c r="F613" s="1"/>
      <c r="G613" s="1"/>
      <c r="H613" s="114"/>
      <c r="I613" s="1"/>
      <c r="J613" s="1"/>
      <c r="K613" s="1"/>
      <c r="L613" s="54"/>
      <c r="M613" s="54"/>
      <c r="N613" s="54"/>
      <c r="O613" s="54"/>
      <c r="P613" s="54"/>
      <c r="Q613" s="54"/>
      <c r="R613" s="1"/>
      <c r="S613" s="1"/>
      <c r="T613" s="1"/>
      <c r="U613" s="1"/>
      <c r="V613" s="1"/>
      <c r="W613" s="1"/>
      <c r="X613" s="1"/>
      <c r="Y613" s="1"/>
      <c r="Z613" s="1"/>
      <c r="AA613" s="1"/>
      <c r="AB613" s="1"/>
      <c r="AC613" s="1"/>
      <c r="AD613" s="1"/>
      <c r="AE613" s="1"/>
      <c r="AF613" s="1"/>
      <c r="AG613" s="1"/>
      <c r="AH613" s="1"/>
      <c r="AI613" s="1"/>
    </row>
    <row x14ac:dyDescent="0.25" r="614" customHeight="1" ht="17.25">
      <c r="A614" s="1"/>
      <c r="B614" s="114"/>
      <c r="C614" s="1"/>
      <c r="D614" s="1"/>
      <c r="E614" s="116"/>
      <c r="F614" s="1"/>
      <c r="G614" s="1"/>
      <c r="H614" s="114"/>
      <c r="I614" s="1"/>
      <c r="J614" s="1"/>
      <c r="K614" s="1"/>
      <c r="L614" s="54"/>
      <c r="M614" s="54"/>
      <c r="N614" s="54"/>
      <c r="O614" s="54"/>
      <c r="P614" s="54"/>
      <c r="Q614" s="54"/>
      <c r="R614" s="1"/>
      <c r="S614" s="1"/>
      <c r="T614" s="1"/>
      <c r="U614" s="1"/>
      <c r="V614" s="1"/>
      <c r="W614" s="1"/>
      <c r="X614" s="1"/>
      <c r="Y614" s="1"/>
      <c r="Z614" s="1"/>
      <c r="AA614" s="1"/>
      <c r="AB614" s="1"/>
      <c r="AC614" s="1"/>
      <c r="AD614" s="1"/>
      <c r="AE614" s="1"/>
      <c r="AF614" s="1"/>
      <c r="AG614" s="1"/>
      <c r="AH614" s="1"/>
      <c r="AI614" s="1"/>
    </row>
    <row x14ac:dyDescent="0.25" r="615" customHeight="1" ht="17.25">
      <c r="A615" s="1"/>
      <c r="B615" s="114"/>
      <c r="C615" s="1"/>
      <c r="D615" s="1"/>
      <c r="E615" s="116"/>
      <c r="F615" s="1"/>
      <c r="G615" s="1"/>
      <c r="H615" s="114"/>
      <c r="I615" s="1"/>
      <c r="J615" s="1"/>
      <c r="K615" s="1"/>
      <c r="L615" s="54"/>
      <c r="M615" s="54"/>
      <c r="N615" s="54"/>
      <c r="O615" s="54"/>
      <c r="P615" s="54"/>
      <c r="Q615" s="54"/>
      <c r="R615" s="1"/>
      <c r="S615" s="1"/>
      <c r="T615" s="1"/>
      <c r="U615" s="1"/>
      <c r="V615" s="1"/>
      <c r="W615" s="1"/>
      <c r="X615" s="1"/>
      <c r="Y615" s="1"/>
      <c r="Z615" s="1"/>
      <c r="AA615" s="1"/>
      <c r="AB615" s="1"/>
      <c r="AC615" s="1"/>
      <c r="AD615" s="1"/>
      <c r="AE615" s="1"/>
      <c r="AF615" s="1"/>
      <c r="AG615" s="1"/>
      <c r="AH615" s="1"/>
      <c r="AI615" s="1"/>
    </row>
    <row x14ac:dyDescent="0.25" r="616" customHeight="1" ht="17.25">
      <c r="A616" s="1"/>
      <c r="B616" s="114"/>
      <c r="C616" s="1"/>
      <c r="D616" s="1"/>
      <c r="E616" s="116"/>
      <c r="F616" s="1"/>
      <c r="G616" s="1"/>
      <c r="H616" s="114"/>
      <c r="I616" s="1"/>
      <c r="J616" s="1"/>
      <c r="K616" s="1"/>
      <c r="L616" s="54"/>
      <c r="M616" s="54"/>
      <c r="N616" s="54"/>
      <c r="O616" s="54"/>
      <c r="P616" s="54"/>
      <c r="Q616" s="54"/>
      <c r="R616" s="1"/>
      <c r="S616" s="1"/>
      <c r="T616" s="1"/>
      <c r="U616" s="1"/>
      <c r="V616" s="1"/>
      <c r="W616" s="1"/>
      <c r="X616" s="1"/>
      <c r="Y616" s="1"/>
      <c r="Z616" s="1"/>
      <c r="AA616" s="1"/>
      <c r="AB616" s="1"/>
      <c r="AC616" s="1"/>
      <c r="AD616" s="1"/>
      <c r="AE616" s="1"/>
      <c r="AF616" s="1"/>
      <c r="AG616" s="1"/>
      <c r="AH616" s="1"/>
      <c r="AI616" s="1"/>
    </row>
    <row x14ac:dyDescent="0.25" r="617" customHeight="1" ht="17.25">
      <c r="A617" s="1"/>
      <c r="B617" s="114"/>
      <c r="C617" s="1"/>
      <c r="D617" s="1"/>
      <c r="E617" s="116"/>
      <c r="F617" s="1"/>
      <c r="G617" s="1"/>
      <c r="H617" s="114"/>
      <c r="I617" s="1"/>
      <c r="J617" s="1"/>
      <c r="K617" s="1"/>
      <c r="L617" s="54"/>
      <c r="M617" s="54"/>
      <c r="N617" s="54"/>
      <c r="O617" s="54"/>
      <c r="P617" s="54"/>
      <c r="Q617" s="54"/>
      <c r="R617" s="1"/>
      <c r="S617" s="1"/>
      <c r="T617" s="1"/>
      <c r="U617" s="1"/>
      <c r="V617" s="1"/>
      <c r="W617" s="1"/>
      <c r="X617" s="1"/>
      <c r="Y617" s="1"/>
      <c r="Z617" s="1"/>
      <c r="AA617" s="1"/>
      <c r="AB617" s="1"/>
      <c r="AC617" s="1"/>
      <c r="AD617" s="1"/>
      <c r="AE617" s="1"/>
      <c r="AF617" s="1"/>
      <c r="AG617" s="1"/>
      <c r="AH617" s="1"/>
      <c r="AI617" s="1"/>
    </row>
    <row x14ac:dyDescent="0.25" r="618" customHeight="1" ht="17.25">
      <c r="A618" s="1"/>
      <c r="B618" s="114"/>
      <c r="C618" s="1"/>
      <c r="D618" s="1"/>
      <c r="E618" s="116"/>
      <c r="F618" s="1"/>
      <c r="G618" s="1"/>
      <c r="H618" s="114"/>
      <c r="I618" s="1"/>
      <c r="J618" s="1"/>
      <c r="K618" s="1"/>
      <c r="L618" s="54"/>
      <c r="M618" s="54"/>
      <c r="N618" s="54"/>
      <c r="O618" s="54"/>
      <c r="P618" s="54"/>
      <c r="Q618" s="54"/>
      <c r="R618" s="1"/>
      <c r="S618" s="1"/>
      <c r="T618" s="1"/>
      <c r="U618" s="1"/>
      <c r="V618" s="1"/>
      <c r="W618" s="1"/>
      <c r="X618" s="1"/>
      <c r="Y618" s="1"/>
      <c r="Z618" s="1"/>
      <c r="AA618" s="1"/>
      <c r="AB618" s="1"/>
      <c r="AC618" s="1"/>
      <c r="AD618" s="1"/>
      <c r="AE618" s="1"/>
      <c r="AF618" s="1"/>
      <c r="AG618" s="1"/>
      <c r="AH618" s="1"/>
      <c r="AI618" s="1"/>
    </row>
    <row x14ac:dyDescent="0.25" r="619" customHeight="1" ht="17.25">
      <c r="A619" s="1"/>
      <c r="B619" s="114"/>
      <c r="C619" s="1"/>
      <c r="D619" s="1"/>
      <c r="E619" s="116"/>
      <c r="F619" s="1"/>
      <c r="G619" s="1"/>
      <c r="H619" s="114"/>
      <c r="I619" s="1"/>
      <c r="J619" s="1"/>
      <c r="K619" s="1"/>
      <c r="L619" s="54"/>
      <c r="M619" s="54"/>
      <c r="N619" s="54"/>
      <c r="O619" s="54"/>
      <c r="P619" s="54"/>
      <c r="Q619" s="54"/>
      <c r="R619" s="1"/>
      <c r="S619" s="1"/>
      <c r="T619" s="1"/>
      <c r="U619" s="1"/>
      <c r="V619" s="1"/>
      <c r="W619" s="1"/>
      <c r="X619" s="1"/>
      <c r="Y619" s="1"/>
      <c r="Z619" s="1"/>
      <c r="AA619" s="1"/>
      <c r="AB619" s="1"/>
      <c r="AC619" s="1"/>
      <c r="AD619" s="1"/>
      <c r="AE619" s="1"/>
      <c r="AF619" s="1"/>
      <c r="AG619" s="1"/>
      <c r="AH619" s="1"/>
      <c r="AI619" s="1"/>
    </row>
    <row x14ac:dyDescent="0.25" r="620" customHeight="1" ht="17.25">
      <c r="A620" s="1"/>
      <c r="B620" s="114"/>
      <c r="C620" s="1"/>
      <c r="D620" s="1"/>
      <c r="E620" s="116"/>
      <c r="F620" s="1"/>
      <c r="G620" s="1"/>
      <c r="H620" s="114"/>
      <c r="I620" s="1"/>
      <c r="J620" s="1"/>
      <c r="K620" s="1"/>
      <c r="L620" s="54"/>
      <c r="M620" s="54"/>
      <c r="N620" s="54"/>
      <c r="O620" s="54"/>
      <c r="P620" s="54"/>
      <c r="Q620" s="54"/>
      <c r="R620" s="1"/>
      <c r="S620" s="1"/>
      <c r="T620" s="1"/>
      <c r="U620" s="1"/>
      <c r="V620" s="1"/>
      <c r="W620" s="1"/>
      <c r="X620" s="1"/>
      <c r="Y620" s="1"/>
      <c r="Z620" s="1"/>
      <c r="AA620" s="1"/>
      <c r="AB620" s="1"/>
      <c r="AC620" s="1"/>
      <c r="AD620" s="1"/>
      <c r="AE620" s="1"/>
      <c r="AF620" s="1"/>
      <c r="AG620" s="1"/>
      <c r="AH620" s="1"/>
      <c r="AI620" s="1"/>
    </row>
    <row x14ac:dyDescent="0.25" r="621" customHeight="1" ht="17.25">
      <c r="A621" s="1"/>
      <c r="B621" s="114"/>
      <c r="C621" s="1"/>
      <c r="D621" s="1"/>
      <c r="E621" s="116"/>
      <c r="F621" s="1"/>
      <c r="G621" s="1"/>
      <c r="H621" s="114"/>
      <c r="I621" s="1"/>
      <c r="J621" s="1"/>
      <c r="K621" s="1"/>
      <c r="L621" s="54"/>
      <c r="M621" s="54"/>
      <c r="N621" s="54"/>
      <c r="O621" s="54"/>
      <c r="P621" s="54"/>
      <c r="Q621" s="54"/>
      <c r="R621" s="1"/>
      <c r="S621" s="1"/>
      <c r="T621" s="1"/>
      <c r="U621" s="1"/>
      <c r="V621" s="1"/>
      <c r="W621" s="1"/>
      <c r="X621" s="1"/>
      <c r="Y621" s="1"/>
      <c r="Z621" s="1"/>
      <c r="AA621" s="1"/>
      <c r="AB621" s="1"/>
      <c r="AC621" s="1"/>
      <c r="AD621" s="1"/>
      <c r="AE621" s="1"/>
      <c r="AF621" s="1"/>
      <c r="AG621" s="1"/>
      <c r="AH621" s="1"/>
      <c r="AI621" s="1"/>
    </row>
    <row x14ac:dyDescent="0.25" r="622" customHeight="1" ht="17.25">
      <c r="A622" s="1"/>
      <c r="B622" s="114"/>
      <c r="C622" s="1"/>
      <c r="D622" s="1"/>
      <c r="E622" s="116"/>
      <c r="F622" s="1"/>
      <c r="G622" s="1"/>
      <c r="H622" s="114"/>
      <c r="I622" s="1"/>
      <c r="J622" s="1"/>
      <c r="K622" s="1"/>
      <c r="L622" s="54"/>
      <c r="M622" s="54"/>
      <c r="N622" s="54"/>
      <c r="O622" s="54"/>
      <c r="P622" s="54"/>
      <c r="Q622" s="54"/>
      <c r="R622" s="1"/>
      <c r="S622" s="1"/>
      <c r="T622" s="1"/>
      <c r="U622" s="1"/>
      <c r="V622" s="1"/>
      <c r="W622" s="1"/>
      <c r="X622" s="1"/>
      <c r="Y622" s="1"/>
      <c r="Z622" s="1"/>
      <c r="AA622" s="1"/>
      <c r="AB622" s="1"/>
      <c r="AC622" s="1"/>
      <c r="AD622" s="1"/>
      <c r="AE622" s="1"/>
      <c r="AF622" s="1"/>
      <c r="AG622" s="1"/>
      <c r="AH622" s="1"/>
      <c r="AI622" s="1"/>
    </row>
    <row x14ac:dyDescent="0.25" r="623" customHeight="1" ht="17.25">
      <c r="A623" s="1"/>
      <c r="B623" s="114"/>
      <c r="C623" s="1"/>
      <c r="D623" s="1"/>
      <c r="E623" s="116"/>
      <c r="F623" s="1"/>
      <c r="G623" s="1"/>
      <c r="H623" s="114"/>
      <c r="I623" s="1"/>
      <c r="J623" s="1"/>
      <c r="K623" s="1"/>
      <c r="L623" s="54"/>
      <c r="M623" s="54"/>
      <c r="N623" s="54"/>
      <c r="O623" s="54"/>
      <c r="P623" s="54"/>
      <c r="Q623" s="54"/>
      <c r="R623" s="1"/>
      <c r="S623" s="1"/>
      <c r="T623" s="1"/>
      <c r="U623" s="1"/>
      <c r="V623" s="1"/>
      <c r="W623" s="1"/>
      <c r="X623" s="1"/>
      <c r="Y623" s="1"/>
      <c r="Z623" s="1"/>
      <c r="AA623" s="1"/>
      <c r="AB623" s="1"/>
      <c r="AC623" s="1"/>
      <c r="AD623" s="1"/>
      <c r="AE623" s="1"/>
      <c r="AF623" s="1"/>
      <c r="AG623" s="1"/>
      <c r="AH623" s="1"/>
      <c r="AI623" s="1"/>
    </row>
    <row x14ac:dyDescent="0.25" r="624" customHeight="1" ht="17.25">
      <c r="A624" s="1"/>
      <c r="B624" s="114"/>
      <c r="C624" s="1"/>
      <c r="D624" s="1"/>
      <c r="E624" s="116"/>
      <c r="F624" s="1"/>
      <c r="G624" s="1"/>
      <c r="H624" s="114"/>
      <c r="I624" s="1"/>
      <c r="J624" s="1"/>
      <c r="K624" s="1"/>
      <c r="L624" s="54"/>
      <c r="M624" s="54"/>
      <c r="N624" s="54"/>
      <c r="O624" s="54"/>
      <c r="P624" s="54"/>
      <c r="Q624" s="54"/>
      <c r="R624" s="1"/>
      <c r="S624" s="1"/>
      <c r="T624" s="1"/>
      <c r="U624" s="1"/>
      <c r="V624" s="1"/>
      <c r="W624" s="1"/>
      <c r="X624" s="1"/>
      <c r="Y624" s="1"/>
      <c r="Z624" s="1"/>
      <c r="AA624" s="1"/>
      <c r="AB624" s="1"/>
      <c r="AC624" s="1"/>
      <c r="AD624" s="1"/>
      <c r="AE624" s="1"/>
      <c r="AF624" s="1"/>
      <c r="AG624" s="1"/>
      <c r="AH624" s="1"/>
      <c r="AI624" s="1"/>
    </row>
    <row x14ac:dyDescent="0.25" r="625" customHeight="1" ht="17.25">
      <c r="A625" s="1"/>
      <c r="B625" s="114"/>
      <c r="C625" s="1"/>
      <c r="D625" s="1"/>
      <c r="E625" s="116"/>
      <c r="F625" s="1"/>
      <c r="G625" s="1"/>
      <c r="H625" s="114"/>
      <c r="I625" s="1"/>
      <c r="J625" s="1"/>
      <c r="K625" s="1"/>
      <c r="L625" s="54"/>
      <c r="M625" s="54"/>
      <c r="N625" s="54"/>
      <c r="O625" s="54"/>
      <c r="P625" s="54"/>
      <c r="Q625" s="54"/>
      <c r="R625" s="1"/>
      <c r="S625" s="1"/>
      <c r="T625" s="1"/>
      <c r="U625" s="1"/>
      <c r="V625" s="1"/>
      <c r="W625" s="1"/>
      <c r="X625" s="1"/>
      <c r="Y625" s="1"/>
      <c r="Z625" s="1"/>
      <c r="AA625" s="1"/>
      <c r="AB625" s="1"/>
      <c r="AC625" s="1"/>
      <c r="AD625" s="1"/>
      <c r="AE625" s="1"/>
      <c r="AF625" s="1"/>
      <c r="AG625" s="1"/>
      <c r="AH625" s="1"/>
      <c r="AI625" s="1"/>
    </row>
    <row x14ac:dyDescent="0.25" r="626" customHeight="1" ht="17.25">
      <c r="A626" s="1"/>
      <c r="B626" s="114"/>
      <c r="C626" s="1"/>
      <c r="D626" s="1"/>
      <c r="E626" s="1"/>
      <c r="F626" s="1"/>
      <c r="G626" s="1"/>
      <c r="H626" s="114"/>
      <c r="I626" s="1"/>
      <c r="J626" s="1"/>
      <c r="K626" s="1"/>
      <c r="L626" s="54"/>
      <c r="M626" s="54"/>
      <c r="N626" s="54"/>
      <c r="O626" s="54"/>
      <c r="P626" s="54"/>
      <c r="Q626" s="54"/>
      <c r="R626" s="1"/>
      <c r="S626" s="1"/>
      <c r="T626" s="1"/>
      <c r="U626" s="1"/>
      <c r="V626" s="1"/>
      <c r="W626" s="1"/>
      <c r="X626" s="1"/>
      <c r="Y626" s="1"/>
      <c r="Z626" s="1"/>
      <c r="AA626" s="1"/>
      <c r="AB626" s="1"/>
      <c r="AC626" s="1"/>
      <c r="AD626" s="1"/>
      <c r="AE626" s="1"/>
      <c r="AF626" s="1"/>
      <c r="AG626" s="1"/>
      <c r="AH626" s="1"/>
      <c r="AI626" s="1"/>
    </row>
    <row x14ac:dyDescent="0.25" r="627" customHeight="1" ht="17.25">
      <c r="A627" s="1"/>
      <c r="B627" s="114"/>
      <c r="C627" s="1"/>
      <c r="D627" s="1"/>
      <c r="E627" s="1"/>
      <c r="F627" s="1"/>
      <c r="G627" s="1"/>
      <c r="H627" s="114"/>
      <c r="I627" s="1"/>
      <c r="J627" s="1"/>
      <c r="K627" s="1"/>
      <c r="L627" s="54"/>
      <c r="M627" s="54"/>
      <c r="N627" s="54"/>
      <c r="O627" s="54"/>
      <c r="P627" s="54"/>
      <c r="Q627" s="54"/>
      <c r="R627" s="1"/>
      <c r="S627" s="1"/>
      <c r="T627" s="1"/>
      <c r="U627" s="1"/>
      <c r="V627" s="1"/>
      <c r="W627" s="1"/>
      <c r="X627" s="1"/>
      <c r="Y627" s="1"/>
      <c r="Z627" s="1"/>
      <c r="AA627" s="1"/>
      <c r="AB627" s="1"/>
      <c r="AC627" s="1"/>
      <c r="AD627" s="1"/>
      <c r="AE627" s="1"/>
      <c r="AF627" s="1"/>
      <c r="AG627" s="1"/>
      <c r="AH627" s="1"/>
      <c r="AI627" s="1"/>
    </row>
    <row x14ac:dyDescent="0.25" r="628" customHeight="1" ht="17.25">
      <c r="A628" s="1"/>
      <c r="B628" s="114"/>
      <c r="C628" s="1"/>
      <c r="D628" s="1"/>
      <c r="E628" s="1"/>
      <c r="F628" s="1"/>
      <c r="G628" s="1"/>
      <c r="H628" s="114"/>
      <c r="I628" s="1"/>
      <c r="J628" s="1"/>
      <c r="K628" s="1"/>
      <c r="L628" s="54"/>
      <c r="M628" s="54"/>
      <c r="N628" s="54"/>
      <c r="O628" s="54"/>
      <c r="P628" s="54"/>
      <c r="Q628" s="54"/>
      <c r="R628" s="1"/>
      <c r="S628" s="1"/>
      <c r="T628" s="1"/>
      <c r="U628" s="1"/>
      <c r="V628" s="1"/>
      <c r="W628" s="1"/>
      <c r="X628" s="1"/>
      <c r="Y628" s="1"/>
      <c r="Z628" s="1"/>
      <c r="AA628" s="1"/>
      <c r="AB628" s="1"/>
      <c r="AC628" s="1"/>
      <c r="AD628" s="1"/>
      <c r="AE628" s="1"/>
      <c r="AF628" s="1"/>
      <c r="AG628" s="1"/>
      <c r="AH628" s="1"/>
      <c r="AI628" s="1"/>
    </row>
    <row x14ac:dyDescent="0.25" r="629" customHeight="1" ht="17.25">
      <c r="A629" s="1"/>
      <c r="B629" s="114"/>
      <c r="C629" s="1"/>
      <c r="D629" s="1"/>
      <c r="E629" s="1"/>
      <c r="F629" s="1"/>
      <c r="G629" s="1"/>
      <c r="H629" s="114"/>
      <c r="I629" s="1"/>
      <c r="J629" s="1"/>
      <c r="K629" s="1"/>
      <c r="L629" s="54"/>
      <c r="M629" s="54"/>
      <c r="N629" s="54"/>
      <c r="O629" s="54"/>
      <c r="P629" s="54"/>
      <c r="Q629" s="54"/>
      <c r="R629" s="1"/>
      <c r="S629" s="1"/>
      <c r="T629" s="1"/>
      <c r="U629" s="1"/>
      <c r="V629" s="1"/>
      <c r="W629" s="1"/>
      <c r="X629" s="1"/>
      <c r="Y629" s="1"/>
      <c r="Z629" s="1"/>
      <c r="AA629" s="1"/>
      <c r="AB629" s="1"/>
      <c r="AC629" s="1"/>
      <c r="AD629" s="1"/>
      <c r="AE629" s="1"/>
      <c r="AF629" s="1"/>
      <c r="AG629" s="1"/>
      <c r="AH629" s="1"/>
      <c r="AI629" s="1"/>
    </row>
    <row x14ac:dyDescent="0.25" r="630" customHeight="1" ht="17.25">
      <c r="A630" s="1"/>
      <c r="B630" s="114"/>
      <c r="C630" s="1"/>
      <c r="D630" s="1"/>
      <c r="E630" s="1"/>
      <c r="F630" s="1"/>
      <c r="G630" s="1"/>
      <c r="H630" s="114"/>
      <c r="I630" s="1"/>
      <c r="J630" s="1"/>
      <c r="K630" s="1"/>
      <c r="L630" s="54"/>
      <c r="M630" s="54"/>
      <c r="N630" s="54"/>
      <c r="O630" s="54"/>
      <c r="P630" s="54"/>
      <c r="Q630" s="54"/>
      <c r="R630" s="1"/>
      <c r="S630" s="1"/>
      <c r="T630" s="1"/>
      <c r="U630" s="1"/>
      <c r="V630" s="1"/>
      <c r="W630" s="1"/>
      <c r="X630" s="1"/>
      <c r="Y630" s="1"/>
      <c r="Z630" s="1"/>
      <c r="AA630" s="1"/>
      <c r="AB630" s="1"/>
      <c r="AC630" s="1"/>
      <c r="AD630" s="1"/>
      <c r="AE630" s="1"/>
      <c r="AF630" s="1"/>
      <c r="AG630" s="1"/>
      <c r="AH630" s="1"/>
      <c r="AI630" s="1"/>
    </row>
    <row x14ac:dyDescent="0.25" r="631" customHeight="1" ht="17.25">
      <c r="A631" s="1"/>
      <c r="B631" s="114"/>
      <c r="C631" s="1"/>
      <c r="D631" s="1"/>
      <c r="E631" s="1"/>
      <c r="F631" s="1"/>
      <c r="G631" s="1"/>
      <c r="H631" s="114"/>
      <c r="I631" s="1"/>
      <c r="J631" s="1"/>
      <c r="K631" s="1"/>
      <c r="L631" s="54"/>
      <c r="M631" s="54"/>
      <c r="N631" s="54"/>
      <c r="O631" s="54"/>
      <c r="P631" s="54"/>
      <c r="Q631" s="54"/>
      <c r="R631" s="1"/>
      <c r="S631" s="1"/>
      <c r="T631" s="1"/>
      <c r="U631" s="1"/>
      <c r="V631" s="1"/>
      <c r="W631" s="1"/>
      <c r="X631" s="1"/>
      <c r="Y631" s="1"/>
      <c r="Z631" s="1"/>
      <c r="AA631" s="1"/>
      <c r="AB631" s="1"/>
      <c r="AC631" s="1"/>
      <c r="AD631" s="1"/>
      <c r="AE631" s="1"/>
      <c r="AF631" s="1"/>
      <c r="AG631" s="1"/>
      <c r="AH631" s="1"/>
      <c r="AI631" s="1"/>
    </row>
    <row x14ac:dyDescent="0.25" r="632" customHeight="1" ht="17.25">
      <c r="A632" s="1"/>
      <c r="B632" s="114"/>
      <c r="C632" s="1"/>
      <c r="D632" s="1"/>
      <c r="E632" s="1"/>
      <c r="F632" s="1"/>
      <c r="G632" s="1"/>
      <c r="H632" s="114"/>
      <c r="I632" s="1"/>
      <c r="J632" s="1"/>
      <c r="K632" s="1"/>
      <c r="L632" s="54"/>
      <c r="M632" s="54"/>
      <c r="N632" s="54"/>
      <c r="O632" s="54"/>
      <c r="P632" s="54"/>
      <c r="Q632" s="54"/>
      <c r="R632" s="1"/>
      <c r="S632" s="1"/>
      <c r="T632" s="1"/>
      <c r="U632" s="1"/>
      <c r="V632" s="1"/>
      <c r="W632" s="1"/>
      <c r="X632" s="1"/>
      <c r="Y632" s="1"/>
      <c r="Z632" s="1"/>
      <c r="AA632" s="1"/>
      <c r="AB632" s="1"/>
      <c r="AC632" s="1"/>
      <c r="AD632" s="1"/>
      <c r="AE632" s="1"/>
      <c r="AF632" s="1"/>
      <c r="AG632" s="1"/>
      <c r="AH632" s="1"/>
      <c r="AI632" s="1"/>
    </row>
    <row x14ac:dyDescent="0.25" r="633" customHeight="1" ht="17.25">
      <c r="A633" s="1"/>
      <c r="B633" s="114"/>
      <c r="C633" s="1"/>
      <c r="D633" s="1"/>
      <c r="E633" s="1"/>
      <c r="F633" s="1"/>
      <c r="G633" s="1"/>
      <c r="H633" s="114"/>
      <c r="I633" s="1"/>
      <c r="J633" s="1"/>
      <c r="K633" s="1"/>
      <c r="L633" s="54"/>
      <c r="M633" s="54"/>
      <c r="N633" s="54"/>
      <c r="O633" s="54"/>
      <c r="P633" s="54"/>
      <c r="Q633" s="54"/>
      <c r="R633" s="1"/>
      <c r="S633" s="1"/>
      <c r="T633" s="1"/>
      <c r="U633" s="1"/>
      <c r="V633" s="1"/>
      <c r="W633" s="1"/>
      <c r="X633" s="1"/>
      <c r="Y633" s="1"/>
      <c r="Z633" s="1"/>
      <c r="AA633" s="1"/>
      <c r="AB633" s="1"/>
      <c r="AC633" s="1"/>
      <c r="AD633" s="1"/>
      <c r="AE633" s="1"/>
      <c r="AF633" s="1"/>
      <c r="AG633" s="1"/>
      <c r="AH633" s="1"/>
      <c r="AI633" s="1"/>
    </row>
    <row x14ac:dyDescent="0.25" r="634" customHeight="1" ht="17.25">
      <c r="A634" s="1"/>
      <c r="B634" s="114"/>
      <c r="C634" s="1"/>
      <c r="D634" s="1"/>
      <c r="E634" s="1"/>
      <c r="F634" s="1"/>
      <c r="G634" s="1"/>
      <c r="H634" s="114"/>
      <c r="I634" s="1"/>
      <c r="J634" s="1"/>
      <c r="K634" s="1"/>
      <c r="L634" s="54"/>
      <c r="M634" s="54"/>
      <c r="N634" s="54"/>
      <c r="O634" s="54"/>
      <c r="P634" s="54"/>
      <c r="Q634" s="54"/>
      <c r="R634" s="1"/>
      <c r="S634" s="1"/>
      <c r="T634" s="1"/>
      <c r="U634" s="1"/>
      <c r="V634" s="1"/>
      <c r="W634" s="1"/>
      <c r="X634" s="1"/>
      <c r="Y634" s="1"/>
      <c r="Z634" s="1"/>
      <c r="AA634" s="1"/>
      <c r="AB634" s="1"/>
      <c r="AC634" s="1"/>
      <c r="AD634" s="1"/>
      <c r="AE634" s="1"/>
      <c r="AF634" s="1"/>
      <c r="AG634" s="1"/>
      <c r="AH634" s="1"/>
      <c r="AI634" s="1"/>
    </row>
    <row x14ac:dyDescent="0.25" r="635" customHeight="1" ht="17.25">
      <c r="A635" s="1"/>
      <c r="B635" s="114"/>
      <c r="C635" s="1"/>
      <c r="D635" s="1"/>
      <c r="E635" s="1"/>
      <c r="F635" s="1"/>
      <c r="G635" s="1"/>
      <c r="H635" s="114"/>
      <c r="I635" s="1"/>
      <c r="J635" s="1"/>
      <c r="K635" s="1"/>
      <c r="L635" s="54"/>
      <c r="M635" s="54"/>
      <c r="N635" s="54"/>
      <c r="O635" s="54"/>
      <c r="P635" s="54"/>
      <c r="Q635" s="54"/>
      <c r="R635" s="1"/>
      <c r="S635" s="1"/>
      <c r="T635" s="1"/>
      <c r="U635" s="1"/>
      <c r="V635" s="1"/>
      <c r="W635" s="1"/>
      <c r="X635" s="1"/>
      <c r="Y635" s="1"/>
      <c r="Z635" s="1"/>
      <c r="AA635" s="1"/>
      <c r="AB635" s="1"/>
      <c r="AC635" s="1"/>
      <c r="AD635" s="1"/>
      <c r="AE635" s="1"/>
      <c r="AF635" s="1"/>
      <c r="AG635" s="1"/>
      <c r="AH635" s="1"/>
      <c r="AI635" s="1"/>
    </row>
    <row x14ac:dyDescent="0.25" r="636" customHeight="1" ht="17.25">
      <c r="A636" s="1"/>
      <c r="B636" s="114"/>
      <c r="C636" s="1"/>
      <c r="D636" s="1"/>
      <c r="E636" s="1"/>
      <c r="F636" s="1"/>
      <c r="G636" s="1"/>
      <c r="H636" s="114"/>
      <c r="I636" s="1"/>
      <c r="J636" s="1"/>
      <c r="K636" s="1"/>
      <c r="L636" s="54"/>
      <c r="M636" s="54"/>
      <c r="N636" s="54"/>
      <c r="O636" s="54"/>
      <c r="P636" s="54"/>
      <c r="Q636" s="54"/>
      <c r="R636" s="1"/>
      <c r="S636" s="1"/>
      <c r="T636" s="1"/>
      <c r="U636" s="1"/>
      <c r="V636" s="1"/>
      <c r="W636" s="1"/>
      <c r="X636" s="1"/>
      <c r="Y636" s="1"/>
      <c r="Z636" s="1"/>
      <c r="AA636" s="1"/>
      <c r="AB636" s="1"/>
      <c r="AC636" s="1"/>
      <c r="AD636" s="1"/>
      <c r="AE636" s="1"/>
      <c r="AF636" s="1"/>
      <c r="AG636" s="1"/>
      <c r="AH636" s="1"/>
      <c r="AI636" s="1"/>
    </row>
    <row x14ac:dyDescent="0.25" r="637" customHeight="1" ht="17.25">
      <c r="A637" s="1"/>
      <c r="B637" s="114"/>
      <c r="C637" s="1"/>
      <c r="D637" s="1"/>
      <c r="E637" s="1"/>
      <c r="F637" s="1"/>
      <c r="G637" s="1"/>
      <c r="H637" s="114"/>
      <c r="I637" s="1"/>
      <c r="J637" s="1"/>
      <c r="K637" s="1"/>
      <c r="L637" s="54"/>
      <c r="M637" s="54"/>
      <c r="N637" s="54"/>
      <c r="O637" s="54"/>
      <c r="P637" s="54"/>
      <c r="Q637" s="54"/>
      <c r="R637" s="1"/>
      <c r="S637" s="1"/>
      <c r="T637" s="1"/>
      <c r="U637" s="1"/>
      <c r="V637" s="1"/>
      <c r="W637" s="1"/>
      <c r="X637" s="1"/>
      <c r="Y637" s="1"/>
      <c r="Z637" s="1"/>
      <c r="AA637" s="1"/>
      <c r="AB637" s="1"/>
      <c r="AC637" s="1"/>
      <c r="AD637" s="1"/>
      <c r="AE637" s="1"/>
      <c r="AF637" s="1"/>
      <c r="AG637" s="1"/>
      <c r="AH637" s="1"/>
      <c r="AI637" s="1"/>
    </row>
    <row x14ac:dyDescent="0.25" r="638" customHeight="1" ht="17.25">
      <c r="A638" s="1"/>
      <c r="B638" s="114"/>
      <c r="C638" s="1"/>
      <c r="D638" s="1"/>
      <c r="E638" s="1"/>
      <c r="F638" s="1"/>
      <c r="G638" s="1"/>
      <c r="H638" s="114"/>
      <c r="I638" s="1"/>
      <c r="J638" s="1"/>
      <c r="K638" s="1"/>
      <c r="L638" s="54"/>
      <c r="M638" s="54"/>
      <c r="N638" s="54"/>
      <c r="O638" s="54"/>
      <c r="P638" s="54"/>
      <c r="Q638" s="54"/>
      <c r="R638" s="1"/>
      <c r="S638" s="1"/>
      <c r="T638" s="1"/>
      <c r="U638" s="1"/>
      <c r="V638" s="1"/>
      <c r="W638" s="1"/>
      <c r="X638" s="1"/>
      <c r="Y638" s="1"/>
      <c r="Z638" s="1"/>
      <c r="AA638" s="1"/>
      <c r="AB638" s="1"/>
      <c r="AC638" s="1"/>
      <c r="AD638" s="1"/>
      <c r="AE638" s="1"/>
      <c r="AF638" s="1"/>
      <c r="AG638" s="1"/>
      <c r="AH638" s="1"/>
      <c r="AI638" s="1"/>
    </row>
    <row x14ac:dyDescent="0.25" r="639" customHeight="1" ht="17.25">
      <c r="A639" s="1"/>
      <c r="B639" s="114"/>
      <c r="C639" s="1"/>
      <c r="D639" s="1"/>
      <c r="E639" s="1"/>
      <c r="F639" s="1"/>
      <c r="G639" s="1"/>
      <c r="H639" s="114"/>
      <c r="I639" s="1"/>
      <c r="J639" s="1"/>
      <c r="K639" s="1"/>
      <c r="L639" s="54"/>
      <c r="M639" s="54"/>
      <c r="N639" s="54"/>
      <c r="O639" s="54"/>
      <c r="P639" s="54"/>
      <c r="Q639" s="54"/>
      <c r="R639" s="1"/>
      <c r="S639" s="1"/>
      <c r="T639" s="1"/>
      <c r="U639" s="1"/>
      <c r="V639" s="1"/>
      <c r="W639" s="1"/>
      <c r="X639" s="1"/>
      <c r="Y639" s="1"/>
      <c r="Z639" s="1"/>
      <c r="AA639" s="1"/>
      <c r="AB639" s="1"/>
      <c r="AC639" s="1"/>
      <c r="AD639" s="1"/>
      <c r="AE639" s="1"/>
      <c r="AF639" s="1"/>
      <c r="AG639" s="1"/>
      <c r="AH639" s="1"/>
      <c r="AI639" s="1"/>
    </row>
    <row x14ac:dyDescent="0.25" r="640" customHeight="1" ht="17.25">
      <c r="A640" s="1"/>
      <c r="B640" s="114"/>
      <c r="C640" s="1"/>
      <c r="D640" s="1"/>
      <c r="E640" s="1"/>
      <c r="F640" s="1"/>
      <c r="G640" s="1"/>
      <c r="H640" s="114"/>
      <c r="I640" s="1"/>
      <c r="J640" s="1"/>
      <c r="K640" s="1"/>
      <c r="L640" s="54"/>
      <c r="M640" s="54"/>
      <c r="N640" s="54"/>
      <c r="O640" s="54"/>
      <c r="P640" s="54"/>
      <c r="Q640" s="54"/>
      <c r="R640" s="1"/>
      <c r="S640" s="1"/>
      <c r="T640" s="1"/>
      <c r="U640" s="1"/>
      <c r="V640" s="1"/>
      <c r="W640" s="1"/>
      <c r="X640" s="1"/>
      <c r="Y640" s="1"/>
      <c r="Z640" s="1"/>
      <c r="AA640" s="1"/>
      <c r="AB640" s="1"/>
      <c r="AC640" s="1"/>
      <c r="AD640" s="1"/>
      <c r="AE640" s="1"/>
      <c r="AF640" s="1"/>
      <c r="AG640" s="1"/>
      <c r="AH640" s="1"/>
      <c r="AI640" s="1"/>
    </row>
    <row x14ac:dyDescent="0.25" r="641" customHeight="1" ht="17.25">
      <c r="A641" s="1"/>
      <c r="B641" s="114"/>
      <c r="C641" s="1"/>
      <c r="D641" s="1"/>
      <c r="E641" s="116"/>
      <c r="F641" s="1"/>
      <c r="G641" s="1"/>
      <c r="H641" s="114"/>
      <c r="I641" s="1"/>
      <c r="J641" s="1"/>
      <c r="K641" s="1"/>
      <c r="L641" s="54"/>
      <c r="M641" s="54"/>
      <c r="N641" s="54"/>
      <c r="O641" s="54"/>
      <c r="P641" s="54"/>
      <c r="Q641" s="54"/>
      <c r="R641" s="1"/>
      <c r="S641" s="1"/>
      <c r="T641" s="1"/>
      <c r="U641" s="1"/>
      <c r="V641" s="1"/>
      <c r="W641" s="1"/>
      <c r="X641" s="1"/>
      <c r="Y641" s="1"/>
      <c r="Z641" s="1"/>
      <c r="AA641" s="1"/>
      <c r="AB641" s="1"/>
      <c r="AC641" s="1"/>
      <c r="AD641" s="1"/>
      <c r="AE641" s="1"/>
      <c r="AF641" s="1"/>
      <c r="AG641" s="1"/>
      <c r="AH641" s="1"/>
      <c r="AI641" s="1"/>
    </row>
    <row x14ac:dyDescent="0.25" r="642" customHeight="1" ht="17.25">
      <c r="A642" s="1"/>
      <c r="B642" s="114"/>
      <c r="C642" s="1"/>
      <c r="D642" s="1"/>
      <c r="E642" s="116"/>
      <c r="F642" s="1"/>
      <c r="G642" s="1"/>
      <c r="H642" s="114"/>
      <c r="I642" s="1"/>
      <c r="J642" s="1"/>
      <c r="K642" s="1"/>
      <c r="L642" s="54"/>
      <c r="M642" s="54"/>
      <c r="N642" s="54"/>
      <c r="O642" s="54"/>
      <c r="P642" s="54"/>
      <c r="Q642" s="54"/>
      <c r="R642" s="1"/>
      <c r="S642" s="1"/>
      <c r="T642" s="1"/>
      <c r="U642" s="1"/>
      <c r="V642" s="1"/>
      <c r="W642" s="1"/>
      <c r="X642" s="1"/>
      <c r="Y642" s="1"/>
      <c r="Z642" s="1"/>
      <c r="AA642" s="1"/>
      <c r="AB642" s="1"/>
      <c r="AC642" s="1"/>
      <c r="AD642" s="1"/>
      <c r="AE642" s="1"/>
      <c r="AF642" s="1"/>
      <c r="AG642" s="1"/>
      <c r="AH642" s="1"/>
      <c r="AI642" s="1"/>
    </row>
    <row x14ac:dyDescent="0.25" r="643" customHeight="1" ht="17.25">
      <c r="A643" s="1"/>
      <c r="B643" s="114"/>
      <c r="C643" s="1"/>
      <c r="D643" s="1"/>
      <c r="E643" s="116"/>
      <c r="F643" s="1"/>
      <c r="G643" s="1"/>
      <c r="H643" s="114"/>
      <c r="I643" s="1"/>
      <c r="J643" s="1"/>
      <c r="K643" s="1"/>
      <c r="L643" s="54"/>
      <c r="M643" s="54"/>
      <c r="N643" s="54"/>
      <c r="O643" s="54"/>
      <c r="P643" s="54"/>
      <c r="Q643" s="54"/>
      <c r="R643" s="1"/>
      <c r="S643" s="1"/>
      <c r="T643" s="1"/>
      <c r="U643" s="1"/>
      <c r="V643" s="1"/>
      <c r="W643" s="1"/>
      <c r="X643" s="1"/>
      <c r="Y643" s="1"/>
      <c r="Z643" s="1"/>
      <c r="AA643" s="1"/>
      <c r="AB643" s="1"/>
      <c r="AC643" s="1"/>
      <c r="AD643" s="1"/>
      <c r="AE643" s="1"/>
      <c r="AF643" s="1"/>
      <c r="AG643" s="1"/>
      <c r="AH643" s="1"/>
      <c r="AI643" s="1"/>
    </row>
    <row x14ac:dyDescent="0.25" r="644" customHeight="1" ht="17.25">
      <c r="A644" s="1"/>
      <c r="B644" s="114"/>
      <c r="C644" s="1"/>
      <c r="D644" s="1"/>
      <c r="E644" s="116"/>
      <c r="F644" s="1"/>
      <c r="G644" s="1"/>
      <c r="H644" s="114"/>
      <c r="I644" s="1"/>
      <c r="J644" s="1"/>
      <c r="K644" s="1"/>
      <c r="L644" s="54"/>
      <c r="M644" s="54"/>
      <c r="N644" s="54"/>
      <c r="O644" s="54"/>
      <c r="P644" s="54"/>
      <c r="Q644" s="54"/>
      <c r="R644" s="1"/>
      <c r="S644" s="1"/>
      <c r="T644" s="1"/>
      <c r="U644" s="1"/>
      <c r="V644" s="1"/>
      <c r="W644" s="1"/>
      <c r="X644" s="1"/>
      <c r="Y644" s="1"/>
      <c r="Z644" s="1"/>
      <c r="AA644" s="1"/>
      <c r="AB644" s="1"/>
      <c r="AC644" s="1"/>
      <c r="AD644" s="1"/>
      <c r="AE644" s="1"/>
      <c r="AF644" s="1"/>
      <c r="AG644" s="1"/>
      <c r="AH644" s="1"/>
      <c r="AI644" s="1"/>
    </row>
    <row x14ac:dyDescent="0.25" r="645" customHeight="1" ht="17.25">
      <c r="A645" s="1"/>
      <c r="B645" s="114"/>
      <c r="C645" s="1"/>
      <c r="D645" s="1"/>
      <c r="E645" s="116"/>
      <c r="F645" s="1"/>
      <c r="G645" s="1"/>
      <c r="H645" s="114"/>
      <c r="I645" s="1"/>
      <c r="J645" s="1"/>
      <c r="K645" s="1"/>
      <c r="L645" s="54"/>
      <c r="M645" s="54"/>
      <c r="N645" s="54"/>
      <c r="O645" s="54"/>
      <c r="P645" s="54"/>
      <c r="Q645" s="54"/>
      <c r="R645" s="1"/>
      <c r="S645" s="1"/>
      <c r="T645" s="1"/>
      <c r="U645" s="1"/>
      <c r="V645" s="1"/>
      <c r="W645" s="1"/>
      <c r="X645" s="1"/>
      <c r="Y645" s="1"/>
      <c r="Z645" s="1"/>
      <c r="AA645" s="1"/>
      <c r="AB645" s="1"/>
      <c r="AC645" s="1"/>
      <c r="AD645" s="1"/>
      <c r="AE645" s="1"/>
      <c r="AF645" s="1"/>
      <c r="AG645" s="1"/>
      <c r="AH645" s="1"/>
      <c r="AI645" s="1"/>
    </row>
    <row x14ac:dyDescent="0.25" r="646" customHeight="1" ht="17.25">
      <c r="A646" s="1"/>
      <c r="B646" s="114"/>
      <c r="C646" s="1"/>
      <c r="D646" s="1"/>
      <c r="E646" s="116"/>
      <c r="F646" s="1"/>
      <c r="G646" s="1"/>
      <c r="H646" s="114"/>
      <c r="I646" s="1"/>
      <c r="J646" s="1"/>
      <c r="K646" s="1"/>
      <c r="L646" s="54"/>
      <c r="M646" s="54"/>
      <c r="N646" s="54"/>
      <c r="O646" s="54"/>
      <c r="P646" s="54"/>
      <c r="Q646" s="54"/>
      <c r="R646" s="1"/>
      <c r="S646" s="1"/>
      <c r="T646" s="1"/>
      <c r="U646" s="1"/>
      <c r="V646" s="1"/>
      <c r="W646" s="1"/>
      <c r="X646" s="1"/>
      <c r="Y646" s="1"/>
      <c r="Z646" s="1"/>
      <c r="AA646" s="1"/>
      <c r="AB646" s="1"/>
      <c r="AC646" s="1"/>
      <c r="AD646" s="1"/>
      <c r="AE646" s="1"/>
      <c r="AF646" s="1"/>
      <c r="AG646" s="1"/>
      <c r="AH646" s="1"/>
      <c r="AI646" s="1"/>
    </row>
    <row x14ac:dyDescent="0.25" r="647" customHeight="1" ht="17.25">
      <c r="A647" s="1"/>
      <c r="B647" s="114"/>
      <c r="C647" s="1"/>
      <c r="D647" s="1"/>
      <c r="E647" s="116"/>
      <c r="F647" s="1"/>
      <c r="G647" s="1"/>
      <c r="H647" s="114"/>
      <c r="I647" s="1"/>
      <c r="J647" s="1"/>
      <c r="K647" s="1"/>
      <c r="L647" s="54"/>
      <c r="M647" s="54"/>
      <c r="N647" s="54"/>
      <c r="O647" s="54"/>
      <c r="P647" s="54"/>
      <c r="Q647" s="54"/>
      <c r="R647" s="1"/>
      <c r="S647" s="1"/>
      <c r="T647" s="1"/>
      <c r="U647" s="1"/>
      <c r="V647" s="1"/>
      <c r="W647" s="1"/>
      <c r="X647" s="1"/>
      <c r="Y647" s="1"/>
      <c r="Z647" s="1"/>
      <c r="AA647" s="1"/>
      <c r="AB647" s="1"/>
      <c r="AC647" s="1"/>
      <c r="AD647" s="1"/>
      <c r="AE647" s="1"/>
      <c r="AF647" s="1"/>
      <c r="AG647" s="1"/>
      <c r="AH647" s="1"/>
      <c r="AI647" s="1"/>
    </row>
    <row x14ac:dyDescent="0.25" r="648" customHeight="1" ht="17.25">
      <c r="A648" s="1"/>
      <c r="B648" s="114"/>
      <c r="C648" s="1"/>
      <c r="D648" s="1"/>
      <c r="E648" s="116"/>
      <c r="F648" s="1"/>
      <c r="G648" s="1"/>
      <c r="H648" s="114"/>
      <c r="I648" s="1"/>
      <c r="J648" s="1"/>
      <c r="K648" s="1"/>
      <c r="L648" s="54"/>
      <c r="M648" s="54"/>
      <c r="N648" s="54"/>
      <c r="O648" s="54"/>
      <c r="P648" s="54"/>
      <c r="Q648" s="54"/>
      <c r="R648" s="1"/>
      <c r="S648" s="1"/>
      <c r="T648" s="1"/>
      <c r="U648" s="1"/>
      <c r="V648" s="1"/>
      <c r="W648" s="1"/>
      <c r="X648" s="1"/>
      <c r="Y648" s="1"/>
      <c r="Z648" s="1"/>
      <c r="AA648" s="1"/>
      <c r="AB648" s="1"/>
      <c r="AC648" s="1"/>
      <c r="AD648" s="1"/>
      <c r="AE648" s="1"/>
      <c r="AF648" s="1"/>
      <c r="AG648" s="1"/>
      <c r="AH648" s="1"/>
      <c r="AI648" s="1"/>
    </row>
    <row x14ac:dyDescent="0.25" r="649" customHeight="1" ht="17.25">
      <c r="A649" s="1"/>
      <c r="B649" s="114"/>
      <c r="C649" s="1"/>
      <c r="D649" s="1"/>
      <c r="E649" s="116"/>
      <c r="F649" s="1"/>
      <c r="G649" s="1"/>
      <c r="H649" s="114"/>
      <c r="I649" s="1"/>
      <c r="J649" s="1"/>
      <c r="K649" s="1"/>
      <c r="L649" s="54"/>
      <c r="M649" s="54"/>
      <c r="N649" s="54"/>
      <c r="O649" s="54"/>
      <c r="P649" s="54"/>
      <c r="Q649" s="54"/>
      <c r="R649" s="1"/>
      <c r="S649" s="1"/>
      <c r="T649" s="1"/>
      <c r="U649" s="1"/>
      <c r="V649" s="1"/>
      <c r="W649" s="1"/>
      <c r="X649" s="1"/>
      <c r="Y649" s="1"/>
      <c r="Z649" s="1"/>
      <c r="AA649" s="1"/>
      <c r="AB649" s="1"/>
      <c r="AC649" s="1"/>
      <c r="AD649" s="1"/>
      <c r="AE649" s="1"/>
      <c r="AF649" s="1"/>
      <c r="AG649" s="1"/>
      <c r="AH649" s="1"/>
      <c r="AI649" s="1"/>
    </row>
    <row x14ac:dyDescent="0.25" r="650" customHeight="1" ht="17.25">
      <c r="A650" s="1"/>
      <c r="B650" s="114"/>
      <c r="C650" s="1"/>
      <c r="D650" s="1"/>
      <c r="E650" s="116"/>
      <c r="F650" s="1"/>
      <c r="G650" s="1"/>
      <c r="H650" s="114"/>
      <c r="I650" s="1"/>
      <c r="J650" s="1"/>
      <c r="K650" s="1"/>
      <c r="L650" s="54"/>
      <c r="M650" s="54"/>
      <c r="N650" s="54"/>
      <c r="O650" s="54"/>
      <c r="P650" s="54"/>
      <c r="Q650" s="54"/>
      <c r="R650" s="1"/>
      <c r="S650" s="1"/>
      <c r="T650" s="1"/>
      <c r="U650" s="1"/>
      <c r="V650" s="1"/>
      <c r="W650" s="1"/>
      <c r="X650" s="1"/>
      <c r="Y650" s="1"/>
      <c r="Z650" s="1"/>
      <c r="AA650" s="1"/>
      <c r="AB650" s="1"/>
      <c r="AC650" s="1"/>
      <c r="AD650" s="1"/>
      <c r="AE650" s="1"/>
      <c r="AF650" s="1"/>
      <c r="AG650" s="1"/>
      <c r="AH650" s="1"/>
      <c r="AI650" s="1"/>
    </row>
    <row x14ac:dyDescent="0.25" r="651" customHeight="1" ht="17.25">
      <c r="A651" s="1"/>
      <c r="B651" s="114"/>
      <c r="C651" s="1"/>
      <c r="D651" s="1"/>
      <c r="E651" s="116"/>
      <c r="F651" s="1"/>
      <c r="G651" s="1"/>
      <c r="H651" s="114"/>
      <c r="I651" s="1"/>
      <c r="J651" s="1"/>
      <c r="K651" s="1"/>
      <c r="L651" s="54"/>
      <c r="M651" s="54"/>
      <c r="N651" s="54"/>
      <c r="O651" s="54"/>
      <c r="P651" s="54"/>
      <c r="Q651" s="54"/>
      <c r="R651" s="1"/>
      <c r="S651" s="1"/>
      <c r="T651" s="1"/>
      <c r="U651" s="1"/>
      <c r="V651" s="1"/>
      <c r="W651" s="1"/>
      <c r="X651" s="1"/>
      <c r="Y651" s="1"/>
      <c r="Z651" s="1"/>
      <c r="AA651" s="1"/>
      <c r="AB651" s="1"/>
      <c r="AC651" s="1"/>
      <c r="AD651" s="1"/>
      <c r="AE651" s="1"/>
      <c r="AF651" s="1"/>
      <c r="AG651" s="1"/>
      <c r="AH651" s="1"/>
      <c r="AI651" s="1"/>
    </row>
    <row x14ac:dyDescent="0.25" r="652" customHeight="1" ht="17.25">
      <c r="A652" s="1"/>
      <c r="B652" s="114"/>
      <c r="C652" s="1"/>
      <c r="D652" s="1"/>
      <c r="E652" s="116"/>
      <c r="F652" s="1"/>
      <c r="G652" s="1"/>
      <c r="H652" s="114"/>
      <c r="I652" s="1"/>
      <c r="J652" s="1"/>
      <c r="K652" s="1"/>
      <c r="L652" s="54"/>
      <c r="M652" s="54"/>
      <c r="N652" s="54"/>
      <c r="O652" s="54"/>
      <c r="P652" s="54"/>
      <c r="Q652" s="54"/>
      <c r="R652" s="1"/>
      <c r="S652" s="1"/>
      <c r="T652" s="1"/>
      <c r="U652" s="1"/>
      <c r="V652" s="1"/>
      <c r="W652" s="1"/>
      <c r="X652" s="1"/>
      <c r="Y652" s="1"/>
      <c r="Z652" s="1"/>
      <c r="AA652" s="1"/>
      <c r="AB652" s="1"/>
      <c r="AC652" s="1"/>
      <c r="AD652" s="1"/>
      <c r="AE652" s="1"/>
      <c r="AF652" s="1"/>
      <c r="AG652" s="1"/>
      <c r="AH652" s="1"/>
      <c r="AI652" s="1"/>
    </row>
    <row x14ac:dyDescent="0.25" r="653" customHeight="1" ht="17.25">
      <c r="A653" s="1"/>
      <c r="B653" s="114"/>
      <c r="C653" s="1"/>
      <c r="D653" s="1"/>
      <c r="E653" s="116"/>
      <c r="F653" s="1"/>
      <c r="G653" s="1"/>
      <c r="H653" s="114"/>
      <c r="I653" s="1"/>
      <c r="J653" s="1"/>
      <c r="K653" s="1"/>
      <c r="L653" s="54"/>
      <c r="M653" s="54"/>
      <c r="N653" s="54"/>
      <c r="O653" s="54"/>
      <c r="P653" s="54"/>
      <c r="Q653" s="54"/>
      <c r="R653" s="1"/>
      <c r="S653" s="1"/>
      <c r="T653" s="1"/>
      <c r="U653" s="1"/>
      <c r="V653" s="1"/>
      <c r="W653" s="1"/>
      <c r="X653" s="1"/>
      <c r="Y653" s="1"/>
      <c r="Z653" s="1"/>
      <c r="AA653" s="1"/>
      <c r="AB653" s="1"/>
      <c r="AC653" s="1"/>
      <c r="AD653" s="1"/>
      <c r="AE653" s="1"/>
      <c r="AF653" s="1"/>
      <c r="AG653" s="1"/>
      <c r="AH653" s="1"/>
      <c r="AI653" s="1"/>
    </row>
    <row x14ac:dyDescent="0.25" r="654" customHeight="1" ht="17.25">
      <c r="A654" s="1"/>
      <c r="B654" s="114"/>
      <c r="C654" s="1"/>
      <c r="D654" s="1"/>
      <c r="E654" s="116"/>
      <c r="F654" s="1"/>
      <c r="G654" s="1"/>
      <c r="H654" s="114"/>
      <c r="I654" s="1"/>
      <c r="J654" s="1"/>
      <c r="K654" s="1"/>
      <c r="L654" s="54"/>
      <c r="M654" s="54"/>
      <c r="N654" s="54"/>
      <c r="O654" s="54"/>
      <c r="P654" s="54"/>
      <c r="Q654" s="54"/>
      <c r="R654" s="1"/>
      <c r="S654" s="1"/>
      <c r="T654" s="1"/>
      <c r="U654" s="1"/>
      <c r="V654" s="1"/>
      <c r="W654" s="1"/>
      <c r="X654" s="1"/>
      <c r="Y654" s="1"/>
      <c r="Z654" s="1"/>
      <c r="AA654" s="1"/>
      <c r="AB654" s="1"/>
      <c r="AC654" s="1"/>
      <c r="AD654" s="1"/>
      <c r="AE654" s="1"/>
      <c r="AF654" s="1"/>
      <c r="AG654" s="1"/>
      <c r="AH654" s="1"/>
      <c r="AI654" s="1"/>
    </row>
    <row x14ac:dyDescent="0.25" r="655" customHeight="1" ht="17.25">
      <c r="A655" s="1"/>
      <c r="B655" s="114"/>
      <c r="C655" s="1"/>
      <c r="D655" s="1"/>
      <c r="E655" s="116"/>
      <c r="F655" s="1"/>
      <c r="G655" s="1"/>
      <c r="H655" s="114"/>
      <c r="I655" s="1"/>
      <c r="J655" s="1"/>
      <c r="K655" s="1"/>
      <c r="L655" s="54"/>
      <c r="M655" s="54"/>
      <c r="N655" s="54"/>
      <c r="O655" s="54"/>
      <c r="P655" s="54"/>
      <c r="Q655" s="54"/>
      <c r="R655" s="1"/>
      <c r="S655" s="1"/>
      <c r="T655" s="1"/>
      <c r="U655" s="1"/>
      <c r="V655" s="1"/>
      <c r="W655" s="1"/>
      <c r="X655" s="1"/>
      <c r="Y655" s="1"/>
      <c r="Z655" s="1"/>
      <c r="AA655" s="1"/>
      <c r="AB655" s="1"/>
      <c r="AC655" s="1"/>
      <c r="AD655" s="1"/>
      <c r="AE655" s="1"/>
      <c r="AF655" s="1"/>
      <c r="AG655" s="1"/>
      <c r="AH655" s="1"/>
      <c r="AI655" s="1"/>
    </row>
    <row x14ac:dyDescent="0.25" r="656" customHeight="1" ht="17.25">
      <c r="A656" s="1"/>
      <c r="B656" s="114"/>
      <c r="C656" s="1"/>
      <c r="D656" s="1"/>
      <c r="E656" s="1"/>
      <c r="F656" s="1"/>
      <c r="G656" s="1"/>
      <c r="H656" s="114"/>
      <c r="I656" s="1"/>
      <c r="J656" s="1"/>
      <c r="K656" s="1"/>
      <c r="L656" s="54"/>
      <c r="M656" s="54"/>
      <c r="N656" s="54"/>
      <c r="O656" s="54"/>
      <c r="P656" s="54"/>
      <c r="Q656" s="54"/>
      <c r="R656" s="1"/>
      <c r="S656" s="1"/>
      <c r="T656" s="1"/>
      <c r="U656" s="1"/>
      <c r="V656" s="1"/>
      <c r="W656" s="1"/>
      <c r="X656" s="1"/>
      <c r="Y656" s="1"/>
      <c r="Z656" s="1"/>
      <c r="AA656" s="1"/>
      <c r="AB656" s="1"/>
      <c r="AC656" s="1"/>
      <c r="AD656" s="1"/>
      <c r="AE656" s="1"/>
      <c r="AF656" s="1"/>
      <c r="AG656" s="1"/>
      <c r="AH656" s="1"/>
      <c r="AI656" s="1"/>
    </row>
    <row x14ac:dyDescent="0.25" r="657" customHeight="1" ht="17.25">
      <c r="A657" s="1"/>
      <c r="B657" s="114"/>
      <c r="C657" s="1"/>
      <c r="D657" s="1"/>
      <c r="E657" s="1"/>
      <c r="F657" s="1"/>
      <c r="G657" s="1"/>
      <c r="H657" s="114"/>
      <c r="I657" s="1"/>
      <c r="J657" s="1"/>
      <c r="K657" s="1"/>
      <c r="L657" s="54"/>
      <c r="M657" s="54"/>
      <c r="N657" s="54"/>
      <c r="O657" s="54"/>
      <c r="P657" s="54"/>
      <c r="Q657" s="54"/>
      <c r="R657" s="1"/>
      <c r="S657" s="1"/>
      <c r="T657" s="1"/>
      <c r="U657" s="1"/>
      <c r="V657" s="1"/>
      <c r="W657" s="1"/>
      <c r="X657" s="1"/>
      <c r="Y657" s="1"/>
      <c r="Z657" s="1"/>
      <c r="AA657" s="1"/>
      <c r="AB657" s="1"/>
      <c r="AC657" s="1"/>
      <c r="AD657" s="1"/>
      <c r="AE657" s="1"/>
      <c r="AF657" s="1"/>
      <c r="AG657" s="1"/>
      <c r="AH657" s="1"/>
      <c r="AI657" s="1"/>
    </row>
    <row x14ac:dyDescent="0.25" r="658" customHeight="1" ht="17.25">
      <c r="A658" s="1"/>
      <c r="B658" s="114"/>
      <c r="C658" s="1"/>
      <c r="D658" s="1"/>
      <c r="E658" s="1"/>
      <c r="F658" s="1"/>
      <c r="G658" s="1"/>
      <c r="H658" s="114"/>
      <c r="I658" s="1"/>
      <c r="J658" s="1"/>
      <c r="K658" s="1"/>
      <c r="L658" s="54"/>
      <c r="M658" s="54"/>
      <c r="N658" s="54"/>
      <c r="O658" s="54"/>
      <c r="P658" s="54"/>
      <c r="Q658" s="54"/>
      <c r="R658" s="1"/>
      <c r="S658" s="1"/>
      <c r="T658" s="1"/>
      <c r="U658" s="1"/>
      <c r="V658" s="1"/>
      <c r="W658" s="1"/>
      <c r="X658" s="1"/>
      <c r="Y658" s="1"/>
      <c r="Z658" s="1"/>
      <c r="AA658" s="1"/>
      <c r="AB658" s="1"/>
      <c r="AC658" s="1"/>
      <c r="AD658" s="1"/>
      <c r="AE658" s="1"/>
      <c r="AF658" s="1"/>
      <c r="AG658" s="1"/>
      <c r="AH658" s="1"/>
      <c r="AI658" s="1"/>
    </row>
    <row x14ac:dyDescent="0.25" r="659" customHeight="1" ht="17.25">
      <c r="A659" s="1"/>
      <c r="B659" s="114"/>
      <c r="C659" s="1"/>
      <c r="D659" s="1"/>
      <c r="E659" s="1"/>
      <c r="F659" s="1"/>
      <c r="G659" s="1"/>
      <c r="H659" s="114"/>
      <c r="I659" s="1"/>
      <c r="J659" s="1"/>
      <c r="K659" s="1"/>
      <c r="L659" s="54"/>
      <c r="M659" s="54"/>
      <c r="N659" s="54"/>
      <c r="O659" s="54"/>
      <c r="P659" s="54"/>
      <c r="Q659" s="54"/>
      <c r="R659" s="1"/>
      <c r="S659" s="1"/>
      <c r="T659" s="1"/>
      <c r="U659" s="1"/>
      <c r="V659" s="1"/>
      <c r="W659" s="1"/>
      <c r="X659" s="1"/>
      <c r="Y659" s="1"/>
      <c r="Z659" s="1"/>
      <c r="AA659" s="1"/>
      <c r="AB659" s="1"/>
      <c r="AC659" s="1"/>
      <c r="AD659" s="1"/>
      <c r="AE659" s="1"/>
      <c r="AF659" s="1"/>
      <c r="AG659" s="1"/>
      <c r="AH659" s="1"/>
      <c r="AI659" s="1"/>
    </row>
    <row x14ac:dyDescent="0.25" r="660" customHeight="1" ht="17.25">
      <c r="A660" s="1"/>
      <c r="B660" s="114"/>
      <c r="C660" s="1"/>
      <c r="D660" s="1"/>
      <c r="E660" s="1"/>
      <c r="F660" s="1"/>
      <c r="G660" s="1"/>
      <c r="H660" s="114"/>
      <c r="I660" s="1"/>
      <c r="J660" s="1"/>
      <c r="K660" s="1"/>
      <c r="L660" s="54"/>
      <c r="M660" s="54"/>
      <c r="N660" s="54"/>
      <c r="O660" s="54"/>
      <c r="P660" s="54"/>
      <c r="Q660" s="54"/>
      <c r="R660" s="1"/>
      <c r="S660" s="1"/>
      <c r="T660" s="1"/>
      <c r="U660" s="1"/>
      <c r="V660" s="1"/>
      <c r="W660" s="1"/>
      <c r="X660" s="1"/>
      <c r="Y660" s="1"/>
      <c r="Z660" s="1"/>
      <c r="AA660" s="1"/>
      <c r="AB660" s="1"/>
      <c r="AC660" s="1"/>
      <c r="AD660" s="1"/>
      <c r="AE660" s="1"/>
      <c r="AF660" s="1"/>
      <c r="AG660" s="1"/>
      <c r="AH660" s="1"/>
      <c r="AI660" s="1"/>
    </row>
    <row x14ac:dyDescent="0.25" r="661" customHeight="1" ht="17.25">
      <c r="A661" s="1"/>
      <c r="B661" s="114"/>
      <c r="C661" s="1"/>
      <c r="D661" s="1"/>
      <c r="E661" s="1"/>
      <c r="F661" s="1"/>
      <c r="G661" s="1"/>
      <c r="H661" s="114"/>
      <c r="I661" s="1"/>
      <c r="J661" s="1"/>
      <c r="K661" s="1"/>
      <c r="L661" s="54"/>
      <c r="M661" s="54"/>
      <c r="N661" s="54"/>
      <c r="O661" s="54"/>
      <c r="P661" s="54"/>
      <c r="Q661" s="54"/>
      <c r="R661" s="1"/>
      <c r="S661" s="1"/>
      <c r="T661" s="1"/>
      <c r="U661" s="1"/>
      <c r="V661" s="1"/>
      <c r="W661" s="1"/>
      <c r="X661" s="1"/>
      <c r="Y661" s="1"/>
      <c r="Z661" s="1"/>
      <c r="AA661" s="1"/>
      <c r="AB661" s="1"/>
      <c r="AC661" s="1"/>
      <c r="AD661" s="1"/>
      <c r="AE661" s="1"/>
      <c r="AF661" s="1"/>
      <c r="AG661" s="1"/>
      <c r="AH661" s="1"/>
      <c r="AI661" s="1"/>
    </row>
    <row x14ac:dyDescent="0.25" r="662" customHeight="1" ht="17.25">
      <c r="A662" s="1"/>
      <c r="B662" s="114"/>
      <c r="C662" s="1"/>
      <c r="D662" s="1"/>
      <c r="E662" s="1"/>
      <c r="F662" s="1"/>
      <c r="G662" s="1"/>
      <c r="H662" s="114"/>
      <c r="I662" s="1"/>
      <c r="J662" s="1"/>
      <c r="K662" s="1"/>
      <c r="L662" s="54"/>
      <c r="M662" s="54"/>
      <c r="N662" s="54"/>
      <c r="O662" s="54"/>
      <c r="P662" s="54"/>
      <c r="Q662" s="54"/>
      <c r="R662" s="1"/>
      <c r="S662" s="1"/>
      <c r="T662" s="1"/>
      <c r="U662" s="1"/>
      <c r="V662" s="1"/>
      <c r="W662" s="1"/>
      <c r="X662" s="1"/>
      <c r="Y662" s="1"/>
      <c r="Z662" s="1"/>
      <c r="AA662" s="1"/>
      <c r="AB662" s="1"/>
      <c r="AC662" s="1"/>
      <c r="AD662" s="1"/>
      <c r="AE662" s="1"/>
      <c r="AF662" s="1"/>
      <c r="AG662" s="1"/>
      <c r="AH662" s="1"/>
      <c r="AI662" s="1"/>
    </row>
    <row x14ac:dyDescent="0.25" r="663" customHeight="1" ht="17.25">
      <c r="A663" s="1"/>
      <c r="B663" s="114"/>
      <c r="C663" s="1"/>
      <c r="D663" s="1"/>
      <c r="E663" s="1"/>
      <c r="F663" s="1"/>
      <c r="G663" s="1"/>
      <c r="H663" s="114"/>
      <c r="I663" s="1"/>
      <c r="J663" s="1"/>
      <c r="K663" s="1"/>
      <c r="L663" s="54"/>
      <c r="M663" s="54"/>
      <c r="N663" s="54"/>
      <c r="O663" s="54"/>
      <c r="P663" s="54"/>
      <c r="Q663" s="54"/>
      <c r="R663" s="1"/>
      <c r="S663" s="1"/>
      <c r="T663" s="1"/>
      <c r="U663" s="1"/>
      <c r="V663" s="1"/>
      <c r="W663" s="1"/>
      <c r="X663" s="1"/>
      <c r="Y663" s="1"/>
      <c r="Z663" s="1"/>
      <c r="AA663" s="1"/>
      <c r="AB663" s="1"/>
      <c r="AC663" s="1"/>
      <c r="AD663" s="1"/>
      <c r="AE663" s="1"/>
      <c r="AF663" s="1"/>
      <c r="AG663" s="1"/>
      <c r="AH663" s="1"/>
      <c r="AI663" s="1"/>
    </row>
    <row x14ac:dyDescent="0.25" r="664" customHeight="1" ht="17.25">
      <c r="A664" s="1"/>
      <c r="B664" s="114"/>
      <c r="C664" s="1"/>
      <c r="D664" s="1"/>
      <c r="E664" s="1"/>
      <c r="F664" s="1"/>
      <c r="G664" s="1"/>
      <c r="H664" s="114"/>
      <c r="I664" s="1"/>
      <c r="J664" s="1"/>
      <c r="K664" s="1"/>
      <c r="L664" s="54"/>
      <c r="M664" s="54"/>
      <c r="N664" s="54"/>
      <c r="O664" s="54"/>
      <c r="P664" s="54"/>
      <c r="Q664" s="54"/>
      <c r="R664" s="1"/>
      <c r="S664" s="1"/>
      <c r="T664" s="1"/>
      <c r="U664" s="1"/>
      <c r="V664" s="1"/>
      <c r="W664" s="1"/>
      <c r="X664" s="1"/>
      <c r="Y664" s="1"/>
      <c r="Z664" s="1"/>
      <c r="AA664" s="1"/>
      <c r="AB664" s="1"/>
      <c r="AC664" s="1"/>
      <c r="AD664" s="1"/>
      <c r="AE664" s="1"/>
      <c r="AF664" s="1"/>
      <c r="AG664" s="1"/>
      <c r="AH664" s="1"/>
      <c r="AI664" s="1"/>
    </row>
    <row x14ac:dyDescent="0.25" r="665" customHeight="1" ht="17.25">
      <c r="A665" s="1"/>
      <c r="B665" s="114"/>
      <c r="C665" s="1"/>
      <c r="D665" s="1"/>
      <c r="E665" s="1"/>
      <c r="F665" s="1"/>
      <c r="G665" s="1"/>
      <c r="H665" s="114"/>
      <c r="I665" s="1"/>
      <c r="J665" s="1"/>
      <c r="K665" s="1"/>
      <c r="L665" s="54"/>
      <c r="M665" s="54"/>
      <c r="N665" s="54"/>
      <c r="O665" s="54"/>
      <c r="P665" s="54"/>
      <c r="Q665" s="54"/>
      <c r="R665" s="1"/>
      <c r="S665" s="1"/>
      <c r="T665" s="1"/>
      <c r="U665" s="1"/>
      <c r="V665" s="1"/>
      <c r="W665" s="1"/>
      <c r="X665" s="1"/>
      <c r="Y665" s="1"/>
      <c r="Z665" s="1"/>
      <c r="AA665" s="1"/>
      <c r="AB665" s="1"/>
      <c r="AC665" s="1"/>
      <c r="AD665" s="1"/>
      <c r="AE665" s="1"/>
      <c r="AF665" s="1"/>
      <c r="AG665" s="1"/>
      <c r="AH665" s="1"/>
      <c r="AI665" s="1"/>
    </row>
    <row x14ac:dyDescent="0.25" r="666" customHeight="1" ht="17.25">
      <c r="A666" s="1"/>
      <c r="B666" s="114"/>
      <c r="C666" s="1"/>
      <c r="D666" s="1"/>
      <c r="E666" s="1"/>
      <c r="F666" s="1"/>
      <c r="G666" s="1"/>
      <c r="H666" s="114"/>
      <c r="I666" s="1"/>
      <c r="J666" s="1"/>
      <c r="K666" s="1"/>
      <c r="L666" s="54"/>
      <c r="M666" s="54"/>
      <c r="N666" s="54"/>
      <c r="O666" s="54"/>
      <c r="P666" s="54"/>
      <c r="Q666" s="54"/>
      <c r="R666" s="1"/>
      <c r="S666" s="1"/>
      <c r="T666" s="1"/>
      <c r="U666" s="1"/>
      <c r="V666" s="1"/>
      <c r="W666" s="1"/>
      <c r="X666" s="1"/>
      <c r="Y666" s="1"/>
      <c r="Z666" s="1"/>
      <c r="AA666" s="1"/>
      <c r="AB666" s="1"/>
      <c r="AC666" s="1"/>
      <c r="AD666" s="1"/>
      <c r="AE666" s="1"/>
      <c r="AF666" s="1"/>
      <c r="AG666" s="1"/>
      <c r="AH666" s="1"/>
      <c r="AI666" s="1"/>
    </row>
    <row x14ac:dyDescent="0.25" r="667" customHeight="1" ht="17.25">
      <c r="A667" s="1"/>
      <c r="B667" s="114"/>
      <c r="C667" s="1"/>
      <c r="D667" s="1"/>
      <c r="E667" s="1"/>
      <c r="F667" s="1"/>
      <c r="G667" s="1"/>
      <c r="H667" s="114"/>
      <c r="I667" s="1"/>
      <c r="J667" s="1"/>
      <c r="K667" s="1"/>
      <c r="L667" s="54"/>
      <c r="M667" s="54"/>
      <c r="N667" s="54"/>
      <c r="O667" s="54"/>
      <c r="P667" s="54"/>
      <c r="Q667" s="54"/>
      <c r="R667" s="1"/>
      <c r="S667" s="1"/>
      <c r="T667" s="1"/>
      <c r="U667" s="1"/>
      <c r="V667" s="1"/>
      <c r="W667" s="1"/>
      <c r="X667" s="1"/>
      <c r="Y667" s="1"/>
      <c r="Z667" s="1"/>
      <c r="AA667" s="1"/>
      <c r="AB667" s="1"/>
      <c r="AC667" s="1"/>
      <c r="AD667" s="1"/>
      <c r="AE667" s="1"/>
      <c r="AF667" s="1"/>
      <c r="AG667" s="1"/>
      <c r="AH667" s="1"/>
      <c r="AI667" s="1"/>
    </row>
    <row x14ac:dyDescent="0.25" r="668" customHeight="1" ht="17.25">
      <c r="A668" s="1"/>
      <c r="B668" s="114"/>
      <c r="C668" s="1"/>
      <c r="D668" s="1"/>
      <c r="E668" s="1"/>
      <c r="F668" s="1"/>
      <c r="G668" s="1"/>
      <c r="H668" s="114"/>
      <c r="I668" s="1"/>
      <c r="J668" s="1"/>
      <c r="K668" s="1"/>
      <c r="L668" s="54"/>
      <c r="M668" s="54"/>
      <c r="N668" s="54"/>
      <c r="O668" s="54"/>
      <c r="P668" s="54"/>
      <c r="Q668" s="54"/>
      <c r="R668" s="1"/>
      <c r="S668" s="1"/>
      <c r="T668" s="1"/>
      <c r="U668" s="1"/>
      <c r="V668" s="1"/>
      <c r="W668" s="1"/>
      <c r="X668" s="1"/>
      <c r="Y668" s="1"/>
      <c r="Z668" s="1"/>
      <c r="AA668" s="1"/>
      <c r="AB668" s="1"/>
      <c r="AC668" s="1"/>
      <c r="AD668" s="1"/>
      <c r="AE668" s="1"/>
      <c r="AF668" s="1"/>
      <c r="AG668" s="1"/>
      <c r="AH668" s="1"/>
      <c r="AI668" s="1"/>
    </row>
    <row x14ac:dyDescent="0.25" r="669" customHeight="1" ht="17.25">
      <c r="A669" s="1"/>
      <c r="B669" s="114"/>
      <c r="C669" s="1"/>
      <c r="D669" s="1"/>
      <c r="E669" s="1"/>
      <c r="F669" s="1"/>
      <c r="G669" s="1"/>
      <c r="H669" s="114"/>
      <c r="I669" s="1"/>
      <c r="J669" s="1"/>
      <c r="K669" s="1"/>
      <c r="L669" s="54"/>
      <c r="M669" s="54"/>
      <c r="N669" s="54"/>
      <c r="O669" s="54"/>
      <c r="P669" s="54"/>
      <c r="Q669" s="54"/>
      <c r="R669" s="1"/>
      <c r="S669" s="1"/>
      <c r="T669" s="1"/>
      <c r="U669" s="1"/>
      <c r="V669" s="1"/>
      <c r="W669" s="1"/>
      <c r="X669" s="1"/>
      <c r="Y669" s="1"/>
      <c r="Z669" s="1"/>
      <c r="AA669" s="1"/>
      <c r="AB669" s="1"/>
      <c r="AC669" s="1"/>
      <c r="AD669" s="1"/>
      <c r="AE669" s="1"/>
      <c r="AF669" s="1"/>
      <c r="AG669" s="1"/>
      <c r="AH669" s="1"/>
      <c r="AI669" s="1"/>
    </row>
    <row x14ac:dyDescent="0.25" r="670" customHeight="1" ht="17.25">
      <c r="A670" s="1"/>
      <c r="B670" s="114"/>
      <c r="C670" s="1"/>
      <c r="D670" s="1"/>
      <c r="E670" s="1"/>
      <c r="F670" s="1"/>
      <c r="G670" s="1"/>
      <c r="H670" s="114"/>
      <c r="I670" s="1"/>
      <c r="J670" s="1"/>
      <c r="K670" s="1"/>
      <c r="L670" s="54"/>
      <c r="M670" s="54"/>
      <c r="N670" s="54"/>
      <c r="O670" s="54"/>
      <c r="P670" s="54"/>
      <c r="Q670" s="54"/>
      <c r="R670" s="1"/>
      <c r="S670" s="1"/>
      <c r="T670" s="1"/>
      <c r="U670" s="1"/>
      <c r="V670" s="1"/>
      <c r="W670" s="1"/>
      <c r="X670" s="1"/>
      <c r="Y670" s="1"/>
      <c r="Z670" s="1"/>
      <c r="AA670" s="1"/>
      <c r="AB670" s="1"/>
      <c r="AC670" s="1"/>
      <c r="AD670" s="1"/>
      <c r="AE670" s="1"/>
      <c r="AF670" s="1"/>
      <c r="AG670" s="1"/>
      <c r="AH670" s="1"/>
      <c r="AI670" s="1"/>
    </row>
    <row x14ac:dyDescent="0.25" r="671" customHeight="1" ht="17.25">
      <c r="A671" s="1"/>
      <c r="B671" s="114"/>
      <c r="C671" s="1"/>
      <c r="D671" s="1"/>
      <c r="E671" s="1"/>
      <c r="F671" s="1"/>
      <c r="G671" s="1"/>
      <c r="H671" s="114"/>
      <c r="I671" s="1"/>
      <c r="J671" s="1"/>
      <c r="K671" s="1"/>
      <c r="L671" s="54"/>
      <c r="M671" s="54"/>
      <c r="N671" s="54"/>
      <c r="O671" s="54"/>
      <c r="P671" s="54"/>
      <c r="Q671" s="54"/>
      <c r="R671" s="1"/>
      <c r="S671" s="1"/>
      <c r="T671" s="1"/>
      <c r="U671" s="1"/>
      <c r="V671" s="1"/>
      <c r="W671" s="1"/>
      <c r="X671" s="1"/>
      <c r="Y671" s="1"/>
      <c r="Z671" s="1"/>
      <c r="AA671" s="1"/>
      <c r="AB671" s="1"/>
      <c r="AC671" s="1"/>
      <c r="AD671" s="1"/>
      <c r="AE671" s="1"/>
      <c r="AF671" s="1"/>
      <c r="AG671" s="1"/>
      <c r="AH671" s="1"/>
      <c r="AI671" s="1"/>
    </row>
    <row x14ac:dyDescent="0.25" r="672" customHeight="1" ht="17.25">
      <c r="A672" s="1"/>
      <c r="B672" s="114"/>
      <c r="C672" s="1"/>
      <c r="D672" s="1"/>
      <c r="E672" s="1"/>
      <c r="F672" s="1"/>
      <c r="G672" s="1"/>
      <c r="H672" s="114"/>
      <c r="I672" s="1"/>
      <c r="J672" s="1"/>
      <c r="K672" s="1"/>
      <c r="L672" s="54"/>
      <c r="M672" s="54"/>
      <c r="N672" s="54"/>
      <c r="O672" s="54"/>
      <c r="P672" s="54"/>
      <c r="Q672" s="54"/>
      <c r="R672" s="1"/>
      <c r="S672" s="1"/>
      <c r="T672" s="1"/>
      <c r="U672" s="1"/>
      <c r="V672" s="1"/>
      <c r="W672" s="1"/>
      <c r="X672" s="1"/>
      <c r="Y672" s="1"/>
      <c r="Z672" s="1"/>
      <c r="AA672" s="1"/>
      <c r="AB672" s="1"/>
      <c r="AC672" s="1"/>
      <c r="AD672" s="1"/>
      <c r="AE672" s="1"/>
      <c r="AF672" s="1"/>
      <c r="AG672" s="1"/>
      <c r="AH672" s="1"/>
      <c r="AI672" s="1"/>
    </row>
    <row x14ac:dyDescent="0.25" r="673" customHeight="1" ht="17.25">
      <c r="A673" s="1"/>
      <c r="B673" s="114"/>
      <c r="C673" s="1"/>
      <c r="D673" s="1"/>
      <c r="E673" s="1"/>
      <c r="F673" s="1"/>
      <c r="G673" s="1"/>
      <c r="H673" s="114"/>
      <c r="I673" s="1"/>
      <c r="J673" s="1"/>
      <c r="K673" s="1"/>
      <c r="L673" s="54"/>
      <c r="M673" s="54"/>
      <c r="N673" s="54"/>
      <c r="O673" s="54"/>
      <c r="P673" s="54"/>
      <c r="Q673" s="54"/>
      <c r="R673" s="1"/>
      <c r="S673" s="1"/>
      <c r="T673" s="1"/>
      <c r="U673" s="1"/>
      <c r="V673" s="1"/>
      <c r="W673" s="1"/>
      <c r="X673" s="1"/>
      <c r="Y673" s="1"/>
      <c r="Z673" s="1"/>
      <c r="AA673" s="1"/>
      <c r="AB673" s="1"/>
      <c r="AC673" s="1"/>
      <c r="AD673" s="1"/>
      <c r="AE673" s="1"/>
      <c r="AF673" s="1"/>
      <c r="AG673" s="1"/>
      <c r="AH673" s="1"/>
      <c r="AI673" s="1"/>
    </row>
    <row x14ac:dyDescent="0.25" r="674" customHeight="1" ht="17.25">
      <c r="A674" s="1"/>
      <c r="B674" s="114"/>
      <c r="C674" s="1"/>
      <c r="D674" s="1"/>
      <c r="E674" s="120"/>
      <c r="F674" s="1"/>
      <c r="G674" s="1"/>
      <c r="H674" s="114"/>
      <c r="I674" s="1"/>
      <c r="J674" s="1"/>
      <c r="K674" s="1"/>
      <c r="L674" s="54"/>
      <c r="M674" s="54"/>
      <c r="N674" s="54"/>
      <c r="O674" s="54"/>
      <c r="P674" s="54"/>
      <c r="Q674" s="54"/>
      <c r="R674" s="1"/>
      <c r="S674" s="1"/>
      <c r="T674" s="1"/>
      <c r="U674" s="1"/>
      <c r="V674" s="1"/>
      <c r="W674" s="1"/>
      <c r="X674" s="1"/>
      <c r="Y674" s="1"/>
      <c r="Z674" s="1"/>
      <c r="AA674" s="1"/>
      <c r="AB674" s="1"/>
      <c r="AC674" s="1"/>
      <c r="AD674" s="1"/>
      <c r="AE674" s="1"/>
      <c r="AF674" s="1"/>
      <c r="AG674" s="1"/>
      <c r="AH674" s="1"/>
      <c r="AI674" s="1"/>
    </row>
    <row x14ac:dyDescent="0.25" r="675" customHeight="1" ht="17.25">
      <c r="A675" s="1"/>
      <c r="B675" s="114"/>
      <c r="C675" s="1"/>
      <c r="D675" s="1"/>
      <c r="E675" s="1"/>
      <c r="F675" s="1"/>
      <c r="G675" s="1"/>
      <c r="H675" s="114"/>
      <c r="I675" s="1"/>
      <c r="J675" s="1"/>
      <c r="K675" s="1"/>
      <c r="L675" s="54"/>
      <c r="M675" s="54"/>
      <c r="N675" s="54"/>
      <c r="O675" s="54"/>
      <c r="P675" s="54"/>
      <c r="Q675" s="54"/>
      <c r="R675" s="1"/>
      <c r="S675" s="1"/>
      <c r="T675" s="1"/>
      <c r="U675" s="1"/>
      <c r="V675" s="1"/>
      <c r="W675" s="1"/>
      <c r="X675" s="1"/>
      <c r="Y675" s="1"/>
      <c r="Z675" s="1"/>
      <c r="AA675" s="1"/>
      <c r="AB675" s="1"/>
      <c r="AC675" s="1"/>
      <c r="AD675" s="1"/>
      <c r="AE675" s="1"/>
      <c r="AF675" s="1"/>
      <c r="AG675" s="1"/>
      <c r="AH675" s="1"/>
      <c r="AI675" s="1"/>
    </row>
    <row x14ac:dyDescent="0.25" r="676" customHeight="1" ht="17.25">
      <c r="A676" s="1"/>
      <c r="B676" s="114"/>
      <c r="C676" s="1"/>
      <c r="D676" s="1"/>
      <c r="E676" s="1"/>
      <c r="F676" s="1"/>
      <c r="G676" s="1"/>
      <c r="H676" s="114"/>
      <c r="I676" s="1"/>
      <c r="J676" s="1"/>
      <c r="K676" s="1"/>
      <c r="L676" s="54"/>
      <c r="M676" s="54"/>
      <c r="N676" s="54"/>
      <c r="O676" s="54"/>
      <c r="P676" s="54"/>
      <c r="Q676" s="54"/>
      <c r="R676" s="1"/>
      <c r="S676" s="1"/>
      <c r="T676" s="1"/>
      <c r="U676" s="1"/>
      <c r="V676" s="1"/>
      <c r="W676" s="1"/>
      <c r="X676" s="1"/>
      <c r="Y676" s="1"/>
      <c r="Z676" s="1"/>
      <c r="AA676" s="1"/>
      <c r="AB676" s="1"/>
      <c r="AC676" s="1"/>
      <c r="AD676" s="1"/>
      <c r="AE676" s="1"/>
      <c r="AF676" s="1"/>
      <c r="AG676" s="1"/>
      <c r="AH676" s="1"/>
      <c r="AI676" s="1"/>
    </row>
    <row x14ac:dyDescent="0.25" r="677" customHeight="1" ht="17.25">
      <c r="A677" s="1"/>
      <c r="B677" s="114"/>
      <c r="C677" s="1"/>
      <c r="D677" s="1"/>
      <c r="E677" s="116"/>
      <c r="F677" s="1"/>
      <c r="G677" s="1"/>
      <c r="H677" s="114"/>
      <c r="I677" s="1"/>
      <c r="J677" s="1"/>
      <c r="K677" s="1"/>
      <c r="L677" s="54"/>
      <c r="M677" s="54"/>
      <c r="N677" s="54"/>
      <c r="O677" s="54"/>
      <c r="P677" s="54"/>
      <c r="Q677" s="54"/>
      <c r="R677" s="1"/>
      <c r="S677" s="1"/>
      <c r="T677" s="1"/>
      <c r="U677" s="1"/>
      <c r="V677" s="1"/>
      <c r="W677" s="1"/>
      <c r="X677" s="1"/>
      <c r="Y677" s="1"/>
      <c r="Z677" s="1"/>
      <c r="AA677" s="1"/>
      <c r="AB677" s="1"/>
      <c r="AC677" s="1"/>
      <c r="AD677" s="1"/>
      <c r="AE677" s="1"/>
      <c r="AF677" s="1"/>
      <c r="AG677" s="1"/>
      <c r="AH677" s="1"/>
      <c r="AI677" s="1"/>
    </row>
    <row x14ac:dyDescent="0.25" r="678" customHeight="1" ht="17.25">
      <c r="A678" s="1"/>
      <c r="B678" s="114"/>
      <c r="C678" s="1"/>
      <c r="D678" s="1"/>
      <c r="E678" s="116"/>
      <c r="F678" s="1"/>
      <c r="G678" s="1"/>
      <c r="H678" s="114"/>
      <c r="I678" s="1"/>
      <c r="J678" s="1"/>
      <c r="K678" s="1"/>
      <c r="L678" s="54"/>
      <c r="M678" s="54"/>
      <c r="N678" s="54"/>
      <c r="O678" s="54"/>
      <c r="P678" s="54"/>
      <c r="Q678" s="54"/>
      <c r="R678" s="1"/>
      <c r="S678" s="1"/>
      <c r="T678" s="1"/>
      <c r="U678" s="1"/>
      <c r="V678" s="1"/>
      <c r="W678" s="1"/>
      <c r="X678" s="1"/>
      <c r="Y678" s="1"/>
      <c r="Z678" s="1"/>
      <c r="AA678" s="1"/>
      <c r="AB678" s="1"/>
      <c r="AC678" s="1"/>
      <c r="AD678" s="1"/>
      <c r="AE678" s="1"/>
      <c r="AF678" s="1"/>
      <c r="AG678" s="1"/>
      <c r="AH678" s="1"/>
      <c r="AI678" s="1"/>
    </row>
    <row x14ac:dyDescent="0.25" r="679" customHeight="1" ht="17.25">
      <c r="A679" s="1"/>
      <c r="B679" s="114"/>
      <c r="C679" s="1"/>
      <c r="D679" s="1"/>
      <c r="E679" s="1"/>
      <c r="F679" s="1"/>
      <c r="G679" s="1"/>
      <c r="H679" s="114"/>
      <c r="I679" s="1"/>
      <c r="J679" s="1"/>
      <c r="K679" s="1"/>
      <c r="L679" s="54"/>
      <c r="M679" s="54"/>
      <c r="N679" s="54"/>
      <c r="O679" s="54"/>
      <c r="P679" s="54"/>
      <c r="Q679" s="54"/>
      <c r="R679" s="1"/>
      <c r="S679" s="1"/>
      <c r="T679" s="1"/>
      <c r="U679" s="1"/>
      <c r="V679" s="1"/>
      <c r="W679" s="1"/>
      <c r="X679" s="1"/>
      <c r="Y679" s="1"/>
      <c r="Z679" s="1"/>
      <c r="AA679" s="1"/>
      <c r="AB679" s="1"/>
      <c r="AC679" s="1"/>
      <c r="AD679" s="1"/>
      <c r="AE679" s="1"/>
      <c r="AF679" s="1"/>
      <c r="AG679" s="1"/>
      <c r="AH679" s="1"/>
      <c r="AI679" s="1"/>
    </row>
    <row x14ac:dyDescent="0.25" r="680" customHeight="1" ht="17.25">
      <c r="A680" s="1"/>
      <c r="B680" s="114"/>
      <c r="C680" s="1"/>
      <c r="D680" s="1"/>
      <c r="E680" s="1"/>
      <c r="F680" s="1"/>
      <c r="G680" s="1"/>
      <c r="H680" s="114"/>
      <c r="I680" s="1"/>
      <c r="J680" s="1"/>
      <c r="K680" s="1"/>
      <c r="L680" s="54"/>
      <c r="M680" s="54"/>
      <c r="N680" s="54"/>
      <c r="O680" s="54"/>
      <c r="P680" s="54"/>
      <c r="Q680" s="54"/>
      <c r="R680" s="1"/>
      <c r="S680" s="1"/>
      <c r="T680" s="1"/>
      <c r="U680" s="1"/>
      <c r="V680" s="1"/>
      <c r="W680" s="1"/>
      <c r="X680" s="1"/>
      <c r="Y680" s="1"/>
      <c r="Z680" s="1"/>
      <c r="AA680" s="1"/>
      <c r="AB680" s="1"/>
      <c r="AC680" s="1"/>
      <c r="AD680" s="1"/>
      <c r="AE680" s="1"/>
      <c r="AF680" s="1"/>
      <c r="AG680" s="1"/>
      <c r="AH680" s="1"/>
      <c r="AI680" s="1"/>
    </row>
    <row x14ac:dyDescent="0.25" r="681" customHeight="1" ht="17.25">
      <c r="A681" s="1"/>
      <c r="B681" s="114"/>
      <c r="C681" s="1"/>
      <c r="D681" s="1"/>
      <c r="E681" s="1"/>
      <c r="F681" s="1"/>
      <c r="G681" s="1"/>
      <c r="H681" s="114"/>
      <c r="I681" s="1"/>
      <c r="J681" s="1"/>
      <c r="K681" s="1"/>
      <c r="L681" s="54"/>
      <c r="M681" s="54"/>
      <c r="N681" s="54"/>
      <c r="O681" s="54"/>
      <c r="P681" s="54"/>
      <c r="Q681" s="54"/>
      <c r="R681" s="1"/>
      <c r="S681" s="1"/>
      <c r="T681" s="1"/>
      <c r="U681" s="1"/>
      <c r="V681" s="1"/>
      <c r="W681" s="1"/>
      <c r="X681" s="1"/>
      <c r="Y681" s="1"/>
      <c r="Z681" s="1"/>
      <c r="AA681" s="1"/>
      <c r="AB681" s="1"/>
      <c r="AC681" s="1"/>
      <c r="AD681" s="1"/>
      <c r="AE681" s="1"/>
      <c r="AF681" s="1"/>
      <c r="AG681" s="1"/>
      <c r="AH681" s="1"/>
      <c r="AI681" s="1"/>
    </row>
    <row x14ac:dyDescent="0.25" r="682" customHeight="1" ht="17.25">
      <c r="A682" s="1"/>
      <c r="B682" s="114"/>
      <c r="C682" s="1"/>
      <c r="D682" s="1"/>
      <c r="E682" s="1"/>
      <c r="F682" s="1"/>
      <c r="G682" s="1"/>
      <c r="H682" s="114"/>
      <c r="I682" s="1"/>
      <c r="J682" s="1"/>
      <c r="K682" s="1"/>
      <c r="L682" s="54"/>
      <c r="M682" s="54"/>
      <c r="N682" s="54"/>
      <c r="O682" s="54"/>
      <c r="P682" s="54"/>
      <c r="Q682" s="54"/>
      <c r="R682" s="1"/>
      <c r="S682" s="1"/>
      <c r="T682" s="1"/>
      <c r="U682" s="1"/>
      <c r="V682" s="1"/>
      <c r="W682" s="1"/>
      <c r="X682" s="1"/>
      <c r="Y682" s="1"/>
      <c r="Z682" s="1"/>
      <c r="AA682" s="1"/>
      <c r="AB682" s="1"/>
      <c r="AC682" s="1"/>
      <c r="AD682" s="1"/>
      <c r="AE682" s="1"/>
      <c r="AF682" s="1"/>
      <c r="AG682" s="1"/>
      <c r="AH682" s="1"/>
      <c r="AI682" s="1"/>
    </row>
    <row x14ac:dyDescent="0.25" r="683" customHeight="1" ht="17.25">
      <c r="A683" s="1"/>
      <c r="B683" s="114"/>
      <c r="C683" s="1"/>
      <c r="D683" s="1"/>
      <c r="E683" s="1"/>
      <c r="F683" s="1"/>
      <c r="G683" s="1"/>
      <c r="H683" s="114"/>
      <c r="I683" s="1"/>
      <c r="J683" s="1"/>
      <c r="K683" s="1"/>
      <c r="L683" s="54"/>
      <c r="M683" s="54"/>
      <c r="N683" s="54"/>
      <c r="O683" s="54"/>
      <c r="P683" s="54"/>
      <c r="Q683" s="54"/>
      <c r="R683" s="1"/>
      <c r="S683" s="1"/>
      <c r="T683" s="1"/>
      <c r="U683" s="1"/>
      <c r="V683" s="1"/>
      <c r="W683" s="1"/>
      <c r="X683" s="1"/>
      <c r="Y683" s="1"/>
      <c r="Z683" s="1"/>
      <c r="AA683" s="1"/>
      <c r="AB683" s="1"/>
      <c r="AC683" s="1"/>
      <c r="AD683" s="1"/>
      <c r="AE683" s="1"/>
      <c r="AF683" s="1"/>
      <c r="AG683" s="1"/>
      <c r="AH683" s="1"/>
      <c r="AI683" s="1"/>
    </row>
    <row x14ac:dyDescent="0.25" r="684" customHeight="1" ht="17.25">
      <c r="A684" s="1"/>
      <c r="B684" s="114"/>
      <c r="C684" s="1"/>
      <c r="D684" s="1"/>
      <c r="E684" s="1"/>
      <c r="F684" s="1"/>
      <c r="G684" s="1"/>
      <c r="H684" s="114"/>
      <c r="I684" s="1"/>
      <c r="J684" s="1"/>
      <c r="K684" s="1"/>
      <c r="L684" s="54"/>
      <c r="M684" s="54"/>
      <c r="N684" s="54"/>
      <c r="O684" s="54"/>
      <c r="P684" s="54"/>
      <c r="Q684" s="54"/>
      <c r="R684" s="1"/>
      <c r="S684" s="1"/>
      <c r="T684" s="1"/>
      <c r="U684" s="1"/>
      <c r="V684" s="1"/>
      <c r="W684" s="1"/>
      <c r="X684" s="1"/>
      <c r="Y684" s="1"/>
      <c r="Z684" s="1"/>
      <c r="AA684" s="1"/>
      <c r="AB684" s="1"/>
      <c r="AC684" s="1"/>
      <c r="AD684" s="1"/>
      <c r="AE684" s="1"/>
      <c r="AF684" s="1"/>
      <c r="AG684" s="1"/>
      <c r="AH684" s="1"/>
      <c r="AI684" s="1"/>
    </row>
    <row x14ac:dyDescent="0.25" r="685" customHeight="1" ht="17.25">
      <c r="A685" s="1"/>
      <c r="B685" s="114"/>
      <c r="C685" s="1"/>
      <c r="D685" s="1"/>
      <c r="E685" s="1"/>
      <c r="F685" s="1"/>
      <c r="G685" s="1"/>
      <c r="H685" s="114"/>
      <c r="I685" s="1"/>
      <c r="J685" s="1"/>
      <c r="K685" s="1"/>
      <c r="L685" s="54"/>
      <c r="M685" s="54"/>
      <c r="N685" s="54"/>
      <c r="O685" s="54"/>
      <c r="P685" s="54"/>
      <c r="Q685" s="54"/>
      <c r="R685" s="1"/>
      <c r="S685" s="1"/>
      <c r="T685" s="1"/>
      <c r="U685" s="1"/>
      <c r="V685" s="1"/>
      <c r="W685" s="1"/>
      <c r="X685" s="1"/>
      <c r="Y685" s="1"/>
      <c r="Z685" s="1"/>
      <c r="AA685" s="1"/>
      <c r="AB685" s="1"/>
      <c r="AC685" s="1"/>
      <c r="AD685" s="1"/>
      <c r="AE685" s="1"/>
      <c r="AF685" s="1"/>
      <c r="AG685" s="1"/>
      <c r="AH685" s="1"/>
      <c r="AI685" s="1"/>
    </row>
    <row x14ac:dyDescent="0.25" r="686" customHeight="1" ht="17.25">
      <c r="A686" s="1"/>
      <c r="B686" s="114"/>
      <c r="C686" s="1"/>
      <c r="D686" s="1"/>
      <c r="E686" s="1"/>
      <c r="F686" s="1"/>
      <c r="G686" s="1"/>
      <c r="H686" s="114"/>
      <c r="I686" s="1"/>
      <c r="J686" s="1"/>
      <c r="K686" s="1"/>
      <c r="L686" s="54"/>
      <c r="M686" s="54"/>
      <c r="N686" s="54"/>
      <c r="O686" s="54"/>
      <c r="P686" s="54"/>
      <c r="Q686" s="54"/>
      <c r="R686" s="1"/>
      <c r="S686" s="1"/>
      <c r="T686" s="1"/>
      <c r="U686" s="1"/>
      <c r="V686" s="1"/>
      <c r="W686" s="1"/>
      <c r="X686" s="1"/>
      <c r="Y686" s="1"/>
      <c r="Z686" s="1"/>
      <c r="AA686" s="1"/>
      <c r="AB686" s="1"/>
      <c r="AC686" s="1"/>
      <c r="AD686" s="1"/>
      <c r="AE686" s="1"/>
      <c r="AF686" s="1"/>
      <c r="AG686" s="1"/>
      <c r="AH686" s="1"/>
      <c r="AI686" s="1"/>
    </row>
    <row x14ac:dyDescent="0.25" r="687" customHeight="1" ht="17.25">
      <c r="A687" s="1"/>
      <c r="B687" s="114"/>
      <c r="C687" s="1"/>
      <c r="D687" s="1"/>
      <c r="E687" s="1"/>
      <c r="F687" s="1"/>
      <c r="G687" s="1"/>
      <c r="H687" s="114"/>
      <c r="I687" s="1"/>
      <c r="J687" s="1"/>
      <c r="K687" s="1"/>
      <c r="L687" s="54"/>
      <c r="M687" s="54"/>
      <c r="N687" s="54"/>
      <c r="O687" s="54"/>
      <c r="P687" s="54"/>
      <c r="Q687" s="54"/>
      <c r="R687" s="1"/>
      <c r="S687" s="1"/>
      <c r="T687" s="1"/>
      <c r="U687" s="1"/>
      <c r="V687" s="1"/>
      <c r="W687" s="1"/>
      <c r="X687" s="1"/>
      <c r="Y687" s="1"/>
      <c r="Z687" s="1"/>
      <c r="AA687" s="1"/>
      <c r="AB687" s="1"/>
      <c r="AC687" s="1"/>
      <c r="AD687" s="1"/>
      <c r="AE687" s="1"/>
      <c r="AF687" s="1"/>
      <c r="AG687" s="1"/>
      <c r="AH687" s="1"/>
      <c r="AI687" s="1"/>
    </row>
    <row x14ac:dyDescent="0.25" r="688" customHeight="1" ht="17.25">
      <c r="A688" s="1"/>
      <c r="B688" s="114"/>
      <c r="C688" s="1"/>
      <c r="D688" s="1"/>
      <c r="E688" s="1"/>
      <c r="F688" s="1"/>
      <c r="G688" s="1"/>
      <c r="H688" s="114"/>
      <c r="I688" s="1"/>
      <c r="J688" s="1"/>
      <c r="K688" s="1"/>
      <c r="L688" s="54"/>
      <c r="M688" s="54"/>
      <c r="N688" s="54"/>
      <c r="O688" s="54"/>
      <c r="P688" s="54"/>
      <c r="Q688" s="54"/>
      <c r="R688" s="1"/>
      <c r="S688" s="1"/>
      <c r="T688" s="1"/>
      <c r="U688" s="1"/>
      <c r="V688" s="1"/>
      <c r="W688" s="1"/>
      <c r="X688" s="1"/>
      <c r="Y688" s="1"/>
      <c r="Z688" s="1"/>
      <c r="AA688" s="1"/>
      <c r="AB688" s="1"/>
      <c r="AC688" s="1"/>
      <c r="AD688" s="1"/>
      <c r="AE688" s="1"/>
      <c r="AF688" s="1"/>
      <c r="AG688" s="1"/>
      <c r="AH688" s="1"/>
      <c r="AI688" s="1"/>
    </row>
    <row x14ac:dyDescent="0.25" r="689" customHeight="1" ht="17.25">
      <c r="A689" s="1"/>
      <c r="B689" s="114"/>
      <c r="C689" s="1"/>
      <c r="D689" s="1"/>
      <c r="E689" s="1"/>
      <c r="F689" s="1"/>
      <c r="G689" s="1"/>
      <c r="H689" s="114"/>
      <c r="I689" s="1"/>
      <c r="J689" s="1"/>
      <c r="K689" s="1"/>
      <c r="L689" s="54"/>
      <c r="M689" s="54"/>
      <c r="N689" s="54"/>
      <c r="O689" s="54"/>
      <c r="P689" s="54"/>
      <c r="Q689" s="54"/>
      <c r="R689" s="1"/>
      <c r="S689" s="1"/>
      <c r="T689" s="1"/>
      <c r="U689" s="1"/>
      <c r="V689" s="1"/>
      <c r="W689" s="1"/>
      <c r="X689" s="1"/>
      <c r="Y689" s="1"/>
      <c r="Z689" s="1"/>
      <c r="AA689" s="1"/>
      <c r="AB689" s="1"/>
      <c r="AC689" s="1"/>
      <c r="AD689" s="1"/>
      <c r="AE689" s="1"/>
      <c r="AF689" s="1"/>
      <c r="AG689" s="1"/>
      <c r="AH689" s="1"/>
      <c r="AI689" s="1"/>
    </row>
    <row x14ac:dyDescent="0.25" r="690" customHeight="1" ht="17.25">
      <c r="A690" s="1"/>
      <c r="B690" s="114"/>
      <c r="C690" s="1"/>
      <c r="D690" s="1"/>
      <c r="E690" s="1"/>
      <c r="F690" s="1"/>
      <c r="G690" s="1"/>
      <c r="H690" s="114"/>
      <c r="I690" s="1"/>
      <c r="J690" s="1"/>
      <c r="K690" s="1"/>
      <c r="L690" s="54"/>
      <c r="M690" s="54"/>
      <c r="N690" s="54"/>
      <c r="O690" s="54"/>
      <c r="P690" s="54"/>
      <c r="Q690" s="54"/>
      <c r="R690" s="1"/>
      <c r="S690" s="1"/>
      <c r="T690" s="1"/>
      <c r="U690" s="1"/>
      <c r="V690" s="1"/>
      <c r="W690" s="1"/>
      <c r="X690" s="1"/>
      <c r="Y690" s="1"/>
      <c r="Z690" s="1"/>
      <c r="AA690" s="1"/>
      <c r="AB690" s="1"/>
      <c r="AC690" s="1"/>
      <c r="AD690" s="1"/>
      <c r="AE690" s="1"/>
      <c r="AF690" s="1"/>
      <c r="AG690" s="1"/>
      <c r="AH690" s="1"/>
      <c r="AI690" s="1"/>
    </row>
    <row x14ac:dyDescent="0.25" r="691" customHeight="1" ht="17.25">
      <c r="A691" s="1"/>
      <c r="B691" s="114"/>
      <c r="C691" s="1"/>
      <c r="D691" s="1"/>
      <c r="E691" s="116"/>
      <c r="F691" s="1"/>
      <c r="G691" s="1"/>
      <c r="H691" s="114"/>
      <c r="I691" s="1"/>
      <c r="J691" s="1"/>
      <c r="K691" s="1"/>
      <c r="L691" s="54"/>
      <c r="M691" s="54"/>
      <c r="N691" s="54"/>
      <c r="O691" s="54"/>
      <c r="P691" s="54"/>
      <c r="Q691" s="54"/>
      <c r="R691" s="1"/>
      <c r="S691" s="1"/>
      <c r="T691" s="1"/>
      <c r="U691" s="1"/>
      <c r="V691" s="1"/>
      <c r="W691" s="1"/>
      <c r="X691" s="1"/>
      <c r="Y691" s="1"/>
      <c r="Z691" s="1"/>
      <c r="AA691" s="1"/>
      <c r="AB691" s="1"/>
      <c r="AC691" s="1"/>
      <c r="AD691" s="1"/>
      <c r="AE691" s="1"/>
      <c r="AF691" s="1"/>
      <c r="AG691" s="1"/>
      <c r="AH691" s="1"/>
      <c r="AI691" s="1"/>
    </row>
    <row x14ac:dyDescent="0.25" r="692" customHeight="1" ht="17.25">
      <c r="A692" s="1"/>
      <c r="B692" s="114"/>
      <c r="C692" s="1"/>
      <c r="D692" s="1"/>
      <c r="E692" s="116"/>
      <c r="F692" s="1"/>
      <c r="G692" s="1"/>
      <c r="H692" s="114"/>
      <c r="I692" s="1"/>
      <c r="J692" s="1"/>
      <c r="K692" s="1"/>
      <c r="L692" s="54"/>
      <c r="M692" s="54"/>
      <c r="N692" s="54"/>
      <c r="O692" s="54"/>
      <c r="P692" s="54"/>
      <c r="Q692" s="54"/>
      <c r="R692" s="1"/>
      <c r="S692" s="1"/>
      <c r="T692" s="1"/>
      <c r="U692" s="1"/>
      <c r="V692" s="1"/>
      <c r="W692" s="1"/>
      <c r="X692" s="1"/>
      <c r="Y692" s="1"/>
      <c r="Z692" s="1"/>
      <c r="AA692" s="1"/>
      <c r="AB692" s="1"/>
      <c r="AC692" s="1"/>
      <c r="AD692" s="1"/>
      <c r="AE692" s="1"/>
      <c r="AF692" s="1"/>
      <c r="AG692" s="1"/>
      <c r="AH692" s="1"/>
      <c r="AI692" s="1"/>
    </row>
    <row x14ac:dyDescent="0.25" r="693" customHeight="1" ht="17.25">
      <c r="A693" s="1"/>
      <c r="B693" s="114"/>
      <c r="C693" s="1"/>
      <c r="D693" s="1"/>
      <c r="E693" s="116"/>
      <c r="F693" s="1"/>
      <c r="G693" s="1"/>
      <c r="H693" s="114"/>
      <c r="I693" s="1"/>
      <c r="J693" s="1"/>
      <c r="K693" s="1"/>
      <c r="L693" s="54"/>
      <c r="M693" s="54"/>
      <c r="N693" s="54"/>
      <c r="O693" s="54"/>
      <c r="P693" s="54"/>
      <c r="Q693" s="54"/>
      <c r="R693" s="1"/>
      <c r="S693" s="1"/>
      <c r="T693" s="1"/>
      <c r="U693" s="1"/>
      <c r="V693" s="1"/>
      <c r="W693" s="1"/>
      <c r="X693" s="1"/>
      <c r="Y693" s="1"/>
      <c r="Z693" s="1"/>
      <c r="AA693" s="1"/>
      <c r="AB693" s="1"/>
      <c r="AC693" s="1"/>
      <c r="AD693" s="1"/>
      <c r="AE693" s="1"/>
      <c r="AF693" s="1"/>
      <c r="AG693" s="1"/>
      <c r="AH693" s="1"/>
      <c r="AI693" s="1"/>
    </row>
    <row x14ac:dyDescent="0.25" r="694" customHeight="1" ht="17.25">
      <c r="A694" s="1"/>
      <c r="B694" s="114"/>
      <c r="C694" s="1"/>
      <c r="D694" s="1"/>
      <c r="E694" s="116"/>
      <c r="F694" s="1"/>
      <c r="G694" s="1"/>
      <c r="H694" s="114"/>
      <c r="I694" s="1"/>
      <c r="J694" s="1"/>
      <c r="K694" s="1"/>
      <c r="L694" s="54"/>
      <c r="M694" s="54"/>
      <c r="N694" s="54"/>
      <c r="O694" s="54"/>
      <c r="P694" s="54"/>
      <c r="Q694" s="54"/>
      <c r="R694" s="1"/>
      <c r="S694" s="1"/>
      <c r="T694" s="1"/>
      <c r="U694" s="1"/>
      <c r="V694" s="1"/>
      <c r="W694" s="1"/>
      <c r="X694" s="1"/>
      <c r="Y694" s="1"/>
      <c r="Z694" s="1"/>
      <c r="AA694" s="1"/>
      <c r="AB694" s="1"/>
      <c r="AC694" s="1"/>
      <c r="AD694" s="1"/>
      <c r="AE694" s="1"/>
      <c r="AF694" s="1"/>
      <c r="AG694" s="1"/>
      <c r="AH694" s="1"/>
      <c r="AI694" s="1"/>
    </row>
    <row x14ac:dyDescent="0.25" r="695" customHeight="1" ht="17.25">
      <c r="A695" s="1"/>
      <c r="B695" s="114"/>
      <c r="C695" s="1"/>
      <c r="D695" s="1"/>
      <c r="E695" s="116"/>
      <c r="F695" s="1"/>
      <c r="G695" s="1"/>
      <c r="H695" s="114"/>
      <c r="I695" s="1"/>
      <c r="J695" s="1"/>
      <c r="K695" s="1"/>
      <c r="L695" s="54"/>
      <c r="M695" s="54"/>
      <c r="N695" s="54"/>
      <c r="O695" s="54"/>
      <c r="P695" s="54"/>
      <c r="Q695" s="54"/>
      <c r="R695" s="1"/>
      <c r="S695" s="1"/>
      <c r="T695" s="1"/>
      <c r="U695" s="1"/>
      <c r="V695" s="1"/>
      <c r="W695" s="1"/>
      <c r="X695" s="1"/>
      <c r="Y695" s="1"/>
      <c r="Z695" s="1"/>
      <c r="AA695" s="1"/>
      <c r="AB695" s="1"/>
      <c r="AC695" s="1"/>
      <c r="AD695" s="1"/>
      <c r="AE695" s="1"/>
      <c r="AF695" s="1"/>
      <c r="AG695" s="1"/>
      <c r="AH695" s="1"/>
      <c r="AI695" s="1"/>
    </row>
    <row x14ac:dyDescent="0.25" r="696" customHeight="1" ht="17.25">
      <c r="A696" s="1"/>
      <c r="B696" s="114"/>
      <c r="C696" s="1"/>
      <c r="D696" s="1"/>
      <c r="E696" s="116"/>
      <c r="F696" s="1"/>
      <c r="G696" s="1"/>
      <c r="H696" s="114"/>
      <c r="I696" s="1"/>
      <c r="J696" s="1"/>
      <c r="K696" s="1"/>
      <c r="L696" s="54"/>
      <c r="M696" s="54"/>
      <c r="N696" s="54"/>
      <c r="O696" s="54"/>
      <c r="P696" s="54"/>
      <c r="Q696" s="54"/>
      <c r="R696" s="1"/>
      <c r="S696" s="1"/>
      <c r="T696" s="1"/>
      <c r="U696" s="1"/>
      <c r="V696" s="1"/>
      <c r="W696" s="1"/>
      <c r="X696" s="1"/>
      <c r="Y696" s="1"/>
      <c r="Z696" s="1"/>
      <c r="AA696" s="1"/>
      <c r="AB696" s="1"/>
      <c r="AC696" s="1"/>
      <c r="AD696" s="1"/>
      <c r="AE696" s="1"/>
      <c r="AF696" s="1"/>
      <c r="AG696" s="1"/>
      <c r="AH696" s="1"/>
      <c r="AI696" s="1"/>
    </row>
    <row x14ac:dyDescent="0.25" r="697" customHeight="1" ht="17.25">
      <c r="A697" s="1"/>
      <c r="B697" s="114"/>
      <c r="C697" s="1"/>
      <c r="D697" s="1"/>
      <c r="E697" s="116"/>
      <c r="F697" s="1"/>
      <c r="G697" s="1"/>
      <c r="H697" s="114"/>
      <c r="I697" s="1"/>
      <c r="J697" s="1"/>
      <c r="K697" s="1"/>
      <c r="L697" s="54"/>
      <c r="M697" s="54"/>
      <c r="N697" s="54"/>
      <c r="O697" s="54"/>
      <c r="P697" s="54"/>
      <c r="Q697" s="54"/>
      <c r="R697" s="1"/>
      <c r="S697" s="1"/>
      <c r="T697" s="1"/>
      <c r="U697" s="1"/>
      <c r="V697" s="1"/>
      <c r="W697" s="1"/>
      <c r="X697" s="1"/>
      <c r="Y697" s="1"/>
      <c r="Z697" s="1"/>
      <c r="AA697" s="1"/>
      <c r="AB697" s="1"/>
      <c r="AC697" s="1"/>
      <c r="AD697" s="1"/>
      <c r="AE697" s="1"/>
      <c r="AF697" s="1"/>
      <c r="AG697" s="1"/>
      <c r="AH697" s="1"/>
      <c r="AI697" s="1"/>
    </row>
    <row x14ac:dyDescent="0.25" r="698" customHeight="1" ht="17.25">
      <c r="A698" s="1"/>
      <c r="B698" s="114"/>
      <c r="C698" s="1"/>
      <c r="D698" s="1"/>
      <c r="E698" s="116"/>
      <c r="F698" s="1"/>
      <c r="G698" s="1"/>
      <c r="H698" s="114"/>
      <c r="I698" s="1"/>
      <c r="J698" s="1"/>
      <c r="K698" s="1"/>
      <c r="L698" s="54"/>
      <c r="M698" s="54"/>
      <c r="N698" s="54"/>
      <c r="O698" s="54"/>
      <c r="P698" s="54"/>
      <c r="Q698" s="54"/>
      <c r="R698" s="1"/>
      <c r="S698" s="1"/>
      <c r="T698" s="1"/>
      <c r="U698" s="1"/>
      <c r="V698" s="1"/>
      <c r="W698" s="1"/>
      <c r="X698" s="1"/>
      <c r="Y698" s="1"/>
      <c r="Z698" s="1"/>
      <c r="AA698" s="1"/>
      <c r="AB698" s="1"/>
      <c r="AC698" s="1"/>
      <c r="AD698" s="1"/>
      <c r="AE698" s="1"/>
      <c r="AF698" s="1"/>
      <c r="AG698" s="1"/>
      <c r="AH698" s="1"/>
      <c r="AI698" s="1"/>
    </row>
    <row x14ac:dyDescent="0.25" r="699" customHeight="1" ht="17.25">
      <c r="A699" s="1"/>
      <c r="B699" s="114"/>
      <c r="C699" s="1"/>
      <c r="D699" s="1"/>
      <c r="E699" s="116"/>
      <c r="F699" s="1"/>
      <c r="G699" s="1"/>
      <c r="H699" s="114"/>
      <c r="I699" s="1"/>
      <c r="J699" s="1"/>
      <c r="K699" s="1"/>
      <c r="L699" s="54"/>
      <c r="M699" s="54"/>
      <c r="N699" s="54"/>
      <c r="O699" s="54"/>
      <c r="P699" s="54"/>
      <c r="Q699" s="54"/>
      <c r="R699" s="1"/>
      <c r="S699" s="1"/>
      <c r="T699" s="1"/>
      <c r="U699" s="1"/>
      <c r="V699" s="1"/>
      <c r="W699" s="1"/>
      <c r="X699" s="1"/>
      <c r="Y699" s="1"/>
      <c r="Z699" s="1"/>
      <c r="AA699" s="1"/>
      <c r="AB699" s="1"/>
      <c r="AC699" s="1"/>
      <c r="AD699" s="1"/>
      <c r="AE699" s="1"/>
      <c r="AF699" s="1"/>
      <c r="AG699" s="1"/>
      <c r="AH699" s="1"/>
      <c r="AI699" s="1"/>
    </row>
    <row x14ac:dyDescent="0.25" r="700" customHeight="1" ht="17.25">
      <c r="A700" s="1"/>
      <c r="B700" s="114"/>
      <c r="C700" s="1"/>
      <c r="D700" s="1"/>
      <c r="E700" s="116"/>
      <c r="F700" s="1"/>
      <c r="G700" s="1"/>
      <c r="H700" s="114"/>
      <c r="I700" s="1"/>
      <c r="J700" s="1"/>
      <c r="K700" s="1"/>
      <c r="L700" s="54"/>
      <c r="M700" s="54"/>
      <c r="N700" s="54"/>
      <c r="O700" s="54"/>
      <c r="P700" s="54"/>
      <c r="Q700" s="54"/>
      <c r="R700" s="1"/>
      <c r="S700" s="1"/>
      <c r="T700" s="1"/>
      <c r="U700" s="1"/>
      <c r="V700" s="1"/>
      <c r="W700" s="1"/>
      <c r="X700" s="1"/>
      <c r="Y700" s="1"/>
      <c r="Z700" s="1"/>
      <c r="AA700" s="1"/>
      <c r="AB700" s="1"/>
      <c r="AC700" s="1"/>
      <c r="AD700" s="1"/>
      <c r="AE700" s="1"/>
      <c r="AF700" s="1"/>
      <c r="AG700" s="1"/>
      <c r="AH700" s="1"/>
      <c r="AI700" s="1"/>
    </row>
    <row x14ac:dyDescent="0.25" r="701" customHeight="1" ht="17.25">
      <c r="A701" s="1"/>
      <c r="B701" s="114"/>
      <c r="C701" s="1"/>
      <c r="D701" s="1"/>
      <c r="E701" s="1"/>
      <c r="F701" s="1"/>
      <c r="G701" s="1"/>
      <c r="H701" s="114"/>
      <c r="I701" s="1"/>
      <c r="J701" s="1"/>
      <c r="K701" s="1"/>
      <c r="L701" s="54"/>
      <c r="M701" s="54"/>
      <c r="N701" s="54"/>
      <c r="O701" s="54"/>
      <c r="P701" s="54"/>
      <c r="Q701" s="54"/>
      <c r="R701" s="1"/>
      <c r="S701" s="1"/>
      <c r="T701" s="1"/>
      <c r="U701" s="1"/>
      <c r="V701" s="1"/>
      <c r="W701" s="1"/>
      <c r="X701" s="1"/>
      <c r="Y701" s="1"/>
      <c r="Z701" s="1"/>
      <c r="AA701" s="1"/>
      <c r="AB701" s="1"/>
      <c r="AC701" s="1"/>
      <c r="AD701" s="1"/>
      <c r="AE701" s="1"/>
      <c r="AF701" s="1"/>
      <c r="AG701" s="1"/>
      <c r="AH701" s="1"/>
      <c r="AI701" s="1"/>
    </row>
    <row x14ac:dyDescent="0.25" r="702" customHeight="1" ht="17.25">
      <c r="A702" s="1"/>
      <c r="B702" s="114"/>
      <c r="C702" s="1"/>
      <c r="D702" s="1"/>
      <c r="E702" s="116"/>
      <c r="F702" s="1"/>
      <c r="G702" s="1"/>
      <c r="H702" s="114"/>
      <c r="I702" s="1"/>
      <c r="J702" s="1"/>
      <c r="K702" s="1"/>
      <c r="L702" s="54"/>
      <c r="M702" s="54"/>
      <c r="N702" s="54"/>
      <c r="O702" s="54"/>
      <c r="P702" s="54"/>
      <c r="Q702" s="54"/>
      <c r="R702" s="1"/>
      <c r="S702" s="1"/>
      <c r="T702" s="1"/>
      <c r="U702" s="1"/>
      <c r="V702" s="1"/>
      <c r="W702" s="1"/>
      <c r="X702" s="1"/>
      <c r="Y702" s="1"/>
      <c r="Z702" s="1"/>
      <c r="AA702" s="1"/>
      <c r="AB702" s="1"/>
      <c r="AC702" s="1"/>
      <c r="AD702" s="1"/>
      <c r="AE702" s="1"/>
      <c r="AF702" s="1"/>
      <c r="AG702" s="1"/>
      <c r="AH702" s="1"/>
      <c r="AI702" s="1"/>
    </row>
    <row x14ac:dyDescent="0.25" r="703" customHeight="1" ht="17.25">
      <c r="A703" s="1"/>
      <c r="B703" s="114"/>
      <c r="C703" s="1"/>
      <c r="D703" s="1"/>
      <c r="E703" s="116"/>
      <c r="F703" s="1"/>
      <c r="G703" s="1"/>
      <c r="H703" s="114"/>
      <c r="I703" s="1"/>
      <c r="J703" s="1"/>
      <c r="K703" s="1"/>
      <c r="L703" s="54"/>
      <c r="M703" s="54"/>
      <c r="N703" s="54"/>
      <c r="O703" s="54"/>
      <c r="P703" s="54"/>
      <c r="Q703" s="54"/>
      <c r="R703" s="1"/>
      <c r="S703" s="1"/>
      <c r="T703" s="1"/>
      <c r="U703" s="1"/>
      <c r="V703" s="1"/>
      <c r="W703" s="1"/>
      <c r="X703" s="1"/>
      <c r="Y703" s="1"/>
      <c r="Z703" s="1"/>
      <c r="AA703" s="1"/>
      <c r="AB703" s="1"/>
      <c r="AC703" s="1"/>
      <c r="AD703" s="1"/>
      <c r="AE703" s="1"/>
      <c r="AF703" s="1"/>
      <c r="AG703" s="1"/>
      <c r="AH703" s="1"/>
      <c r="AI703" s="1"/>
    </row>
    <row x14ac:dyDescent="0.25" r="704" customHeight="1" ht="17.25">
      <c r="A704" s="1"/>
      <c r="B704" s="114"/>
      <c r="C704" s="1"/>
      <c r="D704" s="1"/>
      <c r="E704" s="116"/>
      <c r="F704" s="1"/>
      <c r="G704" s="1"/>
      <c r="H704" s="114"/>
      <c r="I704" s="1"/>
      <c r="J704" s="1"/>
      <c r="K704" s="1"/>
      <c r="L704" s="54"/>
      <c r="M704" s="54"/>
      <c r="N704" s="54"/>
      <c r="O704" s="54"/>
      <c r="P704" s="54"/>
      <c r="Q704" s="54"/>
      <c r="R704" s="1"/>
      <c r="S704" s="1"/>
      <c r="T704" s="1"/>
      <c r="U704" s="1"/>
      <c r="V704" s="1"/>
      <c r="W704" s="1"/>
      <c r="X704" s="1"/>
      <c r="Y704" s="1"/>
      <c r="Z704" s="1"/>
      <c r="AA704" s="1"/>
      <c r="AB704" s="1"/>
      <c r="AC704" s="1"/>
      <c r="AD704" s="1"/>
      <c r="AE704" s="1"/>
      <c r="AF704" s="1"/>
      <c r="AG704" s="1"/>
      <c r="AH704" s="1"/>
      <c r="AI704" s="1"/>
    </row>
    <row x14ac:dyDescent="0.25" r="705" customHeight="1" ht="17.25">
      <c r="A705" s="1"/>
      <c r="B705" s="114"/>
      <c r="C705" s="1"/>
      <c r="D705" s="1"/>
      <c r="E705" s="116"/>
      <c r="F705" s="1"/>
      <c r="G705" s="1"/>
      <c r="H705" s="114"/>
      <c r="I705" s="1"/>
      <c r="J705" s="1"/>
      <c r="K705" s="1"/>
      <c r="L705" s="54"/>
      <c r="M705" s="54"/>
      <c r="N705" s="54"/>
      <c r="O705" s="54"/>
      <c r="P705" s="54"/>
      <c r="Q705" s="54"/>
      <c r="R705" s="1"/>
      <c r="S705" s="1"/>
      <c r="T705" s="1"/>
      <c r="U705" s="1"/>
      <c r="V705" s="1"/>
      <c r="W705" s="1"/>
      <c r="X705" s="1"/>
      <c r="Y705" s="1"/>
      <c r="Z705" s="1"/>
      <c r="AA705" s="1"/>
      <c r="AB705" s="1"/>
      <c r="AC705" s="1"/>
      <c r="AD705" s="1"/>
      <c r="AE705" s="1"/>
      <c r="AF705" s="1"/>
      <c r="AG705" s="1"/>
      <c r="AH705" s="1"/>
      <c r="AI705" s="1"/>
    </row>
    <row x14ac:dyDescent="0.25" r="706" customHeight="1" ht="17.25">
      <c r="A706" s="1"/>
      <c r="B706" s="114"/>
      <c r="C706" s="1"/>
      <c r="D706" s="1"/>
      <c r="E706" s="116"/>
      <c r="F706" s="1"/>
      <c r="G706" s="1"/>
      <c r="H706" s="114"/>
      <c r="I706" s="1"/>
      <c r="J706" s="1"/>
      <c r="K706" s="1"/>
      <c r="L706" s="54"/>
      <c r="M706" s="54"/>
      <c r="N706" s="54"/>
      <c r="O706" s="54"/>
      <c r="P706" s="54"/>
      <c r="Q706" s="54"/>
      <c r="R706" s="1"/>
      <c r="S706" s="1"/>
      <c r="T706" s="1"/>
      <c r="U706" s="1"/>
      <c r="V706" s="1"/>
      <c r="W706" s="1"/>
      <c r="X706" s="1"/>
      <c r="Y706" s="1"/>
      <c r="Z706" s="1"/>
      <c r="AA706" s="1"/>
      <c r="AB706" s="1"/>
      <c r="AC706" s="1"/>
      <c r="AD706" s="1"/>
      <c r="AE706" s="1"/>
      <c r="AF706" s="1"/>
      <c r="AG706" s="1"/>
      <c r="AH706" s="1"/>
      <c r="AI706" s="1"/>
    </row>
    <row x14ac:dyDescent="0.25" r="707" customHeight="1" ht="17.25">
      <c r="A707" s="1"/>
      <c r="B707" s="114"/>
      <c r="C707" s="1"/>
      <c r="D707" s="1"/>
      <c r="E707" s="116"/>
      <c r="F707" s="1"/>
      <c r="G707" s="1"/>
      <c r="H707" s="114"/>
      <c r="I707" s="1"/>
      <c r="J707" s="1"/>
      <c r="K707" s="1"/>
      <c r="L707" s="54"/>
      <c r="M707" s="54"/>
      <c r="N707" s="54"/>
      <c r="O707" s="54"/>
      <c r="P707" s="54"/>
      <c r="Q707" s="54"/>
      <c r="R707" s="1"/>
      <c r="S707" s="1"/>
      <c r="T707" s="1"/>
      <c r="U707" s="1"/>
      <c r="V707" s="1"/>
      <c r="W707" s="1"/>
      <c r="X707" s="1"/>
      <c r="Y707" s="1"/>
      <c r="Z707" s="1"/>
      <c r="AA707" s="1"/>
      <c r="AB707" s="1"/>
      <c r="AC707" s="1"/>
      <c r="AD707" s="1"/>
      <c r="AE707" s="1"/>
      <c r="AF707" s="1"/>
      <c r="AG707" s="1"/>
      <c r="AH707" s="1"/>
      <c r="AI707" s="1"/>
    </row>
    <row x14ac:dyDescent="0.25" r="708" customHeight="1" ht="17.25">
      <c r="A708" s="1"/>
      <c r="B708" s="114"/>
      <c r="C708" s="1"/>
      <c r="D708" s="1"/>
      <c r="E708" s="116"/>
      <c r="F708" s="1"/>
      <c r="G708" s="1"/>
      <c r="H708" s="114"/>
      <c r="I708" s="1"/>
      <c r="J708" s="1"/>
      <c r="K708" s="1"/>
      <c r="L708" s="54"/>
      <c r="M708" s="54"/>
      <c r="N708" s="54"/>
      <c r="O708" s="54"/>
      <c r="P708" s="54"/>
      <c r="Q708" s="54"/>
      <c r="R708" s="1"/>
      <c r="S708" s="1"/>
      <c r="T708" s="1"/>
      <c r="U708" s="1"/>
      <c r="V708" s="1"/>
      <c r="W708" s="1"/>
      <c r="X708" s="1"/>
      <c r="Y708" s="1"/>
      <c r="Z708" s="1"/>
      <c r="AA708" s="1"/>
      <c r="AB708" s="1"/>
      <c r="AC708" s="1"/>
      <c r="AD708" s="1"/>
      <c r="AE708" s="1"/>
      <c r="AF708" s="1"/>
      <c r="AG708" s="1"/>
      <c r="AH708" s="1"/>
      <c r="AI708" s="1"/>
    </row>
    <row x14ac:dyDescent="0.25" r="709" customHeight="1" ht="17.25">
      <c r="A709" s="1"/>
      <c r="B709" s="114"/>
      <c r="C709" s="1"/>
      <c r="D709" s="1"/>
      <c r="E709" s="116"/>
      <c r="F709" s="1"/>
      <c r="G709" s="1"/>
      <c r="H709" s="114"/>
      <c r="I709" s="1"/>
      <c r="J709" s="1"/>
      <c r="K709" s="1"/>
      <c r="L709" s="54"/>
      <c r="M709" s="54"/>
      <c r="N709" s="54"/>
      <c r="O709" s="54"/>
      <c r="P709" s="54"/>
      <c r="Q709" s="54"/>
      <c r="R709" s="1"/>
      <c r="S709" s="1"/>
      <c r="T709" s="1"/>
      <c r="U709" s="1"/>
      <c r="V709" s="1"/>
      <c r="W709" s="1"/>
      <c r="X709" s="1"/>
      <c r="Y709" s="1"/>
      <c r="Z709" s="1"/>
      <c r="AA709" s="1"/>
      <c r="AB709" s="1"/>
      <c r="AC709" s="1"/>
      <c r="AD709" s="1"/>
      <c r="AE709" s="1"/>
      <c r="AF709" s="1"/>
      <c r="AG709" s="1"/>
      <c r="AH709" s="1"/>
      <c r="AI709" s="1"/>
    </row>
    <row x14ac:dyDescent="0.25" r="710" customHeight="1" ht="17.25">
      <c r="A710" s="1"/>
      <c r="B710" s="114"/>
      <c r="C710" s="1"/>
      <c r="D710" s="1"/>
      <c r="E710" s="116"/>
      <c r="F710" s="1"/>
      <c r="G710" s="1"/>
      <c r="H710" s="114"/>
      <c r="I710" s="1"/>
      <c r="J710" s="1"/>
      <c r="K710" s="1"/>
      <c r="L710" s="54"/>
      <c r="M710" s="54"/>
      <c r="N710" s="54"/>
      <c r="O710" s="54"/>
      <c r="P710" s="54"/>
      <c r="Q710" s="54"/>
      <c r="R710" s="1"/>
      <c r="S710" s="1"/>
      <c r="T710" s="1"/>
      <c r="U710" s="1"/>
      <c r="V710" s="1"/>
      <c r="W710" s="1"/>
      <c r="X710" s="1"/>
      <c r="Y710" s="1"/>
      <c r="Z710" s="1"/>
      <c r="AA710" s="1"/>
      <c r="AB710" s="1"/>
      <c r="AC710" s="1"/>
      <c r="AD710" s="1"/>
      <c r="AE710" s="1"/>
      <c r="AF710" s="1"/>
      <c r="AG710" s="1"/>
      <c r="AH710" s="1"/>
      <c r="AI710" s="1"/>
    </row>
    <row x14ac:dyDescent="0.25" r="711" customHeight="1" ht="17.25">
      <c r="A711" s="1"/>
      <c r="B711" s="114"/>
      <c r="C711" s="1"/>
      <c r="D711" s="1"/>
      <c r="E711" s="116"/>
      <c r="F711" s="1"/>
      <c r="G711" s="1"/>
      <c r="H711" s="114"/>
      <c r="I711" s="1"/>
      <c r="J711" s="1"/>
      <c r="K711" s="1"/>
      <c r="L711" s="54"/>
      <c r="M711" s="54"/>
      <c r="N711" s="54"/>
      <c r="O711" s="54"/>
      <c r="P711" s="54"/>
      <c r="Q711" s="54"/>
      <c r="R711" s="1"/>
      <c r="S711" s="1"/>
      <c r="T711" s="1"/>
      <c r="U711" s="1"/>
      <c r="V711" s="1"/>
      <c r="W711" s="1"/>
      <c r="X711" s="1"/>
      <c r="Y711" s="1"/>
      <c r="Z711" s="1"/>
      <c r="AA711" s="1"/>
      <c r="AB711" s="1"/>
      <c r="AC711" s="1"/>
      <c r="AD711" s="1"/>
      <c r="AE711" s="1"/>
      <c r="AF711" s="1"/>
      <c r="AG711" s="1"/>
      <c r="AH711" s="1"/>
      <c r="AI711" s="1"/>
    </row>
    <row x14ac:dyDescent="0.25" r="712" customHeight="1" ht="17.25">
      <c r="A712" s="1"/>
      <c r="B712" s="114"/>
      <c r="C712" s="1"/>
      <c r="D712" s="1"/>
      <c r="E712" s="116"/>
      <c r="F712" s="1"/>
      <c r="G712" s="1"/>
      <c r="H712" s="114"/>
      <c r="I712" s="1"/>
      <c r="J712" s="1"/>
      <c r="K712" s="1"/>
      <c r="L712" s="54"/>
      <c r="M712" s="54"/>
      <c r="N712" s="54"/>
      <c r="O712" s="54"/>
      <c r="P712" s="54"/>
      <c r="Q712" s="54"/>
      <c r="R712" s="1"/>
      <c r="S712" s="1"/>
      <c r="T712" s="1"/>
      <c r="U712" s="1"/>
      <c r="V712" s="1"/>
      <c r="W712" s="1"/>
      <c r="X712" s="1"/>
      <c r="Y712" s="1"/>
      <c r="Z712" s="1"/>
      <c r="AA712" s="1"/>
      <c r="AB712" s="1"/>
      <c r="AC712" s="1"/>
      <c r="AD712" s="1"/>
      <c r="AE712" s="1"/>
      <c r="AF712" s="1"/>
      <c r="AG712" s="1"/>
      <c r="AH712" s="1"/>
      <c r="AI712" s="1"/>
    </row>
    <row x14ac:dyDescent="0.25" r="713" customHeight="1" ht="17.25">
      <c r="A713" s="1"/>
      <c r="B713" s="114"/>
      <c r="C713" s="1"/>
      <c r="D713" s="1"/>
      <c r="E713" s="116"/>
      <c r="F713" s="1"/>
      <c r="G713" s="1"/>
      <c r="H713" s="114"/>
      <c r="I713" s="1"/>
      <c r="J713" s="1"/>
      <c r="K713" s="1"/>
      <c r="L713" s="54"/>
      <c r="M713" s="54"/>
      <c r="N713" s="54"/>
      <c r="O713" s="54"/>
      <c r="P713" s="54"/>
      <c r="Q713" s="54"/>
      <c r="R713" s="1"/>
      <c r="S713" s="1"/>
      <c r="T713" s="1"/>
      <c r="U713" s="1"/>
      <c r="V713" s="1"/>
      <c r="W713" s="1"/>
      <c r="X713" s="1"/>
      <c r="Y713" s="1"/>
      <c r="Z713" s="1"/>
      <c r="AA713" s="1"/>
      <c r="AB713" s="1"/>
      <c r="AC713" s="1"/>
      <c r="AD713" s="1"/>
      <c r="AE713" s="1"/>
      <c r="AF713" s="1"/>
      <c r="AG713" s="1"/>
      <c r="AH713" s="1"/>
      <c r="AI713" s="1"/>
    </row>
    <row x14ac:dyDescent="0.25" r="714" customHeight="1" ht="17.25">
      <c r="A714" s="1"/>
      <c r="B714" s="114"/>
      <c r="C714" s="1"/>
      <c r="D714" s="1"/>
      <c r="E714" s="116"/>
      <c r="F714" s="1"/>
      <c r="G714" s="1"/>
      <c r="H714" s="114"/>
      <c r="I714" s="1"/>
      <c r="J714" s="1"/>
      <c r="K714" s="1"/>
      <c r="L714" s="54"/>
      <c r="M714" s="54"/>
      <c r="N714" s="54"/>
      <c r="O714" s="54"/>
      <c r="P714" s="54"/>
      <c r="Q714" s="54"/>
      <c r="R714" s="1"/>
      <c r="S714" s="1"/>
      <c r="T714" s="1"/>
      <c r="U714" s="1"/>
      <c r="V714" s="1"/>
      <c r="W714" s="1"/>
      <c r="X714" s="1"/>
      <c r="Y714" s="1"/>
      <c r="Z714" s="1"/>
      <c r="AA714" s="1"/>
      <c r="AB714" s="1"/>
      <c r="AC714" s="1"/>
      <c r="AD714" s="1"/>
      <c r="AE714" s="1"/>
      <c r="AF714" s="1"/>
      <c r="AG714" s="1"/>
      <c r="AH714" s="1"/>
      <c r="AI714" s="1"/>
    </row>
    <row x14ac:dyDescent="0.25" r="715" customHeight="1" ht="17.25">
      <c r="A715" s="1"/>
      <c r="B715" s="114"/>
      <c r="C715" s="1"/>
      <c r="D715" s="1"/>
      <c r="E715" s="116"/>
      <c r="F715" s="1"/>
      <c r="G715" s="1"/>
      <c r="H715" s="114"/>
      <c r="I715" s="1"/>
      <c r="J715" s="1"/>
      <c r="K715" s="1"/>
      <c r="L715" s="54"/>
      <c r="M715" s="54"/>
      <c r="N715" s="54"/>
      <c r="O715" s="54"/>
      <c r="P715" s="54"/>
      <c r="Q715" s="54"/>
      <c r="R715" s="1"/>
      <c r="S715" s="1"/>
      <c r="T715" s="1"/>
      <c r="U715" s="1"/>
      <c r="V715" s="1"/>
      <c r="W715" s="1"/>
      <c r="X715" s="1"/>
      <c r="Y715" s="1"/>
      <c r="Z715" s="1"/>
      <c r="AA715" s="1"/>
      <c r="AB715" s="1"/>
      <c r="AC715" s="1"/>
      <c r="AD715" s="1"/>
      <c r="AE715" s="1"/>
      <c r="AF715" s="1"/>
      <c r="AG715" s="1"/>
      <c r="AH715" s="1"/>
      <c r="AI715" s="1"/>
    </row>
    <row x14ac:dyDescent="0.25" r="716" customHeight="1" ht="17.25">
      <c r="A716" s="1"/>
      <c r="B716" s="114"/>
      <c r="C716" s="1"/>
      <c r="D716" s="1"/>
      <c r="E716" s="116"/>
      <c r="F716" s="1"/>
      <c r="G716" s="1"/>
      <c r="H716" s="114"/>
      <c r="I716" s="1"/>
      <c r="J716" s="1"/>
      <c r="K716" s="1"/>
      <c r="L716" s="54"/>
      <c r="M716" s="54"/>
      <c r="N716" s="54"/>
      <c r="O716" s="54"/>
      <c r="P716" s="54"/>
      <c r="Q716" s="54"/>
      <c r="R716" s="1"/>
      <c r="S716" s="1"/>
      <c r="T716" s="1"/>
      <c r="U716" s="1"/>
      <c r="V716" s="1"/>
      <c r="W716" s="1"/>
      <c r="X716" s="1"/>
      <c r="Y716" s="1"/>
      <c r="Z716" s="1"/>
      <c r="AA716" s="1"/>
      <c r="AB716" s="1"/>
      <c r="AC716" s="1"/>
      <c r="AD716" s="1"/>
      <c r="AE716" s="1"/>
      <c r="AF716" s="1"/>
      <c r="AG716" s="1"/>
      <c r="AH716" s="1"/>
      <c r="AI716" s="1"/>
    </row>
    <row x14ac:dyDescent="0.25" r="717" customHeight="1" ht="17.25">
      <c r="A717" s="1"/>
      <c r="B717" s="114"/>
      <c r="C717" s="1"/>
      <c r="D717" s="1"/>
      <c r="E717" s="116"/>
      <c r="F717" s="1"/>
      <c r="G717" s="1"/>
      <c r="H717" s="114"/>
      <c r="I717" s="1"/>
      <c r="J717" s="1"/>
      <c r="K717" s="1"/>
      <c r="L717" s="54"/>
      <c r="M717" s="54"/>
      <c r="N717" s="54"/>
      <c r="O717" s="54"/>
      <c r="P717" s="54"/>
      <c r="Q717" s="54"/>
      <c r="R717" s="1"/>
      <c r="S717" s="1"/>
      <c r="T717" s="1"/>
      <c r="U717" s="1"/>
      <c r="V717" s="1"/>
      <c r="W717" s="1"/>
      <c r="X717" s="1"/>
      <c r="Y717" s="1"/>
      <c r="Z717" s="1"/>
      <c r="AA717" s="1"/>
      <c r="AB717" s="1"/>
      <c r="AC717" s="1"/>
      <c r="AD717" s="1"/>
      <c r="AE717" s="1"/>
      <c r="AF717" s="1"/>
      <c r="AG717" s="1"/>
      <c r="AH717" s="1"/>
      <c r="AI717" s="1"/>
    </row>
    <row x14ac:dyDescent="0.25" r="718" customHeight="1" ht="17.25">
      <c r="A718" s="1"/>
      <c r="B718" s="114"/>
      <c r="C718" s="1"/>
      <c r="D718" s="1"/>
      <c r="E718" s="116"/>
      <c r="F718" s="1"/>
      <c r="G718" s="1"/>
      <c r="H718" s="114"/>
      <c r="I718" s="1"/>
      <c r="J718" s="1"/>
      <c r="K718" s="1"/>
      <c r="L718" s="54"/>
      <c r="M718" s="54"/>
      <c r="N718" s="54"/>
      <c r="O718" s="54"/>
      <c r="P718" s="54"/>
      <c r="Q718" s="54"/>
      <c r="R718" s="1"/>
      <c r="S718" s="1"/>
      <c r="T718" s="1"/>
      <c r="U718" s="1"/>
      <c r="V718" s="1"/>
      <c r="W718" s="1"/>
      <c r="X718" s="1"/>
      <c r="Y718" s="1"/>
      <c r="Z718" s="1"/>
      <c r="AA718" s="1"/>
      <c r="AB718" s="1"/>
      <c r="AC718" s="1"/>
      <c r="AD718" s="1"/>
      <c r="AE718" s="1"/>
      <c r="AF718" s="1"/>
      <c r="AG718" s="1"/>
      <c r="AH718" s="1"/>
      <c r="AI718" s="1"/>
    </row>
    <row x14ac:dyDescent="0.25" r="719" customHeight="1" ht="17.25">
      <c r="A719" s="1"/>
      <c r="B719" s="114"/>
      <c r="C719" s="1"/>
      <c r="D719" s="1"/>
      <c r="E719" s="116"/>
      <c r="F719" s="1"/>
      <c r="G719" s="1"/>
      <c r="H719" s="114"/>
      <c r="I719" s="1"/>
      <c r="J719" s="1"/>
      <c r="K719" s="1"/>
      <c r="L719" s="54"/>
      <c r="M719" s="54"/>
      <c r="N719" s="54"/>
      <c r="O719" s="54"/>
      <c r="P719" s="54"/>
      <c r="Q719" s="54"/>
      <c r="R719" s="1"/>
      <c r="S719" s="1"/>
      <c r="T719" s="1"/>
      <c r="U719" s="1"/>
      <c r="V719" s="1"/>
      <c r="W719" s="1"/>
      <c r="X719" s="1"/>
      <c r="Y719" s="1"/>
      <c r="Z719" s="1"/>
      <c r="AA719" s="1"/>
      <c r="AB719" s="1"/>
      <c r="AC719" s="1"/>
      <c r="AD719" s="1"/>
      <c r="AE719" s="1"/>
      <c r="AF719" s="1"/>
      <c r="AG719" s="1"/>
      <c r="AH719" s="1"/>
      <c r="AI719" s="1"/>
    </row>
    <row x14ac:dyDescent="0.25" r="720" customHeight="1" ht="17.25">
      <c r="A720" s="1"/>
      <c r="B720" s="114"/>
      <c r="C720" s="1"/>
      <c r="D720" s="1"/>
      <c r="E720" s="116"/>
      <c r="F720" s="1"/>
      <c r="G720" s="1"/>
      <c r="H720" s="114"/>
      <c r="I720" s="1"/>
      <c r="J720" s="1"/>
      <c r="K720" s="1"/>
      <c r="L720" s="54"/>
      <c r="M720" s="54"/>
      <c r="N720" s="54"/>
      <c r="O720" s="54"/>
      <c r="P720" s="54"/>
      <c r="Q720" s="54"/>
      <c r="R720" s="1"/>
      <c r="S720" s="1"/>
      <c r="T720" s="1"/>
      <c r="U720" s="1"/>
      <c r="V720" s="1"/>
      <c r="W720" s="1"/>
      <c r="X720" s="1"/>
      <c r="Y720" s="1"/>
      <c r="Z720" s="1"/>
      <c r="AA720" s="1"/>
      <c r="AB720" s="1"/>
      <c r="AC720" s="1"/>
      <c r="AD720" s="1"/>
      <c r="AE720" s="1"/>
      <c r="AF720" s="1"/>
      <c r="AG720" s="1"/>
      <c r="AH720" s="1"/>
      <c r="AI720" s="1"/>
    </row>
    <row x14ac:dyDescent="0.25" r="721" customHeight="1" ht="17.25">
      <c r="A721" s="1"/>
      <c r="B721" s="114"/>
      <c r="C721" s="1"/>
      <c r="D721" s="1"/>
      <c r="E721" s="116"/>
      <c r="F721" s="1"/>
      <c r="G721" s="1"/>
      <c r="H721" s="114"/>
      <c r="I721" s="1"/>
      <c r="J721" s="1"/>
      <c r="K721" s="1"/>
      <c r="L721" s="54"/>
      <c r="M721" s="54"/>
      <c r="N721" s="54"/>
      <c r="O721" s="54"/>
      <c r="P721" s="54"/>
      <c r="Q721" s="54"/>
      <c r="R721" s="1"/>
      <c r="S721" s="1"/>
      <c r="T721" s="1"/>
      <c r="U721" s="1"/>
      <c r="V721" s="1"/>
      <c r="W721" s="1"/>
      <c r="X721" s="1"/>
      <c r="Y721" s="1"/>
      <c r="Z721" s="1"/>
      <c r="AA721" s="1"/>
      <c r="AB721" s="1"/>
      <c r="AC721" s="1"/>
      <c r="AD721" s="1"/>
      <c r="AE721" s="1"/>
      <c r="AF721" s="1"/>
      <c r="AG721" s="1"/>
      <c r="AH721" s="1"/>
      <c r="AI721" s="1"/>
    </row>
    <row x14ac:dyDescent="0.25" r="722" customHeight="1" ht="17.25">
      <c r="A722" s="1"/>
      <c r="B722" s="114"/>
      <c r="C722" s="1"/>
      <c r="D722" s="1"/>
      <c r="E722" s="116"/>
      <c r="F722" s="1"/>
      <c r="G722" s="1"/>
      <c r="H722" s="114"/>
      <c r="I722" s="1"/>
      <c r="J722" s="1"/>
      <c r="K722" s="1"/>
      <c r="L722" s="54"/>
      <c r="M722" s="54"/>
      <c r="N722" s="54"/>
      <c r="O722" s="54"/>
      <c r="P722" s="54"/>
      <c r="Q722" s="54"/>
      <c r="R722" s="1"/>
      <c r="S722" s="1"/>
      <c r="T722" s="1"/>
      <c r="U722" s="1"/>
      <c r="V722" s="1"/>
      <c r="W722" s="1"/>
      <c r="X722" s="1"/>
      <c r="Y722" s="1"/>
      <c r="Z722" s="1"/>
      <c r="AA722" s="1"/>
      <c r="AB722" s="1"/>
      <c r="AC722" s="1"/>
      <c r="AD722" s="1"/>
      <c r="AE722" s="1"/>
      <c r="AF722" s="1"/>
      <c r="AG722" s="1"/>
      <c r="AH722" s="1"/>
      <c r="AI722" s="1"/>
    </row>
    <row x14ac:dyDescent="0.25" r="723" customHeight="1" ht="17.25">
      <c r="A723" s="1"/>
      <c r="B723" s="114"/>
      <c r="C723" s="1"/>
      <c r="D723" s="1"/>
      <c r="E723" s="116"/>
      <c r="F723" s="1"/>
      <c r="G723" s="1"/>
      <c r="H723" s="114"/>
      <c r="I723" s="1"/>
      <c r="J723" s="1"/>
      <c r="K723" s="1"/>
      <c r="L723" s="54"/>
      <c r="M723" s="54"/>
      <c r="N723" s="54"/>
      <c r="O723" s="54"/>
      <c r="P723" s="54"/>
      <c r="Q723" s="54"/>
      <c r="R723" s="1"/>
      <c r="S723" s="1"/>
      <c r="T723" s="1"/>
      <c r="U723" s="1"/>
      <c r="V723" s="1"/>
      <c r="W723" s="1"/>
      <c r="X723" s="1"/>
      <c r="Y723" s="1"/>
      <c r="Z723" s="1"/>
      <c r="AA723" s="1"/>
      <c r="AB723" s="1"/>
      <c r="AC723" s="1"/>
      <c r="AD723" s="1"/>
      <c r="AE723" s="1"/>
      <c r="AF723" s="1"/>
      <c r="AG723" s="1"/>
      <c r="AH723" s="1"/>
      <c r="AI723" s="1"/>
    </row>
    <row x14ac:dyDescent="0.25" r="724" customHeight="1" ht="17.25">
      <c r="A724" s="1"/>
      <c r="B724" s="114"/>
      <c r="C724" s="1"/>
      <c r="D724" s="1"/>
      <c r="E724" s="116"/>
      <c r="F724" s="1"/>
      <c r="G724" s="1"/>
      <c r="H724" s="114"/>
      <c r="I724" s="1"/>
      <c r="J724" s="1"/>
      <c r="K724" s="1"/>
      <c r="L724" s="54"/>
      <c r="M724" s="54"/>
      <c r="N724" s="54"/>
      <c r="O724" s="54"/>
      <c r="P724" s="54"/>
      <c r="Q724" s="54"/>
      <c r="R724" s="1"/>
      <c r="S724" s="1"/>
      <c r="T724" s="1"/>
      <c r="U724" s="1"/>
      <c r="V724" s="1"/>
      <c r="W724" s="1"/>
      <c r="X724" s="1"/>
      <c r="Y724" s="1"/>
      <c r="Z724" s="1"/>
      <c r="AA724" s="1"/>
      <c r="AB724" s="1"/>
      <c r="AC724" s="1"/>
      <c r="AD724" s="1"/>
      <c r="AE724" s="1"/>
      <c r="AF724" s="1"/>
      <c r="AG724" s="1"/>
      <c r="AH724" s="1"/>
      <c r="AI724" s="1"/>
    </row>
    <row x14ac:dyDescent="0.25" r="725" customHeight="1" ht="17.25">
      <c r="A725" s="1"/>
      <c r="B725" s="114"/>
      <c r="C725" s="1"/>
      <c r="D725" s="1"/>
      <c r="E725" s="116"/>
      <c r="F725" s="1"/>
      <c r="G725" s="1"/>
      <c r="H725" s="114"/>
      <c r="I725" s="1"/>
      <c r="J725" s="1"/>
      <c r="K725" s="1"/>
      <c r="L725" s="54"/>
      <c r="M725" s="54"/>
      <c r="N725" s="54"/>
      <c r="O725" s="54"/>
      <c r="P725" s="54"/>
      <c r="Q725" s="54"/>
      <c r="R725" s="1"/>
      <c r="S725" s="1"/>
      <c r="T725" s="1"/>
      <c r="U725" s="1"/>
      <c r="V725" s="1"/>
      <c r="W725" s="1"/>
      <c r="X725" s="1"/>
      <c r="Y725" s="1"/>
      <c r="Z725" s="1"/>
      <c r="AA725" s="1"/>
      <c r="AB725" s="1"/>
      <c r="AC725" s="1"/>
      <c r="AD725" s="1"/>
      <c r="AE725" s="1"/>
      <c r="AF725" s="1"/>
      <c r="AG725" s="1"/>
      <c r="AH725" s="1"/>
      <c r="AI725" s="1"/>
    </row>
    <row x14ac:dyDescent="0.25" r="726" customHeight="1" ht="17.25">
      <c r="A726" s="1"/>
      <c r="B726" s="114"/>
      <c r="C726" s="1"/>
      <c r="D726" s="1"/>
      <c r="E726" s="116"/>
      <c r="F726" s="1"/>
      <c r="G726" s="1"/>
      <c r="H726" s="114"/>
      <c r="I726" s="1"/>
      <c r="J726" s="1"/>
      <c r="K726" s="1"/>
      <c r="L726" s="54"/>
      <c r="M726" s="54"/>
      <c r="N726" s="54"/>
      <c r="O726" s="54"/>
      <c r="P726" s="54"/>
      <c r="Q726" s="54"/>
      <c r="R726" s="1"/>
      <c r="S726" s="1"/>
      <c r="T726" s="1"/>
      <c r="U726" s="1"/>
      <c r="V726" s="1"/>
      <c r="W726" s="1"/>
      <c r="X726" s="1"/>
      <c r="Y726" s="1"/>
      <c r="Z726" s="1"/>
      <c r="AA726" s="1"/>
      <c r="AB726" s="1"/>
      <c r="AC726" s="1"/>
      <c r="AD726" s="1"/>
      <c r="AE726" s="1"/>
      <c r="AF726" s="1"/>
      <c r="AG726" s="1"/>
      <c r="AH726" s="1"/>
      <c r="AI726" s="1"/>
    </row>
    <row x14ac:dyDescent="0.25" r="727" customHeight="1" ht="17.25">
      <c r="A727" s="1"/>
      <c r="B727" s="114"/>
      <c r="C727" s="1"/>
      <c r="D727" s="1"/>
      <c r="E727" s="116"/>
      <c r="F727" s="1"/>
      <c r="G727" s="1"/>
      <c r="H727" s="114"/>
      <c r="I727" s="1"/>
      <c r="J727" s="1"/>
      <c r="K727" s="1"/>
      <c r="L727" s="54"/>
      <c r="M727" s="54"/>
      <c r="N727" s="54"/>
      <c r="O727" s="54"/>
      <c r="P727" s="54"/>
      <c r="Q727" s="54"/>
      <c r="R727" s="1"/>
      <c r="S727" s="1"/>
      <c r="T727" s="1"/>
      <c r="U727" s="1"/>
      <c r="V727" s="1"/>
      <c r="W727" s="1"/>
      <c r="X727" s="1"/>
      <c r="Y727" s="1"/>
      <c r="Z727" s="1"/>
      <c r="AA727" s="1"/>
      <c r="AB727" s="1"/>
      <c r="AC727" s="1"/>
      <c r="AD727" s="1"/>
      <c r="AE727" s="1"/>
      <c r="AF727" s="1"/>
      <c r="AG727" s="1"/>
      <c r="AH727" s="1"/>
      <c r="AI727" s="1"/>
    </row>
    <row x14ac:dyDescent="0.25" r="728" customHeight="1" ht="17.25">
      <c r="A728" s="1"/>
      <c r="B728" s="114"/>
      <c r="C728" s="1"/>
      <c r="D728" s="1"/>
      <c r="E728" s="116"/>
      <c r="F728" s="1"/>
      <c r="G728" s="1"/>
      <c r="H728" s="114"/>
      <c r="I728" s="1"/>
      <c r="J728" s="1"/>
      <c r="K728" s="1"/>
      <c r="L728" s="54"/>
      <c r="M728" s="54"/>
      <c r="N728" s="54"/>
      <c r="O728" s="54"/>
      <c r="P728" s="54"/>
      <c r="Q728" s="54"/>
      <c r="R728" s="1"/>
      <c r="S728" s="1"/>
      <c r="T728" s="1"/>
      <c r="U728" s="1"/>
      <c r="V728" s="1"/>
      <c r="W728" s="1"/>
      <c r="X728" s="1"/>
      <c r="Y728" s="1"/>
      <c r="Z728" s="1"/>
      <c r="AA728" s="1"/>
      <c r="AB728" s="1"/>
      <c r="AC728" s="1"/>
      <c r="AD728" s="1"/>
      <c r="AE728" s="1"/>
      <c r="AF728" s="1"/>
      <c r="AG728" s="1"/>
      <c r="AH728" s="1"/>
      <c r="AI728" s="1"/>
    </row>
    <row x14ac:dyDescent="0.25" r="729" customHeight="1" ht="17.25">
      <c r="A729" s="1"/>
      <c r="B729" s="114"/>
      <c r="C729" s="1"/>
      <c r="D729" s="1"/>
      <c r="E729" s="116"/>
      <c r="F729" s="1"/>
      <c r="G729" s="1"/>
      <c r="H729" s="114"/>
      <c r="I729" s="1"/>
      <c r="J729" s="1"/>
      <c r="K729" s="1"/>
      <c r="L729" s="54"/>
      <c r="M729" s="54"/>
      <c r="N729" s="54"/>
      <c r="O729" s="54"/>
      <c r="P729" s="54"/>
      <c r="Q729" s="54"/>
      <c r="R729" s="1"/>
      <c r="S729" s="1"/>
      <c r="T729" s="1"/>
      <c r="U729" s="1"/>
      <c r="V729" s="1"/>
      <c r="W729" s="1"/>
      <c r="X729" s="1"/>
      <c r="Y729" s="1"/>
      <c r="Z729" s="1"/>
      <c r="AA729" s="1"/>
      <c r="AB729" s="1"/>
      <c r="AC729" s="1"/>
      <c r="AD729" s="1"/>
      <c r="AE729" s="1"/>
      <c r="AF729" s="1"/>
      <c r="AG729" s="1"/>
      <c r="AH729" s="1"/>
      <c r="AI729" s="1"/>
    </row>
    <row x14ac:dyDescent="0.25" r="730" customHeight="1" ht="17.25">
      <c r="A730" s="1"/>
      <c r="B730" s="114"/>
      <c r="C730" s="1"/>
      <c r="D730" s="1"/>
      <c r="E730" s="116"/>
      <c r="F730" s="1"/>
      <c r="G730" s="1"/>
      <c r="H730" s="114"/>
      <c r="I730" s="1"/>
      <c r="J730" s="1"/>
      <c r="K730" s="1"/>
      <c r="L730" s="54"/>
      <c r="M730" s="54"/>
      <c r="N730" s="54"/>
      <c r="O730" s="54"/>
      <c r="P730" s="54"/>
      <c r="Q730" s="54"/>
      <c r="R730" s="1"/>
      <c r="S730" s="1"/>
      <c r="T730" s="1"/>
      <c r="U730" s="1"/>
      <c r="V730" s="1"/>
      <c r="W730" s="1"/>
      <c r="X730" s="1"/>
      <c r="Y730" s="1"/>
      <c r="Z730" s="1"/>
      <c r="AA730" s="1"/>
      <c r="AB730" s="1"/>
      <c r="AC730" s="1"/>
      <c r="AD730" s="1"/>
      <c r="AE730" s="1"/>
      <c r="AF730" s="1"/>
      <c r="AG730" s="1"/>
      <c r="AH730" s="1"/>
      <c r="AI730" s="1"/>
    </row>
    <row x14ac:dyDescent="0.25" r="731" customHeight="1" ht="17.25">
      <c r="A731" s="1"/>
      <c r="B731" s="114"/>
      <c r="C731" s="1"/>
      <c r="D731" s="1"/>
      <c r="E731" s="116"/>
      <c r="F731" s="1"/>
      <c r="G731" s="1"/>
      <c r="H731" s="114"/>
      <c r="I731" s="1"/>
      <c r="J731" s="1"/>
      <c r="K731" s="1"/>
      <c r="L731" s="54"/>
      <c r="M731" s="54"/>
      <c r="N731" s="54"/>
      <c r="O731" s="54"/>
      <c r="P731" s="54"/>
      <c r="Q731" s="54"/>
      <c r="R731" s="1"/>
      <c r="S731" s="1"/>
      <c r="T731" s="1"/>
      <c r="U731" s="1"/>
      <c r="V731" s="1"/>
      <c r="W731" s="1"/>
      <c r="X731" s="1"/>
      <c r="Y731" s="1"/>
      <c r="Z731" s="1"/>
      <c r="AA731" s="1"/>
      <c r="AB731" s="1"/>
      <c r="AC731" s="1"/>
      <c r="AD731" s="1"/>
      <c r="AE731" s="1"/>
      <c r="AF731" s="1"/>
      <c r="AG731" s="1"/>
      <c r="AH731" s="1"/>
      <c r="AI731" s="1"/>
    </row>
    <row x14ac:dyDescent="0.25" r="732" customHeight="1" ht="17.25">
      <c r="A732" s="1"/>
      <c r="B732" s="114"/>
      <c r="C732" s="1"/>
      <c r="D732" s="1"/>
      <c r="E732" s="116"/>
      <c r="F732" s="1"/>
      <c r="G732" s="1"/>
      <c r="H732" s="114"/>
      <c r="I732" s="1"/>
      <c r="J732" s="1"/>
      <c r="K732" s="1"/>
      <c r="L732" s="54"/>
      <c r="M732" s="54"/>
      <c r="N732" s="54"/>
      <c r="O732" s="54"/>
      <c r="P732" s="54"/>
      <c r="Q732" s="54"/>
      <c r="R732" s="1"/>
      <c r="S732" s="1"/>
      <c r="T732" s="1"/>
      <c r="U732" s="1"/>
      <c r="V732" s="1"/>
      <c r="W732" s="1"/>
      <c r="X732" s="1"/>
      <c r="Y732" s="1"/>
      <c r="Z732" s="1"/>
      <c r="AA732" s="1"/>
      <c r="AB732" s="1"/>
      <c r="AC732" s="1"/>
      <c r="AD732" s="1"/>
      <c r="AE732" s="1"/>
      <c r="AF732" s="1"/>
      <c r="AG732" s="1"/>
      <c r="AH732" s="1"/>
      <c r="AI732" s="1"/>
    </row>
    <row x14ac:dyDescent="0.25" r="733" customHeight="1" ht="17.25">
      <c r="A733" s="1"/>
      <c r="B733" s="114"/>
      <c r="C733" s="1"/>
      <c r="D733" s="1"/>
      <c r="E733" s="116"/>
      <c r="F733" s="1"/>
      <c r="G733" s="1"/>
      <c r="H733" s="114"/>
      <c r="I733" s="1"/>
      <c r="J733" s="1"/>
      <c r="K733" s="1"/>
      <c r="L733" s="54"/>
      <c r="M733" s="54"/>
      <c r="N733" s="54"/>
      <c r="O733" s="54"/>
      <c r="P733" s="54"/>
      <c r="Q733" s="54"/>
      <c r="R733" s="1"/>
      <c r="S733" s="1"/>
      <c r="T733" s="1"/>
      <c r="U733" s="1"/>
      <c r="V733" s="1"/>
      <c r="W733" s="1"/>
      <c r="X733" s="1"/>
      <c r="Y733" s="1"/>
      <c r="Z733" s="1"/>
      <c r="AA733" s="1"/>
      <c r="AB733" s="1"/>
      <c r="AC733" s="1"/>
      <c r="AD733" s="1"/>
      <c r="AE733" s="1"/>
      <c r="AF733" s="1"/>
      <c r="AG733" s="1"/>
      <c r="AH733" s="1"/>
      <c r="AI733" s="1"/>
    </row>
    <row x14ac:dyDescent="0.25" r="734" customHeight="1" ht="17.25">
      <c r="A734" s="1"/>
      <c r="B734" s="114"/>
      <c r="C734" s="1"/>
      <c r="D734" s="1"/>
      <c r="E734" s="116"/>
      <c r="F734" s="1"/>
      <c r="G734" s="1"/>
      <c r="H734" s="114"/>
      <c r="I734" s="1"/>
      <c r="J734" s="1"/>
      <c r="K734" s="1"/>
      <c r="L734" s="54"/>
      <c r="M734" s="54"/>
      <c r="N734" s="54"/>
      <c r="O734" s="54"/>
      <c r="P734" s="54"/>
      <c r="Q734" s="54"/>
      <c r="R734" s="1"/>
      <c r="S734" s="1"/>
      <c r="T734" s="1"/>
      <c r="U734" s="1"/>
      <c r="V734" s="1"/>
      <c r="W734" s="1"/>
      <c r="X734" s="1"/>
      <c r="Y734" s="1"/>
      <c r="Z734" s="1"/>
      <c r="AA734" s="1"/>
      <c r="AB734" s="1"/>
      <c r="AC734" s="1"/>
      <c r="AD734" s="1"/>
      <c r="AE734" s="1"/>
      <c r="AF734" s="1"/>
      <c r="AG734" s="1"/>
      <c r="AH734" s="1"/>
      <c r="AI734" s="1"/>
    </row>
    <row x14ac:dyDescent="0.25" r="735" customHeight="1" ht="17.25">
      <c r="A735" s="1"/>
      <c r="B735" s="114"/>
      <c r="C735" s="1"/>
      <c r="D735" s="1"/>
      <c r="E735" s="116"/>
      <c r="F735" s="1"/>
      <c r="G735" s="1"/>
      <c r="H735" s="114"/>
      <c r="I735" s="1"/>
      <c r="J735" s="1"/>
      <c r="K735" s="1"/>
      <c r="L735" s="54"/>
      <c r="M735" s="54"/>
      <c r="N735" s="54"/>
      <c r="O735" s="54"/>
      <c r="P735" s="54"/>
      <c r="Q735" s="54"/>
      <c r="R735" s="1"/>
      <c r="S735" s="1"/>
      <c r="T735" s="1"/>
      <c r="U735" s="1"/>
      <c r="V735" s="1"/>
      <c r="W735" s="1"/>
      <c r="X735" s="1"/>
      <c r="Y735" s="1"/>
      <c r="Z735" s="1"/>
      <c r="AA735" s="1"/>
      <c r="AB735" s="1"/>
      <c r="AC735" s="1"/>
      <c r="AD735" s="1"/>
      <c r="AE735" s="1"/>
      <c r="AF735" s="1"/>
      <c r="AG735" s="1"/>
      <c r="AH735" s="1"/>
      <c r="AI735" s="1"/>
    </row>
    <row x14ac:dyDescent="0.25" r="736" customHeight="1" ht="17.25">
      <c r="A736" s="1"/>
      <c r="B736" s="114"/>
      <c r="C736" s="1"/>
      <c r="D736" s="1"/>
      <c r="E736" s="116"/>
      <c r="F736" s="1"/>
      <c r="G736" s="1"/>
      <c r="H736" s="114"/>
      <c r="I736" s="1"/>
      <c r="J736" s="1"/>
      <c r="K736" s="1"/>
      <c r="L736" s="54"/>
      <c r="M736" s="54"/>
      <c r="N736" s="54"/>
      <c r="O736" s="54"/>
      <c r="P736" s="54"/>
      <c r="Q736" s="54"/>
      <c r="R736" s="1"/>
      <c r="S736" s="1"/>
      <c r="T736" s="1"/>
      <c r="U736" s="1"/>
      <c r="V736" s="1"/>
      <c r="W736" s="1"/>
      <c r="X736" s="1"/>
      <c r="Y736" s="1"/>
      <c r="Z736" s="1"/>
      <c r="AA736" s="1"/>
      <c r="AB736" s="1"/>
      <c r="AC736" s="1"/>
      <c r="AD736" s="1"/>
      <c r="AE736" s="1"/>
      <c r="AF736" s="1"/>
      <c r="AG736" s="1"/>
      <c r="AH736" s="1"/>
      <c r="AI736" s="1"/>
    </row>
    <row x14ac:dyDescent="0.25" r="737" customHeight="1" ht="17.25">
      <c r="A737" s="1"/>
      <c r="B737" s="114"/>
      <c r="C737" s="1"/>
      <c r="D737" s="1"/>
      <c r="E737" s="116"/>
      <c r="F737" s="1"/>
      <c r="G737" s="1"/>
      <c r="H737" s="114"/>
      <c r="I737" s="1"/>
      <c r="J737" s="1"/>
      <c r="K737" s="1"/>
      <c r="L737" s="54"/>
      <c r="M737" s="54"/>
      <c r="N737" s="54"/>
      <c r="O737" s="54"/>
      <c r="P737" s="54"/>
      <c r="Q737" s="54"/>
      <c r="R737" s="1"/>
      <c r="S737" s="1"/>
      <c r="T737" s="1"/>
      <c r="U737" s="1"/>
      <c r="V737" s="1"/>
      <c r="W737" s="1"/>
      <c r="X737" s="1"/>
      <c r="Y737" s="1"/>
      <c r="Z737" s="1"/>
      <c r="AA737" s="1"/>
      <c r="AB737" s="1"/>
      <c r="AC737" s="1"/>
      <c r="AD737" s="1"/>
      <c r="AE737" s="1"/>
      <c r="AF737" s="1"/>
      <c r="AG737" s="1"/>
      <c r="AH737" s="1"/>
      <c r="AI737" s="1"/>
    </row>
    <row x14ac:dyDescent="0.25" r="738" customHeight="1" ht="17.25">
      <c r="A738" s="1"/>
      <c r="B738" s="114"/>
      <c r="C738" s="1"/>
      <c r="D738" s="1"/>
      <c r="E738" s="116"/>
      <c r="F738" s="1"/>
      <c r="G738" s="1"/>
      <c r="H738" s="114"/>
      <c r="I738" s="1"/>
      <c r="J738" s="1"/>
      <c r="K738" s="1"/>
      <c r="L738" s="54"/>
      <c r="M738" s="54"/>
      <c r="N738" s="54"/>
      <c r="O738" s="54"/>
      <c r="P738" s="54"/>
      <c r="Q738" s="54"/>
      <c r="R738" s="1"/>
      <c r="S738" s="1"/>
      <c r="T738" s="1"/>
      <c r="U738" s="1"/>
      <c r="V738" s="1"/>
      <c r="W738" s="1"/>
      <c r="X738" s="1"/>
      <c r="Y738" s="1"/>
      <c r="Z738" s="1"/>
      <c r="AA738" s="1"/>
      <c r="AB738" s="1"/>
      <c r="AC738" s="1"/>
      <c r="AD738" s="1"/>
      <c r="AE738" s="1"/>
      <c r="AF738" s="1"/>
      <c r="AG738" s="1"/>
      <c r="AH738" s="1"/>
      <c r="AI738" s="1"/>
    </row>
    <row x14ac:dyDescent="0.25" r="739" customHeight="1" ht="17.25">
      <c r="A739" s="1"/>
      <c r="B739" s="114"/>
      <c r="C739" s="1"/>
      <c r="D739" s="1"/>
      <c r="E739" s="116"/>
      <c r="F739" s="1"/>
      <c r="G739" s="1"/>
      <c r="H739" s="114"/>
      <c r="I739" s="1"/>
      <c r="J739" s="1"/>
      <c r="K739" s="1"/>
      <c r="L739" s="54"/>
      <c r="M739" s="54"/>
      <c r="N739" s="54"/>
      <c r="O739" s="54"/>
      <c r="P739" s="54"/>
      <c r="Q739" s="54"/>
      <c r="R739" s="1"/>
      <c r="S739" s="1"/>
      <c r="T739" s="1"/>
      <c r="U739" s="1"/>
      <c r="V739" s="1"/>
      <c r="W739" s="1"/>
      <c r="X739" s="1"/>
      <c r="Y739" s="1"/>
      <c r="Z739" s="1"/>
      <c r="AA739" s="1"/>
      <c r="AB739" s="1"/>
      <c r="AC739" s="1"/>
      <c r="AD739" s="1"/>
      <c r="AE739" s="1"/>
      <c r="AF739" s="1"/>
      <c r="AG739" s="1"/>
      <c r="AH739" s="1"/>
      <c r="AI739" s="1"/>
    </row>
    <row x14ac:dyDescent="0.25" r="740" customHeight="1" ht="17.25">
      <c r="A740" s="1"/>
      <c r="B740" s="114"/>
      <c r="C740" s="1"/>
      <c r="D740" s="1"/>
      <c r="E740" s="1"/>
      <c r="F740" s="1"/>
      <c r="G740" s="1"/>
      <c r="H740" s="114"/>
      <c r="I740" s="1"/>
      <c r="J740" s="1"/>
      <c r="K740" s="1"/>
      <c r="L740" s="54"/>
      <c r="M740" s="54"/>
      <c r="N740" s="54"/>
      <c r="O740" s="54"/>
      <c r="P740" s="54"/>
      <c r="Q740" s="54"/>
      <c r="R740" s="1"/>
      <c r="S740" s="1"/>
      <c r="T740" s="1"/>
      <c r="U740" s="1"/>
      <c r="V740" s="1"/>
      <c r="W740" s="1"/>
      <c r="X740" s="1"/>
      <c r="Y740" s="1"/>
      <c r="Z740" s="1"/>
      <c r="AA740" s="1"/>
      <c r="AB740" s="1"/>
      <c r="AC740" s="1"/>
      <c r="AD740" s="1"/>
      <c r="AE740" s="1"/>
      <c r="AF740" s="1"/>
      <c r="AG740" s="1"/>
      <c r="AH740" s="1"/>
      <c r="AI740" s="1"/>
    </row>
    <row x14ac:dyDescent="0.25" r="741" customHeight="1" ht="17.25">
      <c r="A741" s="1"/>
      <c r="B741" s="114"/>
      <c r="C741" s="1"/>
      <c r="D741" s="1"/>
      <c r="E741" s="116"/>
      <c r="F741" s="1"/>
      <c r="G741" s="1"/>
      <c r="H741" s="114"/>
      <c r="I741" s="1"/>
      <c r="J741" s="1"/>
      <c r="K741" s="1"/>
      <c r="L741" s="54"/>
      <c r="M741" s="54"/>
      <c r="N741" s="54"/>
      <c r="O741" s="54"/>
      <c r="P741" s="54"/>
      <c r="Q741" s="54"/>
      <c r="R741" s="1"/>
      <c r="S741" s="1"/>
      <c r="T741" s="1"/>
      <c r="U741" s="1"/>
      <c r="V741" s="1"/>
      <c r="W741" s="1"/>
      <c r="X741" s="1"/>
      <c r="Y741" s="1"/>
      <c r="Z741" s="1"/>
      <c r="AA741" s="1"/>
      <c r="AB741" s="1"/>
      <c r="AC741" s="1"/>
      <c r="AD741" s="1"/>
      <c r="AE741" s="1"/>
      <c r="AF741" s="1"/>
      <c r="AG741" s="1"/>
      <c r="AH741" s="1"/>
      <c r="AI741" s="1"/>
    </row>
    <row x14ac:dyDescent="0.25" r="742" customHeight="1" ht="17.25">
      <c r="A742" s="1"/>
      <c r="B742" s="114"/>
      <c r="C742" s="1"/>
      <c r="D742" s="1"/>
      <c r="E742" s="116"/>
      <c r="F742" s="1"/>
      <c r="G742" s="1"/>
      <c r="H742" s="114"/>
      <c r="I742" s="1"/>
      <c r="J742" s="1"/>
      <c r="K742" s="1"/>
      <c r="L742" s="54"/>
      <c r="M742" s="54"/>
      <c r="N742" s="54"/>
      <c r="O742" s="54"/>
      <c r="P742" s="54"/>
      <c r="Q742" s="54"/>
      <c r="R742" s="1"/>
      <c r="S742" s="1"/>
      <c r="T742" s="1"/>
      <c r="U742" s="1"/>
      <c r="V742" s="1"/>
      <c r="W742" s="1"/>
      <c r="X742" s="1"/>
      <c r="Y742" s="1"/>
      <c r="Z742" s="1"/>
      <c r="AA742" s="1"/>
      <c r="AB742" s="1"/>
      <c r="AC742" s="1"/>
      <c r="AD742" s="1"/>
      <c r="AE742" s="1"/>
      <c r="AF742" s="1"/>
      <c r="AG742" s="1"/>
      <c r="AH742" s="1"/>
      <c r="AI742" s="1"/>
    </row>
    <row x14ac:dyDescent="0.25" r="743" customHeight="1" ht="17.25">
      <c r="A743" s="1"/>
      <c r="B743" s="114"/>
      <c r="C743" s="1"/>
      <c r="D743" s="1"/>
      <c r="E743" s="116"/>
      <c r="F743" s="1"/>
      <c r="G743" s="1"/>
      <c r="H743" s="114"/>
      <c r="I743" s="1"/>
      <c r="J743" s="1"/>
      <c r="K743" s="1"/>
      <c r="L743" s="54"/>
      <c r="M743" s="54"/>
      <c r="N743" s="54"/>
      <c r="O743" s="54"/>
      <c r="P743" s="54"/>
      <c r="Q743" s="54"/>
      <c r="R743" s="1"/>
      <c r="S743" s="1"/>
      <c r="T743" s="1"/>
      <c r="U743" s="1"/>
      <c r="V743" s="1"/>
      <c r="W743" s="1"/>
      <c r="X743" s="1"/>
      <c r="Y743" s="1"/>
      <c r="Z743" s="1"/>
      <c r="AA743" s="1"/>
      <c r="AB743" s="1"/>
      <c r="AC743" s="1"/>
      <c r="AD743" s="1"/>
      <c r="AE743" s="1"/>
      <c r="AF743" s="1"/>
      <c r="AG743" s="1"/>
      <c r="AH743" s="1"/>
      <c r="AI743" s="1"/>
    </row>
    <row x14ac:dyDescent="0.25" r="744" customHeight="1" ht="17.25">
      <c r="A744" s="1"/>
      <c r="B744" s="114"/>
      <c r="C744" s="1"/>
      <c r="D744" s="1"/>
      <c r="E744" s="116"/>
      <c r="F744" s="1"/>
      <c r="G744" s="1"/>
      <c r="H744" s="114"/>
      <c r="I744" s="1"/>
      <c r="J744" s="1"/>
      <c r="K744" s="1"/>
      <c r="L744" s="54"/>
      <c r="M744" s="54"/>
      <c r="N744" s="54"/>
      <c r="O744" s="54"/>
      <c r="P744" s="54"/>
      <c r="Q744" s="54"/>
      <c r="R744" s="1"/>
      <c r="S744" s="1"/>
      <c r="T744" s="1"/>
      <c r="U744" s="1"/>
      <c r="V744" s="1"/>
      <c r="W744" s="1"/>
      <c r="X744" s="1"/>
      <c r="Y744" s="1"/>
      <c r="Z744" s="1"/>
      <c r="AA744" s="1"/>
      <c r="AB744" s="1"/>
      <c r="AC744" s="1"/>
      <c r="AD744" s="1"/>
      <c r="AE744" s="1"/>
      <c r="AF744" s="1"/>
      <c r="AG744" s="1"/>
      <c r="AH744" s="1"/>
      <c r="AI744" s="1"/>
    </row>
    <row x14ac:dyDescent="0.25" r="745" customHeight="1" ht="17.25">
      <c r="A745" s="1"/>
      <c r="B745" s="114"/>
      <c r="C745" s="1"/>
      <c r="D745" s="1"/>
      <c r="E745" s="116"/>
      <c r="F745" s="1"/>
      <c r="G745" s="1"/>
      <c r="H745" s="114"/>
      <c r="I745" s="1"/>
      <c r="J745" s="1"/>
      <c r="K745" s="1"/>
      <c r="L745" s="54"/>
      <c r="M745" s="54"/>
      <c r="N745" s="54"/>
      <c r="O745" s="54"/>
      <c r="P745" s="54"/>
      <c r="Q745" s="54"/>
      <c r="R745" s="1"/>
      <c r="S745" s="1"/>
      <c r="T745" s="1"/>
      <c r="U745" s="1"/>
      <c r="V745" s="1"/>
      <c r="W745" s="1"/>
      <c r="X745" s="1"/>
      <c r="Y745" s="1"/>
      <c r="Z745" s="1"/>
      <c r="AA745" s="1"/>
      <c r="AB745" s="1"/>
      <c r="AC745" s="1"/>
      <c r="AD745" s="1"/>
      <c r="AE745" s="1"/>
      <c r="AF745" s="1"/>
      <c r="AG745" s="1"/>
      <c r="AH745" s="1"/>
      <c r="AI745" s="1"/>
    </row>
    <row x14ac:dyDescent="0.25" r="746" customHeight="1" ht="17.25">
      <c r="A746" s="1"/>
      <c r="B746" s="114"/>
      <c r="C746" s="1"/>
      <c r="D746" s="1"/>
      <c r="E746" s="116"/>
      <c r="F746" s="1"/>
      <c r="G746" s="1"/>
      <c r="H746" s="114"/>
      <c r="I746" s="1"/>
      <c r="J746" s="1"/>
      <c r="K746" s="1"/>
      <c r="L746" s="54"/>
      <c r="M746" s="54"/>
      <c r="N746" s="54"/>
      <c r="O746" s="54"/>
      <c r="P746" s="54"/>
      <c r="Q746" s="54"/>
      <c r="R746" s="1"/>
      <c r="S746" s="1"/>
      <c r="T746" s="1"/>
      <c r="U746" s="1"/>
      <c r="V746" s="1"/>
      <c r="W746" s="1"/>
      <c r="X746" s="1"/>
      <c r="Y746" s="1"/>
      <c r="Z746" s="1"/>
      <c r="AA746" s="1"/>
      <c r="AB746" s="1"/>
      <c r="AC746" s="1"/>
      <c r="AD746" s="1"/>
      <c r="AE746" s="1"/>
      <c r="AF746" s="1"/>
      <c r="AG746" s="1"/>
      <c r="AH746" s="1"/>
      <c r="AI746" s="1"/>
    </row>
    <row x14ac:dyDescent="0.25" r="747" customHeight="1" ht="17.25">
      <c r="A747" s="1"/>
      <c r="B747" s="114"/>
      <c r="C747" s="1"/>
      <c r="D747" s="1"/>
      <c r="E747" s="116"/>
      <c r="F747" s="1"/>
      <c r="G747" s="1"/>
      <c r="H747" s="114"/>
      <c r="I747" s="1"/>
      <c r="J747" s="1"/>
      <c r="K747" s="1"/>
      <c r="L747" s="54"/>
      <c r="M747" s="54"/>
      <c r="N747" s="54"/>
      <c r="O747" s="54"/>
      <c r="P747" s="54"/>
      <c r="Q747" s="54"/>
      <c r="R747" s="1"/>
      <c r="S747" s="1"/>
      <c r="T747" s="1"/>
      <c r="U747" s="1"/>
      <c r="V747" s="1"/>
      <c r="W747" s="1"/>
      <c r="X747" s="1"/>
      <c r="Y747" s="1"/>
      <c r="Z747" s="1"/>
      <c r="AA747" s="1"/>
      <c r="AB747" s="1"/>
      <c r="AC747" s="1"/>
      <c r="AD747" s="1"/>
      <c r="AE747" s="1"/>
      <c r="AF747" s="1"/>
      <c r="AG747" s="1"/>
      <c r="AH747" s="1"/>
      <c r="AI747" s="1"/>
    </row>
    <row x14ac:dyDescent="0.25" r="748" customHeight="1" ht="17.25">
      <c r="A748" s="1"/>
      <c r="B748" s="114"/>
      <c r="C748" s="1"/>
      <c r="D748" s="1"/>
      <c r="E748" s="116"/>
      <c r="F748" s="1"/>
      <c r="G748" s="1"/>
      <c r="H748" s="114"/>
      <c r="I748" s="1"/>
      <c r="J748" s="1"/>
      <c r="K748" s="1"/>
      <c r="L748" s="54"/>
      <c r="M748" s="54"/>
      <c r="N748" s="54"/>
      <c r="O748" s="54"/>
      <c r="P748" s="54"/>
      <c r="Q748" s="54"/>
      <c r="R748" s="1"/>
      <c r="S748" s="1"/>
      <c r="T748" s="1"/>
      <c r="U748" s="1"/>
      <c r="V748" s="1"/>
      <c r="W748" s="1"/>
      <c r="X748" s="1"/>
      <c r="Y748" s="1"/>
      <c r="Z748" s="1"/>
      <c r="AA748" s="1"/>
      <c r="AB748" s="1"/>
      <c r="AC748" s="1"/>
      <c r="AD748" s="1"/>
      <c r="AE748" s="1"/>
      <c r="AF748" s="1"/>
      <c r="AG748" s="1"/>
      <c r="AH748" s="1"/>
      <c r="AI748" s="1"/>
    </row>
    <row x14ac:dyDescent="0.25" r="749" customHeight="1" ht="17.25">
      <c r="A749" s="1"/>
      <c r="B749" s="114"/>
      <c r="C749" s="1"/>
      <c r="D749" s="1"/>
      <c r="E749" s="116"/>
      <c r="F749" s="1"/>
      <c r="G749" s="1"/>
      <c r="H749" s="114"/>
      <c r="I749" s="1"/>
      <c r="J749" s="1"/>
      <c r="K749" s="1"/>
      <c r="L749" s="54"/>
      <c r="M749" s="54"/>
      <c r="N749" s="54"/>
      <c r="O749" s="54"/>
      <c r="P749" s="54"/>
      <c r="Q749" s="54"/>
      <c r="R749" s="1"/>
      <c r="S749" s="1"/>
      <c r="T749" s="1"/>
      <c r="U749" s="1"/>
      <c r="V749" s="1"/>
      <c r="W749" s="1"/>
      <c r="X749" s="1"/>
      <c r="Y749" s="1"/>
      <c r="Z749" s="1"/>
      <c r="AA749" s="1"/>
      <c r="AB749" s="1"/>
      <c r="AC749" s="1"/>
      <c r="AD749" s="1"/>
      <c r="AE749" s="1"/>
      <c r="AF749" s="1"/>
      <c r="AG749" s="1"/>
      <c r="AH749" s="1"/>
      <c r="AI749" s="1"/>
    </row>
    <row x14ac:dyDescent="0.25" r="750" customHeight="1" ht="17.25">
      <c r="A750" s="1"/>
      <c r="B750" s="114"/>
      <c r="C750" s="1"/>
      <c r="D750" s="1"/>
      <c r="E750" s="116"/>
      <c r="F750" s="1"/>
      <c r="G750" s="1"/>
      <c r="H750" s="114"/>
      <c r="I750" s="1"/>
      <c r="J750" s="1"/>
      <c r="K750" s="1"/>
      <c r="L750" s="54"/>
      <c r="M750" s="54"/>
      <c r="N750" s="54"/>
      <c r="O750" s="54"/>
      <c r="P750" s="54"/>
      <c r="Q750" s="54"/>
      <c r="R750" s="1"/>
      <c r="S750" s="1"/>
      <c r="T750" s="1"/>
      <c r="U750" s="1"/>
      <c r="V750" s="1"/>
      <c r="W750" s="1"/>
      <c r="X750" s="1"/>
      <c r="Y750" s="1"/>
      <c r="Z750" s="1"/>
      <c r="AA750" s="1"/>
      <c r="AB750" s="1"/>
      <c r="AC750" s="1"/>
      <c r="AD750" s="1"/>
      <c r="AE750" s="1"/>
      <c r="AF750" s="1"/>
      <c r="AG750" s="1"/>
      <c r="AH750" s="1"/>
      <c r="AI750" s="1"/>
    </row>
    <row x14ac:dyDescent="0.25" r="751" customHeight="1" ht="17.25">
      <c r="A751" s="1"/>
      <c r="B751" s="114"/>
      <c r="C751" s="1"/>
      <c r="D751" s="1"/>
      <c r="E751" s="116"/>
      <c r="F751" s="1"/>
      <c r="G751" s="1"/>
      <c r="H751" s="114"/>
      <c r="I751" s="1"/>
      <c r="J751" s="1"/>
      <c r="K751" s="1"/>
      <c r="L751" s="54"/>
      <c r="M751" s="54"/>
      <c r="N751" s="54"/>
      <c r="O751" s="54"/>
      <c r="P751" s="54"/>
      <c r="Q751" s="54"/>
      <c r="R751" s="1"/>
      <c r="S751" s="1"/>
      <c r="T751" s="1"/>
      <c r="U751" s="1"/>
      <c r="V751" s="1"/>
      <c r="W751" s="1"/>
      <c r="X751" s="1"/>
      <c r="Y751" s="1"/>
      <c r="Z751" s="1"/>
      <c r="AA751" s="1"/>
      <c r="AB751" s="1"/>
      <c r="AC751" s="1"/>
      <c r="AD751" s="1"/>
      <c r="AE751" s="1"/>
      <c r="AF751" s="1"/>
      <c r="AG751" s="1"/>
      <c r="AH751" s="1"/>
      <c r="AI751" s="1"/>
    </row>
    <row x14ac:dyDescent="0.25" r="752" customHeight="1" ht="17.25">
      <c r="A752" s="1"/>
      <c r="B752" s="114"/>
      <c r="C752" s="1"/>
      <c r="D752" s="1"/>
      <c r="E752" s="116"/>
      <c r="F752" s="1"/>
      <c r="G752" s="1"/>
      <c r="H752" s="114"/>
      <c r="I752" s="1"/>
      <c r="J752" s="1"/>
      <c r="K752" s="1"/>
      <c r="L752" s="54"/>
      <c r="M752" s="54"/>
      <c r="N752" s="54"/>
      <c r="O752" s="54"/>
      <c r="P752" s="54"/>
      <c r="Q752" s="54"/>
      <c r="R752" s="1"/>
      <c r="S752" s="1"/>
      <c r="T752" s="1"/>
      <c r="U752" s="1"/>
      <c r="V752" s="1"/>
      <c r="W752" s="1"/>
      <c r="X752" s="1"/>
      <c r="Y752" s="1"/>
      <c r="Z752" s="1"/>
      <c r="AA752" s="1"/>
      <c r="AB752" s="1"/>
      <c r="AC752" s="1"/>
      <c r="AD752" s="1"/>
      <c r="AE752" s="1"/>
      <c r="AF752" s="1"/>
      <c r="AG752" s="1"/>
      <c r="AH752" s="1"/>
      <c r="AI752" s="1"/>
    </row>
    <row x14ac:dyDescent="0.25" r="753" customHeight="1" ht="17.25">
      <c r="A753" s="1"/>
      <c r="B753" s="114"/>
      <c r="C753" s="1"/>
      <c r="D753" s="1"/>
      <c r="E753" s="116"/>
      <c r="F753" s="1"/>
      <c r="G753" s="1"/>
      <c r="H753" s="114"/>
      <c r="I753" s="1"/>
      <c r="J753" s="1"/>
      <c r="K753" s="1"/>
      <c r="L753" s="54"/>
      <c r="M753" s="54"/>
      <c r="N753" s="54"/>
      <c r="O753" s="54"/>
      <c r="P753" s="54"/>
      <c r="Q753" s="54"/>
      <c r="R753" s="1"/>
      <c r="S753" s="1"/>
      <c r="T753" s="1"/>
      <c r="U753" s="1"/>
      <c r="V753" s="1"/>
      <c r="W753" s="1"/>
      <c r="X753" s="1"/>
      <c r="Y753" s="1"/>
      <c r="Z753" s="1"/>
      <c r="AA753" s="1"/>
      <c r="AB753" s="1"/>
      <c r="AC753" s="1"/>
      <c r="AD753" s="1"/>
      <c r="AE753" s="1"/>
      <c r="AF753" s="1"/>
      <c r="AG753" s="1"/>
      <c r="AH753" s="1"/>
      <c r="AI753" s="1"/>
    </row>
    <row x14ac:dyDescent="0.25" r="754" customHeight="1" ht="17.25">
      <c r="A754" s="1"/>
      <c r="B754" s="114"/>
      <c r="C754" s="1"/>
      <c r="D754" s="1"/>
      <c r="E754" s="116"/>
      <c r="F754" s="1"/>
      <c r="G754" s="1"/>
      <c r="H754" s="114"/>
      <c r="I754" s="1"/>
      <c r="J754" s="1"/>
      <c r="K754" s="1"/>
      <c r="L754" s="54"/>
      <c r="M754" s="54"/>
      <c r="N754" s="54"/>
      <c r="O754" s="54"/>
      <c r="P754" s="54"/>
      <c r="Q754" s="54"/>
      <c r="R754" s="1"/>
      <c r="S754" s="1"/>
      <c r="T754" s="1"/>
      <c r="U754" s="1"/>
      <c r="V754" s="1"/>
      <c r="W754" s="1"/>
      <c r="X754" s="1"/>
      <c r="Y754" s="1"/>
      <c r="Z754" s="1"/>
      <c r="AA754" s="1"/>
      <c r="AB754" s="1"/>
      <c r="AC754" s="1"/>
      <c r="AD754" s="1"/>
      <c r="AE754" s="1"/>
      <c r="AF754" s="1"/>
      <c r="AG754" s="1"/>
      <c r="AH754" s="1"/>
      <c r="AI754" s="1"/>
    </row>
    <row x14ac:dyDescent="0.25" r="755" customHeight="1" ht="17.25">
      <c r="A755" s="1"/>
      <c r="B755" s="114"/>
      <c r="C755" s="1"/>
      <c r="D755" s="1"/>
      <c r="E755" s="116"/>
      <c r="F755" s="1"/>
      <c r="G755" s="1"/>
      <c r="H755" s="114"/>
      <c r="I755" s="1"/>
      <c r="J755" s="1"/>
      <c r="K755" s="1"/>
      <c r="L755" s="54"/>
      <c r="M755" s="54"/>
      <c r="N755" s="54"/>
      <c r="O755" s="54"/>
      <c r="P755" s="54"/>
      <c r="Q755" s="54"/>
      <c r="R755" s="1"/>
      <c r="S755" s="1"/>
      <c r="T755" s="1"/>
      <c r="U755" s="1"/>
      <c r="V755" s="1"/>
      <c r="W755" s="1"/>
      <c r="X755" s="1"/>
      <c r="Y755" s="1"/>
      <c r="Z755" s="1"/>
      <c r="AA755" s="1"/>
      <c r="AB755" s="1"/>
      <c r="AC755" s="1"/>
      <c r="AD755" s="1"/>
      <c r="AE755" s="1"/>
      <c r="AF755" s="1"/>
      <c r="AG755" s="1"/>
      <c r="AH755" s="1"/>
      <c r="AI755" s="1"/>
    </row>
    <row x14ac:dyDescent="0.25" r="756" customHeight="1" ht="17.25">
      <c r="A756" s="1"/>
      <c r="B756" s="114"/>
      <c r="C756" s="1"/>
      <c r="D756" s="1"/>
      <c r="E756" s="116"/>
      <c r="F756" s="1"/>
      <c r="G756" s="1"/>
      <c r="H756" s="114"/>
      <c r="I756" s="1"/>
      <c r="J756" s="1"/>
      <c r="K756" s="1"/>
      <c r="L756" s="54"/>
      <c r="M756" s="54"/>
      <c r="N756" s="54"/>
      <c r="O756" s="54"/>
      <c r="P756" s="54"/>
      <c r="Q756" s="54"/>
      <c r="R756" s="1"/>
      <c r="S756" s="1"/>
      <c r="T756" s="1"/>
      <c r="U756" s="1"/>
      <c r="V756" s="1"/>
      <c r="W756" s="1"/>
      <c r="X756" s="1"/>
      <c r="Y756" s="1"/>
      <c r="Z756" s="1"/>
      <c r="AA756" s="1"/>
      <c r="AB756" s="1"/>
      <c r="AC756" s="1"/>
      <c r="AD756" s="1"/>
      <c r="AE756" s="1"/>
      <c r="AF756" s="1"/>
      <c r="AG756" s="1"/>
      <c r="AH756" s="1"/>
      <c r="AI756" s="1"/>
    </row>
    <row x14ac:dyDescent="0.25" r="757" customHeight="1" ht="17.25">
      <c r="A757" s="1"/>
      <c r="B757" s="114"/>
      <c r="C757" s="1"/>
      <c r="D757" s="1"/>
      <c r="E757" s="116"/>
      <c r="F757" s="1"/>
      <c r="G757" s="1"/>
      <c r="H757" s="114"/>
      <c r="I757" s="1"/>
      <c r="J757" s="1"/>
      <c r="K757" s="1"/>
      <c r="L757" s="54"/>
      <c r="M757" s="54"/>
      <c r="N757" s="54"/>
      <c r="O757" s="54"/>
      <c r="P757" s="54"/>
      <c r="Q757" s="54"/>
      <c r="R757" s="1"/>
      <c r="S757" s="1"/>
      <c r="T757" s="1"/>
      <c r="U757" s="1"/>
      <c r="V757" s="1"/>
      <c r="W757" s="1"/>
      <c r="X757" s="1"/>
      <c r="Y757" s="1"/>
      <c r="Z757" s="1"/>
      <c r="AA757" s="1"/>
      <c r="AB757" s="1"/>
      <c r="AC757" s="1"/>
      <c r="AD757" s="1"/>
      <c r="AE757" s="1"/>
      <c r="AF757" s="1"/>
      <c r="AG757" s="1"/>
      <c r="AH757" s="1"/>
      <c r="AI757" s="1"/>
    </row>
    <row x14ac:dyDescent="0.25" r="758" customHeight="1" ht="17.25">
      <c r="A758" s="1"/>
      <c r="B758" s="114"/>
      <c r="C758" s="1"/>
      <c r="D758" s="1"/>
      <c r="E758" s="116"/>
      <c r="F758" s="1"/>
      <c r="G758" s="1"/>
      <c r="H758" s="114"/>
      <c r="I758" s="1"/>
      <c r="J758" s="1"/>
      <c r="K758" s="1"/>
      <c r="L758" s="54"/>
      <c r="M758" s="54"/>
      <c r="N758" s="54"/>
      <c r="O758" s="54"/>
      <c r="P758" s="54"/>
      <c r="Q758" s="54"/>
      <c r="R758" s="1"/>
      <c r="S758" s="1"/>
      <c r="T758" s="1"/>
      <c r="U758" s="1"/>
      <c r="V758" s="1"/>
      <c r="W758" s="1"/>
      <c r="X758" s="1"/>
      <c r="Y758" s="1"/>
      <c r="Z758" s="1"/>
      <c r="AA758" s="1"/>
      <c r="AB758" s="1"/>
      <c r="AC758" s="1"/>
      <c r="AD758" s="1"/>
      <c r="AE758" s="1"/>
      <c r="AF758" s="1"/>
      <c r="AG758" s="1"/>
      <c r="AH758" s="1"/>
      <c r="AI758" s="1"/>
    </row>
    <row x14ac:dyDescent="0.25" r="759" customHeight="1" ht="17.25">
      <c r="A759" s="1"/>
      <c r="B759" s="114"/>
      <c r="C759" s="1"/>
      <c r="D759" s="1"/>
      <c r="E759" s="116"/>
      <c r="F759" s="1"/>
      <c r="G759" s="1"/>
      <c r="H759" s="114"/>
      <c r="I759" s="1"/>
      <c r="J759" s="1"/>
      <c r="K759" s="1"/>
      <c r="L759" s="54"/>
      <c r="M759" s="54"/>
      <c r="N759" s="54"/>
      <c r="O759" s="54"/>
      <c r="P759" s="54"/>
      <c r="Q759" s="54"/>
      <c r="R759" s="1"/>
      <c r="S759" s="1"/>
      <c r="T759" s="1"/>
      <c r="U759" s="1"/>
      <c r="V759" s="1"/>
      <c r="W759" s="1"/>
      <c r="X759" s="1"/>
      <c r="Y759" s="1"/>
      <c r="Z759" s="1"/>
      <c r="AA759" s="1"/>
      <c r="AB759" s="1"/>
      <c r="AC759" s="1"/>
      <c r="AD759" s="1"/>
      <c r="AE759" s="1"/>
      <c r="AF759" s="1"/>
      <c r="AG759" s="1"/>
      <c r="AH759" s="1"/>
      <c r="AI759" s="1"/>
    </row>
    <row x14ac:dyDescent="0.25" r="760" customHeight="1" ht="17.25">
      <c r="A760" s="1"/>
      <c r="B760" s="114"/>
      <c r="C760" s="1"/>
      <c r="D760" s="1"/>
      <c r="E760" s="116"/>
      <c r="F760" s="1"/>
      <c r="G760" s="1"/>
      <c r="H760" s="114"/>
      <c r="I760" s="1"/>
      <c r="J760" s="1"/>
      <c r="K760" s="1"/>
      <c r="L760" s="54"/>
      <c r="M760" s="54"/>
      <c r="N760" s="54"/>
      <c r="O760" s="54"/>
      <c r="P760" s="54"/>
      <c r="Q760" s="54"/>
      <c r="R760" s="1"/>
      <c r="S760" s="1"/>
      <c r="T760" s="1"/>
      <c r="U760" s="1"/>
      <c r="V760" s="1"/>
      <c r="W760" s="1"/>
      <c r="X760" s="1"/>
      <c r="Y760" s="1"/>
      <c r="Z760" s="1"/>
      <c r="AA760" s="1"/>
      <c r="AB760" s="1"/>
      <c r="AC760" s="1"/>
      <c r="AD760" s="1"/>
      <c r="AE760" s="1"/>
      <c r="AF760" s="1"/>
      <c r="AG760" s="1"/>
      <c r="AH760" s="1"/>
      <c r="AI760" s="1"/>
    </row>
    <row x14ac:dyDescent="0.25" r="761" customHeight="1" ht="17.25">
      <c r="A761" s="1"/>
      <c r="B761" s="114"/>
      <c r="C761" s="1"/>
      <c r="D761" s="1"/>
      <c r="E761" s="116"/>
      <c r="F761" s="1"/>
      <c r="G761" s="1"/>
      <c r="H761" s="114"/>
      <c r="I761" s="1"/>
      <c r="J761" s="1"/>
      <c r="K761" s="1"/>
      <c r="L761" s="54"/>
      <c r="M761" s="54"/>
      <c r="N761" s="54"/>
      <c r="O761" s="54"/>
      <c r="P761" s="54"/>
      <c r="Q761" s="54"/>
      <c r="R761" s="1"/>
      <c r="S761" s="1"/>
      <c r="T761" s="1"/>
      <c r="U761" s="1"/>
      <c r="V761" s="1"/>
      <c r="W761" s="1"/>
      <c r="X761" s="1"/>
      <c r="Y761" s="1"/>
      <c r="Z761" s="1"/>
      <c r="AA761" s="1"/>
      <c r="AB761" s="1"/>
      <c r="AC761" s="1"/>
      <c r="AD761" s="1"/>
      <c r="AE761" s="1"/>
      <c r="AF761" s="1"/>
      <c r="AG761" s="1"/>
      <c r="AH761" s="1"/>
      <c r="AI761" s="1"/>
    </row>
    <row x14ac:dyDescent="0.25" r="762" customHeight="1" ht="17.25">
      <c r="A762" s="1"/>
      <c r="B762" s="114"/>
      <c r="C762" s="1"/>
      <c r="D762" s="1"/>
      <c r="E762" s="116"/>
      <c r="F762" s="1"/>
      <c r="G762" s="1"/>
      <c r="H762" s="114"/>
      <c r="I762" s="1"/>
      <c r="J762" s="1"/>
      <c r="K762" s="1"/>
      <c r="L762" s="54"/>
      <c r="M762" s="54"/>
      <c r="N762" s="54"/>
      <c r="O762" s="54"/>
      <c r="P762" s="54"/>
      <c r="Q762" s="54"/>
      <c r="R762" s="1"/>
      <c r="S762" s="1"/>
      <c r="T762" s="1"/>
      <c r="U762" s="1"/>
      <c r="V762" s="1"/>
      <c r="W762" s="1"/>
      <c r="X762" s="1"/>
      <c r="Y762" s="1"/>
      <c r="Z762" s="1"/>
      <c r="AA762" s="1"/>
      <c r="AB762" s="1"/>
      <c r="AC762" s="1"/>
      <c r="AD762" s="1"/>
      <c r="AE762" s="1"/>
      <c r="AF762" s="1"/>
      <c r="AG762" s="1"/>
      <c r="AH762" s="1"/>
      <c r="AI762" s="1"/>
    </row>
    <row x14ac:dyDescent="0.25" r="763" customHeight="1" ht="17.25">
      <c r="A763" s="1"/>
      <c r="B763" s="114"/>
      <c r="C763" s="1"/>
      <c r="D763" s="1"/>
      <c r="E763" s="116"/>
      <c r="F763" s="1"/>
      <c r="G763" s="1"/>
      <c r="H763" s="114"/>
      <c r="I763" s="1"/>
      <c r="J763" s="1"/>
      <c r="K763" s="1"/>
      <c r="L763" s="54"/>
      <c r="M763" s="54"/>
      <c r="N763" s="54"/>
      <c r="O763" s="54"/>
      <c r="P763" s="54"/>
      <c r="Q763" s="54"/>
      <c r="R763" s="1"/>
      <c r="S763" s="1"/>
      <c r="T763" s="1"/>
      <c r="U763" s="1"/>
      <c r="V763" s="1"/>
      <c r="W763" s="1"/>
      <c r="X763" s="1"/>
      <c r="Y763" s="1"/>
      <c r="Z763" s="1"/>
      <c r="AA763" s="1"/>
      <c r="AB763" s="1"/>
      <c r="AC763" s="1"/>
      <c r="AD763" s="1"/>
      <c r="AE763" s="1"/>
      <c r="AF763" s="1"/>
      <c r="AG763" s="1"/>
      <c r="AH763" s="1"/>
      <c r="AI763" s="1"/>
    </row>
    <row x14ac:dyDescent="0.25" r="764" customHeight="1" ht="17.25">
      <c r="A764" s="1"/>
      <c r="B764" s="114"/>
      <c r="C764" s="1"/>
      <c r="D764" s="1"/>
      <c r="E764" s="116"/>
      <c r="F764" s="1"/>
      <c r="G764" s="1"/>
      <c r="H764" s="114"/>
      <c r="I764" s="1"/>
      <c r="J764" s="1"/>
      <c r="K764" s="1"/>
      <c r="L764" s="54"/>
      <c r="M764" s="54"/>
      <c r="N764" s="54"/>
      <c r="O764" s="54"/>
      <c r="P764" s="54"/>
      <c r="Q764" s="54"/>
      <c r="R764" s="1"/>
      <c r="S764" s="1"/>
      <c r="T764" s="1"/>
      <c r="U764" s="1"/>
      <c r="V764" s="1"/>
      <c r="W764" s="1"/>
      <c r="X764" s="1"/>
      <c r="Y764" s="1"/>
      <c r="Z764" s="1"/>
      <c r="AA764" s="1"/>
      <c r="AB764" s="1"/>
      <c r="AC764" s="1"/>
      <c r="AD764" s="1"/>
      <c r="AE764" s="1"/>
      <c r="AF764" s="1"/>
      <c r="AG764" s="1"/>
      <c r="AH764" s="1"/>
      <c r="AI764" s="1"/>
    </row>
    <row x14ac:dyDescent="0.25" r="765" customHeight="1" ht="17.25">
      <c r="A765" s="1"/>
      <c r="B765" s="114"/>
      <c r="C765" s="1"/>
      <c r="D765" s="1"/>
      <c r="E765" s="116"/>
      <c r="F765" s="1"/>
      <c r="G765" s="1"/>
      <c r="H765" s="114"/>
      <c r="I765" s="1"/>
      <c r="J765" s="1"/>
      <c r="K765" s="1"/>
      <c r="L765" s="54"/>
      <c r="M765" s="54"/>
      <c r="N765" s="54"/>
      <c r="O765" s="54"/>
      <c r="P765" s="54"/>
      <c r="Q765" s="54"/>
      <c r="R765" s="1"/>
      <c r="S765" s="1"/>
      <c r="T765" s="1"/>
      <c r="U765" s="1"/>
      <c r="V765" s="1"/>
      <c r="W765" s="1"/>
      <c r="X765" s="1"/>
      <c r="Y765" s="1"/>
      <c r="Z765" s="1"/>
      <c r="AA765" s="1"/>
      <c r="AB765" s="1"/>
      <c r="AC765" s="1"/>
      <c r="AD765" s="1"/>
      <c r="AE765" s="1"/>
      <c r="AF765" s="1"/>
      <c r="AG765" s="1"/>
      <c r="AH765" s="1"/>
      <c r="AI765" s="1"/>
    </row>
    <row x14ac:dyDescent="0.25" r="766" customHeight="1" ht="17.25">
      <c r="A766" s="1"/>
      <c r="B766" s="114"/>
      <c r="C766" s="1"/>
      <c r="D766" s="1"/>
      <c r="E766" s="116"/>
      <c r="F766" s="1"/>
      <c r="G766" s="1"/>
      <c r="H766" s="114"/>
      <c r="I766" s="1"/>
      <c r="J766" s="1"/>
      <c r="K766" s="1"/>
      <c r="L766" s="54"/>
      <c r="M766" s="54"/>
      <c r="N766" s="54"/>
      <c r="O766" s="54"/>
      <c r="P766" s="54"/>
      <c r="Q766" s="54"/>
      <c r="R766" s="1"/>
      <c r="S766" s="1"/>
      <c r="T766" s="1"/>
      <c r="U766" s="1"/>
      <c r="V766" s="1"/>
      <c r="W766" s="1"/>
      <c r="X766" s="1"/>
      <c r="Y766" s="1"/>
      <c r="Z766" s="1"/>
      <c r="AA766" s="1"/>
      <c r="AB766" s="1"/>
      <c r="AC766" s="1"/>
      <c r="AD766" s="1"/>
      <c r="AE766" s="1"/>
      <c r="AF766" s="1"/>
      <c r="AG766" s="1"/>
      <c r="AH766" s="1"/>
      <c r="AI766" s="1"/>
    </row>
    <row x14ac:dyDescent="0.25" r="767" customHeight="1" ht="17.25">
      <c r="A767" s="1"/>
      <c r="B767" s="114"/>
      <c r="C767" s="1"/>
      <c r="D767" s="1"/>
      <c r="E767" s="116"/>
      <c r="F767" s="1"/>
      <c r="G767" s="1"/>
      <c r="H767" s="114"/>
      <c r="I767" s="1"/>
      <c r="J767" s="1"/>
      <c r="K767" s="1"/>
      <c r="L767" s="54"/>
      <c r="M767" s="54"/>
      <c r="N767" s="54"/>
      <c r="O767" s="54"/>
      <c r="P767" s="54"/>
      <c r="Q767" s="54"/>
      <c r="R767" s="1"/>
      <c r="S767" s="1"/>
      <c r="T767" s="1"/>
      <c r="U767" s="1"/>
      <c r="V767" s="1"/>
      <c r="W767" s="1"/>
      <c r="X767" s="1"/>
      <c r="Y767" s="1"/>
      <c r="Z767" s="1"/>
      <c r="AA767" s="1"/>
      <c r="AB767" s="1"/>
      <c r="AC767" s="1"/>
      <c r="AD767" s="1"/>
      <c r="AE767" s="1"/>
      <c r="AF767" s="1"/>
      <c r="AG767" s="1"/>
      <c r="AH767" s="1"/>
      <c r="AI767" s="1"/>
    </row>
    <row x14ac:dyDescent="0.25" r="768" customHeight="1" ht="17.25">
      <c r="A768" s="1"/>
      <c r="B768" s="114"/>
      <c r="C768" s="1"/>
      <c r="D768" s="1"/>
      <c r="E768" s="116"/>
      <c r="F768" s="1"/>
      <c r="G768" s="1"/>
      <c r="H768" s="114"/>
      <c r="I768" s="1"/>
      <c r="J768" s="1"/>
      <c r="K768" s="1"/>
      <c r="L768" s="54"/>
      <c r="M768" s="54"/>
      <c r="N768" s="54"/>
      <c r="O768" s="54"/>
      <c r="P768" s="54"/>
      <c r="Q768" s="54"/>
      <c r="R768" s="1"/>
      <c r="S768" s="1"/>
      <c r="T768" s="1"/>
      <c r="U768" s="1"/>
      <c r="V768" s="1"/>
      <c r="W768" s="1"/>
      <c r="X768" s="1"/>
      <c r="Y768" s="1"/>
      <c r="Z768" s="1"/>
      <c r="AA768" s="1"/>
      <c r="AB768" s="1"/>
      <c r="AC768" s="1"/>
      <c r="AD768" s="1"/>
      <c r="AE768" s="1"/>
      <c r="AF768" s="1"/>
      <c r="AG768" s="1"/>
      <c r="AH768" s="1"/>
      <c r="AI768" s="1"/>
    </row>
    <row x14ac:dyDescent="0.25" r="769" customHeight="1" ht="17.25">
      <c r="A769" s="1"/>
      <c r="B769" s="114"/>
      <c r="C769" s="1"/>
      <c r="D769" s="1"/>
      <c r="E769" s="116"/>
      <c r="F769" s="1"/>
      <c r="G769" s="1"/>
      <c r="H769" s="114"/>
      <c r="I769" s="1"/>
      <c r="J769" s="1"/>
      <c r="K769" s="1"/>
      <c r="L769" s="54"/>
      <c r="M769" s="54"/>
      <c r="N769" s="54"/>
      <c r="O769" s="54"/>
      <c r="P769" s="54"/>
      <c r="Q769" s="54"/>
      <c r="R769" s="1"/>
      <c r="S769" s="1"/>
      <c r="T769" s="1"/>
      <c r="U769" s="1"/>
      <c r="V769" s="1"/>
      <c r="W769" s="1"/>
      <c r="X769" s="1"/>
      <c r="Y769" s="1"/>
      <c r="Z769" s="1"/>
      <c r="AA769" s="1"/>
      <c r="AB769" s="1"/>
      <c r="AC769" s="1"/>
      <c r="AD769" s="1"/>
      <c r="AE769" s="1"/>
      <c r="AF769" s="1"/>
      <c r="AG769" s="1"/>
      <c r="AH769" s="1"/>
      <c r="AI769" s="1"/>
    </row>
    <row x14ac:dyDescent="0.25" r="770" customHeight="1" ht="17.25">
      <c r="A770" s="1"/>
      <c r="B770" s="114"/>
      <c r="C770" s="1"/>
      <c r="D770" s="1"/>
      <c r="E770" s="116"/>
      <c r="F770" s="1"/>
      <c r="G770" s="1"/>
      <c r="H770" s="114"/>
      <c r="I770" s="1"/>
      <c r="J770" s="1"/>
      <c r="K770" s="1"/>
      <c r="L770" s="54"/>
      <c r="M770" s="54"/>
      <c r="N770" s="54"/>
      <c r="O770" s="54"/>
      <c r="P770" s="54"/>
      <c r="Q770" s="54"/>
      <c r="R770" s="1"/>
      <c r="S770" s="1"/>
      <c r="T770" s="1"/>
      <c r="U770" s="1"/>
      <c r="V770" s="1"/>
      <c r="W770" s="1"/>
      <c r="X770" s="1"/>
      <c r="Y770" s="1"/>
      <c r="Z770" s="1"/>
      <c r="AA770" s="1"/>
      <c r="AB770" s="1"/>
      <c r="AC770" s="1"/>
      <c r="AD770" s="1"/>
      <c r="AE770" s="1"/>
      <c r="AF770" s="1"/>
      <c r="AG770" s="1"/>
      <c r="AH770" s="1"/>
      <c r="AI770" s="1"/>
    </row>
    <row x14ac:dyDescent="0.25" r="771" customHeight="1" ht="17.25">
      <c r="A771" s="1"/>
      <c r="B771" s="114"/>
      <c r="C771" s="1"/>
      <c r="D771" s="1"/>
      <c r="E771" s="116"/>
      <c r="F771" s="1"/>
      <c r="G771" s="1"/>
      <c r="H771" s="114"/>
      <c r="I771" s="1"/>
      <c r="J771" s="1"/>
      <c r="K771" s="1"/>
      <c r="L771" s="54"/>
      <c r="M771" s="54"/>
      <c r="N771" s="54"/>
      <c r="O771" s="54"/>
      <c r="P771" s="54"/>
      <c r="Q771" s="54"/>
      <c r="R771" s="1"/>
      <c r="S771" s="1"/>
      <c r="T771" s="1"/>
      <c r="U771" s="1"/>
      <c r="V771" s="1"/>
      <c r="W771" s="1"/>
      <c r="X771" s="1"/>
      <c r="Y771" s="1"/>
      <c r="Z771" s="1"/>
      <c r="AA771" s="1"/>
      <c r="AB771" s="1"/>
      <c r="AC771" s="1"/>
      <c r="AD771" s="1"/>
      <c r="AE771" s="1"/>
      <c r="AF771" s="1"/>
      <c r="AG771" s="1"/>
      <c r="AH771" s="1"/>
      <c r="AI771" s="1"/>
    </row>
    <row x14ac:dyDescent="0.25" r="772" customHeight="1" ht="17.25">
      <c r="A772" s="1"/>
      <c r="B772" s="114"/>
      <c r="C772" s="1"/>
      <c r="D772" s="1"/>
      <c r="E772" s="116"/>
      <c r="F772" s="1"/>
      <c r="G772" s="1"/>
      <c r="H772" s="114"/>
      <c r="I772" s="1"/>
      <c r="J772" s="1"/>
      <c r="K772" s="1"/>
      <c r="L772" s="54"/>
      <c r="M772" s="54"/>
      <c r="N772" s="54"/>
      <c r="O772" s="54"/>
      <c r="P772" s="54"/>
      <c r="Q772" s="54"/>
      <c r="R772" s="1"/>
      <c r="S772" s="1"/>
      <c r="T772" s="1"/>
      <c r="U772" s="1"/>
      <c r="V772" s="1"/>
      <c r="W772" s="1"/>
      <c r="X772" s="1"/>
      <c r="Y772" s="1"/>
      <c r="Z772" s="1"/>
      <c r="AA772" s="1"/>
      <c r="AB772" s="1"/>
      <c r="AC772" s="1"/>
      <c r="AD772" s="1"/>
      <c r="AE772" s="1"/>
      <c r="AF772" s="1"/>
      <c r="AG772" s="1"/>
      <c r="AH772" s="1"/>
      <c r="AI772" s="1"/>
    </row>
    <row x14ac:dyDescent="0.25" r="773" customHeight="1" ht="17.25">
      <c r="A773" s="1"/>
      <c r="B773" s="114"/>
      <c r="C773" s="1"/>
      <c r="D773" s="1"/>
      <c r="E773" s="116"/>
      <c r="F773" s="1"/>
      <c r="G773" s="1"/>
      <c r="H773" s="114"/>
      <c r="I773" s="1"/>
      <c r="J773" s="1"/>
      <c r="K773" s="1"/>
      <c r="L773" s="54"/>
      <c r="M773" s="54"/>
      <c r="N773" s="54"/>
      <c r="O773" s="54"/>
      <c r="P773" s="54"/>
      <c r="Q773" s="54"/>
      <c r="R773" s="1"/>
      <c r="S773" s="1"/>
      <c r="T773" s="1"/>
      <c r="U773" s="1"/>
      <c r="V773" s="1"/>
      <c r="W773" s="1"/>
      <c r="X773" s="1"/>
      <c r="Y773" s="1"/>
      <c r="Z773" s="1"/>
      <c r="AA773" s="1"/>
      <c r="AB773" s="1"/>
      <c r="AC773" s="1"/>
      <c r="AD773" s="1"/>
      <c r="AE773" s="1"/>
      <c r="AF773" s="1"/>
      <c r="AG773" s="1"/>
      <c r="AH773" s="1"/>
      <c r="AI773" s="1"/>
    </row>
    <row x14ac:dyDescent="0.25" r="774" customHeight="1" ht="17.25">
      <c r="A774" s="1"/>
      <c r="B774" s="114"/>
      <c r="C774" s="1"/>
      <c r="D774" s="1"/>
      <c r="E774" s="116"/>
      <c r="F774" s="1"/>
      <c r="G774" s="1"/>
      <c r="H774" s="114"/>
      <c r="I774" s="1"/>
      <c r="J774" s="1"/>
      <c r="K774" s="1"/>
      <c r="L774" s="54"/>
      <c r="M774" s="54"/>
      <c r="N774" s="54"/>
      <c r="O774" s="54"/>
      <c r="P774" s="54"/>
      <c r="Q774" s="54"/>
      <c r="R774" s="1"/>
      <c r="S774" s="1"/>
      <c r="T774" s="1"/>
      <c r="U774" s="1"/>
      <c r="V774" s="1"/>
      <c r="W774" s="1"/>
      <c r="X774" s="1"/>
      <c r="Y774" s="1"/>
      <c r="Z774" s="1"/>
      <c r="AA774" s="1"/>
      <c r="AB774" s="1"/>
      <c r="AC774" s="1"/>
      <c r="AD774" s="1"/>
      <c r="AE774" s="1"/>
      <c r="AF774" s="1"/>
      <c r="AG774" s="1"/>
      <c r="AH774" s="1"/>
      <c r="AI774" s="1"/>
    </row>
    <row x14ac:dyDescent="0.25" r="775" customHeight="1" ht="17.25">
      <c r="A775" s="1"/>
      <c r="B775" s="114"/>
      <c r="C775" s="1"/>
      <c r="D775" s="1"/>
      <c r="E775" s="116"/>
      <c r="F775" s="1"/>
      <c r="G775" s="1"/>
      <c r="H775" s="114"/>
      <c r="I775" s="1"/>
      <c r="J775" s="1"/>
      <c r="K775" s="1"/>
      <c r="L775" s="54"/>
      <c r="M775" s="54"/>
      <c r="N775" s="54"/>
      <c r="O775" s="54"/>
      <c r="P775" s="54"/>
      <c r="Q775" s="54"/>
      <c r="R775" s="1"/>
      <c r="S775" s="1"/>
      <c r="T775" s="1"/>
      <c r="U775" s="1"/>
      <c r="V775" s="1"/>
      <c r="W775" s="1"/>
      <c r="X775" s="1"/>
      <c r="Y775" s="1"/>
      <c r="Z775" s="1"/>
      <c r="AA775" s="1"/>
      <c r="AB775" s="1"/>
      <c r="AC775" s="1"/>
      <c r="AD775" s="1"/>
      <c r="AE775" s="1"/>
      <c r="AF775" s="1"/>
      <c r="AG775" s="1"/>
      <c r="AH775" s="1"/>
      <c r="AI775" s="1"/>
    </row>
    <row x14ac:dyDescent="0.25" r="776" customHeight="1" ht="17.25">
      <c r="A776" s="1"/>
      <c r="B776" s="114"/>
      <c r="C776" s="1"/>
      <c r="D776" s="1"/>
      <c r="E776" s="1"/>
      <c r="F776" s="1"/>
      <c r="G776" s="1"/>
      <c r="H776" s="114"/>
      <c r="I776" s="1"/>
      <c r="J776" s="1"/>
      <c r="K776" s="1"/>
      <c r="L776" s="54"/>
      <c r="M776" s="54"/>
      <c r="N776" s="54"/>
      <c r="O776" s="54"/>
      <c r="P776" s="54"/>
      <c r="Q776" s="54"/>
      <c r="R776" s="1"/>
      <c r="S776" s="1"/>
      <c r="T776" s="1"/>
      <c r="U776" s="1"/>
      <c r="V776" s="1"/>
      <c r="W776" s="1"/>
      <c r="X776" s="1"/>
      <c r="Y776" s="1"/>
      <c r="Z776" s="1"/>
      <c r="AA776" s="1"/>
      <c r="AB776" s="1"/>
      <c r="AC776" s="1"/>
      <c r="AD776" s="1"/>
      <c r="AE776" s="1"/>
      <c r="AF776" s="1"/>
      <c r="AG776" s="1"/>
      <c r="AH776" s="1"/>
      <c r="AI776" s="1"/>
    </row>
    <row x14ac:dyDescent="0.25" r="777" customHeight="1" ht="17.25">
      <c r="A777" s="1"/>
      <c r="B777" s="114"/>
      <c r="C777" s="1"/>
      <c r="D777" s="1"/>
      <c r="E777" s="116"/>
      <c r="F777" s="1"/>
      <c r="G777" s="1"/>
      <c r="H777" s="114"/>
      <c r="I777" s="1"/>
      <c r="J777" s="1"/>
      <c r="K777" s="1"/>
      <c r="L777" s="54"/>
      <c r="M777" s="54"/>
      <c r="N777" s="54"/>
      <c r="O777" s="54"/>
      <c r="P777" s="54"/>
      <c r="Q777" s="54"/>
      <c r="R777" s="1"/>
      <c r="S777" s="1"/>
      <c r="T777" s="1"/>
      <c r="U777" s="1"/>
      <c r="V777" s="1"/>
      <c r="W777" s="1"/>
      <c r="X777" s="1"/>
      <c r="Y777" s="1"/>
      <c r="Z777" s="1"/>
      <c r="AA777" s="1"/>
      <c r="AB777" s="1"/>
      <c r="AC777" s="1"/>
      <c r="AD777" s="1"/>
      <c r="AE777" s="1"/>
      <c r="AF777" s="1"/>
      <c r="AG777" s="1"/>
      <c r="AH777" s="1"/>
      <c r="AI777" s="1"/>
    </row>
    <row x14ac:dyDescent="0.25" r="778" customHeight="1" ht="17.25">
      <c r="A778" s="1"/>
      <c r="B778" s="114"/>
      <c r="C778" s="1"/>
      <c r="D778" s="1"/>
      <c r="E778" s="116"/>
      <c r="F778" s="1"/>
      <c r="G778" s="1"/>
      <c r="H778" s="114"/>
      <c r="I778" s="1"/>
      <c r="J778" s="1"/>
      <c r="K778" s="1"/>
      <c r="L778" s="54"/>
      <c r="M778" s="54"/>
      <c r="N778" s="54"/>
      <c r="O778" s="54"/>
      <c r="P778" s="54"/>
      <c r="Q778" s="54"/>
      <c r="R778" s="1"/>
      <c r="S778" s="1"/>
      <c r="T778" s="1"/>
      <c r="U778" s="1"/>
      <c r="V778" s="1"/>
      <c r="W778" s="1"/>
      <c r="X778" s="1"/>
      <c r="Y778" s="1"/>
      <c r="Z778" s="1"/>
      <c r="AA778" s="1"/>
      <c r="AB778" s="1"/>
      <c r="AC778" s="1"/>
      <c r="AD778" s="1"/>
      <c r="AE778" s="1"/>
      <c r="AF778" s="1"/>
      <c r="AG778" s="1"/>
      <c r="AH778" s="1"/>
      <c r="AI778" s="1"/>
    </row>
    <row x14ac:dyDescent="0.25" r="779" customHeight="1" ht="17.25">
      <c r="A779" s="1"/>
      <c r="B779" s="114"/>
      <c r="C779" s="1"/>
      <c r="D779" s="1"/>
      <c r="E779" s="116"/>
      <c r="F779" s="1"/>
      <c r="G779" s="1"/>
      <c r="H779" s="114"/>
      <c r="I779" s="1"/>
      <c r="J779" s="1"/>
      <c r="K779" s="1"/>
      <c r="L779" s="54"/>
      <c r="M779" s="54"/>
      <c r="N779" s="54"/>
      <c r="O779" s="54"/>
      <c r="P779" s="54"/>
      <c r="Q779" s="54"/>
      <c r="R779" s="1"/>
      <c r="S779" s="1"/>
      <c r="T779" s="1"/>
      <c r="U779" s="1"/>
      <c r="V779" s="1"/>
      <c r="W779" s="1"/>
      <c r="X779" s="1"/>
      <c r="Y779" s="1"/>
      <c r="Z779" s="1"/>
      <c r="AA779" s="1"/>
      <c r="AB779" s="1"/>
      <c r="AC779" s="1"/>
      <c r="AD779" s="1"/>
      <c r="AE779" s="1"/>
      <c r="AF779" s="1"/>
      <c r="AG779" s="1"/>
      <c r="AH779" s="1"/>
      <c r="AI779" s="1"/>
    </row>
    <row x14ac:dyDescent="0.25" r="780" customHeight="1" ht="17.25">
      <c r="A780" s="1"/>
      <c r="B780" s="114"/>
      <c r="C780" s="1"/>
      <c r="D780" s="1"/>
      <c r="E780" s="116"/>
      <c r="F780" s="1"/>
      <c r="G780" s="1"/>
      <c r="H780" s="114"/>
      <c r="I780" s="1"/>
      <c r="J780" s="1"/>
      <c r="K780" s="1"/>
      <c r="L780" s="54"/>
      <c r="M780" s="54"/>
      <c r="N780" s="54"/>
      <c r="O780" s="54"/>
      <c r="P780" s="54"/>
      <c r="Q780" s="54"/>
      <c r="R780" s="1"/>
      <c r="S780" s="1"/>
      <c r="T780" s="1"/>
      <c r="U780" s="1"/>
      <c r="V780" s="1"/>
      <c r="W780" s="1"/>
      <c r="X780" s="1"/>
      <c r="Y780" s="1"/>
      <c r="Z780" s="1"/>
      <c r="AA780" s="1"/>
      <c r="AB780" s="1"/>
      <c r="AC780" s="1"/>
      <c r="AD780" s="1"/>
      <c r="AE780" s="1"/>
      <c r="AF780" s="1"/>
      <c r="AG780" s="1"/>
      <c r="AH780" s="1"/>
      <c r="AI780" s="1"/>
    </row>
    <row x14ac:dyDescent="0.25" r="781" customHeight="1" ht="17.25">
      <c r="A781" s="1"/>
      <c r="B781" s="114"/>
      <c r="C781" s="1"/>
      <c r="D781" s="1"/>
      <c r="E781" s="116"/>
      <c r="F781" s="1"/>
      <c r="G781" s="1"/>
      <c r="H781" s="114"/>
      <c r="I781" s="1"/>
      <c r="J781" s="1"/>
      <c r="K781" s="1"/>
      <c r="L781" s="54"/>
      <c r="M781" s="54"/>
      <c r="N781" s="54"/>
      <c r="O781" s="54"/>
      <c r="P781" s="54"/>
      <c r="Q781" s="54"/>
      <c r="R781" s="1"/>
      <c r="S781" s="1"/>
      <c r="T781" s="1"/>
      <c r="U781" s="1"/>
      <c r="V781" s="1"/>
      <c r="W781" s="1"/>
      <c r="X781" s="1"/>
      <c r="Y781" s="1"/>
      <c r="Z781" s="1"/>
      <c r="AA781" s="1"/>
      <c r="AB781" s="1"/>
      <c r="AC781" s="1"/>
      <c r="AD781" s="1"/>
      <c r="AE781" s="1"/>
      <c r="AF781" s="1"/>
      <c r="AG781" s="1"/>
      <c r="AH781" s="1"/>
      <c r="AI781" s="1"/>
    </row>
    <row x14ac:dyDescent="0.25" r="782" customHeight="1" ht="17.25">
      <c r="A782" s="1"/>
      <c r="B782" s="114"/>
      <c r="C782" s="1"/>
      <c r="D782" s="1"/>
      <c r="E782" s="116"/>
      <c r="F782" s="1"/>
      <c r="G782" s="1"/>
      <c r="H782" s="114"/>
      <c r="I782" s="1"/>
      <c r="J782" s="1"/>
      <c r="K782" s="1"/>
      <c r="L782" s="54"/>
      <c r="M782" s="54"/>
      <c r="N782" s="54"/>
      <c r="O782" s="54"/>
      <c r="P782" s="54"/>
      <c r="Q782" s="54"/>
      <c r="R782" s="1"/>
      <c r="S782" s="1"/>
      <c r="T782" s="1"/>
      <c r="U782" s="1"/>
      <c r="V782" s="1"/>
      <c r="W782" s="1"/>
      <c r="X782" s="1"/>
      <c r="Y782" s="1"/>
      <c r="Z782" s="1"/>
      <c r="AA782" s="1"/>
      <c r="AB782" s="1"/>
      <c r="AC782" s="1"/>
      <c r="AD782" s="1"/>
      <c r="AE782" s="1"/>
      <c r="AF782" s="1"/>
      <c r="AG782" s="1"/>
      <c r="AH782" s="1"/>
      <c r="AI782" s="1"/>
    </row>
    <row x14ac:dyDescent="0.25" r="783" customHeight="1" ht="17.25">
      <c r="A783" s="1"/>
      <c r="B783" s="114"/>
      <c r="C783" s="1"/>
      <c r="D783" s="1"/>
      <c r="E783" s="116"/>
      <c r="F783" s="1"/>
      <c r="G783" s="1"/>
      <c r="H783" s="114"/>
      <c r="I783" s="1"/>
      <c r="J783" s="1"/>
      <c r="K783" s="1"/>
      <c r="L783" s="54"/>
      <c r="M783" s="54"/>
      <c r="N783" s="54"/>
      <c r="O783" s="54"/>
      <c r="P783" s="54"/>
      <c r="Q783" s="54"/>
      <c r="R783" s="1"/>
      <c r="S783" s="1"/>
      <c r="T783" s="1"/>
      <c r="U783" s="1"/>
      <c r="V783" s="1"/>
      <c r="W783" s="1"/>
      <c r="X783" s="1"/>
      <c r="Y783" s="1"/>
      <c r="Z783" s="1"/>
      <c r="AA783" s="1"/>
      <c r="AB783" s="1"/>
      <c r="AC783" s="1"/>
      <c r="AD783" s="1"/>
      <c r="AE783" s="1"/>
      <c r="AF783" s="1"/>
      <c r="AG783" s="1"/>
      <c r="AH783" s="1"/>
      <c r="AI783" s="1"/>
    </row>
    <row x14ac:dyDescent="0.25" r="784" customHeight="1" ht="17.25">
      <c r="A784" s="1"/>
      <c r="B784" s="114"/>
      <c r="C784" s="1"/>
      <c r="D784" s="1"/>
      <c r="E784" s="116"/>
      <c r="F784" s="1"/>
      <c r="G784" s="1"/>
      <c r="H784" s="114"/>
      <c r="I784" s="1"/>
      <c r="J784" s="1"/>
      <c r="K784" s="1"/>
      <c r="L784" s="54"/>
      <c r="M784" s="54"/>
      <c r="N784" s="54"/>
      <c r="O784" s="54"/>
      <c r="P784" s="54"/>
      <c r="Q784" s="54"/>
      <c r="R784" s="1"/>
      <c r="S784" s="1"/>
      <c r="T784" s="1"/>
      <c r="U784" s="1"/>
      <c r="V784" s="1"/>
      <c r="W784" s="1"/>
      <c r="X784" s="1"/>
      <c r="Y784" s="1"/>
      <c r="Z784" s="1"/>
      <c r="AA784" s="1"/>
      <c r="AB784" s="1"/>
      <c r="AC784" s="1"/>
      <c r="AD784" s="1"/>
      <c r="AE784" s="1"/>
      <c r="AF784" s="1"/>
      <c r="AG784" s="1"/>
      <c r="AH784" s="1"/>
      <c r="AI784" s="1"/>
    </row>
    <row x14ac:dyDescent="0.25" r="785" customHeight="1" ht="17.25">
      <c r="A785" s="1"/>
      <c r="B785" s="114"/>
      <c r="C785" s="1"/>
      <c r="D785" s="1"/>
      <c r="E785" s="116"/>
      <c r="F785" s="1"/>
      <c r="G785" s="1"/>
      <c r="H785" s="114"/>
      <c r="I785" s="1"/>
      <c r="J785" s="1"/>
      <c r="K785" s="1"/>
      <c r="L785" s="54"/>
      <c r="M785" s="54"/>
      <c r="N785" s="54"/>
      <c r="O785" s="54"/>
      <c r="P785" s="54"/>
      <c r="Q785" s="54"/>
      <c r="R785" s="1"/>
      <c r="S785" s="1"/>
      <c r="T785" s="1"/>
      <c r="U785" s="1"/>
      <c r="V785" s="1"/>
      <c r="W785" s="1"/>
      <c r="X785" s="1"/>
      <c r="Y785" s="1"/>
      <c r="Z785" s="1"/>
      <c r="AA785" s="1"/>
      <c r="AB785" s="1"/>
      <c r="AC785" s="1"/>
      <c r="AD785" s="1"/>
      <c r="AE785" s="1"/>
      <c r="AF785" s="1"/>
      <c r="AG785" s="1"/>
      <c r="AH785" s="1"/>
      <c r="AI785" s="1"/>
    </row>
    <row x14ac:dyDescent="0.25" r="786" customHeight="1" ht="17.25">
      <c r="A786" s="1"/>
      <c r="B786" s="114"/>
      <c r="C786" s="1"/>
      <c r="D786" s="1"/>
      <c r="E786" s="116"/>
      <c r="F786" s="1"/>
      <c r="G786" s="1"/>
      <c r="H786" s="114"/>
      <c r="I786" s="1"/>
      <c r="J786" s="1"/>
      <c r="K786" s="1"/>
      <c r="L786" s="54"/>
      <c r="M786" s="54"/>
      <c r="N786" s="54"/>
      <c r="O786" s="54"/>
      <c r="P786" s="54"/>
      <c r="Q786" s="54"/>
      <c r="R786" s="1"/>
      <c r="S786" s="1"/>
      <c r="T786" s="1"/>
      <c r="U786" s="1"/>
      <c r="V786" s="1"/>
      <c r="W786" s="1"/>
      <c r="X786" s="1"/>
      <c r="Y786" s="1"/>
      <c r="Z786" s="1"/>
      <c r="AA786" s="1"/>
      <c r="AB786" s="1"/>
      <c r="AC786" s="1"/>
      <c r="AD786" s="1"/>
      <c r="AE786" s="1"/>
      <c r="AF786" s="1"/>
      <c r="AG786" s="1"/>
      <c r="AH786" s="1"/>
      <c r="AI786" s="1"/>
    </row>
    <row x14ac:dyDescent="0.25" r="787" customHeight="1" ht="17.25">
      <c r="A787" s="1"/>
      <c r="B787" s="114"/>
      <c r="C787" s="1"/>
      <c r="D787" s="1"/>
      <c r="E787" s="116"/>
      <c r="F787" s="1"/>
      <c r="G787" s="1"/>
      <c r="H787" s="114"/>
      <c r="I787" s="1"/>
      <c r="J787" s="1"/>
      <c r="K787" s="1"/>
      <c r="L787" s="54"/>
      <c r="M787" s="54"/>
      <c r="N787" s="54"/>
      <c r="O787" s="54"/>
      <c r="P787" s="54"/>
      <c r="Q787" s="54"/>
      <c r="R787" s="1"/>
      <c r="S787" s="1"/>
      <c r="T787" s="1"/>
      <c r="U787" s="1"/>
      <c r="V787" s="1"/>
      <c r="W787" s="1"/>
      <c r="X787" s="1"/>
      <c r="Y787" s="1"/>
      <c r="Z787" s="1"/>
      <c r="AA787" s="1"/>
      <c r="AB787" s="1"/>
      <c r="AC787" s="1"/>
      <c r="AD787" s="1"/>
      <c r="AE787" s="1"/>
      <c r="AF787" s="1"/>
      <c r="AG787" s="1"/>
      <c r="AH787" s="1"/>
      <c r="AI787" s="1"/>
    </row>
    <row x14ac:dyDescent="0.25" r="788" customHeight="1" ht="17.25">
      <c r="A788" s="1"/>
      <c r="B788" s="114"/>
      <c r="C788" s="1"/>
      <c r="D788" s="1"/>
      <c r="E788" s="116"/>
      <c r="F788" s="1"/>
      <c r="G788" s="1"/>
      <c r="H788" s="114"/>
      <c r="I788" s="1"/>
      <c r="J788" s="1"/>
      <c r="K788" s="1"/>
      <c r="L788" s="54"/>
      <c r="M788" s="54"/>
      <c r="N788" s="54"/>
      <c r="O788" s="54"/>
      <c r="P788" s="54"/>
      <c r="Q788" s="54"/>
      <c r="R788" s="1"/>
      <c r="S788" s="1"/>
      <c r="T788" s="1"/>
      <c r="U788" s="1"/>
      <c r="V788" s="1"/>
      <c r="W788" s="1"/>
      <c r="X788" s="1"/>
      <c r="Y788" s="1"/>
      <c r="Z788" s="1"/>
      <c r="AA788" s="1"/>
      <c r="AB788" s="1"/>
      <c r="AC788" s="1"/>
      <c r="AD788" s="1"/>
      <c r="AE788" s="1"/>
      <c r="AF788" s="1"/>
      <c r="AG788" s="1"/>
      <c r="AH788" s="1"/>
      <c r="AI788" s="1"/>
    </row>
    <row x14ac:dyDescent="0.25" r="789" customHeight="1" ht="17.25">
      <c r="A789" s="1"/>
      <c r="B789" s="114"/>
      <c r="C789" s="1"/>
      <c r="D789" s="1"/>
      <c r="E789" s="116"/>
      <c r="F789" s="1"/>
      <c r="G789" s="1"/>
      <c r="H789" s="114"/>
      <c r="I789" s="1"/>
      <c r="J789" s="1"/>
      <c r="K789" s="1"/>
      <c r="L789" s="54"/>
      <c r="M789" s="54"/>
      <c r="N789" s="54"/>
      <c r="O789" s="54"/>
      <c r="P789" s="54"/>
      <c r="Q789" s="54"/>
      <c r="R789" s="1"/>
      <c r="S789" s="1"/>
      <c r="T789" s="1"/>
      <c r="U789" s="1"/>
      <c r="V789" s="1"/>
      <c r="W789" s="1"/>
      <c r="X789" s="1"/>
      <c r="Y789" s="1"/>
      <c r="Z789" s="1"/>
      <c r="AA789" s="1"/>
      <c r="AB789" s="1"/>
      <c r="AC789" s="1"/>
      <c r="AD789" s="1"/>
      <c r="AE789" s="1"/>
      <c r="AF789" s="1"/>
      <c r="AG789" s="1"/>
      <c r="AH789" s="1"/>
      <c r="AI789" s="1"/>
    </row>
    <row x14ac:dyDescent="0.25" r="790" customHeight="1" ht="17.25">
      <c r="A790" s="1"/>
      <c r="B790" s="114"/>
      <c r="C790" s="1"/>
      <c r="D790" s="1"/>
      <c r="E790" s="116"/>
      <c r="F790" s="1"/>
      <c r="G790" s="1"/>
      <c r="H790" s="114"/>
      <c r="I790" s="1"/>
      <c r="J790" s="1"/>
      <c r="K790" s="1"/>
      <c r="L790" s="54"/>
      <c r="M790" s="54"/>
      <c r="N790" s="54"/>
      <c r="O790" s="54"/>
      <c r="P790" s="54"/>
      <c r="Q790" s="54"/>
      <c r="R790" s="1"/>
      <c r="S790" s="1"/>
      <c r="T790" s="1"/>
      <c r="U790" s="1"/>
      <c r="V790" s="1"/>
      <c r="W790" s="1"/>
      <c r="X790" s="1"/>
      <c r="Y790" s="1"/>
      <c r="Z790" s="1"/>
      <c r="AA790" s="1"/>
      <c r="AB790" s="1"/>
      <c r="AC790" s="1"/>
      <c r="AD790" s="1"/>
      <c r="AE790" s="1"/>
      <c r="AF790" s="1"/>
      <c r="AG790" s="1"/>
      <c r="AH790" s="1"/>
      <c r="AI790" s="1"/>
    </row>
    <row x14ac:dyDescent="0.25" r="791" customHeight="1" ht="17.25">
      <c r="A791" s="1"/>
      <c r="B791" s="114"/>
      <c r="C791" s="1"/>
      <c r="D791" s="1"/>
      <c r="E791" s="116"/>
      <c r="F791" s="1"/>
      <c r="G791" s="1"/>
      <c r="H791" s="114"/>
      <c r="I791" s="1"/>
      <c r="J791" s="1"/>
      <c r="K791" s="1"/>
      <c r="L791" s="54"/>
      <c r="M791" s="54"/>
      <c r="N791" s="54"/>
      <c r="O791" s="54"/>
      <c r="P791" s="54"/>
      <c r="Q791" s="54"/>
      <c r="R791" s="1"/>
      <c r="S791" s="1"/>
      <c r="T791" s="1"/>
      <c r="U791" s="1"/>
      <c r="V791" s="1"/>
      <c r="W791" s="1"/>
      <c r="X791" s="1"/>
      <c r="Y791" s="1"/>
      <c r="Z791" s="1"/>
      <c r="AA791" s="1"/>
      <c r="AB791" s="1"/>
      <c r="AC791" s="1"/>
      <c r="AD791" s="1"/>
      <c r="AE791" s="1"/>
      <c r="AF791" s="1"/>
      <c r="AG791" s="1"/>
      <c r="AH791" s="1"/>
      <c r="AI791" s="1"/>
    </row>
    <row x14ac:dyDescent="0.25" r="792" customHeight="1" ht="17.25">
      <c r="A792" s="1"/>
      <c r="B792" s="114"/>
      <c r="C792" s="1"/>
      <c r="D792" s="1"/>
      <c r="E792" s="1"/>
      <c r="F792" s="1"/>
      <c r="G792" s="1"/>
      <c r="H792" s="114"/>
      <c r="I792" s="1"/>
      <c r="J792" s="1"/>
      <c r="K792" s="1"/>
      <c r="L792" s="54"/>
      <c r="M792" s="54"/>
      <c r="N792" s="54"/>
      <c r="O792" s="54"/>
      <c r="P792" s="54"/>
      <c r="Q792" s="54"/>
      <c r="R792" s="1"/>
      <c r="S792" s="1"/>
      <c r="T792" s="1"/>
      <c r="U792" s="1"/>
      <c r="V792" s="1"/>
      <c r="W792" s="1"/>
      <c r="X792" s="1"/>
      <c r="Y792" s="1"/>
      <c r="Z792" s="1"/>
      <c r="AA792" s="1"/>
      <c r="AB792" s="1"/>
      <c r="AC792" s="1"/>
      <c r="AD792" s="1"/>
      <c r="AE792" s="1"/>
      <c r="AF792" s="1"/>
      <c r="AG792" s="1"/>
      <c r="AH792" s="1"/>
      <c r="AI792" s="1"/>
    </row>
    <row x14ac:dyDescent="0.25" r="793" customHeight="1" ht="17.25">
      <c r="A793" s="1"/>
      <c r="B793" s="114"/>
      <c r="C793" s="1"/>
      <c r="D793" s="1"/>
      <c r="E793" s="1"/>
      <c r="F793" s="1"/>
      <c r="G793" s="1"/>
      <c r="H793" s="114"/>
      <c r="I793" s="1"/>
      <c r="J793" s="1"/>
      <c r="K793" s="1"/>
      <c r="L793" s="54"/>
      <c r="M793" s="54"/>
      <c r="N793" s="54"/>
      <c r="O793" s="54"/>
      <c r="P793" s="54"/>
      <c r="Q793" s="54"/>
      <c r="R793" s="1"/>
      <c r="S793" s="1"/>
      <c r="T793" s="1"/>
      <c r="U793" s="1"/>
      <c r="V793" s="1"/>
      <c r="W793" s="1"/>
      <c r="X793" s="1"/>
      <c r="Y793" s="1"/>
      <c r="Z793" s="1"/>
      <c r="AA793" s="1"/>
      <c r="AB793" s="1"/>
      <c r="AC793" s="1"/>
      <c r="AD793" s="1"/>
      <c r="AE793" s="1"/>
      <c r="AF793" s="1"/>
      <c r="AG793" s="1"/>
      <c r="AH793" s="1"/>
      <c r="AI793" s="1"/>
    </row>
    <row x14ac:dyDescent="0.25" r="794" customHeight="1" ht="17.25">
      <c r="A794" s="1"/>
      <c r="B794" s="114"/>
      <c r="C794" s="1"/>
      <c r="D794" s="1"/>
      <c r="E794" s="1"/>
      <c r="F794" s="1"/>
      <c r="G794" s="1"/>
      <c r="H794" s="114"/>
      <c r="I794" s="1"/>
      <c r="J794" s="1"/>
      <c r="K794" s="1"/>
      <c r="L794" s="54"/>
      <c r="M794" s="54"/>
      <c r="N794" s="54"/>
      <c r="O794" s="54"/>
      <c r="P794" s="54"/>
      <c r="Q794" s="54"/>
      <c r="R794" s="1"/>
      <c r="S794" s="1"/>
      <c r="T794" s="1"/>
      <c r="U794" s="1"/>
      <c r="V794" s="1"/>
      <c r="W794" s="1"/>
      <c r="X794" s="1"/>
      <c r="Y794" s="1"/>
      <c r="Z794" s="1"/>
      <c r="AA794" s="1"/>
      <c r="AB794" s="1"/>
      <c r="AC794" s="1"/>
      <c r="AD794" s="1"/>
      <c r="AE794" s="1"/>
      <c r="AF794" s="1"/>
      <c r="AG794" s="1"/>
      <c r="AH794" s="1"/>
      <c r="AI794" s="1"/>
    </row>
    <row x14ac:dyDescent="0.25" r="795" customHeight="1" ht="17.25">
      <c r="A795" s="1"/>
      <c r="B795" s="114"/>
      <c r="C795" s="1"/>
      <c r="D795" s="1"/>
      <c r="E795" s="1"/>
      <c r="F795" s="1"/>
      <c r="G795" s="1"/>
      <c r="H795" s="114"/>
      <c r="I795" s="1"/>
      <c r="J795" s="1"/>
      <c r="K795" s="1"/>
      <c r="L795" s="54"/>
      <c r="M795" s="54"/>
      <c r="N795" s="54"/>
      <c r="O795" s="54"/>
      <c r="P795" s="54"/>
      <c r="Q795" s="54"/>
      <c r="R795" s="1"/>
      <c r="S795" s="1"/>
      <c r="T795" s="1"/>
      <c r="U795" s="1"/>
      <c r="V795" s="1"/>
      <c r="W795" s="1"/>
      <c r="X795" s="1"/>
      <c r="Y795" s="1"/>
      <c r="Z795" s="1"/>
      <c r="AA795" s="1"/>
      <c r="AB795" s="1"/>
      <c r="AC795" s="1"/>
      <c r="AD795" s="1"/>
      <c r="AE795" s="1"/>
      <c r="AF795" s="1"/>
      <c r="AG795" s="1"/>
      <c r="AH795" s="1"/>
      <c r="AI795" s="1"/>
    </row>
    <row x14ac:dyDescent="0.25" r="796" customHeight="1" ht="17.25">
      <c r="A796" s="1"/>
      <c r="B796" s="114"/>
      <c r="C796" s="1"/>
      <c r="D796" s="1"/>
      <c r="E796" s="1"/>
      <c r="F796" s="1"/>
      <c r="G796" s="1"/>
      <c r="H796" s="114"/>
      <c r="I796" s="1"/>
      <c r="J796" s="1"/>
      <c r="K796" s="1"/>
      <c r="L796" s="54"/>
      <c r="M796" s="54"/>
      <c r="N796" s="54"/>
      <c r="O796" s="54"/>
      <c r="P796" s="54"/>
      <c r="Q796" s="54"/>
      <c r="R796" s="1"/>
      <c r="S796" s="1"/>
      <c r="T796" s="1"/>
      <c r="U796" s="1"/>
      <c r="V796" s="1"/>
      <c r="W796" s="1"/>
      <c r="X796" s="1"/>
      <c r="Y796" s="1"/>
      <c r="Z796" s="1"/>
      <c r="AA796" s="1"/>
      <c r="AB796" s="1"/>
      <c r="AC796" s="1"/>
      <c r="AD796" s="1"/>
      <c r="AE796" s="1"/>
      <c r="AF796" s="1"/>
      <c r="AG796" s="1"/>
      <c r="AH796" s="1"/>
      <c r="AI796" s="1"/>
    </row>
    <row x14ac:dyDescent="0.25" r="797" customHeight="1" ht="17.25">
      <c r="A797" s="1"/>
      <c r="B797" s="114"/>
      <c r="C797" s="1"/>
      <c r="D797" s="1"/>
      <c r="E797" s="1"/>
      <c r="F797" s="1"/>
      <c r="G797" s="1"/>
      <c r="H797" s="114"/>
      <c r="I797" s="1"/>
      <c r="J797" s="1"/>
      <c r="K797" s="1"/>
      <c r="L797" s="54"/>
      <c r="M797" s="54"/>
      <c r="N797" s="54"/>
      <c r="O797" s="54"/>
      <c r="P797" s="54"/>
      <c r="Q797" s="54"/>
      <c r="R797" s="1"/>
      <c r="S797" s="1"/>
      <c r="T797" s="1"/>
      <c r="U797" s="1"/>
      <c r="V797" s="1"/>
      <c r="W797" s="1"/>
      <c r="X797" s="1"/>
      <c r="Y797" s="1"/>
      <c r="Z797" s="1"/>
      <c r="AA797" s="1"/>
      <c r="AB797" s="1"/>
      <c r="AC797" s="1"/>
      <c r="AD797" s="1"/>
      <c r="AE797" s="1"/>
      <c r="AF797" s="1"/>
      <c r="AG797" s="1"/>
      <c r="AH797" s="1"/>
      <c r="AI797" s="1"/>
    </row>
    <row x14ac:dyDescent="0.25" r="798" customHeight="1" ht="17.25">
      <c r="A798" s="1"/>
      <c r="B798" s="114"/>
      <c r="C798" s="1"/>
      <c r="D798" s="1"/>
      <c r="E798" s="1"/>
      <c r="F798" s="1"/>
      <c r="G798" s="1"/>
      <c r="H798" s="114"/>
      <c r="I798" s="1"/>
      <c r="J798" s="1"/>
      <c r="K798" s="1"/>
      <c r="L798" s="54"/>
      <c r="M798" s="54"/>
      <c r="N798" s="54"/>
      <c r="O798" s="54"/>
      <c r="P798" s="54"/>
      <c r="Q798" s="54"/>
      <c r="R798" s="1"/>
      <c r="S798" s="1"/>
      <c r="T798" s="1"/>
      <c r="U798" s="1"/>
      <c r="V798" s="1"/>
      <c r="W798" s="1"/>
      <c r="X798" s="1"/>
      <c r="Y798" s="1"/>
      <c r="Z798" s="1"/>
      <c r="AA798" s="1"/>
      <c r="AB798" s="1"/>
      <c r="AC798" s="1"/>
      <c r="AD798" s="1"/>
      <c r="AE798" s="1"/>
      <c r="AF798" s="1"/>
      <c r="AG798" s="1"/>
      <c r="AH798" s="1"/>
      <c r="AI798" s="1"/>
    </row>
    <row x14ac:dyDescent="0.25" r="799" customHeight="1" ht="17.25">
      <c r="A799" s="1"/>
      <c r="B799" s="114"/>
      <c r="C799" s="1"/>
      <c r="D799" s="1"/>
      <c r="E799" s="116"/>
      <c r="F799" s="1"/>
      <c r="G799" s="1"/>
      <c r="H799" s="114"/>
      <c r="I799" s="1"/>
      <c r="J799" s="1"/>
      <c r="K799" s="1"/>
      <c r="L799" s="54"/>
      <c r="M799" s="54"/>
      <c r="N799" s="54"/>
      <c r="O799" s="54"/>
      <c r="P799" s="54"/>
      <c r="Q799" s="54"/>
      <c r="R799" s="1"/>
      <c r="S799" s="1"/>
      <c r="T799" s="1"/>
      <c r="U799" s="1"/>
      <c r="V799" s="1"/>
      <c r="W799" s="1"/>
      <c r="X799" s="1"/>
      <c r="Y799" s="1"/>
      <c r="Z799" s="1"/>
      <c r="AA799" s="1"/>
      <c r="AB799" s="1"/>
      <c r="AC799" s="1"/>
      <c r="AD799" s="1"/>
      <c r="AE799" s="1"/>
      <c r="AF799" s="1"/>
      <c r="AG799" s="1"/>
      <c r="AH799" s="1"/>
      <c r="AI799" s="1"/>
    </row>
    <row x14ac:dyDescent="0.25" r="800" customHeight="1" ht="17.25">
      <c r="A800" s="1"/>
      <c r="B800" s="114"/>
      <c r="C800" s="1"/>
      <c r="D800" s="1"/>
      <c r="E800" s="116"/>
      <c r="F800" s="1"/>
      <c r="G800" s="1"/>
      <c r="H800" s="114"/>
      <c r="I800" s="1"/>
      <c r="J800" s="1"/>
      <c r="K800" s="1"/>
      <c r="L800" s="54"/>
      <c r="M800" s="54"/>
      <c r="N800" s="54"/>
      <c r="O800" s="54"/>
      <c r="P800" s="54"/>
      <c r="Q800" s="54"/>
      <c r="R800" s="1"/>
      <c r="S800" s="1"/>
      <c r="T800" s="1"/>
      <c r="U800" s="1"/>
      <c r="V800" s="1"/>
      <c r="W800" s="1"/>
      <c r="X800" s="1"/>
      <c r="Y800" s="1"/>
      <c r="Z800" s="1"/>
      <c r="AA800" s="1"/>
      <c r="AB800" s="1"/>
      <c r="AC800" s="1"/>
      <c r="AD800" s="1"/>
      <c r="AE800" s="1"/>
      <c r="AF800" s="1"/>
      <c r="AG800" s="1"/>
      <c r="AH800" s="1"/>
      <c r="AI800" s="1"/>
    </row>
    <row x14ac:dyDescent="0.25" r="801" customHeight="1" ht="17.25">
      <c r="A801" s="1"/>
      <c r="B801" s="114"/>
      <c r="C801" s="1"/>
      <c r="D801" s="1"/>
      <c r="E801" s="116"/>
      <c r="F801" s="1"/>
      <c r="G801" s="1"/>
      <c r="H801" s="114"/>
      <c r="I801" s="1"/>
      <c r="J801" s="1"/>
      <c r="K801" s="1"/>
      <c r="L801" s="54"/>
      <c r="M801" s="54"/>
      <c r="N801" s="54"/>
      <c r="O801" s="54"/>
      <c r="P801" s="54"/>
      <c r="Q801" s="54"/>
      <c r="R801" s="1"/>
      <c r="S801" s="1"/>
      <c r="T801" s="1"/>
      <c r="U801" s="1"/>
      <c r="V801" s="1"/>
      <c r="W801" s="1"/>
      <c r="X801" s="1"/>
      <c r="Y801" s="1"/>
      <c r="Z801" s="1"/>
      <c r="AA801" s="1"/>
      <c r="AB801" s="1"/>
      <c r="AC801" s="1"/>
      <c r="AD801" s="1"/>
      <c r="AE801" s="1"/>
      <c r="AF801" s="1"/>
      <c r="AG801" s="1"/>
      <c r="AH801" s="1"/>
      <c r="AI801" s="1"/>
    </row>
    <row x14ac:dyDescent="0.25" r="802" customHeight="1" ht="17.25">
      <c r="A802" s="1"/>
      <c r="B802" s="114"/>
      <c r="C802" s="1"/>
      <c r="D802" s="1"/>
      <c r="E802" s="116"/>
      <c r="F802" s="1"/>
      <c r="G802" s="1"/>
      <c r="H802" s="114"/>
      <c r="I802" s="1"/>
      <c r="J802" s="1"/>
      <c r="K802" s="1"/>
      <c r="L802" s="54"/>
      <c r="M802" s="54"/>
      <c r="N802" s="54"/>
      <c r="O802" s="54"/>
      <c r="P802" s="54"/>
      <c r="Q802" s="54"/>
      <c r="R802" s="1"/>
      <c r="S802" s="1"/>
      <c r="T802" s="1"/>
      <c r="U802" s="1"/>
      <c r="V802" s="1"/>
      <c r="W802" s="1"/>
      <c r="X802" s="1"/>
      <c r="Y802" s="1"/>
      <c r="Z802" s="1"/>
      <c r="AA802" s="1"/>
      <c r="AB802" s="1"/>
      <c r="AC802" s="1"/>
      <c r="AD802" s="1"/>
      <c r="AE802" s="1"/>
      <c r="AF802" s="1"/>
      <c r="AG802" s="1"/>
      <c r="AH802" s="1"/>
      <c r="AI802" s="1"/>
    </row>
    <row x14ac:dyDescent="0.25" r="803" customHeight="1" ht="17.25">
      <c r="A803" s="1"/>
      <c r="B803" s="114"/>
      <c r="C803" s="1"/>
      <c r="D803" s="1"/>
      <c r="E803" s="116"/>
      <c r="F803" s="1"/>
      <c r="G803" s="1"/>
      <c r="H803" s="114"/>
      <c r="I803" s="1"/>
      <c r="J803" s="1"/>
      <c r="K803" s="1"/>
      <c r="L803" s="54"/>
      <c r="M803" s="54"/>
      <c r="N803" s="54"/>
      <c r="O803" s="54"/>
      <c r="P803" s="54"/>
      <c r="Q803" s="54"/>
      <c r="R803" s="1"/>
      <c r="S803" s="1"/>
      <c r="T803" s="1"/>
      <c r="U803" s="1"/>
      <c r="V803" s="1"/>
      <c r="W803" s="1"/>
      <c r="X803" s="1"/>
      <c r="Y803" s="1"/>
      <c r="Z803" s="1"/>
      <c r="AA803" s="1"/>
      <c r="AB803" s="1"/>
      <c r="AC803" s="1"/>
      <c r="AD803" s="1"/>
      <c r="AE803" s="1"/>
      <c r="AF803" s="1"/>
      <c r="AG803" s="1"/>
      <c r="AH803" s="1"/>
      <c r="AI803" s="1"/>
    </row>
    <row x14ac:dyDescent="0.25" r="804" customHeight="1" ht="17.25">
      <c r="A804" s="1"/>
      <c r="B804" s="114"/>
      <c r="C804" s="1"/>
      <c r="D804" s="1"/>
      <c r="E804" s="116"/>
      <c r="F804" s="1"/>
      <c r="G804" s="1"/>
      <c r="H804" s="114"/>
      <c r="I804" s="1"/>
      <c r="J804" s="1"/>
      <c r="K804" s="1"/>
      <c r="L804" s="54"/>
      <c r="M804" s="54"/>
      <c r="N804" s="54"/>
      <c r="O804" s="54"/>
      <c r="P804" s="54"/>
      <c r="Q804" s="54"/>
      <c r="R804" s="1"/>
      <c r="S804" s="1"/>
      <c r="T804" s="1"/>
      <c r="U804" s="1"/>
      <c r="V804" s="1"/>
      <c r="W804" s="1"/>
      <c r="X804" s="1"/>
      <c r="Y804" s="1"/>
      <c r="Z804" s="1"/>
      <c r="AA804" s="1"/>
      <c r="AB804" s="1"/>
      <c r="AC804" s="1"/>
      <c r="AD804" s="1"/>
      <c r="AE804" s="1"/>
      <c r="AF804" s="1"/>
      <c r="AG804" s="1"/>
      <c r="AH804" s="1"/>
      <c r="AI804" s="1"/>
    </row>
    <row x14ac:dyDescent="0.25" r="805" customHeight="1" ht="17.25">
      <c r="A805" s="1"/>
      <c r="B805" s="114"/>
      <c r="C805" s="1"/>
      <c r="D805" s="1"/>
      <c r="E805" s="116"/>
      <c r="F805" s="1"/>
      <c r="G805" s="1"/>
      <c r="H805" s="114"/>
      <c r="I805" s="1"/>
      <c r="J805" s="1"/>
      <c r="K805" s="1"/>
      <c r="L805" s="54"/>
      <c r="M805" s="54"/>
      <c r="N805" s="54"/>
      <c r="O805" s="54"/>
      <c r="P805" s="54"/>
      <c r="Q805" s="54"/>
      <c r="R805" s="1"/>
      <c r="S805" s="1"/>
      <c r="T805" s="1"/>
      <c r="U805" s="1"/>
      <c r="V805" s="1"/>
      <c r="W805" s="1"/>
      <c r="X805" s="1"/>
      <c r="Y805" s="1"/>
      <c r="Z805" s="1"/>
      <c r="AA805" s="1"/>
      <c r="AB805" s="1"/>
      <c r="AC805" s="1"/>
      <c r="AD805" s="1"/>
      <c r="AE805" s="1"/>
      <c r="AF805" s="1"/>
      <c r="AG805" s="1"/>
      <c r="AH805" s="1"/>
      <c r="AI805" s="1"/>
    </row>
    <row x14ac:dyDescent="0.25" r="806" customHeight="1" ht="17.25">
      <c r="A806" s="1"/>
      <c r="B806" s="114"/>
      <c r="C806" s="1"/>
      <c r="D806" s="1"/>
      <c r="E806" s="116"/>
      <c r="F806" s="1"/>
      <c r="G806" s="1"/>
      <c r="H806" s="114"/>
      <c r="I806" s="1"/>
      <c r="J806" s="1"/>
      <c r="K806" s="1"/>
      <c r="L806" s="54"/>
      <c r="M806" s="54"/>
      <c r="N806" s="54"/>
      <c r="O806" s="54"/>
      <c r="P806" s="54"/>
      <c r="Q806" s="54"/>
      <c r="R806" s="1"/>
      <c r="S806" s="1"/>
      <c r="T806" s="1"/>
      <c r="U806" s="1"/>
      <c r="V806" s="1"/>
      <c r="W806" s="1"/>
      <c r="X806" s="1"/>
      <c r="Y806" s="1"/>
      <c r="Z806" s="1"/>
      <c r="AA806" s="1"/>
      <c r="AB806" s="1"/>
      <c r="AC806" s="1"/>
      <c r="AD806" s="1"/>
      <c r="AE806" s="1"/>
      <c r="AF806" s="1"/>
      <c r="AG806" s="1"/>
      <c r="AH806" s="1"/>
      <c r="AI806" s="1"/>
    </row>
    <row x14ac:dyDescent="0.25" r="807" customHeight="1" ht="17.25">
      <c r="A807" s="1"/>
      <c r="B807" s="114"/>
      <c r="C807" s="1"/>
      <c r="D807" s="1"/>
      <c r="E807" s="116"/>
      <c r="F807" s="1"/>
      <c r="G807" s="1"/>
      <c r="H807" s="114"/>
      <c r="I807" s="1"/>
      <c r="J807" s="1"/>
      <c r="K807" s="1"/>
      <c r="L807" s="54"/>
      <c r="M807" s="54"/>
      <c r="N807" s="54"/>
      <c r="O807" s="54"/>
      <c r="P807" s="54"/>
      <c r="Q807" s="54"/>
      <c r="R807" s="1"/>
      <c r="S807" s="1"/>
      <c r="T807" s="1"/>
      <c r="U807" s="1"/>
      <c r="V807" s="1"/>
      <c r="W807" s="1"/>
      <c r="X807" s="1"/>
      <c r="Y807" s="1"/>
      <c r="Z807" s="1"/>
      <c r="AA807" s="1"/>
      <c r="AB807" s="1"/>
      <c r="AC807" s="1"/>
      <c r="AD807" s="1"/>
      <c r="AE807" s="1"/>
      <c r="AF807" s="1"/>
      <c r="AG807" s="1"/>
      <c r="AH807" s="1"/>
      <c r="AI807" s="1"/>
    </row>
    <row x14ac:dyDescent="0.25" r="808" customHeight="1" ht="17.25">
      <c r="A808" s="1"/>
      <c r="B808" s="114"/>
      <c r="C808" s="1"/>
      <c r="D808" s="1"/>
      <c r="E808" s="116"/>
      <c r="F808" s="1"/>
      <c r="G808" s="1"/>
      <c r="H808" s="114"/>
      <c r="I808" s="1"/>
      <c r="J808" s="1"/>
      <c r="K808" s="1"/>
      <c r="L808" s="54"/>
      <c r="M808" s="54"/>
      <c r="N808" s="54"/>
      <c r="O808" s="54"/>
      <c r="P808" s="54"/>
      <c r="Q808" s="54"/>
      <c r="R808" s="1"/>
      <c r="S808" s="1"/>
      <c r="T808" s="1"/>
      <c r="U808" s="1"/>
      <c r="V808" s="1"/>
      <c r="W808" s="1"/>
      <c r="X808" s="1"/>
      <c r="Y808" s="1"/>
      <c r="Z808" s="1"/>
      <c r="AA808" s="1"/>
      <c r="AB808" s="1"/>
      <c r="AC808" s="1"/>
      <c r="AD808" s="1"/>
      <c r="AE808" s="1"/>
      <c r="AF808" s="1"/>
      <c r="AG808" s="1"/>
      <c r="AH808" s="1"/>
      <c r="AI808" s="1"/>
    </row>
    <row x14ac:dyDescent="0.25" r="809" customHeight="1" ht="17.25">
      <c r="A809" s="1"/>
      <c r="B809" s="114"/>
      <c r="C809" s="1"/>
      <c r="D809" s="1"/>
      <c r="E809" s="1"/>
      <c r="F809" s="1"/>
      <c r="G809" s="1"/>
      <c r="H809" s="114"/>
      <c r="I809" s="1"/>
      <c r="J809" s="1"/>
      <c r="K809" s="1"/>
      <c r="L809" s="54"/>
      <c r="M809" s="54"/>
      <c r="N809" s="54"/>
      <c r="O809" s="54"/>
      <c r="P809" s="54"/>
      <c r="Q809" s="54"/>
      <c r="R809" s="1"/>
      <c r="S809" s="1"/>
      <c r="T809" s="1"/>
      <c r="U809" s="1"/>
      <c r="V809" s="1"/>
      <c r="W809" s="1"/>
      <c r="X809" s="1"/>
      <c r="Y809" s="1"/>
      <c r="Z809" s="1"/>
      <c r="AA809" s="1"/>
      <c r="AB809" s="1"/>
      <c r="AC809" s="1"/>
      <c r="AD809" s="1"/>
      <c r="AE809" s="1"/>
      <c r="AF809" s="1"/>
      <c r="AG809" s="1"/>
      <c r="AH809" s="1"/>
      <c r="AI809" s="1"/>
    </row>
    <row x14ac:dyDescent="0.25" r="810" customHeight="1" ht="17.25">
      <c r="A810" s="1"/>
      <c r="B810" s="114"/>
      <c r="C810" s="1"/>
      <c r="D810" s="1"/>
      <c r="E810" s="1"/>
      <c r="F810" s="1"/>
      <c r="G810" s="1"/>
      <c r="H810" s="114"/>
      <c r="I810" s="1"/>
      <c r="J810" s="1"/>
      <c r="K810" s="1"/>
      <c r="L810" s="54"/>
      <c r="M810" s="54"/>
      <c r="N810" s="54"/>
      <c r="O810" s="54"/>
      <c r="P810" s="54"/>
      <c r="Q810" s="54"/>
      <c r="R810" s="1"/>
      <c r="S810" s="1"/>
      <c r="T810" s="1"/>
      <c r="U810" s="1"/>
      <c r="V810" s="1"/>
      <c r="W810" s="1"/>
      <c r="X810" s="1"/>
      <c r="Y810" s="1"/>
      <c r="Z810" s="1"/>
      <c r="AA810" s="1"/>
      <c r="AB810" s="1"/>
      <c r="AC810" s="1"/>
      <c r="AD810" s="1"/>
      <c r="AE810" s="1"/>
      <c r="AF810" s="1"/>
      <c r="AG810" s="1"/>
      <c r="AH810" s="1"/>
      <c r="AI810" s="1"/>
    </row>
    <row x14ac:dyDescent="0.25" r="811" customHeight="1" ht="17.25">
      <c r="A811" s="1"/>
      <c r="B811" s="114"/>
      <c r="C811" s="1"/>
      <c r="D811" s="1"/>
      <c r="E811" s="1"/>
      <c r="F811" s="1"/>
      <c r="G811" s="1"/>
      <c r="H811" s="114"/>
      <c r="I811" s="1"/>
      <c r="J811" s="1"/>
      <c r="K811" s="1"/>
      <c r="L811" s="54"/>
      <c r="M811" s="54"/>
      <c r="N811" s="54"/>
      <c r="O811" s="54"/>
      <c r="P811" s="54"/>
      <c r="Q811" s="54"/>
      <c r="R811" s="1"/>
      <c r="S811" s="1"/>
      <c r="T811" s="1"/>
      <c r="U811" s="1"/>
      <c r="V811" s="1"/>
      <c r="W811" s="1"/>
      <c r="X811" s="1"/>
      <c r="Y811" s="1"/>
      <c r="Z811" s="1"/>
      <c r="AA811" s="1"/>
      <c r="AB811" s="1"/>
      <c r="AC811" s="1"/>
      <c r="AD811" s="1"/>
      <c r="AE811" s="1"/>
      <c r="AF811" s="1"/>
      <c r="AG811" s="1"/>
      <c r="AH811" s="1"/>
      <c r="AI811" s="1"/>
    </row>
    <row x14ac:dyDescent="0.25" r="812" customHeight="1" ht="17.25">
      <c r="A812" s="1"/>
      <c r="B812" s="114"/>
      <c r="C812" s="1"/>
      <c r="D812" s="1"/>
      <c r="E812" s="1"/>
      <c r="F812" s="1"/>
      <c r="G812" s="1"/>
      <c r="H812" s="114"/>
      <c r="I812" s="1"/>
      <c r="J812" s="1"/>
      <c r="K812" s="1"/>
      <c r="L812" s="54"/>
      <c r="M812" s="54"/>
      <c r="N812" s="54"/>
      <c r="O812" s="54"/>
      <c r="P812" s="54"/>
      <c r="Q812" s="54"/>
      <c r="R812" s="1"/>
      <c r="S812" s="1"/>
      <c r="T812" s="1"/>
      <c r="U812" s="1"/>
      <c r="V812" s="1"/>
      <c r="W812" s="1"/>
      <c r="X812" s="1"/>
      <c r="Y812" s="1"/>
      <c r="Z812" s="1"/>
      <c r="AA812" s="1"/>
      <c r="AB812" s="1"/>
      <c r="AC812" s="1"/>
      <c r="AD812" s="1"/>
      <c r="AE812" s="1"/>
      <c r="AF812" s="1"/>
      <c r="AG812" s="1"/>
      <c r="AH812" s="1"/>
      <c r="AI812" s="1"/>
    </row>
    <row x14ac:dyDescent="0.25" r="813" customHeight="1" ht="17.25">
      <c r="A813" s="1"/>
      <c r="B813" s="114"/>
      <c r="C813" s="1"/>
      <c r="D813" s="1"/>
      <c r="E813" s="1"/>
      <c r="F813" s="1"/>
      <c r="G813" s="1"/>
      <c r="H813" s="114"/>
      <c r="I813" s="1"/>
      <c r="J813" s="1"/>
      <c r="K813" s="1"/>
      <c r="L813" s="54"/>
      <c r="M813" s="54"/>
      <c r="N813" s="54"/>
      <c r="O813" s="54"/>
      <c r="P813" s="54"/>
      <c r="Q813" s="54"/>
      <c r="R813" s="1"/>
      <c r="S813" s="1"/>
      <c r="T813" s="1"/>
      <c r="U813" s="1"/>
      <c r="V813" s="1"/>
      <c r="W813" s="1"/>
      <c r="X813" s="1"/>
      <c r="Y813" s="1"/>
      <c r="Z813" s="1"/>
      <c r="AA813" s="1"/>
      <c r="AB813" s="1"/>
      <c r="AC813" s="1"/>
      <c r="AD813" s="1"/>
      <c r="AE813" s="1"/>
      <c r="AF813" s="1"/>
      <c r="AG813" s="1"/>
      <c r="AH813" s="1"/>
      <c r="AI813" s="1"/>
    </row>
    <row x14ac:dyDescent="0.25" r="814" customHeight="1" ht="17.25">
      <c r="A814" s="1"/>
      <c r="B814" s="114"/>
      <c r="C814" s="1"/>
      <c r="D814" s="1"/>
      <c r="E814" s="1"/>
      <c r="F814" s="1"/>
      <c r="G814" s="1"/>
      <c r="H814" s="114"/>
      <c r="I814" s="1"/>
      <c r="J814" s="1"/>
      <c r="K814" s="1"/>
      <c r="L814" s="54"/>
      <c r="M814" s="54"/>
      <c r="N814" s="54"/>
      <c r="O814" s="54"/>
      <c r="P814" s="54"/>
      <c r="Q814" s="54"/>
      <c r="R814" s="1"/>
      <c r="S814" s="1"/>
      <c r="T814" s="1"/>
      <c r="U814" s="1"/>
      <c r="V814" s="1"/>
      <c r="W814" s="1"/>
      <c r="X814" s="1"/>
      <c r="Y814" s="1"/>
      <c r="Z814" s="1"/>
      <c r="AA814" s="1"/>
      <c r="AB814" s="1"/>
      <c r="AC814" s="1"/>
      <c r="AD814" s="1"/>
      <c r="AE814" s="1"/>
      <c r="AF814" s="1"/>
      <c r="AG814" s="1"/>
      <c r="AH814" s="1"/>
      <c r="AI814" s="1"/>
    </row>
    <row x14ac:dyDescent="0.25" r="815" customHeight="1" ht="17.25">
      <c r="A815" s="1"/>
      <c r="B815" s="114"/>
      <c r="C815" s="1"/>
      <c r="D815" s="1"/>
      <c r="E815" s="1"/>
      <c r="F815" s="1"/>
      <c r="G815" s="1"/>
      <c r="H815" s="114"/>
      <c r="I815" s="1"/>
      <c r="J815" s="1"/>
      <c r="K815" s="1"/>
      <c r="L815" s="54"/>
      <c r="M815" s="54"/>
      <c r="N815" s="54"/>
      <c r="O815" s="54"/>
      <c r="P815" s="54"/>
      <c r="Q815" s="54"/>
      <c r="R815" s="1"/>
      <c r="S815" s="1"/>
      <c r="T815" s="1"/>
      <c r="U815" s="1"/>
      <c r="V815" s="1"/>
      <c r="W815" s="1"/>
      <c r="X815" s="1"/>
      <c r="Y815" s="1"/>
      <c r="Z815" s="1"/>
      <c r="AA815" s="1"/>
      <c r="AB815" s="1"/>
      <c r="AC815" s="1"/>
      <c r="AD815" s="1"/>
      <c r="AE815" s="1"/>
      <c r="AF815" s="1"/>
      <c r="AG815" s="1"/>
      <c r="AH815" s="1"/>
      <c r="AI815" s="1"/>
    </row>
    <row x14ac:dyDescent="0.25" r="816" customHeight="1" ht="17.25">
      <c r="A816" s="1"/>
      <c r="B816" s="114"/>
      <c r="C816" s="1"/>
      <c r="D816" s="1"/>
      <c r="E816" s="1"/>
      <c r="F816" s="1"/>
      <c r="G816" s="1"/>
      <c r="H816" s="114"/>
      <c r="I816" s="1"/>
      <c r="J816" s="1"/>
      <c r="K816" s="1"/>
      <c r="L816" s="54"/>
      <c r="M816" s="54"/>
      <c r="N816" s="54"/>
      <c r="O816" s="54"/>
      <c r="P816" s="54"/>
      <c r="Q816" s="54"/>
      <c r="R816" s="1"/>
      <c r="S816" s="1"/>
      <c r="T816" s="1"/>
      <c r="U816" s="1"/>
      <c r="V816" s="1"/>
      <c r="W816" s="1"/>
      <c r="X816" s="1"/>
      <c r="Y816" s="1"/>
      <c r="Z816" s="1"/>
      <c r="AA816" s="1"/>
      <c r="AB816" s="1"/>
      <c r="AC816" s="1"/>
      <c r="AD816" s="1"/>
      <c r="AE816" s="1"/>
      <c r="AF816" s="1"/>
      <c r="AG816" s="1"/>
      <c r="AH816" s="1"/>
      <c r="AI816" s="1"/>
    </row>
    <row x14ac:dyDescent="0.25" r="817" customHeight="1" ht="17.25">
      <c r="A817" s="1"/>
      <c r="B817" s="114"/>
      <c r="C817" s="1"/>
      <c r="D817" s="1"/>
      <c r="E817" s="1"/>
      <c r="F817" s="1"/>
      <c r="G817" s="1"/>
      <c r="H817" s="114"/>
      <c r="I817" s="1"/>
      <c r="J817" s="1"/>
      <c r="K817" s="1"/>
      <c r="L817" s="54"/>
      <c r="M817" s="54"/>
      <c r="N817" s="54"/>
      <c r="O817" s="54"/>
      <c r="P817" s="54"/>
      <c r="Q817" s="54"/>
      <c r="R817" s="1"/>
      <c r="S817" s="1"/>
      <c r="T817" s="1"/>
      <c r="U817" s="1"/>
      <c r="V817" s="1"/>
      <c r="W817" s="1"/>
      <c r="X817" s="1"/>
      <c r="Y817" s="1"/>
      <c r="Z817" s="1"/>
      <c r="AA817" s="1"/>
      <c r="AB817" s="1"/>
      <c r="AC817" s="1"/>
      <c r="AD817" s="1"/>
      <c r="AE817" s="1"/>
      <c r="AF817" s="1"/>
      <c r="AG817" s="1"/>
      <c r="AH817" s="1"/>
      <c r="AI817" s="1"/>
    </row>
    <row x14ac:dyDescent="0.25" r="818" customHeight="1" ht="17.25">
      <c r="A818" s="1"/>
      <c r="B818" s="114"/>
      <c r="C818" s="1"/>
      <c r="D818" s="1"/>
      <c r="E818" s="1"/>
      <c r="F818" s="1"/>
      <c r="G818" s="1"/>
      <c r="H818" s="114"/>
      <c r="I818" s="1"/>
      <c r="J818" s="1"/>
      <c r="K818" s="1"/>
      <c r="L818" s="54"/>
      <c r="M818" s="54"/>
      <c r="N818" s="54"/>
      <c r="O818" s="54"/>
      <c r="P818" s="54"/>
      <c r="Q818" s="54"/>
      <c r="R818" s="1"/>
      <c r="S818" s="1"/>
      <c r="T818" s="1"/>
      <c r="U818" s="1"/>
      <c r="V818" s="1"/>
      <c r="W818" s="1"/>
      <c r="X818" s="1"/>
      <c r="Y818" s="1"/>
      <c r="Z818" s="1"/>
      <c r="AA818" s="1"/>
      <c r="AB818" s="1"/>
      <c r="AC818" s="1"/>
      <c r="AD818" s="1"/>
      <c r="AE818" s="1"/>
      <c r="AF818" s="1"/>
      <c r="AG818" s="1"/>
      <c r="AH818" s="1"/>
      <c r="AI818" s="1"/>
    </row>
    <row x14ac:dyDescent="0.25" r="819" customHeight="1" ht="17.25">
      <c r="A819" s="1"/>
      <c r="B819" s="114"/>
      <c r="C819" s="1"/>
      <c r="D819" s="1"/>
      <c r="E819" s="1"/>
      <c r="F819" s="1"/>
      <c r="G819" s="1"/>
      <c r="H819" s="114"/>
      <c r="I819" s="1"/>
      <c r="J819" s="1"/>
      <c r="K819" s="1"/>
      <c r="L819" s="54"/>
      <c r="M819" s="54"/>
      <c r="N819" s="54"/>
      <c r="O819" s="54"/>
      <c r="P819" s="54"/>
      <c r="Q819" s="54"/>
      <c r="R819" s="1"/>
      <c r="S819" s="1"/>
      <c r="T819" s="1"/>
      <c r="U819" s="1"/>
      <c r="V819" s="1"/>
      <c r="W819" s="1"/>
      <c r="X819" s="1"/>
      <c r="Y819" s="1"/>
      <c r="Z819" s="1"/>
      <c r="AA819" s="1"/>
      <c r="AB819" s="1"/>
      <c r="AC819" s="1"/>
      <c r="AD819" s="1"/>
      <c r="AE819" s="1"/>
      <c r="AF819" s="1"/>
      <c r="AG819" s="1"/>
      <c r="AH819" s="1"/>
      <c r="AI819" s="1"/>
    </row>
    <row x14ac:dyDescent="0.25" r="820" customHeight="1" ht="17.25">
      <c r="A820" s="1"/>
      <c r="B820" s="114"/>
      <c r="C820" s="1"/>
      <c r="D820" s="1"/>
      <c r="E820" s="116"/>
      <c r="F820" s="1"/>
      <c r="G820" s="1"/>
      <c r="H820" s="114"/>
      <c r="I820" s="1"/>
      <c r="J820" s="1"/>
      <c r="K820" s="1"/>
      <c r="L820" s="54"/>
      <c r="M820" s="54"/>
      <c r="N820" s="54"/>
      <c r="O820" s="54"/>
      <c r="P820" s="54"/>
      <c r="Q820" s="54"/>
      <c r="R820" s="1"/>
      <c r="S820" s="1"/>
      <c r="T820" s="1"/>
      <c r="U820" s="1"/>
      <c r="V820" s="1"/>
      <c r="W820" s="1"/>
      <c r="X820" s="1"/>
      <c r="Y820" s="1"/>
      <c r="Z820" s="1"/>
      <c r="AA820" s="1"/>
      <c r="AB820" s="1"/>
      <c r="AC820" s="1"/>
      <c r="AD820" s="1"/>
      <c r="AE820" s="1"/>
      <c r="AF820" s="1"/>
      <c r="AG820" s="1"/>
      <c r="AH820" s="1"/>
      <c r="AI820" s="1"/>
    </row>
    <row x14ac:dyDescent="0.25" r="821" customHeight="1" ht="17.25">
      <c r="A821" s="1"/>
      <c r="B821" s="114"/>
      <c r="C821" s="1"/>
      <c r="D821" s="1"/>
      <c r="E821" s="116"/>
      <c r="F821" s="1"/>
      <c r="G821" s="1"/>
      <c r="H821" s="114"/>
      <c r="I821" s="1"/>
      <c r="J821" s="1"/>
      <c r="K821" s="1"/>
      <c r="L821" s="54"/>
      <c r="M821" s="54"/>
      <c r="N821" s="54"/>
      <c r="O821" s="54"/>
      <c r="P821" s="54"/>
      <c r="Q821" s="54"/>
      <c r="R821" s="1"/>
      <c r="S821" s="1"/>
      <c r="T821" s="1"/>
      <c r="U821" s="1"/>
      <c r="V821" s="1"/>
      <c r="W821" s="1"/>
      <c r="X821" s="1"/>
      <c r="Y821" s="1"/>
      <c r="Z821" s="1"/>
      <c r="AA821" s="1"/>
      <c r="AB821" s="1"/>
      <c r="AC821" s="1"/>
      <c r="AD821" s="1"/>
      <c r="AE821" s="1"/>
      <c r="AF821" s="1"/>
      <c r="AG821" s="1"/>
      <c r="AH821" s="1"/>
      <c r="AI821" s="1"/>
    </row>
    <row x14ac:dyDescent="0.25" r="822" customHeight="1" ht="17.25">
      <c r="A822" s="1"/>
      <c r="B822" s="114"/>
      <c r="C822" s="1"/>
      <c r="D822" s="1"/>
      <c r="E822" s="116"/>
      <c r="F822" s="1"/>
      <c r="G822" s="1"/>
      <c r="H822" s="114"/>
      <c r="I822" s="1"/>
      <c r="J822" s="1"/>
      <c r="K822" s="1"/>
      <c r="L822" s="54"/>
      <c r="M822" s="54"/>
      <c r="N822" s="54"/>
      <c r="O822" s="54"/>
      <c r="P822" s="54"/>
      <c r="Q822" s="54"/>
      <c r="R822" s="1"/>
      <c r="S822" s="1"/>
      <c r="T822" s="1"/>
      <c r="U822" s="1"/>
      <c r="V822" s="1"/>
      <c r="W822" s="1"/>
      <c r="X822" s="1"/>
      <c r="Y822" s="1"/>
      <c r="Z822" s="1"/>
      <c r="AA822" s="1"/>
      <c r="AB822" s="1"/>
      <c r="AC822" s="1"/>
      <c r="AD822" s="1"/>
      <c r="AE822" s="1"/>
      <c r="AF822" s="1"/>
      <c r="AG822" s="1"/>
      <c r="AH822" s="1"/>
      <c r="AI822" s="1"/>
    </row>
    <row x14ac:dyDescent="0.25" r="823" customHeight="1" ht="17.25">
      <c r="A823" s="1"/>
      <c r="B823" s="114"/>
      <c r="C823" s="1"/>
      <c r="D823" s="1"/>
      <c r="E823" s="116"/>
      <c r="F823" s="1"/>
      <c r="G823" s="1"/>
      <c r="H823" s="114"/>
      <c r="I823" s="1"/>
      <c r="J823" s="1"/>
      <c r="K823" s="1"/>
      <c r="L823" s="54"/>
      <c r="M823" s="54"/>
      <c r="N823" s="54"/>
      <c r="O823" s="54"/>
      <c r="P823" s="54"/>
      <c r="Q823" s="54"/>
      <c r="R823" s="1"/>
      <c r="S823" s="1"/>
      <c r="T823" s="1"/>
      <c r="U823" s="1"/>
      <c r="V823" s="1"/>
      <c r="W823" s="1"/>
      <c r="X823" s="1"/>
      <c r="Y823" s="1"/>
      <c r="Z823" s="1"/>
      <c r="AA823" s="1"/>
      <c r="AB823" s="1"/>
      <c r="AC823" s="1"/>
      <c r="AD823" s="1"/>
      <c r="AE823" s="1"/>
      <c r="AF823" s="1"/>
      <c r="AG823" s="1"/>
      <c r="AH823" s="1"/>
      <c r="AI823" s="1"/>
    </row>
    <row x14ac:dyDescent="0.25" r="824" customHeight="1" ht="17.25">
      <c r="A824" s="1"/>
      <c r="B824" s="114"/>
      <c r="C824" s="1"/>
      <c r="D824" s="1"/>
      <c r="E824" s="116"/>
      <c r="F824" s="1"/>
      <c r="G824" s="1"/>
      <c r="H824" s="114"/>
      <c r="I824" s="1"/>
      <c r="J824" s="1"/>
      <c r="K824" s="1"/>
      <c r="L824" s="54"/>
      <c r="M824" s="54"/>
      <c r="N824" s="54"/>
      <c r="O824" s="54"/>
      <c r="P824" s="54"/>
      <c r="Q824" s="54"/>
      <c r="R824" s="1"/>
      <c r="S824" s="1"/>
      <c r="T824" s="1"/>
      <c r="U824" s="1"/>
      <c r="V824" s="1"/>
      <c r="W824" s="1"/>
      <c r="X824" s="1"/>
      <c r="Y824" s="1"/>
      <c r="Z824" s="1"/>
      <c r="AA824" s="1"/>
      <c r="AB824" s="1"/>
      <c r="AC824" s="1"/>
      <c r="AD824" s="1"/>
      <c r="AE824" s="1"/>
      <c r="AF824" s="1"/>
      <c r="AG824" s="1"/>
      <c r="AH824" s="1"/>
      <c r="AI824" s="1"/>
    </row>
    <row x14ac:dyDescent="0.25" r="825" customHeight="1" ht="17.25">
      <c r="A825" s="1"/>
      <c r="B825" s="114"/>
      <c r="C825" s="1"/>
      <c r="D825" s="1"/>
      <c r="E825" s="116"/>
      <c r="F825" s="1"/>
      <c r="G825" s="1"/>
      <c r="H825" s="114"/>
      <c r="I825" s="1"/>
      <c r="J825" s="1"/>
      <c r="K825" s="1"/>
      <c r="L825" s="54"/>
      <c r="M825" s="54"/>
      <c r="N825" s="54"/>
      <c r="O825" s="54"/>
      <c r="P825" s="54"/>
      <c r="Q825" s="54"/>
      <c r="R825" s="1"/>
      <c r="S825" s="1"/>
      <c r="T825" s="1"/>
      <c r="U825" s="1"/>
      <c r="V825" s="1"/>
      <c r="W825" s="1"/>
      <c r="X825" s="1"/>
      <c r="Y825" s="1"/>
      <c r="Z825" s="1"/>
      <c r="AA825" s="1"/>
      <c r="AB825" s="1"/>
      <c r="AC825" s="1"/>
      <c r="AD825" s="1"/>
      <c r="AE825" s="1"/>
      <c r="AF825" s="1"/>
      <c r="AG825" s="1"/>
      <c r="AH825" s="1"/>
      <c r="AI825" s="1"/>
    </row>
    <row x14ac:dyDescent="0.25" r="826" customHeight="1" ht="17.25">
      <c r="A826" s="1"/>
      <c r="B826" s="114"/>
      <c r="C826" s="1"/>
      <c r="D826" s="1"/>
      <c r="E826" s="116"/>
      <c r="F826" s="1"/>
      <c r="G826" s="1"/>
      <c r="H826" s="114"/>
      <c r="I826" s="1"/>
      <c r="J826" s="1"/>
      <c r="K826" s="1"/>
      <c r="L826" s="54"/>
      <c r="M826" s="54"/>
      <c r="N826" s="54"/>
      <c r="O826" s="54"/>
      <c r="P826" s="54"/>
      <c r="Q826" s="54"/>
      <c r="R826" s="1"/>
      <c r="S826" s="1"/>
      <c r="T826" s="1"/>
      <c r="U826" s="1"/>
      <c r="V826" s="1"/>
      <c r="W826" s="1"/>
      <c r="X826" s="1"/>
      <c r="Y826" s="1"/>
      <c r="Z826" s="1"/>
      <c r="AA826" s="1"/>
      <c r="AB826" s="1"/>
      <c r="AC826" s="1"/>
      <c r="AD826" s="1"/>
      <c r="AE826" s="1"/>
      <c r="AF826" s="1"/>
      <c r="AG826" s="1"/>
      <c r="AH826" s="1"/>
      <c r="AI826" s="1"/>
    </row>
    <row x14ac:dyDescent="0.25" r="827" customHeight="1" ht="17.25">
      <c r="A827" s="1"/>
      <c r="B827" s="114"/>
      <c r="C827" s="1"/>
      <c r="D827" s="1"/>
      <c r="E827" s="116"/>
      <c r="F827" s="1"/>
      <c r="G827" s="1"/>
      <c r="H827" s="114"/>
      <c r="I827" s="1"/>
      <c r="J827" s="1"/>
      <c r="K827" s="1"/>
      <c r="L827" s="54"/>
      <c r="M827" s="54"/>
      <c r="N827" s="54"/>
      <c r="O827" s="54"/>
      <c r="P827" s="54"/>
      <c r="Q827" s="54"/>
      <c r="R827" s="1"/>
      <c r="S827" s="1"/>
      <c r="T827" s="1"/>
      <c r="U827" s="1"/>
      <c r="V827" s="1"/>
      <c r="W827" s="1"/>
      <c r="X827" s="1"/>
      <c r="Y827" s="1"/>
      <c r="Z827" s="1"/>
      <c r="AA827" s="1"/>
      <c r="AB827" s="1"/>
      <c r="AC827" s="1"/>
      <c r="AD827" s="1"/>
      <c r="AE827" s="1"/>
      <c r="AF827" s="1"/>
      <c r="AG827" s="1"/>
      <c r="AH827" s="1"/>
      <c r="AI827" s="1"/>
    </row>
    <row x14ac:dyDescent="0.25" r="828" customHeight="1" ht="17.25">
      <c r="A828" s="1"/>
      <c r="B828" s="114"/>
      <c r="C828" s="1"/>
      <c r="D828" s="1"/>
      <c r="E828" s="116"/>
      <c r="F828" s="1"/>
      <c r="G828" s="1"/>
      <c r="H828" s="114"/>
      <c r="I828" s="1"/>
      <c r="J828" s="1"/>
      <c r="K828" s="1"/>
      <c r="L828" s="54"/>
      <c r="M828" s="54"/>
      <c r="N828" s="54"/>
      <c r="O828" s="54"/>
      <c r="P828" s="54"/>
      <c r="Q828" s="54"/>
      <c r="R828" s="1"/>
      <c r="S828" s="1"/>
      <c r="T828" s="1"/>
      <c r="U828" s="1"/>
      <c r="V828" s="1"/>
      <c r="W828" s="1"/>
      <c r="X828" s="1"/>
      <c r="Y828" s="1"/>
      <c r="Z828" s="1"/>
      <c r="AA828" s="1"/>
      <c r="AB828" s="1"/>
      <c r="AC828" s="1"/>
      <c r="AD828" s="1"/>
      <c r="AE828" s="1"/>
      <c r="AF828" s="1"/>
      <c r="AG828" s="1"/>
      <c r="AH828" s="1"/>
      <c r="AI828" s="1"/>
    </row>
    <row x14ac:dyDescent="0.25" r="829" customHeight="1" ht="17.25">
      <c r="A829" s="1"/>
      <c r="B829" s="114"/>
      <c r="C829" s="1"/>
      <c r="D829" s="1"/>
      <c r="E829" s="116"/>
      <c r="F829" s="1"/>
      <c r="G829" s="1"/>
      <c r="H829" s="114"/>
      <c r="I829" s="1"/>
      <c r="J829" s="1"/>
      <c r="K829" s="1"/>
      <c r="L829" s="54"/>
      <c r="M829" s="54"/>
      <c r="N829" s="54"/>
      <c r="O829" s="54"/>
      <c r="P829" s="54"/>
      <c r="Q829" s="54"/>
      <c r="R829" s="1"/>
      <c r="S829" s="1"/>
      <c r="T829" s="1"/>
      <c r="U829" s="1"/>
      <c r="V829" s="1"/>
      <c r="W829" s="1"/>
      <c r="X829" s="1"/>
      <c r="Y829" s="1"/>
      <c r="Z829" s="1"/>
      <c r="AA829" s="1"/>
      <c r="AB829" s="1"/>
      <c r="AC829" s="1"/>
      <c r="AD829" s="1"/>
      <c r="AE829" s="1"/>
      <c r="AF829" s="1"/>
      <c r="AG829" s="1"/>
      <c r="AH829" s="1"/>
      <c r="AI829" s="1"/>
    </row>
    <row x14ac:dyDescent="0.25" r="830" customHeight="1" ht="17.25">
      <c r="A830" s="1"/>
      <c r="B830" s="114"/>
      <c r="C830" s="1"/>
      <c r="D830" s="1"/>
      <c r="E830" s="1"/>
      <c r="F830" s="1"/>
      <c r="G830" s="1"/>
      <c r="H830" s="114"/>
      <c r="I830" s="1"/>
      <c r="J830" s="1"/>
      <c r="K830" s="1"/>
      <c r="L830" s="54"/>
      <c r="M830" s="54"/>
      <c r="N830" s="54"/>
      <c r="O830" s="54"/>
      <c r="P830" s="54"/>
      <c r="Q830" s="54"/>
      <c r="R830" s="1"/>
      <c r="S830" s="1"/>
      <c r="T830" s="1"/>
      <c r="U830" s="1"/>
      <c r="V830" s="1"/>
      <c r="W830" s="1"/>
      <c r="X830" s="1"/>
      <c r="Y830" s="1"/>
      <c r="Z830" s="1"/>
      <c r="AA830" s="1"/>
      <c r="AB830" s="1"/>
      <c r="AC830" s="1"/>
      <c r="AD830" s="1"/>
      <c r="AE830" s="1"/>
      <c r="AF830" s="1"/>
      <c r="AG830" s="1"/>
      <c r="AH830" s="1"/>
      <c r="AI830" s="1"/>
    </row>
    <row x14ac:dyDescent="0.25" r="831" customHeight="1" ht="17.25">
      <c r="A831" s="1"/>
      <c r="B831" s="114"/>
      <c r="C831" s="1"/>
      <c r="D831" s="1"/>
      <c r="E831" s="116"/>
      <c r="F831" s="1"/>
      <c r="G831" s="1"/>
      <c r="H831" s="114"/>
      <c r="I831" s="1"/>
      <c r="J831" s="1"/>
      <c r="K831" s="1"/>
      <c r="L831" s="54"/>
      <c r="M831" s="54"/>
      <c r="N831" s="54"/>
      <c r="O831" s="54"/>
      <c r="P831" s="54"/>
      <c r="Q831" s="54"/>
      <c r="R831" s="1"/>
      <c r="S831" s="1"/>
      <c r="T831" s="1"/>
      <c r="U831" s="1"/>
      <c r="V831" s="1"/>
      <c r="W831" s="1"/>
      <c r="X831" s="1"/>
      <c r="Y831" s="1"/>
      <c r="Z831" s="1"/>
      <c r="AA831" s="1"/>
      <c r="AB831" s="1"/>
      <c r="AC831" s="1"/>
      <c r="AD831" s="1"/>
      <c r="AE831" s="1"/>
      <c r="AF831" s="1"/>
      <c r="AG831" s="1"/>
      <c r="AH831" s="1"/>
      <c r="AI831" s="1"/>
    </row>
    <row x14ac:dyDescent="0.25" r="832" customHeight="1" ht="17.25">
      <c r="A832" s="1"/>
      <c r="B832" s="114"/>
      <c r="C832" s="1"/>
      <c r="D832" s="1"/>
      <c r="E832" s="116"/>
      <c r="F832" s="1"/>
      <c r="G832" s="1"/>
      <c r="H832" s="114"/>
      <c r="I832" s="1"/>
      <c r="J832" s="1"/>
      <c r="K832" s="1"/>
      <c r="L832" s="54"/>
      <c r="M832" s="54"/>
      <c r="N832" s="54"/>
      <c r="O832" s="54"/>
      <c r="P832" s="54"/>
      <c r="Q832" s="54"/>
      <c r="R832" s="1"/>
      <c r="S832" s="1"/>
      <c r="T832" s="1"/>
      <c r="U832" s="1"/>
      <c r="V832" s="1"/>
      <c r="W832" s="1"/>
      <c r="X832" s="1"/>
      <c r="Y832" s="1"/>
      <c r="Z832" s="1"/>
      <c r="AA832" s="1"/>
      <c r="AB832" s="1"/>
      <c r="AC832" s="1"/>
      <c r="AD832" s="1"/>
      <c r="AE832" s="1"/>
      <c r="AF832" s="1"/>
      <c r="AG832" s="1"/>
      <c r="AH832" s="1"/>
      <c r="AI832" s="1"/>
    </row>
    <row x14ac:dyDescent="0.25" r="833" customHeight="1" ht="17.25">
      <c r="A833" s="1"/>
      <c r="B833" s="114"/>
      <c r="C833" s="1"/>
      <c r="D833" s="1"/>
      <c r="E833" s="116"/>
      <c r="F833" s="1"/>
      <c r="G833" s="1"/>
      <c r="H833" s="114"/>
      <c r="I833" s="1"/>
      <c r="J833" s="1"/>
      <c r="K833" s="1"/>
      <c r="L833" s="54"/>
      <c r="M833" s="54"/>
      <c r="N833" s="54"/>
      <c r="O833" s="54"/>
      <c r="P833" s="54"/>
      <c r="Q833" s="54"/>
      <c r="R833" s="1"/>
      <c r="S833" s="1"/>
      <c r="T833" s="1"/>
      <c r="U833" s="1"/>
      <c r="V833" s="1"/>
      <c r="W833" s="1"/>
      <c r="X833" s="1"/>
      <c r="Y833" s="1"/>
      <c r="Z833" s="1"/>
      <c r="AA833" s="1"/>
      <c r="AB833" s="1"/>
      <c r="AC833" s="1"/>
      <c r="AD833" s="1"/>
      <c r="AE833" s="1"/>
      <c r="AF833" s="1"/>
      <c r="AG833" s="1"/>
      <c r="AH833" s="1"/>
      <c r="AI833" s="1"/>
    </row>
    <row x14ac:dyDescent="0.25" r="834" customHeight="1" ht="17.25">
      <c r="A834" s="1"/>
      <c r="B834" s="114"/>
      <c r="C834" s="1"/>
      <c r="D834" s="1"/>
      <c r="E834" s="116"/>
      <c r="F834" s="1"/>
      <c r="G834" s="1"/>
      <c r="H834" s="114"/>
      <c r="I834" s="1"/>
      <c r="J834" s="1"/>
      <c r="K834" s="1"/>
      <c r="L834" s="54"/>
      <c r="M834" s="54"/>
      <c r="N834" s="54"/>
      <c r="O834" s="54"/>
      <c r="P834" s="54"/>
      <c r="Q834" s="54"/>
      <c r="R834" s="1"/>
      <c r="S834" s="1"/>
      <c r="T834" s="1"/>
      <c r="U834" s="1"/>
      <c r="V834" s="1"/>
      <c r="W834" s="1"/>
      <c r="X834" s="1"/>
      <c r="Y834" s="1"/>
      <c r="Z834" s="1"/>
      <c r="AA834" s="1"/>
      <c r="AB834" s="1"/>
      <c r="AC834" s="1"/>
      <c r="AD834" s="1"/>
      <c r="AE834" s="1"/>
      <c r="AF834" s="1"/>
      <c r="AG834" s="1"/>
      <c r="AH834" s="1"/>
      <c r="AI834" s="1"/>
    </row>
    <row x14ac:dyDescent="0.25" r="835" customHeight="1" ht="17.25">
      <c r="A835" s="1"/>
      <c r="B835" s="114"/>
      <c r="C835" s="1"/>
      <c r="D835" s="1"/>
      <c r="E835" s="116"/>
      <c r="F835" s="1"/>
      <c r="G835" s="1"/>
      <c r="H835" s="114"/>
      <c r="I835" s="1"/>
      <c r="J835" s="1"/>
      <c r="K835" s="1"/>
      <c r="L835" s="54"/>
      <c r="M835" s="54"/>
      <c r="N835" s="54"/>
      <c r="O835" s="54"/>
      <c r="P835" s="54"/>
      <c r="Q835" s="54"/>
      <c r="R835" s="1"/>
      <c r="S835" s="1"/>
      <c r="T835" s="1"/>
      <c r="U835" s="1"/>
      <c r="V835" s="1"/>
      <c r="W835" s="1"/>
      <c r="X835" s="1"/>
      <c r="Y835" s="1"/>
      <c r="Z835" s="1"/>
      <c r="AA835" s="1"/>
      <c r="AB835" s="1"/>
      <c r="AC835" s="1"/>
      <c r="AD835" s="1"/>
      <c r="AE835" s="1"/>
      <c r="AF835" s="1"/>
      <c r="AG835" s="1"/>
      <c r="AH835" s="1"/>
      <c r="AI835" s="1"/>
    </row>
    <row x14ac:dyDescent="0.25" r="836" customHeight="1" ht="17.25">
      <c r="A836" s="1"/>
      <c r="B836" s="114"/>
      <c r="C836" s="1"/>
      <c r="D836" s="1"/>
      <c r="E836" s="116"/>
      <c r="F836" s="1"/>
      <c r="G836" s="1"/>
      <c r="H836" s="114"/>
      <c r="I836" s="1"/>
      <c r="J836" s="1"/>
      <c r="K836" s="1"/>
      <c r="L836" s="54"/>
      <c r="M836" s="54"/>
      <c r="N836" s="54"/>
      <c r="O836" s="54"/>
      <c r="P836" s="54"/>
      <c r="Q836" s="54"/>
      <c r="R836" s="1"/>
      <c r="S836" s="1"/>
      <c r="T836" s="1"/>
      <c r="U836" s="1"/>
      <c r="V836" s="1"/>
      <c r="W836" s="1"/>
      <c r="X836" s="1"/>
      <c r="Y836" s="1"/>
      <c r="Z836" s="1"/>
      <c r="AA836" s="1"/>
      <c r="AB836" s="1"/>
      <c r="AC836" s="1"/>
      <c r="AD836" s="1"/>
      <c r="AE836" s="1"/>
      <c r="AF836" s="1"/>
      <c r="AG836" s="1"/>
      <c r="AH836" s="1"/>
      <c r="AI836" s="1"/>
    </row>
    <row x14ac:dyDescent="0.25" r="837" customHeight="1" ht="17.25">
      <c r="A837" s="1"/>
      <c r="B837" s="114"/>
      <c r="C837" s="1"/>
      <c r="D837" s="1"/>
      <c r="E837" s="116"/>
      <c r="F837" s="1"/>
      <c r="G837" s="1"/>
      <c r="H837" s="114"/>
      <c r="I837" s="1"/>
      <c r="J837" s="1"/>
      <c r="K837" s="1"/>
      <c r="L837" s="54"/>
      <c r="M837" s="54"/>
      <c r="N837" s="54"/>
      <c r="O837" s="54"/>
      <c r="P837" s="54"/>
      <c r="Q837" s="54"/>
      <c r="R837" s="1"/>
      <c r="S837" s="1"/>
      <c r="T837" s="1"/>
      <c r="U837" s="1"/>
      <c r="V837" s="1"/>
      <c r="W837" s="1"/>
      <c r="X837" s="1"/>
      <c r="Y837" s="1"/>
      <c r="Z837" s="1"/>
      <c r="AA837" s="1"/>
      <c r="AB837" s="1"/>
      <c r="AC837" s="1"/>
      <c r="AD837" s="1"/>
      <c r="AE837" s="1"/>
      <c r="AF837" s="1"/>
      <c r="AG837" s="1"/>
      <c r="AH837" s="1"/>
      <c r="AI837" s="1"/>
    </row>
    <row x14ac:dyDescent="0.25" r="838" customHeight="1" ht="17.25">
      <c r="A838" s="1"/>
      <c r="B838" s="114"/>
      <c r="C838" s="1"/>
      <c r="D838" s="1"/>
      <c r="E838" s="116"/>
      <c r="F838" s="1"/>
      <c r="G838" s="1"/>
      <c r="H838" s="114"/>
      <c r="I838" s="1"/>
      <c r="J838" s="1"/>
      <c r="K838" s="1"/>
      <c r="L838" s="54"/>
      <c r="M838" s="54"/>
      <c r="N838" s="54"/>
      <c r="O838" s="54"/>
      <c r="P838" s="54"/>
      <c r="Q838" s="54"/>
      <c r="R838" s="1"/>
      <c r="S838" s="1"/>
      <c r="T838" s="1"/>
      <c r="U838" s="1"/>
      <c r="V838" s="1"/>
      <c r="W838" s="1"/>
      <c r="X838" s="1"/>
      <c r="Y838" s="1"/>
      <c r="Z838" s="1"/>
      <c r="AA838" s="1"/>
      <c r="AB838" s="1"/>
      <c r="AC838" s="1"/>
      <c r="AD838" s="1"/>
      <c r="AE838" s="1"/>
      <c r="AF838" s="1"/>
      <c r="AG838" s="1"/>
      <c r="AH838" s="1"/>
      <c r="AI838" s="1"/>
    </row>
    <row x14ac:dyDescent="0.25" r="839" customHeight="1" ht="17.25">
      <c r="A839" s="1"/>
      <c r="B839" s="114"/>
      <c r="C839" s="1"/>
      <c r="D839" s="1"/>
      <c r="E839" s="116"/>
      <c r="F839" s="1"/>
      <c r="G839" s="1"/>
      <c r="H839" s="114"/>
      <c r="I839" s="1"/>
      <c r="J839" s="1"/>
      <c r="K839" s="1"/>
      <c r="L839" s="54"/>
      <c r="M839" s="54"/>
      <c r="N839" s="54"/>
      <c r="O839" s="54"/>
      <c r="P839" s="54"/>
      <c r="Q839" s="54"/>
      <c r="R839" s="1"/>
      <c r="S839" s="1"/>
      <c r="T839" s="1"/>
      <c r="U839" s="1"/>
      <c r="V839" s="1"/>
      <c r="W839" s="1"/>
      <c r="X839" s="1"/>
      <c r="Y839" s="1"/>
      <c r="Z839" s="1"/>
      <c r="AA839" s="1"/>
      <c r="AB839" s="1"/>
      <c r="AC839" s="1"/>
      <c r="AD839" s="1"/>
      <c r="AE839" s="1"/>
      <c r="AF839" s="1"/>
      <c r="AG839" s="1"/>
      <c r="AH839" s="1"/>
      <c r="AI839" s="1"/>
    </row>
    <row x14ac:dyDescent="0.25" r="840" customHeight="1" ht="17.25">
      <c r="A840" s="1"/>
      <c r="B840" s="114"/>
      <c r="C840" s="1"/>
      <c r="D840" s="1"/>
      <c r="E840" s="116"/>
      <c r="F840" s="1"/>
      <c r="G840" s="1"/>
      <c r="H840" s="114"/>
      <c r="I840" s="1"/>
      <c r="J840" s="1"/>
      <c r="K840" s="1"/>
      <c r="L840" s="54"/>
      <c r="M840" s="54"/>
      <c r="N840" s="54"/>
      <c r="O840" s="54"/>
      <c r="P840" s="54"/>
      <c r="Q840" s="54"/>
      <c r="R840" s="1"/>
      <c r="S840" s="1"/>
      <c r="T840" s="1"/>
      <c r="U840" s="1"/>
      <c r="V840" s="1"/>
      <c r="W840" s="1"/>
      <c r="X840" s="1"/>
      <c r="Y840" s="1"/>
      <c r="Z840" s="1"/>
      <c r="AA840" s="1"/>
      <c r="AB840" s="1"/>
      <c r="AC840" s="1"/>
      <c r="AD840" s="1"/>
      <c r="AE840" s="1"/>
      <c r="AF840" s="1"/>
      <c r="AG840" s="1"/>
      <c r="AH840" s="1"/>
      <c r="AI840" s="1"/>
    </row>
    <row x14ac:dyDescent="0.25" r="841" customHeight="1" ht="17.25">
      <c r="A841" s="1"/>
      <c r="B841" s="114"/>
      <c r="C841" s="1"/>
      <c r="D841" s="1"/>
      <c r="E841" s="116"/>
      <c r="F841" s="1"/>
      <c r="G841" s="1"/>
      <c r="H841" s="114"/>
      <c r="I841" s="1"/>
      <c r="J841" s="1"/>
      <c r="K841" s="1"/>
      <c r="L841" s="54"/>
      <c r="M841" s="54"/>
      <c r="N841" s="54"/>
      <c r="O841" s="54"/>
      <c r="P841" s="54"/>
      <c r="Q841" s="54"/>
      <c r="R841" s="1"/>
      <c r="S841" s="1"/>
      <c r="T841" s="1"/>
      <c r="U841" s="1"/>
      <c r="V841" s="1"/>
      <c r="W841" s="1"/>
      <c r="X841" s="1"/>
      <c r="Y841" s="1"/>
      <c r="Z841" s="1"/>
      <c r="AA841" s="1"/>
      <c r="AB841" s="1"/>
      <c r="AC841" s="1"/>
      <c r="AD841" s="1"/>
      <c r="AE841" s="1"/>
      <c r="AF841" s="1"/>
      <c r="AG841" s="1"/>
      <c r="AH841" s="1"/>
      <c r="AI841"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4587"/>
  <sheetViews>
    <sheetView workbookViewId="0"/>
  </sheetViews>
  <sheetFormatPr defaultRowHeight="15" x14ac:dyDescent="0.25"/>
  <cols>
    <col min="1" max="1" style="113" width="21.433571428571426" customWidth="1" bestFit="1"/>
    <col min="2" max="2" style="47" width="31.290714285714284" customWidth="1" bestFit="1"/>
    <col min="3" max="3" style="47" width="18.433571428571426" customWidth="1" bestFit="1"/>
    <col min="4" max="4" style="47" width="70.86214285714286" customWidth="1" bestFit="1"/>
    <col min="5" max="5" style="89" width="13.005" customWidth="1" bestFit="1"/>
    <col min="6" max="6" style="47" width="15.005" customWidth="1" bestFit="1"/>
    <col min="7" max="7" style="47" width="11.290714285714287" customWidth="1" bestFit="1"/>
  </cols>
  <sheetData>
    <row x14ac:dyDescent="0.25" r="1" customHeight="1" ht="17.25">
      <c r="A1" s="112" t="s">
        <v>2541</v>
      </c>
      <c r="B1" s="1" t="s">
        <v>2542</v>
      </c>
      <c r="C1" s="1" t="s">
        <v>2543</v>
      </c>
      <c r="D1" s="1" t="s">
        <v>2544</v>
      </c>
      <c r="E1" s="54" t="s">
        <v>2545</v>
      </c>
      <c r="F1" s="1" t="s">
        <v>2546</v>
      </c>
      <c r="G1" s="1" t="s">
        <v>2547</v>
      </c>
    </row>
    <row x14ac:dyDescent="0.25" r="2" customHeight="1" ht="17.25" hidden="1">
      <c r="A2" s="112" t="s">
        <v>2548</v>
      </c>
      <c r="B2" s="1" t="s">
        <v>2549</v>
      </c>
      <c r="C2" s="1" t="s">
        <v>38</v>
      </c>
      <c r="D2" s="1" t="s">
        <v>2550</v>
      </c>
      <c r="E2" s="62">
        <v>18</v>
      </c>
      <c r="F2" s="1" t="s">
        <v>2551</v>
      </c>
      <c r="G2" s="1" t="s">
        <v>2552</v>
      </c>
    </row>
    <row x14ac:dyDescent="0.25" r="3" customHeight="1" ht="17.25" hidden="1">
      <c r="A3" s="112" t="s">
        <v>2553</v>
      </c>
      <c r="B3" s="1" t="s">
        <v>2549</v>
      </c>
      <c r="C3" s="1" t="s">
        <v>38</v>
      </c>
      <c r="D3" s="1" t="s">
        <v>2554</v>
      </c>
      <c r="E3" s="62">
        <v>0</v>
      </c>
      <c r="F3" s="1" t="s">
        <v>2551</v>
      </c>
      <c r="G3" s="1" t="s">
        <v>2555</v>
      </c>
    </row>
    <row x14ac:dyDescent="0.25" r="4" customHeight="1" ht="17.25" hidden="1">
      <c r="A4" s="112" t="s">
        <v>2556</v>
      </c>
      <c r="B4" s="1" t="s">
        <v>2549</v>
      </c>
      <c r="C4" s="1" t="s">
        <v>38</v>
      </c>
      <c r="D4" s="1" t="s">
        <v>2557</v>
      </c>
      <c r="E4" s="62">
        <v>19</v>
      </c>
      <c r="F4" s="1" t="s">
        <v>2551</v>
      </c>
      <c r="G4" s="1" t="s">
        <v>2558</v>
      </c>
    </row>
    <row x14ac:dyDescent="0.25" r="5" customHeight="1" ht="17.25" hidden="1">
      <c r="A5" s="112" t="s">
        <v>2559</v>
      </c>
      <c r="B5" s="1" t="s">
        <v>2549</v>
      </c>
      <c r="C5" s="1" t="s">
        <v>38</v>
      </c>
      <c r="D5" s="1" t="s">
        <v>2560</v>
      </c>
      <c r="E5" s="62">
        <v>35</v>
      </c>
      <c r="F5" s="1" t="s">
        <v>2561</v>
      </c>
      <c r="G5" s="1" t="s">
        <v>2552</v>
      </c>
    </row>
    <row x14ac:dyDescent="0.25" r="6" customHeight="1" ht="17.25" hidden="1">
      <c r="A6" s="112" t="s">
        <v>2559</v>
      </c>
      <c r="B6" s="1" t="s">
        <v>2549</v>
      </c>
      <c r="C6" s="1" t="s">
        <v>38</v>
      </c>
      <c r="D6" s="1" t="s">
        <v>2562</v>
      </c>
      <c r="E6" s="62">
        <v>23</v>
      </c>
      <c r="F6" s="1" t="s">
        <v>2551</v>
      </c>
      <c r="G6" s="1" t="s">
        <v>2552</v>
      </c>
    </row>
    <row x14ac:dyDescent="0.25" r="7" customHeight="1" ht="17.25" hidden="1">
      <c r="A7" s="112" t="s">
        <v>2563</v>
      </c>
      <c r="B7" s="1" t="s">
        <v>2549</v>
      </c>
      <c r="C7" s="1" t="s">
        <v>38</v>
      </c>
      <c r="D7" s="1" t="s">
        <v>2564</v>
      </c>
      <c r="E7" s="62">
        <v>42</v>
      </c>
      <c r="F7" s="1" t="s">
        <v>2551</v>
      </c>
      <c r="G7" s="1" t="s">
        <v>2555</v>
      </c>
    </row>
    <row x14ac:dyDescent="0.25" r="8" customHeight="1" ht="17.25" hidden="1">
      <c r="A8" s="112" t="s">
        <v>2563</v>
      </c>
      <c r="B8" s="1" t="s">
        <v>2549</v>
      </c>
      <c r="C8" s="1" t="s">
        <v>38</v>
      </c>
      <c r="D8" s="1" t="s">
        <v>2565</v>
      </c>
      <c r="E8" s="62">
        <v>41</v>
      </c>
      <c r="F8" s="1" t="s">
        <v>2551</v>
      </c>
      <c r="G8" s="1" t="s">
        <v>2552</v>
      </c>
    </row>
    <row x14ac:dyDescent="0.25" r="9" customHeight="1" ht="17.25" hidden="1">
      <c r="A9" s="112" t="s">
        <v>2566</v>
      </c>
      <c r="B9" s="1" t="s">
        <v>2549</v>
      </c>
      <c r="C9" s="1" t="s">
        <v>38</v>
      </c>
      <c r="D9" s="1" t="s">
        <v>2567</v>
      </c>
      <c r="E9" s="62">
        <v>31</v>
      </c>
      <c r="F9" s="1" t="s">
        <v>2551</v>
      </c>
      <c r="G9" s="1" t="s">
        <v>2552</v>
      </c>
    </row>
    <row x14ac:dyDescent="0.25" r="10" customHeight="1" ht="17.25" hidden="1">
      <c r="A10" s="112" t="s">
        <v>2566</v>
      </c>
      <c r="B10" s="1" t="s">
        <v>2549</v>
      </c>
      <c r="C10" s="1" t="s">
        <v>38</v>
      </c>
      <c r="D10" s="1" t="s">
        <v>2568</v>
      </c>
      <c r="E10" s="62">
        <v>26</v>
      </c>
      <c r="F10" s="1" t="s">
        <v>2551</v>
      </c>
      <c r="G10" s="1" t="s">
        <v>2552</v>
      </c>
    </row>
    <row x14ac:dyDescent="0.25" r="11" customHeight="1" ht="17.25" hidden="1">
      <c r="A11" s="112" t="s">
        <v>2569</v>
      </c>
      <c r="B11" s="1" t="s">
        <v>2549</v>
      </c>
      <c r="C11" s="1" t="s">
        <v>38</v>
      </c>
      <c r="D11" s="1" t="s">
        <v>2570</v>
      </c>
      <c r="E11" s="62">
        <v>24</v>
      </c>
      <c r="F11" s="1" t="s">
        <v>2551</v>
      </c>
      <c r="G11" s="1" t="s">
        <v>2571</v>
      </c>
    </row>
    <row x14ac:dyDescent="0.25" r="12" customHeight="1" ht="17.25" hidden="1">
      <c r="A12" s="112" t="s">
        <v>2569</v>
      </c>
      <c r="B12" s="1" t="s">
        <v>2549</v>
      </c>
      <c r="C12" s="1" t="s">
        <v>38</v>
      </c>
      <c r="D12" s="1" t="s">
        <v>2572</v>
      </c>
      <c r="E12" s="62">
        <v>20</v>
      </c>
      <c r="F12" s="1" t="s">
        <v>2551</v>
      </c>
      <c r="G12" s="1" t="s">
        <v>2571</v>
      </c>
    </row>
    <row x14ac:dyDescent="0.25" r="13" customHeight="1" ht="17.25" hidden="1">
      <c r="A13" s="112" t="s">
        <v>2573</v>
      </c>
      <c r="B13" s="1" t="s">
        <v>2549</v>
      </c>
      <c r="C13" s="1" t="s">
        <v>38</v>
      </c>
      <c r="D13" s="1" t="s">
        <v>2574</v>
      </c>
      <c r="E13" s="62">
        <v>31</v>
      </c>
      <c r="F13" s="1" t="s">
        <v>2551</v>
      </c>
      <c r="G13" s="1" t="s">
        <v>2552</v>
      </c>
    </row>
    <row x14ac:dyDescent="0.25" r="14" customHeight="1" ht="17.25" hidden="1">
      <c r="A14" s="112" t="s">
        <v>2575</v>
      </c>
      <c r="B14" s="1" t="s">
        <v>2549</v>
      </c>
      <c r="C14" s="1" t="s">
        <v>38</v>
      </c>
      <c r="D14" s="1" t="s">
        <v>2576</v>
      </c>
      <c r="E14" s="62">
        <v>18</v>
      </c>
      <c r="F14" s="1" t="s">
        <v>2561</v>
      </c>
      <c r="G14" s="1" t="s">
        <v>2555</v>
      </c>
    </row>
    <row x14ac:dyDescent="0.25" r="15" customHeight="1" ht="17.25" hidden="1">
      <c r="A15" s="112" t="s">
        <v>2577</v>
      </c>
      <c r="B15" s="1" t="s">
        <v>2549</v>
      </c>
      <c r="C15" s="1" t="s">
        <v>38</v>
      </c>
      <c r="D15" s="1" t="s">
        <v>2578</v>
      </c>
      <c r="E15" s="62">
        <v>32</v>
      </c>
      <c r="F15" s="1" t="s">
        <v>2551</v>
      </c>
      <c r="G15" s="1" t="s">
        <v>2552</v>
      </c>
    </row>
    <row x14ac:dyDescent="0.25" r="16" customHeight="1" ht="17.25" hidden="1">
      <c r="A16" s="112" t="s">
        <v>2577</v>
      </c>
      <c r="B16" s="1" t="s">
        <v>2549</v>
      </c>
      <c r="C16" s="1" t="s">
        <v>38</v>
      </c>
      <c r="D16" s="1" t="s">
        <v>2579</v>
      </c>
      <c r="E16" s="62">
        <v>38</v>
      </c>
      <c r="F16" s="1" t="s">
        <v>2551</v>
      </c>
      <c r="G16" s="1" t="s">
        <v>2552</v>
      </c>
    </row>
    <row x14ac:dyDescent="0.25" r="17" customHeight="1" ht="17.25" hidden="1">
      <c r="A17" s="112" t="s">
        <v>2580</v>
      </c>
      <c r="B17" s="1" t="s">
        <v>2549</v>
      </c>
      <c r="C17" s="1" t="s">
        <v>38</v>
      </c>
      <c r="D17" s="1" t="s">
        <v>2581</v>
      </c>
      <c r="E17" s="62">
        <v>33</v>
      </c>
      <c r="F17" s="1" t="s">
        <v>2551</v>
      </c>
      <c r="G17" s="1" t="s">
        <v>2555</v>
      </c>
    </row>
    <row x14ac:dyDescent="0.25" r="18" customHeight="1" ht="17.25" hidden="1">
      <c r="A18" s="112" t="s">
        <v>2582</v>
      </c>
      <c r="B18" s="1" t="s">
        <v>2549</v>
      </c>
      <c r="C18" s="1" t="s">
        <v>38</v>
      </c>
      <c r="D18" s="1" t="s">
        <v>2583</v>
      </c>
      <c r="E18" s="62">
        <v>23</v>
      </c>
      <c r="F18" s="1" t="s">
        <v>2551</v>
      </c>
      <c r="G18" s="1" t="s">
        <v>2555</v>
      </c>
    </row>
    <row x14ac:dyDescent="0.25" r="19" customHeight="1" ht="17.25" hidden="1">
      <c r="A19" s="112" t="s">
        <v>2584</v>
      </c>
      <c r="B19" s="1" t="s">
        <v>2549</v>
      </c>
      <c r="C19" s="1" t="s">
        <v>38</v>
      </c>
      <c r="D19" s="1" t="s">
        <v>2585</v>
      </c>
      <c r="E19" s="62">
        <v>19</v>
      </c>
      <c r="F19" s="1" t="s">
        <v>2551</v>
      </c>
      <c r="G19" s="1" t="s">
        <v>2555</v>
      </c>
    </row>
    <row x14ac:dyDescent="0.25" r="20" customHeight="1" ht="17.25" hidden="1">
      <c r="A20" s="112" t="s">
        <v>2586</v>
      </c>
      <c r="B20" s="1" t="s">
        <v>2549</v>
      </c>
      <c r="C20" s="1" t="s">
        <v>38</v>
      </c>
      <c r="D20" s="1" t="s">
        <v>2587</v>
      </c>
      <c r="E20" s="62">
        <v>18</v>
      </c>
      <c r="F20" s="1" t="s">
        <v>2551</v>
      </c>
      <c r="G20" s="1" t="s">
        <v>2552</v>
      </c>
    </row>
    <row x14ac:dyDescent="0.25" r="21" customHeight="1" ht="17.25" hidden="1">
      <c r="A21" s="112" t="s">
        <v>2588</v>
      </c>
      <c r="B21" s="1" t="s">
        <v>2549</v>
      </c>
      <c r="C21" s="1" t="s">
        <v>38</v>
      </c>
      <c r="D21" s="1" t="s">
        <v>2589</v>
      </c>
      <c r="E21" s="62">
        <v>26</v>
      </c>
      <c r="F21" s="1" t="s">
        <v>2551</v>
      </c>
      <c r="G21" s="1" t="s">
        <v>2552</v>
      </c>
    </row>
    <row x14ac:dyDescent="0.25" r="22" customHeight="1" ht="17.25" hidden="1">
      <c r="A22" s="112" t="s">
        <v>2590</v>
      </c>
      <c r="B22" s="1" t="s">
        <v>2549</v>
      </c>
      <c r="C22" s="1" t="s">
        <v>38</v>
      </c>
      <c r="D22" s="1" t="s">
        <v>2591</v>
      </c>
      <c r="E22" s="62">
        <v>19</v>
      </c>
      <c r="F22" s="1" t="s">
        <v>2551</v>
      </c>
      <c r="G22" s="1" t="s">
        <v>2552</v>
      </c>
    </row>
    <row x14ac:dyDescent="0.25" r="23" customHeight="1" ht="17.25" hidden="1">
      <c r="A23" s="112" t="s">
        <v>2592</v>
      </c>
      <c r="B23" s="1" t="s">
        <v>2549</v>
      </c>
      <c r="C23" s="1" t="s">
        <v>38</v>
      </c>
      <c r="D23" s="1" t="s">
        <v>2593</v>
      </c>
      <c r="E23" s="62">
        <v>38</v>
      </c>
      <c r="F23" s="1" t="s">
        <v>2551</v>
      </c>
      <c r="G23" s="1" t="s">
        <v>2555</v>
      </c>
    </row>
    <row x14ac:dyDescent="0.25" r="24" customHeight="1" ht="17.25" hidden="1">
      <c r="A24" s="112" t="s">
        <v>2592</v>
      </c>
      <c r="B24" s="1" t="s">
        <v>2549</v>
      </c>
      <c r="C24" s="1" t="s">
        <v>38</v>
      </c>
      <c r="D24" s="1" t="s">
        <v>2594</v>
      </c>
      <c r="E24" s="62">
        <v>48</v>
      </c>
      <c r="F24" s="1" t="s">
        <v>2551</v>
      </c>
      <c r="G24" s="1" t="s">
        <v>2555</v>
      </c>
    </row>
    <row x14ac:dyDescent="0.25" r="25" customHeight="1" ht="17.25" hidden="1">
      <c r="A25" s="112" t="s">
        <v>2595</v>
      </c>
      <c r="B25" s="1" t="s">
        <v>2549</v>
      </c>
      <c r="C25" s="1" t="s">
        <v>38</v>
      </c>
      <c r="D25" s="1" t="s">
        <v>2596</v>
      </c>
      <c r="E25" s="62">
        <v>19</v>
      </c>
      <c r="F25" s="1" t="s">
        <v>2551</v>
      </c>
      <c r="G25" s="1" t="s">
        <v>2552</v>
      </c>
    </row>
    <row x14ac:dyDescent="0.25" r="26" customHeight="1" ht="17.25" hidden="1">
      <c r="A26" s="112" t="s">
        <v>2597</v>
      </c>
      <c r="B26" s="1" t="s">
        <v>2549</v>
      </c>
      <c r="C26" s="1" t="s">
        <v>38</v>
      </c>
      <c r="D26" s="1" t="s">
        <v>2598</v>
      </c>
      <c r="E26" s="62">
        <v>36</v>
      </c>
      <c r="F26" s="1" t="s">
        <v>2551</v>
      </c>
      <c r="G26" s="1" t="s">
        <v>2555</v>
      </c>
    </row>
    <row x14ac:dyDescent="0.25" r="27" customHeight="1" ht="17.25" hidden="1">
      <c r="A27" s="112" t="s">
        <v>2597</v>
      </c>
      <c r="B27" s="1" t="s">
        <v>2549</v>
      </c>
      <c r="C27" s="1" t="s">
        <v>38</v>
      </c>
      <c r="D27" s="1" t="s">
        <v>2599</v>
      </c>
      <c r="E27" s="62">
        <v>46</v>
      </c>
      <c r="F27" s="1" t="s">
        <v>2551</v>
      </c>
      <c r="G27" s="1" t="s">
        <v>2555</v>
      </c>
    </row>
    <row x14ac:dyDescent="0.25" r="28" customHeight="1" ht="17.25" hidden="1">
      <c r="A28" s="112" t="s">
        <v>2600</v>
      </c>
      <c r="B28" s="1" t="s">
        <v>2549</v>
      </c>
      <c r="C28" s="1" t="s">
        <v>38</v>
      </c>
      <c r="D28" s="1" t="s">
        <v>2601</v>
      </c>
      <c r="E28" s="62">
        <v>18</v>
      </c>
      <c r="F28" s="1" t="s">
        <v>2551</v>
      </c>
      <c r="G28" s="1" t="s">
        <v>2552</v>
      </c>
    </row>
    <row x14ac:dyDescent="0.25" r="29" customHeight="1" ht="17.25" hidden="1">
      <c r="A29" s="112" t="s">
        <v>2602</v>
      </c>
      <c r="B29" s="1" t="s">
        <v>2549</v>
      </c>
      <c r="C29" s="1" t="s">
        <v>38</v>
      </c>
      <c r="D29" s="1" t="s">
        <v>2603</v>
      </c>
      <c r="E29" s="62">
        <v>21</v>
      </c>
      <c r="F29" s="1" t="s">
        <v>2551</v>
      </c>
      <c r="G29" s="1" t="s">
        <v>2552</v>
      </c>
    </row>
    <row x14ac:dyDescent="0.25" r="30" customHeight="1" ht="17.25" hidden="1">
      <c r="A30" s="112" t="s">
        <v>2602</v>
      </c>
      <c r="B30" s="1" t="s">
        <v>2549</v>
      </c>
      <c r="C30" s="1" t="s">
        <v>38</v>
      </c>
      <c r="D30" s="1" t="s">
        <v>2604</v>
      </c>
      <c r="E30" s="62">
        <v>19</v>
      </c>
      <c r="F30" s="1" t="s">
        <v>2551</v>
      </c>
      <c r="G30" s="1" t="s">
        <v>2571</v>
      </c>
    </row>
    <row x14ac:dyDescent="0.25" r="31" customHeight="1" ht="17.25" hidden="1">
      <c r="A31" s="112" t="s">
        <v>2605</v>
      </c>
      <c r="B31" s="1" t="s">
        <v>2549</v>
      </c>
      <c r="C31" s="1" t="s">
        <v>38</v>
      </c>
      <c r="D31" s="1" t="s">
        <v>2606</v>
      </c>
      <c r="E31" s="62">
        <v>19</v>
      </c>
      <c r="F31" s="1" t="s">
        <v>2551</v>
      </c>
      <c r="G31" s="1" t="s">
        <v>2552</v>
      </c>
    </row>
    <row x14ac:dyDescent="0.25" r="32" customHeight="1" ht="17.25" hidden="1">
      <c r="A32" s="112" t="s">
        <v>2607</v>
      </c>
      <c r="B32" s="1" t="s">
        <v>2549</v>
      </c>
      <c r="C32" s="1" t="s">
        <v>38</v>
      </c>
      <c r="D32" s="1" t="s">
        <v>2608</v>
      </c>
      <c r="E32" s="62">
        <v>28</v>
      </c>
      <c r="F32" s="1" t="s">
        <v>2551</v>
      </c>
      <c r="G32" s="1" t="s">
        <v>2555</v>
      </c>
    </row>
    <row x14ac:dyDescent="0.25" r="33" customHeight="1" ht="17.25" hidden="1">
      <c r="A33" s="112" t="s">
        <v>2607</v>
      </c>
      <c r="B33" s="1" t="s">
        <v>2549</v>
      </c>
      <c r="C33" s="1" t="s">
        <v>38</v>
      </c>
      <c r="D33" s="1" t="s">
        <v>2609</v>
      </c>
      <c r="E33" s="62">
        <v>22</v>
      </c>
      <c r="F33" s="1" t="s">
        <v>2551</v>
      </c>
      <c r="G33" s="1" t="s">
        <v>2555</v>
      </c>
    </row>
    <row x14ac:dyDescent="0.25" r="34" customHeight="1" ht="17.25" hidden="1">
      <c r="A34" s="112" t="s">
        <v>2607</v>
      </c>
      <c r="B34" s="1" t="s">
        <v>2549</v>
      </c>
      <c r="C34" s="1" t="s">
        <v>38</v>
      </c>
      <c r="D34" s="1" t="s">
        <v>1991</v>
      </c>
      <c r="E34" s="62">
        <v>32</v>
      </c>
      <c r="F34" s="1" t="s">
        <v>2551</v>
      </c>
      <c r="G34" s="1" t="s">
        <v>2555</v>
      </c>
    </row>
    <row x14ac:dyDescent="0.25" r="35" customHeight="1" ht="17.25" hidden="1">
      <c r="A35" s="112" t="s">
        <v>2610</v>
      </c>
      <c r="B35" s="1" t="s">
        <v>2549</v>
      </c>
      <c r="C35" s="1" t="s">
        <v>38</v>
      </c>
      <c r="D35" s="1" t="s">
        <v>2611</v>
      </c>
      <c r="E35" s="62">
        <v>33</v>
      </c>
      <c r="F35" s="1" t="s">
        <v>2561</v>
      </c>
      <c r="G35" s="1" t="s">
        <v>2555</v>
      </c>
    </row>
    <row x14ac:dyDescent="0.25" r="36" customHeight="1" ht="17.25" hidden="1">
      <c r="A36" s="112" t="s">
        <v>2610</v>
      </c>
      <c r="B36" s="1" t="s">
        <v>2549</v>
      </c>
      <c r="C36" s="1" t="s">
        <v>38</v>
      </c>
      <c r="D36" s="1" t="s">
        <v>2612</v>
      </c>
      <c r="E36" s="62">
        <v>41</v>
      </c>
      <c r="F36" s="1" t="s">
        <v>2551</v>
      </c>
      <c r="G36" s="1" t="s">
        <v>2555</v>
      </c>
    </row>
    <row x14ac:dyDescent="0.25" r="37" customHeight="1" ht="17.25" hidden="1">
      <c r="A37" s="112" t="s">
        <v>2613</v>
      </c>
      <c r="B37" s="1" t="s">
        <v>2549</v>
      </c>
      <c r="C37" s="1" t="s">
        <v>38</v>
      </c>
      <c r="D37" s="1" t="s">
        <v>2614</v>
      </c>
      <c r="E37" s="62">
        <v>21</v>
      </c>
      <c r="F37" s="1" t="s">
        <v>2551</v>
      </c>
      <c r="G37" s="1" t="s">
        <v>2555</v>
      </c>
    </row>
    <row x14ac:dyDescent="0.25" r="38" customHeight="1" ht="17.25" hidden="1">
      <c r="A38" s="112" t="s">
        <v>2615</v>
      </c>
      <c r="B38" s="1" t="s">
        <v>2549</v>
      </c>
      <c r="C38" s="1" t="s">
        <v>38</v>
      </c>
      <c r="D38" s="1" t="s">
        <v>2616</v>
      </c>
      <c r="E38" s="62">
        <v>39</v>
      </c>
      <c r="F38" s="1" t="s">
        <v>2551</v>
      </c>
      <c r="G38" s="1" t="s">
        <v>2555</v>
      </c>
    </row>
    <row x14ac:dyDescent="0.25" r="39" customHeight="1" ht="17.25" hidden="1">
      <c r="A39" s="112" t="s">
        <v>2615</v>
      </c>
      <c r="B39" s="1" t="s">
        <v>2549</v>
      </c>
      <c r="C39" s="1" t="s">
        <v>38</v>
      </c>
      <c r="D39" s="1" t="s">
        <v>2617</v>
      </c>
      <c r="E39" s="62">
        <v>44</v>
      </c>
      <c r="F39" s="1" t="s">
        <v>2551</v>
      </c>
      <c r="G39" s="1" t="s">
        <v>2555</v>
      </c>
    </row>
    <row x14ac:dyDescent="0.25" r="40" customHeight="1" ht="17.25" hidden="1">
      <c r="A40" s="112" t="s">
        <v>2618</v>
      </c>
      <c r="B40" s="1" t="s">
        <v>2549</v>
      </c>
      <c r="C40" s="1" t="s">
        <v>38</v>
      </c>
      <c r="D40" s="1" t="s">
        <v>2619</v>
      </c>
      <c r="E40" s="62">
        <v>18</v>
      </c>
      <c r="F40" s="1" t="s">
        <v>2551</v>
      </c>
      <c r="G40" s="1" t="s">
        <v>2555</v>
      </c>
    </row>
    <row x14ac:dyDescent="0.25" r="41" customHeight="1" ht="17.25" hidden="1">
      <c r="A41" s="112" t="s">
        <v>2620</v>
      </c>
      <c r="B41" s="1" t="s">
        <v>2549</v>
      </c>
      <c r="C41" s="1" t="s">
        <v>38</v>
      </c>
      <c r="D41" s="1" t="s">
        <v>2621</v>
      </c>
      <c r="E41" s="62">
        <v>18</v>
      </c>
      <c r="F41" s="1" t="s">
        <v>2551</v>
      </c>
      <c r="G41" s="1" t="s">
        <v>2552</v>
      </c>
    </row>
    <row x14ac:dyDescent="0.25" r="42" customHeight="1" ht="17.25" hidden="1">
      <c r="A42" s="112" t="s">
        <v>2622</v>
      </c>
      <c r="B42" s="1" t="s">
        <v>2549</v>
      </c>
      <c r="C42" s="1" t="s">
        <v>38</v>
      </c>
      <c r="D42" s="1" t="s">
        <v>2623</v>
      </c>
      <c r="E42" s="62">
        <v>19</v>
      </c>
      <c r="F42" s="1" t="s">
        <v>2551</v>
      </c>
      <c r="G42" s="1" t="s">
        <v>2555</v>
      </c>
    </row>
    <row x14ac:dyDescent="0.25" r="43" customHeight="1" ht="17.25" hidden="1">
      <c r="A43" s="112" t="s">
        <v>2624</v>
      </c>
      <c r="B43" s="1" t="s">
        <v>2549</v>
      </c>
      <c r="C43" s="1" t="s">
        <v>38</v>
      </c>
      <c r="D43" s="1" t="s">
        <v>2625</v>
      </c>
      <c r="E43" s="62">
        <v>31</v>
      </c>
      <c r="F43" s="1" t="s">
        <v>2551</v>
      </c>
      <c r="G43" s="1" t="s">
        <v>2552</v>
      </c>
    </row>
    <row x14ac:dyDescent="0.25" r="44" customHeight="1" ht="17.25" hidden="1">
      <c r="A44" s="112" t="s">
        <v>2626</v>
      </c>
      <c r="B44" s="1" t="s">
        <v>2549</v>
      </c>
      <c r="C44" s="1" t="s">
        <v>38</v>
      </c>
      <c r="D44" s="1" t="s">
        <v>2627</v>
      </c>
      <c r="E44" s="62">
        <v>33</v>
      </c>
      <c r="F44" s="1" t="s">
        <v>2551</v>
      </c>
      <c r="G44" s="1" t="s">
        <v>2555</v>
      </c>
    </row>
    <row x14ac:dyDescent="0.25" r="45" customHeight="1" ht="17.25" hidden="1">
      <c r="A45" s="112" t="s">
        <v>2628</v>
      </c>
      <c r="B45" s="1" t="s">
        <v>2549</v>
      </c>
      <c r="C45" s="1" t="s">
        <v>38</v>
      </c>
      <c r="D45" s="1" t="s">
        <v>2629</v>
      </c>
      <c r="E45" s="62">
        <v>19</v>
      </c>
      <c r="F45" s="1" t="s">
        <v>2551</v>
      </c>
      <c r="G45" s="1" t="s">
        <v>2555</v>
      </c>
    </row>
    <row x14ac:dyDescent="0.25" r="46" customHeight="1" ht="17.25" hidden="1">
      <c r="A46" s="112" t="s">
        <v>2630</v>
      </c>
      <c r="B46" s="1" t="s">
        <v>2549</v>
      </c>
      <c r="C46" s="1" t="s">
        <v>38</v>
      </c>
      <c r="D46" s="1" t="s">
        <v>2631</v>
      </c>
      <c r="E46" s="62">
        <v>20</v>
      </c>
      <c r="F46" s="1" t="s">
        <v>2551</v>
      </c>
      <c r="G46" s="1" t="s">
        <v>2555</v>
      </c>
    </row>
    <row x14ac:dyDescent="0.25" r="47" customHeight="1" ht="17.25" hidden="1">
      <c r="A47" s="112" t="s">
        <v>2632</v>
      </c>
      <c r="B47" s="1" t="s">
        <v>2549</v>
      </c>
      <c r="C47" s="1" t="s">
        <v>38</v>
      </c>
      <c r="D47" s="1" t="s">
        <v>2633</v>
      </c>
      <c r="E47" s="62">
        <v>43</v>
      </c>
      <c r="F47" s="1" t="s">
        <v>2561</v>
      </c>
      <c r="G47" s="1" t="s">
        <v>2555</v>
      </c>
    </row>
    <row x14ac:dyDescent="0.25" r="48" customHeight="1" ht="17.25" hidden="1">
      <c r="A48" s="112" t="s">
        <v>2634</v>
      </c>
      <c r="B48" s="1" t="s">
        <v>2549</v>
      </c>
      <c r="C48" s="1" t="s">
        <v>38</v>
      </c>
      <c r="D48" s="1" t="s">
        <v>2635</v>
      </c>
      <c r="E48" s="62">
        <v>25</v>
      </c>
      <c r="F48" s="1" t="s">
        <v>2551</v>
      </c>
      <c r="G48" s="1" t="s">
        <v>2552</v>
      </c>
    </row>
    <row x14ac:dyDescent="0.25" r="49" customHeight="1" ht="17.25" hidden="1">
      <c r="A49" s="112" t="s">
        <v>2636</v>
      </c>
      <c r="B49" s="1" t="s">
        <v>2549</v>
      </c>
      <c r="C49" s="1" t="s">
        <v>38</v>
      </c>
      <c r="D49" s="1" t="s">
        <v>2637</v>
      </c>
      <c r="E49" s="62">
        <v>57</v>
      </c>
      <c r="F49" s="1" t="s">
        <v>2551</v>
      </c>
      <c r="G49" s="1" t="s">
        <v>2555</v>
      </c>
    </row>
    <row x14ac:dyDescent="0.25" r="50" customHeight="1" ht="17.25" hidden="1">
      <c r="A50" s="112" t="s">
        <v>2638</v>
      </c>
      <c r="B50" s="1" t="s">
        <v>2549</v>
      </c>
      <c r="C50" s="1" t="s">
        <v>38</v>
      </c>
      <c r="D50" s="1" t="s">
        <v>2639</v>
      </c>
      <c r="E50" s="62">
        <v>21</v>
      </c>
      <c r="F50" s="1" t="s">
        <v>2551</v>
      </c>
      <c r="G50" s="1" t="s">
        <v>2552</v>
      </c>
    </row>
    <row x14ac:dyDescent="0.25" r="51" customHeight="1" ht="17.25" hidden="1">
      <c r="A51" s="112" t="s">
        <v>2640</v>
      </c>
      <c r="B51" s="1" t="s">
        <v>2549</v>
      </c>
      <c r="C51" s="1" t="s">
        <v>38</v>
      </c>
      <c r="D51" s="1" t="s">
        <v>2641</v>
      </c>
      <c r="E51" s="62">
        <v>26</v>
      </c>
      <c r="F51" s="1" t="s">
        <v>2551</v>
      </c>
      <c r="G51" s="1" t="s">
        <v>2552</v>
      </c>
    </row>
    <row x14ac:dyDescent="0.25" r="52" customHeight="1" ht="17.25" hidden="1">
      <c r="A52" s="112" t="s">
        <v>2642</v>
      </c>
      <c r="B52" s="1" t="s">
        <v>2549</v>
      </c>
      <c r="C52" s="1" t="s">
        <v>38</v>
      </c>
      <c r="D52" s="1" t="s">
        <v>2643</v>
      </c>
      <c r="E52" s="62">
        <v>34</v>
      </c>
      <c r="F52" s="1" t="s">
        <v>2551</v>
      </c>
      <c r="G52" s="1" t="s">
        <v>2552</v>
      </c>
    </row>
    <row x14ac:dyDescent="0.25" r="53" customHeight="1" ht="17.25" hidden="1">
      <c r="A53" s="112" t="s">
        <v>2644</v>
      </c>
      <c r="B53" s="1" t="s">
        <v>2549</v>
      </c>
      <c r="C53" s="1" t="s">
        <v>38</v>
      </c>
      <c r="D53" s="1" t="s">
        <v>2645</v>
      </c>
      <c r="E53" s="62">
        <v>19</v>
      </c>
      <c r="F53" s="1" t="s">
        <v>2551</v>
      </c>
      <c r="G53" s="1" t="s">
        <v>2555</v>
      </c>
    </row>
    <row x14ac:dyDescent="0.25" r="54" customHeight="1" ht="17.25" hidden="1">
      <c r="A54" s="112" t="s">
        <v>2646</v>
      </c>
      <c r="B54" s="1" t="s">
        <v>2549</v>
      </c>
      <c r="C54" s="1" t="s">
        <v>38</v>
      </c>
      <c r="D54" s="1" t="s">
        <v>2647</v>
      </c>
      <c r="E54" s="62">
        <v>50</v>
      </c>
      <c r="F54" s="1" t="s">
        <v>2551</v>
      </c>
      <c r="G54" s="1" t="s">
        <v>2555</v>
      </c>
    </row>
    <row x14ac:dyDescent="0.25" r="55" customHeight="1" ht="17.25" hidden="1">
      <c r="A55" s="112" t="s">
        <v>2648</v>
      </c>
      <c r="B55" s="1" t="s">
        <v>2549</v>
      </c>
      <c r="C55" s="1" t="s">
        <v>38</v>
      </c>
      <c r="D55" s="1" t="s">
        <v>2649</v>
      </c>
      <c r="E55" s="62">
        <v>24</v>
      </c>
      <c r="F55" s="1" t="s">
        <v>2551</v>
      </c>
      <c r="G55" s="1" t="s">
        <v>2555</v>
      </c>
    </row>
    <row x14ac:dyDescent="0.25" r="56" customHeight="1" ht="17.25" hidden="1">
      <c r="A56" s="112" t="s">
        <v>2648</v>
      </c>
      <c r="B56" s="1" t="s">
        <v>2549</v>
      </c>
      <c r="C56" s="1" t="s">
        <v>38</v>
      </c>
      <c r="D56" s="1" t="s">
        <v>2650</v>
      </c>
      <c r="E56" s="62">
        <v>33</v>
      </c>
      <c r="F56" s="1" t="s">
        <v>2551</v>
      </c>
      <c r="G56" s="1" t="s">
        <v>2555</v>
      </c>
    </row>
    <row x14ac:dyDescent="0.25" r="57" customHeight="1" ht="17.25" hidden="1">
      <c r="A57" s="112" t="s">
        <v>2648</v>
      </c>
      <c r="B57" s="1" t="s">
        <v>2549</v>
      </c>
      <c r="C57" s="1" t="s">
        <v>38</v>
      </c>
      <c r="D57" s="1" t="s">
        <v>2651</v>
      </c>
      <c r="E57" s="62">
        <v>20</v>
      </c>
      <c r="F57" s="1" t="s">
        <v>2561</v>
      </c>
      <c r="G57" s="1" t="s">
        <v>2555</v>
      </c>
    </row>
    <row x14ac:dyDescent="0.25" r="58" customHeight="1" ht="17.25" hidden="1">
      <c r="A58" s="112" t="s">
        <v>2648</v>
      </c>
      <c r="B58" s="1" t="s">
        <v>2549</v>
      </c>
      <c r="C58" s="1" t="s">
        <v>38</v>
      </c>
      <c r="D58" s="1" t="s">
        <v>2652</v>
      </c>
      <c r="E58" s="62">
        <v>20</v>
      </c>
      <c r="F58" s="1" t="s">
        <v>2551</v>
      </c>
      <c r="G58" s="1" t="s">
        <v>2558</v>
      </c>
    </row>
    <row x14ac:dyDescent="0.25" r="59" customHeight="1" ht="17.25" hidden="1">
      <c r="A59" s="112" t="s">
        <v>2653</v>
      </c>
      <c r="B59" s="1" t="s">
        <v>2549</v>
      </c>
      <c r="C59" s="1" t="s">
        <v>38</v>
      </c>
      <c r="D59" s="1" t="s">
        <v>2654</v>
      </c>
      <c r="E59" s="62">
        <v>21</v>
      </c>
      <c r="F59" s="1" t="s">
        <v>2551</v>
      </c>
      <c r="G59" s="1" t="s">
        <v>2558</v>
      </c>
    </row>
    <row x14ac:dyDescent="0.25" r="60" customHeight="1" ht="17.25" hidden="1">
      <c r="A60" s="112" t="s">
        <v>2655</v>
      </c>
      <c r="B60" s="1" t="s">
        <v>2549</v>
      </c>
      <c r="C60" s="1" t="s">
        <v>38</v>
      </c>
      <c r="D60" s="1" t="s">
        <v>2656</v>
      </c>
      <c r="E60" s="62">
        <v>30</v>
      </c>
      <c r="F60" s="1" t="s">
        <v>2551</v>
      </c>
      <c r="G60" s="1" t="s">
        <v>2555</v>
      </c>
    </row>
    <row x14ac:dyDescent="0.25" r="61" customHeight="1" ht="17.25" hidden="1">
      <c r="A61" s="112" t="s">
        <v>2657</v>
      </c>
      <c r="B61" s="1" t="s">
        <v>2549</v>
      </c>
      <c r="C61" s="1" t="s">
        <v>38</v>
      </c>
      <c r="D61" s="1" t="s">
        <v>2658</v>
      </c>
      <c r="E61" s="62">
        <v>25</v>
      </c>
      <c r="F61" s="1" t="s">
        <v>2551</v>
      </c>
      <c r="G61" s="1" t="s">
        <v>2552</v>
      </c>
    </row>
    <row x14ac:dyDescent="0.25" r="62" customHeight="1" ht="17.25" hidden="1">
      <c r="A62" s="112" t="s">
        <v>2659</v>
      </c>
      <c r="B62" s="1" t="s">
        <v>2549</v>
      </c>
      <c r="C62" s="1" t="s">
        <v>38</v>
      </c>
      <c r="D62" s="1" t="s">
        <v>2660</v>
      </c>
      <c r="E62" s="62">
        <v>32</v>
      </c>
      <c r="F62" s="1" t="s">
        <v>2551</v>
      </c>
      <c r="G62" s="1" t="s">
        <v>2555</v>
      </c>
    </row>
    <row x14ac:dyDescent="0.25" r="63" customHeight="1" ht="17.25" hidden="1">
      <c r="A63" s="112" t="s">
        <v>2661</v>
      </c>
      <c r="B63" s="1" t="s">
        <v>2549</v>
      </c>
      <c r="C63" s="1" t="s">
        <v>38</v>
      </c>
      <c r="D63" s="1" t="s">
        <v>2662</v>
      </c>
      <c r="E63" s="62">
        <v>29</v>
      </c>
      <c r="F63" s="1" t="s">
        <v>2551</v>
      </c>
      <c r="G63" s="1" t="s">
        <v>2571</v>
      </c>
    </row>
    <row x14ac:dyDescent="0.25" r="64" customHeight="1" ht="17.25" hidden="1">
      <c r="A64" s="112" t="s">
        <v>2663</v>
      </c>
      <c r="B64" s="1" t="s">
        <v>2549</v>
      </c>
      <c r="C64" s="1" t="s">
        <v>38</v>
      </c>
      <c r="D64" s="1" t="s">
        <v>2664</v>
      </c>
      <c r="E64" s="54" t="s">
        <v>2571</v>
      </c>
      <c r="F64" s="1" t="s">
        <v>2561</v>
      </c>
      <c r="G64" s="1" t="s">
        <v>2571</v>
      </c>
    </row>
    <row x14ac:dyDescent="0.25" r="65" customHeight="1" ht="17.25" hidden="1">
      <c r="A65" s="112" t="s">
        <v>2663</v>
      </c>
      <c r="B65" s="1" t="s">
        <v>2549</v>
      </c>
      <c r="C65" s="1" t="s">
        <v>38</v>
      </c>
      <c r="D65" s="1" t="s">
        <v>2665</v>
      </c>
      <c r="E65" s="54" t="s">
        <v>2571</v>
      </c>
      <c r="F65" s="1" t="s">
        <v>2551</v>
      </c>
      <c r="G65" s="1" t="s">
        <v>2555</v>
      </c>
    </row>
    <row x14ac:dyDescent="0.25" r="66" customHeight="1" ht="17.25" hidden="1">
      <c r="A66" s="112" t="s">
        <v>2663</v>
      </c>
      <c r="B66" s="1" t="s">
        <v>2549</v>
      </c>
      <c r="C66" s="1" t="s">
        <v>38</v>
      </c>
      <c r="D66" s="1" t="s">
        <v>2666</v>
      </c>
      <c r="E66" s="54" t="s">
        <v>2571</v>
      </c>
      <c r="F66" s="1" t="s">
        <v>2551</v>
      </c>
      <c r="G66" s="1" t="s">
        <v>2571</v>
      </c>
    </row>
    <row x14ac:dyDescent="0.25" r="67" customHeight="1" ht="17.25" hidden="1">
      <c r="A67" s="112" t="s">
        <v>2663</v>
      </c>
      <c r="B67" s="1" t="s">
        <v>2549</v>
      </c>
      <c r="C67" s="1" t="s">
        <v>38</v>
      </c>
      <c r="D67" s="1" t="s">
        <v>2667</v>
      </c>
      <c r="E67" s="62">
        <v>34</v>
      </c>
      <c r="F67" s="1" t="s">
        <v>2551</v>
      </c>
      <c r="G67" s="1" t="s">
        <v>2571</v>
      </c>
    </row>
    <row x14ac:dyDescent="0.25" r="68" customHeight="1" ht="17.25" hidden="1">
      <c r="A68" s="112" t="s">
        <v>2663</v>
      </c>
      <c r="B68" s="1" t="s">
        <v>2549</v>
      </c>
      <c r="C68" s="1" t="s">
        <v>38</v>
      </c>
      <c r="D68" s="1" t="s">
        <v>2668</v>
      </c>
      <c r="E68" s="62">
        <v>30</v>
      </c>
      <c r="F68" s="1" t="s">
        <v>2551</v>
      </c>
      <c r="G68" s="1" t="s">
        <v>2571</v>
      </c>
    </row>
    <row x14ac:dyDescent="0.25" r="69" customHeight="1" ht="17.25" hidden="1">
      <c r="A69" s="112" t="s">
        <v>2663</v>
      </c>
      <c r="B69" s="1" t="s">
        <v>2549</v>
      </c>
      <c r="C69" s="1" t="s">
        <v>38</v>
      </c>
      <c r="D69" s="1" t="s">
        <v>2669</v>
      </c>
      <c r="E69" s="62">
        <v>33</v>
      </c>
      <c r="F69" s="1" t="s">
        <v>2551</v>
      </c>
      <c r="G69" s="1" t="s">
        <v>2552</v>
      </c>
    </row>
    <row x14ac:dyDescent="0.25" r="70" customHeight="1" ht="17.25" hidden="1">
      <c r="A70" s="112" t="s">
        <v>2663</v>
      </c>
      <c r="B70" s="1" t="s">
        <v>2549</v>
      </c>
      <c r="C70" s="1" t="s">
        <v>38</v>
      </c>
      <c r="D70" s="1" t="s">
        <v>2670</v>
      </c>
      <c r="E70" s="54" t="s">
        <v>2571</v>
      </c>
      <c r="F70" s="1" t="s">
        <v>2551</v>
      </c>
      <c r="G70" s="1" t="s">
        <v>2571</v>
      </c>
    </row>
    <row x14ac:dyDescent="0.25" r="71" customHeight="1" ht="17.25" hidden="1">
      <c r="A71" s="112" t="s">
        <v>2663</v>
      </c>
      <c r="B71" s="1" t="s">
        <v>2549</v>
      </c>
      <c r="C71" s="1" t="s">
        <v>38</v>
      </c>
      <c r="D71" s="1" t="s">
        <v>2671</v>
      </c>
      <c r="E71" s="54" t="s">
        <v>2571</v>
      </c>
      <c r="F71" s="1" t="s">
        <v>2551</v>
      </c>
      <c r="G71" s="1" t="s">
        <v>2571</v>
      </c>
    </row>
    <row x14ac:dyDescent="0.25" r="72" customHeight="1" ht="17.25" hidden="1">
      <c r="A72" s="112" t="s">
        <v>2663</v>
      </c>
      <c r="B72" s="1" t="s">
        <v>2549</v>
      </c>
      <c r="C72" s="1" t="s">
        <v>38</v>
      </c>
      <c r="D72" s="1" t="s">
        <v>2672</v>
      </c>
      <c r="E72" s="62">
        <v>28</v>
      </c>
      <c r="F72" s="1" t="s">
        <v>2551</v>
      </c>
      <c r="G72" s="1" t="s">
        <v>2571</v>
      </c>
    </row>
    <row x14ac:dyDescent="0.25" r="73" customHeight="1" ht="17.25" hidden="1">
      <c r="A73" s="112" t="s">
        <v>2673</v>
      </c>
      <c r="B73" s="1" t="s">
        <v>2549</v>
      </c>
      <c r="C73" s="1" t="s">
        <v>38</v>
      </c>
      <c r="D73" s="1" t="s">
        <v>2674</v>
      </c>
      <c r="E73" s="62">
        <v>20</v>
      </c>
      <c r="F73" s="1" t="s">
        <v>2551</v>
      </c>
      <c r="G73" s="1" t="s">
        <v>2552</v>
      </c>
    </row>
    <row x14ac:dyDescent="0.25" r="74" customHeight="1" ht="17.25" hidden="1">
      <c r="A74" s="112" t="s">
        <v>2675</v>
      </c>
      <c r="B74" s="1" t="s">
        <v>2549</v>
      </c>
      <c r="C74" s="1" t="s">
        <v>38</v>
      </c>
      <c r="D74" s="1" t="s">
        <v>2676</v>
      </c>
      <c r="E74" s="62">
        <v>27</v>
      </c>
      <c r="F74" s="1" t="s">
        <v>2551</v>
      </c>
      <c r="G74" s="1" t="s">
        <v>2555</v>
      </c>
    </row>
    <row x14ac:dyDescent="0.25" r="75" customHeight="1" ht="17.25" hidden="1">
      <c r="A75" s="112" t="s">
        <v>2677</v>
      </c>
      <c r="B75" s="1" t="s">
        <v>2549</v>
      </c>
      <c r="C75" s="1" t="s">
        <v>38</v>
      </c>
      <c r="D75" s="1" t="s">
        <v>2678</v>
      </c>
      <c r="E75" s="62">
        <v>32</v>
      </c>
      <c r="F75" s="1" t="s">
        <v>2551</v>
      </c>
      <c r="G75" s="1" t="s">
        <v>2552</v>
      </c>
    </row>
    <row x14ac:dyDescent="0.25" r="76" customHeight="1" ht="17.25" hidden="1">
      <c r="A76" s="112" t="s">
        <v>2679</v>
      </c>
      <c r="B76" s="1" t="s">
        <v>2549</v>
      </c>
      <c r="C76" s="1" t="s">
        <v>38</v>
      </c>
      <c r="D76" s="1" t="s">
        <v>2680</v>
      </c>
      <c r="E76" s="62">
        <v>26</v>
      </c>
      <c r="F76" s="1" t="s">
        <v>2551</v>
      </c>
      <c r="G76" s="1" t="s">
        <v>2552</v>
      </c>
    </row>
    <row x14ac:dyDescent="0.25" r="77" customHeight="1" ht="17.25" hidden="1">
      <c r="A77" s="112" t="s">
        <v>2681</v>
      </c>
      <c r="B77" s="1" t="s">
        <v>2549</v>
      </c>
      <c r="C77" s="1" t="s">
        <v>38</v>
      </c>
      <c r="D77" s="1" t="s">
        <v>2682</v>
      </c>
      <c r="E77" s="62">
        <v>21</v>
      </c>
      <c r="F77" s="1" t="s">
        <v>2551</v>
      </c>
      <c r="G77" s="1" t="s">
        <v>2571</v>
      </c>
    </row>
    <row x14ac:dyDescent="0.25" r="78" customHeight="1" ht="17.25" hidden="1">
      <c r="A78" s="112" t="s">
        <v>2681</v>
      </c>
      <c r="B78" s="1" t="s">
        <v>2549</v>
      </c>
      <c r="C78" s="1" t="s">
        <v>38</v>
      </c>
      <c r="D78" s="1" t="s">
        <v>2683</v>
      </c>
      <c r="E78" s="62">
        <v>34</v>
      </c>
      <c r="F78" s="1" t="s">
        <v>2551</v>
      </c>
      <c r="G78" s="1" t="s">
        <v>2571</v>
      </c>
    </row>
    <row x14ac:dyDescent="0.25" r="79" customHeight="1" ht="17.25" hidden="1">
      <c r="A79" s="112" t="s">
        <v>2684</v>
      </c>
      <c r="B79" s="1" t="s">
        <v>2549</v>
      </c>
      <c r="C79" s="1" t="s">
        <v>38</v>
      </c>
      <c r="D79" s="1" t="s">
        <v>2685</v>
      </c>
      <c r="E79" s="62">
        <v>38</v>
      </c>
      <c r="F79" s="1" t="s">
        <v>2551</v>
      </c>
      <c r="G79" s="1" t="s">
        <v>2555</v>
      </c>
    </row>
    <row x14ac:dyDescent="0.25" r="80" customHeight="1" ht="17.25" hidden="1">
      <c r="A80" s="112" t="s">
        <v>2686</v>
      </c>
      <c r="B80" s="1" t="s">
        <v>2549</v>
      </c>
      <c r="C80" s="1" t="s">
        <v>38</v>
      </c>
      <c r="D80" s="1" t="s">
        <v>2687</v>
      </c>
      <c r="E80" s="62">
        <v>25</v>
      </c>
      <c r="F80" s="1" t="s">
        <v>2551</v>
      </c>
      <c r="G80" s="1" t="s">
        <v>2555</v>
      </c>
    </row>
    <row x14ac:dyDescent="0.25" r="81" customHeight="1" ht="17.25" hidden="1">
      <c r="A81" s="112" t="s">
        <v>2688</v>
      </c>
      <c r="B81" s="1" t="s">
        <v>2549</v>
      </c>
      <c r="C81" s="1" t="s">
        <v>38</v>
      </c>
      <c r="D81" s="1" t="s">
        <v>2689</v>
      </c>
      <c r="E81" s="62">
        <v>22</v>
      </c>
      <c r="F81" s="1" t="s">
        <v>2551</v>
      </c>
      <c r="G81" s="1" t="s">
        <v>2552</v>
      </c>
    </row>
    <row x14ac:dyDescent="0.25" r="82" customHeight="1" ht="17.25" hidden="1">
      <c r="A82" s="112" t="s">
        <v>2690</v>
      </c>
      <c r="B82" s="1" t="s">
        <v>2549</v>
      </c>
      <c r="C82" s="1" t="s">
        <v>38</v>
      </c>
      <c r="D82" s="1" t="s">
        <v>2691</v>
      </c>
      <c r="E82" s="62">
        <v>31</v>
      </c>
      <c r="F82" s="1" t="s">
        <v>2551</v>
      </c>
      <c r="G82" s="1" t="s">
        <v>2555</v>
      </c>
    </row>
    <row x14ac:dyDescent="0.25" r="83" customHeight="1" ht="17.25" hidden="1">
      <c r="A83" s="112" t="s">
        <v>2690</v>
      </c>
      <c r="B83" s="1" t="s">
        <v>2549</v>
      </c>
      <c r="C83" s="1" t="s">
        <v>38</v>
      </c>
      <c r="D83" s="1" t="s">
        <v>2692</v>
      </c>
      <c r="E83" s="62">
        <v>21</v>
      </c>
      <c r="F83" s="1" t="s">
        <v>2561</v>
      </c>
      <c r="G83" s="1" t="s">
        <v>2555</v>
      </c>
    </row>
    <row x14ac:dyDescent="0.25" r="84" customHeight="1" ht="17.25" hidden="1">
      <c r="A84" s="112" t="s">
        <v>2693</v>
      </c>
      <c r="B84" s="1" t="s">
        <v>2549</v>
      </c>
      <c r="C84" s="1" t="s">
        <v>38</v>
      </c>
      <c r="D84" s="1" t="s">
        <v>2694</v>
      </c>
      <c r="E84" s="62">
        <v>18</v>
      </c>
      <c r="F84" s="1" t="s">
        <v>2551</v>
      </c>
      <c r="G84" s="1" t="s">
        <v>2571</v>
      </c>
    </row>
    <row x14ac:dyDescent="0.25" r="85" customHeight="1" ht="17.25" hidden="1">
      <c r="A85" s="112" t="s">
        <v>2695</v>
      </c>
      <c r="B85" s="1" t="s">
        <v>2549</v>
      </c>
      <c r="C85" s="1" t="s">
        <v>38</v>
      </c>
      <c r="D85" s="1" t="s">
        <v>2696</v>
      </c>
      <c r="E85" s="62">
        <v>21</v>
      </c>
      <c r="F85" s="1" t="s">
        <v>2551</v>
      </c>
      <c r="G85" s="1" t="s">
        <v>2555</v>
      </c>
    </row>
    <row x14ac:dyDescent="0.25" r="86" customHeight="1" ht="17.25" hidden="1">
      <c r="A86" s="112" t="s">
        <v>2697</v>
      </c>
      <c r="B86" s="1" t="s">
        <v>2549</v>
      </c>
      <c r="C86" s="1" t="s">
        <v>38</v>
      </c>
      <c r="D86" s="1" t="s">
        <v>2698</v>
      </c>
      <c r="E86" s="62">
        <v>28</v>
      </c>
      <c r="F86" s="1" t="s">
        <v>2551</v>
      </c>
      <c r="G86" s="1" t="s">
        <v>2552</v>
      </c>
    </row>
    <row x14ac:dyDescent="0.25" r="87" customHeight="1" ht="17.25" hidden="1">
      <c r="A87" s="112" t="s">
        <v>2699</v>
      </c>
      <c r="B87" s="1" t="s">
        <v>2549</v>
      </c>
      <c r="C87" s="1" t="s">
        <v>38</v>
      </c>
      <c r="D87" s="1" t="s">
        <v>2700</v>
      </c>
      <c r="E87" s="62">
        <v>18</v>
      </c>
      <c r="F87" s="1" t="s">
        <v>2551</v>
      </c>
      <c r="G87" s="1" t="s">
        <v>2571</v>
      </c>
    </row>
    <row x14ac:dyDescent="0.25" r="88" customHeight="1" ht="17.25" hidden="1">
      <c r="A88" s="112" t="s">
        <v>2701</v>
      </c>
      <c r="B88" s="1" t="s">
        <v>2549</v>
      </c>
      <c r="C88" s="1" t="s">
        <v>38</v>
      </c>
      <c r="D88" s="1" t="s">
        <v>2702</v>
      </c>
      <c r="E88" s="62">
        <v>31</v>
      </c>
      <c r="F88" s="1" t="s">
        <v>2551</v>
      </c>
      <c r="G88" s="1" t="s">
        <v>2552</v>
      </c>
    </row>
    <row x14ac:dyDescent="0.25" r="89" customHeight="1" ht="17.25" hidden="1">
      <c r="A89" s="112" t="s">
        <v>2703</v>
      </c>
      <c r="B89" s="1" t="s">
        <v>2549</v>
      </c>
      <c r="C89" s="1" t="s">
        <v>38</v>
      </c>
      <c r="D89" s="1" t="s">
        <v>2704</v>
      </c>
      <c r="E89" s="62">
        <v>26</v>
      </c>
      <c r="F89" s="1" t="s">
        <v>2551</v>
      </c>
      <c r="G89" s="1" t="s">
        <v>2555</v>
      </c>
    </row>
    <row x14ac:dyDescent="0.25" r="90" customHeight="1" ht="17.25" hidden="1">
      <c r="A90" s="112" t="s">
        <v>2705</v>
      </c>
      <c r="B90" s="1" t="s">
        <v>2549</v>
      </c>
      <c r="C90" s="1" t="s">
        <v>38</v>
      </c>
      <c r="D90" s="1" t="s">
        <v>2706</v>
      </c>
      <c r="E90" s="62">
        <v>23</v>
      </c>
      <c r="F90" s="1" t="s">
        <v>2551</v>
      </c>
      <c r="G90" s="1" t="s">
        <v>2555</v>
      </c>
    </row>
    <row x14ac:dyDescent="0.25" r="91" customHeight="1" ht="17.25" hidden="1">
      <c r="A91" s="112" t="s">
        <v>2707</v>
      </c>
      <c r="B91" s="1" t="s">
        <v>2549</v>
      </c>
      <c r="C91" s="1" t="s">
        <v>38</v>
      </c>
      <c r="D91" s="1" t="s">
        <v>2708</v>
      </c>
      <c r="E91" s="62">
        <v>18</v>
      </c>
      <c r="F91" s="1" t="s">
        <v>2551</v>
      </c>
      <c r="G91" s="1" t="s">
        <v>2552</v>
      </c>
    </row>
    <row x14ac:dyDescent="0.25" r="92" customHeight="1" ht="17.25" hidden="1">
      <c r="A92" s="112" t="s">
        <v>2709</v>
      </c>
      <c r="B92" s="1" t="s">
        <v>2549</v>
      </c>
      <c r="C92" s="1" t="s">
        <v>38</v>
      </c>
      <c r="D92" s="1" t="s">
        <v>2710</v>
      </c>
      <c r="E92" s="62">
        <v>18</v>
      </c>
      <c r="F92" s="1" t="s">
        <v>2551</v>
      </c>
      <c r="G92" s="1" t="s">
        <v>2552</v>
      </c>
    </row>
    <row x14ac:dyDescent="0.25" r="93" customHeight="1" ht="17.25" hidden="1">
      <c r="A93" s="112" t="s">
        <v>2711</v>
      </c>
      <c r="B93" s="1" t="s">
        <v>2549</v>
      </c>
      <c r="C93" s="1" t="s">
        <v>38</v>
      </c>
      <c r="D93" s="1" t="s">
        <v>2712</v>
      </c>
      <c r="E93" s="62">
        <v>33</v>
      </c>
      <c r="F93" s="1" t="s">
        <v>2551</v>
      </c>
      <c r="G93" s="1" t="s">
        <v>2555</v>
      </c>
    </row>
    <row x14ac:dyDescent="0.25" r="94" customHeight="1" ht="17.25" hidden="1">
      <c r="A94" s="112" t="s">
        <v>2713</v>
      </c>
      <c r="B94" s="1" t="s">
        <v>2549</v>
      </c>
      <c r="C94" s="1" t="s">
        <v>38</v>
      </c>
      <c r="D94" s="1" t="s">
        <v>2714</v>
      </c>
      <c r="E94" s="62">
        <v>19</v>
      </c>
      <c r="F94" s="1" t="s">
        <v>2551</v>
      </c>
      <c r="G94" s="1" t="s">
        <v>2552</v>
      </c>
    </row>
    <row x14ac:dyDescent="0.25" r="95" customHeight="1" ht="17.25" hidden="1">
      <c r="A95" s="112" t="s">
        <v>2715</v>
      </c>
      <c r="B95" s="1" t="s">
        <v>2549</v>
      </c>
      <c r="C95" s="1" t="s">
        <v>38</v>
      </c>
      <c r="D95" s="1" t="s">
        <v>2716</v>
      </c>
      <c r="E95" s="62">
        <v>21</v>
      </c>
      <c r="F95" s="1" t="s">
        <v>2551</v>
      </c>
      <c r="G95" s="1" t="s">
        <v>2552</v>
      </c>
    </row>
    <row x14ac:dyDescent="0.25" r="96" customHeight="1" ht="17.25" hidden="1">
      <c r="A96" s="112" t="s">
        <v>2715</v>
      </c>
      <c r="B96" s="1" t="s">
        <v>2549</v>
      </c>
      <c r="C96" s="1" t="s">
        <v>38</v>
      </c>
      <c r="D96" s="1" t="s">
        <v>2717</v>
      </c>
      <c r="E96" s="62">
        <v>20</v>
      </c>
      <c r="F96" s="1" t="s">
        <v>2551</v>
      </c>
      <c r="G96" s="1" t="s">
        <v>2555</v>
      </c>
    </row>
    <row x14ac:dyDescent="0.25" r="97" customHeight="1" ht="17.25" hidden="1">
      <c r="A97" s="112" t="s">
        <v>2718</v>
      </c>
      <c r="B97" s="1" t="s">
        <v>2549</v>
      </c>
      <c r="C97" s="1" t="s">
        <v>38</v>
      </c>
      <c r="D97" s="1" t="s">
        <v>2719</v>
      </c>
      <c r="E97" s="62">
        <v>35</v>
      </c>
      <c r="F97" s="1" t="s">
        <v>2551</v>
      </c>
      <c r="G97" s="1" t="s">
        <v>2571</v>
      </c>
    </row>
    <row x14ac:dyDescent="0.25" r="98" customHeight="1" ht="17.25" hidden="1">
      <c r="A98" s="112" t="s">
        <v>2718</v>
      </c>
      <c r="B98" s="1" t="s">
        <v>2549</v>
      </c>
      <c r="C98" s="1" t="s">
        <v>38</v>
      </c>
      <c r="D98" s="1" t="s">
        <v>2720</v>
      </c>
      <c r="E98" s="62">
        <v>30</v>
      </c>
      <c r="F98" s="1" t="s">
        <v>2551</v>
      </c>
      <c r="G98" s="1" t="s">
        <v>2571</v>
      </c>
    </row>
    <row x14ac:dyDescent="0.25" r="99" customHeight="1" ht="17.25" hidden="1">
      <c r="A99" s="112" t="s">
        <v>2721</v>
      </c>
      <c r="B99" s="1" t="s">
        <v>2549</v>
      </c>
      <c r="C99" s="1" t="s">
        <v>38</v>
      </c>
      <c r="D99" s="1" t="s">
        <v>2722</v>
      </c>
      <c r="E99" s="62">
        <v>25</v>
      </c>
      <c r="F99" s="1" t="s">
        <v>2551</v>
      </c>
      <c r="G99" s="1" t="s">
        <v>2555</v>
      </c>
    </row>
    <row x14ac:dyDescent="0.25" r="100" customHeight="1" ht="17.25" hidden="1">
      <c r="A100" s="112" t="s">
        <v>2723</v>
      </c>
      <c r="B100" s="1" t="s">
        <v>2549</v>
      </c>
      <c r="C100" s="1" t="s">
        <v>38</v>
      </c>
      <c r="D100" s="1" t="s">
        <v>2724</v>
      </c>
      <c r="E100" s="62">
        <v>19</v>
      </c>
      <c r="F100" s="1" t="s">
        <v>2551</v>
      </c>
      <c r="G100" s="1" t="s">
        <v>2552</v>
      </c>
    </row>
    <row x14ac:dyDescent="0.25" r="101" customHeight="1" ht="17.25" hidden="1">
      <c r="A101" s="112" t="s">
        <v>2725</v>
      </c>
      <c r="B101" s="1" t="s">
        <v>2549</v>
      </c>
      <c r="C101" s="1" t="s">
        <v>38</v>
      </c>
      <c r="D101" s="1" t="s">
        <v>2726</v>
      </c>
      <c r="E101" s="62">
        <v>18</v>
      </c>
      <c r="F101" s="1" t="s">
        <v>2551</v>
      </c>
      <c r="G101" s="1" t="s">
        <v>2558</v>
      </c>
    </row>
    <row x14ac:dyDescent="0.25" r="102" customHeight="1" ht="17.25" hidden="1">
      <c r="A102" s="112" t="s">
        <v>2727</v>
      </c>
      <c r="B102" s="1" t="s">
        <v>2549</v>
      </c>
      <c r="C102" s="1" t="s">
        <v>38</v>
      </c>
      <c r="D102" s="1" t="s">
        <v>2728</v>
      </c>
      <c r="E102" s="62">
        <v>20</v>
      </c>
      <c r="F102" s="1" t="s">
        <v>2551</v>
      </c>
      <c r="G102" s="1" t="s">
        <v>2555</v>
      </c>
    </row>
    <row x14ac:dyDescent="0.25" r="103" customHeight="1" ht="17.25" hidden="1">
      <c r="A103" s="112" t="s">
        <v>2729</v>
      </c>
      <c r="B103" s="1" t="s">
        <v>2549</v>
      </c>
      <c r="C103" s="1" t="s">
        <v>38</v>
      </c>
      <c r="D103" s="1" t="s">
        <v>2730</v>
      </c>
      <c r="E103" s="62">
        <v>19</v>
      </c>
      <c r="F103" s="1" t="s">
        <v>2551</v>
      </c>
      <c r="G103" s="1" t="s">
        <v>2552</v>
      </c>
    </row>
    <row x14ac:dyDescent="0.25" r="104" customHeight="1" ht="17.25" hidden="1">
      <c r="A104" s="112" t="s">
        <v>2731</v>
      </c>
      <c r="B104" s="1" t="s">
        <v>2549</v>
      </c>
      <c r="C104" s="1" t="s">
        <v>38</v>
      </c>
      <c r="D104" s="1" t="s">
        <v>2732</v>
      </c>
      <c r="E104" s="62">
        <v>30</v>
      </c>
      <c r="F104" s="1" t="s">
        <v>2551</v>
      </c>
      <c r="G104" s="1" t="s">
        <v>2555</v>
      </c>
    </row>
    <row x14ac:dyDescent="0.25" r="105" customHeight="1" ht="17.25" hidden="1">
      <c r="A105" s="112" t="s">
        <v>2733</v>
      </c>
      <c r="B105" s="1" t="s">
        <v>2549</v>
      </c>
      <c r="C105" s="1" t="s">
        <v>38</v>
      </c>
      <c r="D105" s="1" t="s">
        <v>2734</v>
      </c>
      <c r="E105" s="62">
        <v>44</v>
      </c>
      <c r="F105" s="1" t="s">
        <v>2561</v>
      </c>
      <c r="G105" s="1" t="s">
        <v>2552</v>
      </c>
    </row>
    <row x14ac:dyDescent="0.25" r="106" customHeight="1" ht="17.25" hidden="1">
      <c r="A106" s="112" t="s">
        <v>2735</v>
      </c>
      <c r="B106" s="1" t="s">
        <v>2549</v>
      </c>
      <c r="C106" s="1" t="s">
        <v>38</v>
      </c>
      <c r="D106" s="1" t="s">
        <v>2736</v>
      </c>
      <c r="E106" s="62">
        <v>47</v>
      </c>
      <c r="F106" s="1" t="s">
        <v>2551</v>
      </c>
      <c r="G106" s="1" t="s">
        <v>2552</v>
      </c>
    </row>
    <row x14ac:dyDescent="0.25" r="107" customHeight="1" ht="17.25" hidden="1">
      <c r="A107" s="112" t="s">
        <v>2737</v>
      </c>
      <c r="B107" s="1" t="s">
        <v>2549</v>
      </c>
      <c r="C107" s="1" t="s">
        <v>38</v>
      </c>
      <c r="D107" s="1" t="s">
        <v>2738</v>
      </c>
      <c r="E107" s="62">
        <v>18</v>
      </c>
      <c r="F107" s="1" t="s">
        <v>2551</v>
      </c>
      <c r="G107" s="1" t="s">
        <v>2552</v>
      </c>
    </row>
    <row x14ac:dyDescent="0.25" r="108" customHeight="1" ht="17.25" hidden="1">
      <c r="A108" s="112" t="s">
        <v>2739</v>
      </c>
      <c r="B108" s="1" t="s">
        <v>2549</v>
      </c>
      <c r="C108" s="1" t="s">
        <v>38</v>
      </c>
      <c r="D108" s="1" t="s">
        <v>2740</v>
      </c>
      <c r="E108" s="62">
        <v>22</v>
      </c>
      <c r="F108" s="1" t="s">
        <v>2551</v>
      </c>
      <c r="G108" s="1" t="s">
        <v>2558</v>
      </c>
    </row>
    <row x14ac:dyDescent="0.25" r="109" customHeight="1" ht="17.25" hidden="1">
      <c r="A109" s="112" t="s">
        <v>2741</v>
      </c>
      <c r="B109" s="1" t="s">
        <v>2549</v>
      </c>
      <c r="C109" s="1" t="s">
        <v>38</v>
      </c>
      <c r="D109" s="1" t="s">
        <v>2742</v>
      </c>
      <c r="E109" s="62">
        <v>29</v>
      </c>
      <c r="F109" s="1" t="s">
        <v>2551</v>
      </c>
      <c r="G109" s="1" t="s">
        <v>2555</v>
      </c>
    </row>
    <row x14ac:dyDescent="0.25" r="110" customHeight="1" ht="17.25" hidden="1">
      <c r="A110" s="112" t="s">
        <v>2743</v>
      </c>
      <c r="B110" s="1" t="s">
        <v>2549</v>
      </c>
      <c r="C110" s="1" t="s">
        <v>38</v>
      </c>
      <c r="D110" s="1" t="s">
        <v>2744</v>
      </c>
      <c r="E110" s="62">
        <v>26</v>
      </c>
      <c r="F110" s="1" t="s">
        <v>2551</v>
      </c>
      <c r="G110" s="1" t="s">
        <v>2558</v>
      </c>
    </row>
    <row x14ac:dyDescent="0.25" r="111" customHeight="1" ht="17.25" hidden="1">
      <c r="A111" s="112" t="s">
        <v>2745</v>
      </c>
      <c r="B111" s="1" t="s">
        <v>2549</v>
      </c>
      <c r="C111" s="1" t="s">
        <v>38</v>
      </c>
      <c r="D111" s="1" t="s">
        <v>2746</v>
      </c>
      <c r="E111" s="62">
        <v>26</v>
      </c>
      <c r="F111" s="1" t="s">
        <v>2551</v>
      </c>
      <c r="G111" s="1" t="s">
        <v>2552</v>
      </c>
    </row>
    <row x14ac:dyDescent="0.25" r="112" customHeight="1" ht="17.25" hidden="1">
      <c r="A112" s="112" t="s">
        <v>2747</v>
      </c>
      <c r="B112" s="1" t="s">
        <v>2549</v>
      </c>
      <c r="C112" s="1" t="s">
        <v>38</v>
      </c>
      <c r="D112" s="1" t="s">
        <v>2748</v>
      </c>
      <c r="E112" s="62">
        <v>44</v>
      </c>
      <c r="F112" s="1" t="s">
        <v>2551</v>
      </c>
      <c r="G112" s="1" t="s">
        <v>2558</v>
      </c>
    </row>
    <row x14ac:dyDescent="0.25" r="113" customHeight="1" ht="17.25" hidden="1">
      <c r="A113" s="112" t="s">
        <v>2749</v>
      </c>
      <c r="B113" s="1" t="s">
        <v>2549</v>
      </c>
      <c r="C113" s="1" t="s">
        <v>38</v>
      </c>
      <c r="D113" s="1" t="s">
        <v>2750</v>
      </c>
      <c r="E113" s="62">
        <v>19</v>
      </c>
      <c r="F113" s="1" t="s">
        <v>2551</v>
      </c>
      <c r="G113" s="1" t="s">
        <v>2552</v>
      </c>
    </row>
    <row x14ac:dyDescent="0.25" r="114" customHeight="1" ht="17.25" hidden="1">
      <c r="A114" s="112" t="s">
        <v>2751</v>
      </c>
      <c r="B114" s="1" t="s">
        <v>2549</v>
      </c>
      <c r="C114" s="1" t="s">
        <v>38</v>
      </c>
      <c r="D114" s="1" t="s">
        <v>471</v>
      </c>
      <c r="E114" s="62">
        <v>18</v>
      </c>
      <c r="F114" s="1" t="s">
        <v>2551</v>
      </c>
      <c r="G114" s="1" t="s">
        <v>2555</v>
      </c>
    </row>
    <row x14ac:dyDescent="0.25" r="115" customHeight="1" ht="17.25" hidden="1">
      <c r="A115" s="112" t="s">
        <v>2752</v>
      </c>
      <c r="B115" s="1" t="s">
        <v>2549</v>
      </c>
      <c r="C115" s="1" t="s">
        <v>38</v>
      </c>
      <c r="D115" s="1" t="s">
        <v>2753</v>
      </c>
      <c r="E115" s="62">
        <v>23</v>
      </c>
      <c r="F115" s="1" t="s">
        <v>2551</v>
      </c>
      <c r="G115" s="1" t="s">
        <v>2555</v>
      </c>
    </row>
    <row x14ac:dyDescent="0.25" r="116" customHeight="1" ht="17.25" hidden="1">
      <c r="A116" s="112" t="s">
        <v>2752</v>
      </c>
      <c r="B116" s="1" t="s">
        <v>2549</v>
      </c>
      <c r="C116" s="1" t="s">
        <v>38</v>
      </c>
      <c r="D116" s="1" t="s">
        <v>2754</v>
      </c>
      <c r="E116" s="62">
        <v>22</v>
      </c>
      <c r="F116" s="1" t="s">
        <v>2551</v>
      </c>
      <c r="G116" s="1" t="s">
        <v>2555</v>
      </c>
    </row>
    <row x14ac:dyDescent="0.25" r="117" customHeight="1" ht="17.25" hidden="1">
      <c r="A117" s="112" t="s">
        <v>2755</v>
      </c>
      <c r="B117" s="1" t="s">
        <v>2549</v>
      </c>
      <c r="C117" s="1" t="s">
        <v>38</v>
      </c>
      <c r="D117" s="1" t="s">
        <v>2756</v>
      </c>
      <c r="E117" s="62">
        <v>20</v>
      </c>
      <c r="F117" s="1" t="s">
        <v>2551</v>
      </c>
      <c r="G117" s="1" t="s">
        <v>2555</v>
      </c>
    </row>
    <row x14ac:dyDescent="0.25" r="118" customHeight="1" ht="17.25" hidden="1">
      <c r="A118" s="112" t="s">
        <v>2757</v>
      </c>
      <c r="B118" s="1" t="s">
        <v>2549</v>
      </c>
      <c r="C118" s="1" t="s">
        <v>38</v>
      </c>
      <c r="D118" s="1" t="s">
        <v>2758</v>
      </c>
      <c r="E118" s="62">
        <v>23</v>
      </c>
      <c r="F118" s="1" t="s">
        <v>2551</v>
      </c>
      <c r="G118" s="1" t="s">
        <v>2552</v>
      </c>
    </row>
    <row x14ac:dyDescent="0.25" r="119" customHeight="1" ht="17.25" hidden="1">
      <c r="A119" s="112" t="s">
        <v>2759</v>
      </c>
      <c r="B119" s="1" t="s">
        <v>2549</v>
      </c>
      <c r="C119" s="1" t="s">
        <v>38</v>
      </c>
      <c r="D119" s="1" t="s">
        <v>2760</v>
      </c>
      <c r="E119" s="62">
        <v>18</v>
      </c>
      <c r="F119" s="1" t="s">
        <v>2551</v>
      </c>
      <c r="G119" s="1" t="s">
        <v>2552</v>
      </c>
    </row>
    <row x14ac:dyDescent="0.25" r="120" customHeight="1" ht="17.25" hidden="1">
      <c r="A120" s="112" t="s">
        <v>2761</v>
      </c>
      <c r="B120" s="1" t="s">
        <v>2549</v>
      </c>
      <c r="C120" s="1" t="s">
        <v>38</v>
      </c>
      <c r="D120" s="1" t="s">
        <v>2762</v>
      </c>
      <c r="E120" s="62">
        <v>24</v>
      </c>
      <c r="F120" s="1" t="s">
        <v>2551</v>
      </c>
      <c r="G120" s="1" t="s">
        <v>2552</v>
      </c>
    </row>
    <row x14ac:dyDescent="0.25" r="121" customHeight="1" ht="17.25" hidden="1">
      <c r="A121" s="112" t="s">
        <v>2761</v>
      </c>
      <c r="B121" s="1" t="s">
        <v>2549</v>
      </c>
      <c r="C121" s="1" t="s">
        <v>38</v>
      </c>
      <c r="D121" s="1" t="s">
        <v>2763</v>
      </c>
      <c r="E121" s="62">
        <v>19</v>
      </c>
      <c r="F121" s="1" t="s">
        <v>2551</v>
      </c>
      <c r="G121" s="1" t="s">
        <v>2552</v>
      </c>
    </row>
    <row x14ac:dyDescent="0.25" r="122" customHeight="1" ht="17.25" hidden="1">
      <c r="A122" s="112" t="s">
        <v>2764</v>
      </c>
      <c r="B122" s="1" t="s">
        <v>2549</v>
      </c>
      <c r="C122" s="1" t="s">
        <v>38</v>
      </c>
      <c r="D122" s="1" t="s">
        <v>2765</v>
      </c>
      <c r="E122" s="62">
        <v>28</v>
      </c>
      <c r="F122" s="1" t="s">
        <v>2551</v>
      </c>
      <c r="G122" s="1" t="s">
        <v>2555</v>
      </c>
    </row>
    <row x14ac:dyDescent="0.25" r="123" customHeight="1" ht="17.25" hidden="1">
      <c r="A123" s="112" t="s">
        <v>2766</v>
      </c>
      <c r="B123" s="1" t="s">
        <v>2549</v>
      </c>
      <c r="C123" s="1" t="s">
        <v>47</v>
      </c>
      <c r="D123" s="1" t="s">
        <v>2767</v>
      </c>
      <c r="E123" s="62">
        <v>25</v>
      </c>
      <c r="F123" s="1" t="s">
        <v>2551</v>
      </c>
      <c r="G123" s="1" t="s">
        <v>2555</v>
      </c>
    </row>
    <row x14ac:dyDescent="0.25" r="124" customHeight="1" ht="17.25" hidden="1">
      <c r="A124" s="112" t="s">
        <v>2768</v>
      </c>
      <c r="B124" s="1" t="s">
        <v>2549</v>
      </c>
      <c r="C124" s="1" t="s">
        <v>47</v>
      </c>
      <c r="D124" s="1" t="s">
        <v>2769</v>
      </c>
      <c r="E124" s="62">
        <v>30</v>
      </c>
      <c r="F124" s="1" t="s">
        <v>2551</v>
      </c>
      <c r="G124" s="1" t="s">
        <v>2552</v>
      </c>
    </row>
    <row x14ac:dyDescent="0.25" r="125" customHeight="1" ht="17.25" hidden="1">
      <c r="A125" s="112" t="s">
        <v>1753</v>
      </c>
      <c r="B125" s="1" t="s">
        <v>2549</v>
      </c>
      <c r="C125" s="1" t="s">
        <v>47</v>
      </c>
      <c r="D125" s="1" t="s">
        <v>1754</v>
      </c>
      <c r="E125" s="62">
        <v>35</v>
      </c>
      <c r="F125" s="1" t="s">
        <v>2551</v>
      </c>
      <c r="G125" s="1" t="s">
        <v>2552</v>
      </c>
    </row>
    <row x14ac:dyDescent="0.25" r="126" customHeight="1" ht="17.25" hidden="1">
      <c r="A126" s="112" t="s">
        <v>2770</v>
      </c>
      <c r="B126" s="1" t="s">
        <v>2549</v>
      </c>
      <c r="C126" s="1" t="s">
        <v>47</v>
      </c>
      <c r="D126" s="1" t="s">
        <v>2771</v>
      </c>
      <c r="E126" s="62">
        <v>21</v>
      </c>
      <c r="F126" s="1" t="s">
        <v>2551</v>
      </c>
      <c r="G126" s="1" t="s">
        <v>2552</v>
      </c>
    </row>
    <row x14ac:dyDescent="0.25" r="127" customHeight="1" ht="17.25" hidden="1">
      <c r="A127" s="112" t="s">
        <v>2772</v>
      </c>
      <c r="B127" s="1" t="s">
        <v>2549</v>
      </c>
      <c r="C127" s="1" t="s">
        <v>47</v>
      </c>
      <c r="D127" s="1" t="s">
        <v>2773</v>
      </c>
      <c r="E127" s="62">
        <v>18</v>
      </c>
      <c r="F127" s="1" t="s">
        <v>2551</v>
      </c>
      <c r="G127" s="1" t="s">
        <v>2552</v>
      </c>
    </row>
    <row x14ac:dyDescent="0.25" r="128" customHeight="1" ht="17.25" hidden="1">
      <c r="A128" s="112" t="s">
        <v>2774</v>
      </c>
      <c r="B128" s="1" t="s">
        <v>2549</v>
      </c>
      <c r="C128" s="1" t="s">
        <v>47</v>
      </c>
      <c r="D128" s="1" t="s">
        <v>2775</v>
      </c>
      <c r="E128" s="62">
        <v>19</v>
      </c>
      <c r="F128" s="1" t="s">
        <v>2551</v>
      </c>
      <c r="G128" s="1" t="s">
        <v>2552</v>
      </c>
    </row>
    <row x14ac:dyDescent="0.25" r="129" customHeight="1" ht="17.25" hidden="1">
      <c r="A129" s="112" t="s">
        <v>2776</v>
      </c>
      <c r="B129" s="1" t="s">
        <v>2549</v>
      </c>
      <c r="C129" s="1" t="s">
        <v>47</v>
      </c>
      <c r="D129" s="1" t="s">
        <v>2777</v>
      </c>
      <c r="E129" s="62">
        <v>18</v>
      </c>
      <c r="F129" s="1" t="s">
        <v>2551</v>
      </c>
      <c r="G129" s="1" t="s">
        <v>2555</v>
      </c>
    </row>
    <row x14ac:dyDescent="0.25" r="130" customHeight="1" ht="17.25" hidden="1">
      <c r="A130" s="112" t="s">
        <v>2778</v>
      </c>
      <c r="B130" s="1" t="s">
        <v>2549</v>
      </c>
      <c r="C130" s="1" t="s">
        <v>47</v>
      </c>
      <c r="D130" s="1" t="s">
        <v>2779</v>
      </c>
      <c r="E130" s="62">
        <v>27</v>
      </c>
      <c r="F130" s="1" t="s">
        <v>2551</v>
      </c>
      <c r="G130" s="1" t="s">
        <v>2555</v>
      </c>
    </row>
    <row x14ac:dyDescent="0.25" r="131" customHeight="1" ht="17.25" hidden="1">
      <c r="A131" s="112" t="s">
        <v>2778</v>
      </c>
      <c r="B131" s="1" t="s">
        <v>2549</v>
      </c>
      <c r="C131" s="1" t="s">
        <v>47</v>
      </c>
      <c r="D131" s="1" t="s">
        <v>2780</v>
      </c>
      <c r="E131" s="62">
        <v>19</v>
      </c>
      <c r="F131" s="1" t="s">
        <v>2551</v>
      </c>
      <c r="G131" s="1" t="s">
        <v>2552</v>
      </c>
    </row>
    <row x14ac:dyDescent="0.25" r="132" customHeight="1" ht="17.25" hidden="1">
      <c r="A132" s="112" t="s">
        <v>2781</v>
      </c>
      <c r="B132" s="1" t="s">
        <v>2549</v>
      </c>
      <c r="C132" s="1" t="s">
        <v>47</v>
      </c>
      <c r="D132" s="1" t="s">
        <v>2782</v>
      </c>
      <c r="E132" s="62">
        <v>29</v>
      </c>
      <c r="F132" s="1" t="s">
        <v>2551</v>
      </c>
      <c r="G132" s="1" t="s">
        <v>2555</v>
      </c>
    </row>
    <row x14ac:dyDescent="0.25" r="133" customHeight="1" ht="17.25" hidden="1">
      <c r="A133" s="112" t="s">
        <v>2783</v>
      </c>
      <c r="B133" s="1" t="s">
        <v>2549</v>
      </c>
      <c r="C133" s="1" t="s">
        <v>47</v>
      </c>
      <c r="D133" s="1" t="s">
        <v>2784</v>
      </c>
      <c r="E133" s="62">
        <v>52</v>
      </c>
      <c r="F133" s="1" t="s">
        <v>2551</v>
      </c>
      <c r="G133" s="1" t="s">
        <v>2555</v>
      </c>
    </row>
    <row x14ac:dyDescent="0.25" r="134" customHeight="1" ht="17.25" hidden="1">
      <c r="A134" s="112" t="s">
        <v>2785</v>
      </c>
      <c r="B134" s="1" t="s">
        <v>2549</v>
      </c>
      <c r="C134" s="1" t="s">
        <v>47</v>
      </c>
      <c r="D134" s="1" t="s">
        <v>2786</v>
      </c>
      <c r="E134" s="62">
        <v>20</v>
      </c>
      <c r="F134" s="1" t="s">
        <v>2551</v>
      </c>
      <c r="G134" s="1" t="s">
        <v>2555</v>
      </c>
    </row>
    <row x14ac:dyDescent="0.25" r="135" customHeight="1" ht="17.25" hidden="1">
      <c r="A135" s="112" t="s">
        <v>2785</v>
      </c>
      <c r="B135" s="1" t="s">
        <v>2549</v>
      </c>
      <c r="C135" s="1" t="s">
        <v>47</v>
      </c>
      <c r="D135" s="1" t="s">
        <v>2787</v>
      </c>
      <c r="E135" s="62">
        <v>21</v>
      </c>
      <c r="F135" s="1" t="s">
        <v>2551</v>
      </c>
      <c r="G135" s="1" t="s">
        <v>2552</v>
      </c>
    </row>
    <row x14ac:dyDescent="0.25" r="136" customHeight="1" ht="17.25" hidden="1">
      <c r="A136" s="112" t="s">
        <v>2788</v>
      </c>
      <c r="B136" s="1" t="s">
        <v>2549</v>
      </c>
      <c r="C136" s="1" t="s">
        <v>47</v>
      </c>
      <c r="D136" s="1" t="s">
        <v>2789</v>
      </c>
      <c r="E136" s="62">
        <v>25</v>
      </c>
      <c r="F136" s="1" t="s">
        <v>2551</v>
      </c>
      <c r="G136" s="1" t="s">
        <v>2558</v>
      </c>
    </row>
    <row x14ac:dyDescent="0.25" r="137" customHeight="1" ht="17.25" hidden="1">
      <c r="A137" s="112" t="s">
        <v>2790</v>
      </c>
      <c r="B137" s="1" t="s">
        <v>2549</v>
      </c>
      <c r="C137" s="1" t="s">
        <v>47</v>
      </c>
      <c r="D137" s="1" t="s">
        <v>2791</v>
      </c>
      <c r="E137" s="62">
        <v>20</v>
      </c>
      <c r="F137" s="1" t="s">
        <v>2551</v>
      </c>
      <c r="G137" s="1" t="s">
        <v>2552</v>
      </c>
    </row>
    <row x14ac:dyDescent="0.25" r="138" customHeight="1" ht="17.25" hidden="1">
      <c r="A138" s="112" t="s">
        <v>2792</v>
      </c>
      <c r="B138" s="1" t="s">
        <v>2549</v>
      </c>
      <c r="C138" s="1" t="s">
        <v>47</v>
      </c>
      <c r="D138" s="1" t="s">
        <v>2793</v>
      </c>
      <c r="E138" s="62">
        <v>19</v>
      </c>
      <c r="F138" s="1" t="s">
        <v>2561</v>
      </c>
      <c r="G138" s="1" t="s">
        <v>2555</v>
      </c>
    </row>
    <row x14ac:dyDescent="0.25" r="139" customHeight="1" ht="17.25" hidden="1">
      <c r="A139" s="112" t="s">
        <v>2794</v>
      </c>
      <c r="B139" s="1" t="s">
        <v>2549</v>
      </c>
      <c r="C139" s="1" t="s">
        <v>47</v>
      </c>
      <c r="D139" s="1" t="s">
        <v>2795</v>
      </c>
      <c r="E139" s="62">
        <v>24</v>
      </c>
      <c r="F139" s="1" t="s">
        <v>2551</v>
      </c>
      <c r="G139" s="1" t="s">
        <v>2552</v>
      </c>
    </row>
    <row x14ac:dyDescent="0.25" r="140" customHeight="1" ht="17.25" hidden="1">
      <c r="A140" s="112" t="s">
        <v>2796</v>
      </c>
      <c r="B140" s="1" t="s">
        <v>2549</v>
      </c>
      <c r="C140" s="1" t="s">
        <v>47</v>
      </c>
      <c r="D140" s="1" t="s">
        <v>2797</v>
      </c>
      <c r="E140" s="62">
        <v>22</v>
      </c>
      <c r="F140" s="1" t="s">
        <v>2551</v>
      </c>
      <c r="G140" s="1" t="s">
        <v>2558</v>
      </c>
    </row>
    <row x14ac:dyDescent="0.25" r="141" customHeight="1" ht="17.25" hidden="1">
      <c r="A141" s="112" t="s">
        <v>2798</v>
      </c>
      <c r="B141" s="1" t="s">
        <v>2549</v>
      </c>
      <c r="C141" s="1" t="s">
        <v>47</v>
      </c>
      <c r="D141" s="1" t="s">
        <v>2799</v>
      </c>
      <c r="E141" s="62">
        <v>18</v>
      </c>
      <c r="F141" s="1" t="s">
        <v>2551</v>
      </c>
      <c r="G141" s="1" t="s">
        <v>2552</v>
      </c>
    </row>
    <row x14ac:dyDescent="0.25" r="142" customHeight="1" ht="17.25" hidden="1">
      <c r="A142" s="112" t="s">
        <v>2798</v>
      </c>
      <c r="B142" s="1" t="s">
        <v>2549</v>
      </c>
      <c r="C142" s="1" t="s">
        <v>47</v>
      </c>
      <c r="D142" s="1" t="s">
        <v>2800</v>
      </c>
      <c r="E142" s="62">
        <v>22</v>
      </c>
      <c r="F142" s="1" t="s">
        <v>2551</v>
      </c>
      <c r="G142" s="1" t="s">
        <v>2555</v>
      </c>
    </row>
    <row x14ac:dyDescent="0.25" r="143" customHeight="1" ht="17.25" hidden="1">
      <c r="A143" s="112" t="s">
        <v>2801</v>
      </c>
      <c r="B143" s="1" t="s">
        <v>2549</v>
      </c>
      <c r="C143" s="1" t="s">
        <v>47</v>
      </c>
      <c r="D143" s="1" t="s">
        <v>2802</v>
      </c>
      <c r="E143" s="62">
        <v>19</v>
      </c>
      <c r="F143" s="1" t="s">
        <v>2551</v>
      </c>
      <c r="G143" s="1" t="s">
        <v>2555</v>
      </c>
    </row>
    <row x14ac:dyDescent="0.25" r="144" customHeight="1" ht="17.25" hidden="1">
      <c r="A144" s="112" t="s">
        <v>2803</v>
      </c>
      <c r="B144" s="1" t="s">
        <v>2549</v>
      </c>
      <c r="C144" s="1" t="s">
        <v>47</v>
      </c>
      <c r="D144" s="1" t="s">
        <v>2804</v>
      </c>
      <c r="E144" s="62">
        <v>26</v>
      </c>
      <c r="F144" s="1" t="s">
        <v>2551</v>
      </c>
      <c r="G144" s="1" t="s">
        <v>2552</v>
      </c>
    </row>
    <row x14ac:dyDescent="0.25" r="145" customHeight="1" ht="17.25" hidden="1">
      <c r="A145" s="112" t="s">
        <v>2805</v>
      </c>
      <c r="B145" s="1" t="s">
        <v>2549</v>
      </c>
      <c r="C145" s="1" t="s">
        <v>47</v>
      </c>
      <c r="D145" s="1" t="s">
        <v>2806</v>
      </c>
      <c r="E145" s="62">
        <v>22</v>
      </c>
      <c r="F145" s="1" t="s">
        <v>2551</v>
      </c>
      <c r="G145" s="1" t="s">
        <v>2552</v>
      </c>
    </row>
    <row x14ac:dyDescent="0.25" r="146" customHeight="1" ht="17.25" hidden="1">
      <c r="A146" s="112" t="s">
        <v>2805</v>
      </c>
      <c r="B146" s="1" t="s">
        <v>2549</v>
      </c>
      <c r="C146" s="1" t="s">
        <v>47</v>
      </c>
      <c r="D146" s="1" t="s">
        <v>2807</v>
      </c>
      <c r="E146" s="62">
        <v>34</v>
      </c>
      <c r="F146" s="1" t="s">
        <v>2551</v>
      </c>
      <c r="G146" s="1" t="s">
        <v>2555</v>
      </c>
    </row>
    <row x14ac:dyDescent="0.25" r="147" customHeight="1" ht="17.25" hidden="1">
      <c r="A147" s="112" t="s">
        <v>2808</v>
      </c>
      <c r="B147" s="1" t="s">
        <v>2549</v>
      </c>
      <c r="C147" s="1" t="s">
        <v>47</v>
      </c>
      <c r="D147" s="1" t="s">
        <v>2809</v>
      </c>
      <c r="E147" s="62">
        <v>27</v>
      </c>
      <c r="F147" s="1" t="s">
        <v>2551</v>
      </c>
      <c r="G147" s="1" t="s">
        <v>2552</v>
      </c>
    </row>
    <row x14ac:dyDescent="0.25" r="148" customHeight="1" ht="17.25" hidden="1">
      <c r="A148" s="112" t="s">
        <v>1027</v>
      </c>
      <c r="B148" s="1" t="s">
        <v>2549</v>
      </c>
      <c r="C148" s="1" t="s">
        <v>47</v>
      </c>
      <c r="D148" s="1" t="s">
        <v>1028</v>
      </c>
      <c r="E148" s="62">
        <v>20</v>
      </c>
      <c r="F148" s="1" t="s">
        <v>2551</v>
      </c>
      <c r="G148" s="1" t="s">
        <v>2552</v>
      </c>
    </row>
    <row x14ac:dyDescent="0.25" r="149" customHeight="1" ht="17.25" hidden="1">
      <c r="A149" s="112" t="s">
        <v>2810</v>
      </c>
      <c r="B149" s="1" t="s">
        <v>2549</v>
      </c>
      <c r="C149" s="1" t="s">
        <v>47</v>
      </c>
      <c r="D149" s="1" t="s">
        <v>2811</v>
      </c>
      <c r="E149" s="62">
        <v>37</v>
      </c>
      <c r="F149" s="1" t="s">
        <v>2561</v>
      </c>
      <c r="G149" s="1" t="s">
        <v>2558</v>
      </c>
    </row>
    <row x14ac:dyDescent="0.25" r="150" customHeight="1" ht="17.25" hidden="1">
      <c r="A150" s="112" t="s">
        <v>2812</v>
      </c>
      <c r="B150" s="1" t="s">
        <v>2549</v>
      </c>
      <c r="C150" s="1" t="s">
        <v>47</v>
      </c>
      <c r="D150" s="1" t="s">
        <v>2813</v>
      </c>
      <c r="E150" s="62">
        <v>38</v>
      </c>
      <c r="F150" s="1" t="s">
        <v>2551</v>
      </c>
      <c r="G150" s="1" t="s">
        <v>2555</v>
      </c>
    </row>
    <row x14ac:dyDescent="0.25" r="151" customHeight="1" ht="17.25" hidden="1">
      <c r="A151" s="112" t="s">
        <v>2812</v>
      </c>
      <c r="B151" s="1" t="s">
        <v>2549</v>
      </c>
      <c r="C151" s="1" t="s">
        <v>47</v>
      </c>
      <c r="D151" s="1" t="s">
        <v>2814</v>
      </c>
      <c r="E151" s="62">
        <v>41</v>
      </c>
      <c r="F151" s="1" t="s">
        <v>2551</v>
      </c>
      <c r="G151" s="1" t="s">
        <v>2552</v>
      </c>
    </row>
    <row x14ac:dyDescent="0.25" r="152" customHeight="1" ht="17.25" hidden="1">
      <c r="A152" s="112" t="s">
        <v>2815</v>
      </c>
      <c r="B152" s="1" t="s">
        <v>2549</v>
      </c>
      <c r="C152" s="1" t="s">
        <v>47</v>
      </c>
      <c r="D152" s="1" t="s">
        <v>2816</v>
      </c>
      <c r="E152" s="62">
        <v>26</v>
      </c>
      <c r="F152" s="1" t="s">
        <v>2551</v>
      </c>
      <c r="G152" s="1" t="s">
        <v>2555</v>
      </c>
    </row>
    <row x14ac:dyDescent="0.25" r="153" customHeight="1" ht="17.25" hidden="1">
      <c r="A153" s="112" t="s">
        <v>2817</v>
      </c>
      <c r="B153" s="1" t="s">
        <v>2549</v>
      </c>
      <c r="C153" s="1" t="s">
        <v>47</v>
      </c>
      <c r="D153" s="1" t="s">
        <v>2818</v>
      </c>
      <c r="E153" s="62">
        <v>21</v>
      </c>
      <c r="F153" s="1" t="s">
        <v>2551</v>
      </c>
      <c r="G153" s="1" t="s">
        <v>2558</v>
      </c>
    </row>
    <row x14ac:dyDescent="0.25" r="154" customHeight="1" ht="17.25" hidden="1">
      <c r="A154" s="112" t="s">
        <v>2819</v>
      </c>
      <c r="B154" s="1" t="s">
        <v>2549</v>
      </c>
      <c r="C154" s="1" t="s">
        <v>47</v>
      </c>
      <c r="D154" s="1" t="s">
        <v>2820</v>
      </c>
      <c r="E154" s="62">
        <v>23</v>
      </c>
      <c r="F154" s="1" t="s">
        <v>2551</v>
      </c>
      <c r="G154" s="1" t="s">
        <v>2555</v>
      </c>
    </row>
    <row x14ac:dyDescent="0.25" r="155" customHeight="1" ht="17.25" hidden="1">
      <c r="A155" s="112" t="s">
        <v>2821</v>
      </c>
      <c r="B155" s="1" t="s">
        <v>2549</v>
      </c>
      <c r="C155" s="1" t="s">
        <v>47</v>
      </c>
      <c r="D155" s="1" t="s">
        <v>2822</v>
      </c>
      <c r="E155" s="62">
        <v>19</v>
      </c>
      <c r="F155" s="1" t="s">
        <v>2561</v>
      </c>
      <c r="G155" s="1" t="s">
        <v>2558</v>
      </c>
    </row>
    <row x14ac:dyDescent="0.25" r="156" customHeight="1" ht="17.25" hidden="1">
      <c r="A156" s="112" t="s">
        <v>2821</v>
      </c>
      <c r="B156" s="1" t="s">
        <v>2549</v>
      </c>
      <c r="C156" s="1" t="s">
        <v>47</v>
      </c>
      <c r="D156" s="1" t="s">
        <v>2823</v>
      </c>
      <c r="E156" s="62">
        <v>22</v>
      </c>
      <c r="F156" s="1" t="s">
        <v>2551</v>
      </c>
      <c r="G156" s="1" t="s">
        <v>2555</v>
      </c>
    </row>
    <row x14ac:dyDescent="0.25" r="157" customHeight="1" ht="17.25" hidden="1">
      <c r="A157" s="112" t="s">
        <v>2824</v>
      </c>
      <c r="B157" s="1" t="s">
        <v>2549</v>
      </c>
      <c r="C157" s="1" t="s">
        <v>47</v>
      </c>
      <c r="D157" s="1" t="s">
        <v>2825</v>
      </c>
      <c r="E157" s="62">
        <v>34</v>
      </c>
      <c r="F157" s="1" t="s">
        <v>2551</v>
      </c>
      <c r="G157" s="1" t="s">
        <v>2552</v>
      </c>
    </row>
    <row x14ac:dyDescent="0.25" r="158" customHeight="1" ht="17.25" hidden="1">
      <c r="A158" s="112" t="s">
        <v>1152</v>
      </c>
      <c r="B158" s="1" t="s">
        <v>2549</v>
      </c>
      <c r="C158" s="1" t="s">
        <v>47</v>
      </c>
      <c r="D158" s="1" t="s">
        <v>1154</v>
      </c>
      <c r="E158" s="62">
        <v>20</v>
      </c>
      <c r="F158" s="1" t="s">
        <v>2551</v>
      </c>
      <c r="G158" s="1" t="s">
        <v>2552</v>
      </c>
    </row>
    <row x14ac:dyDescent="0.25" r="159" customHeight="1" ht="17.25" hidden="1">
      <c r="A159" s="112" t="s">
        <v>2826</v>
      </c>
      <c r="B159" s="1" t="s">
        <v>2549</v>
      </c>
      <c r="C159" s="1" t="s">
        <v>47</v>
      </c>
      <c r="D159" s="1" t="s">
        <v>2827</v>
      </c>
      <c r="E159" s="62">
        <v>18</v>
      </c>
      <c r="F159" s="1" t="s">
        <v>2551</v>
      </c>
      <c r="G159" s="1" t="s">
        <v>2555</v>
      </c>
    </row>
    <row x14ac:dyDescent="0.25" r="160" customHeight="1" ht="17.25" hidden="1">
      <c r="A160" s="112" t="s">
        <v>2828</v>
      </c>
      <c r="B160" s="1" t="s">
        <v>2549</v>
      </c>
      <c r="C160" s="1" t="s">
        <v>47</v>
      </c>
      <c r="D160" s="1" t="s">
        <v>2829</v>
      </c>
      <c r="E160" s="62">
        <v>19</v>
      </c>
      <c r="F160" s="1" t="s">
        <v>2551</v>
      </c>
      <c r="G160" s="1" t="s">
        <v>2558</v>
      </c>
    </row>
    <row x14ac:dyDescent="0.25" r="161" customHeight="1" ht="17.25" hidden="1">
      <c r="A161" s="112" t="s">
        <v>2830</v>
      </c>
      <c r="B161" s="1" t="s">
        <v>2549</v>
      </c>
      <c r="C161" s="1" t="s">
        <v>47</v>
      </c>
      <c r="D161" s="1" t="s">
        <v>2831</v>
      </c>
      <c r="E161" s="62">
        <v>56</v>
      </c>
      <c r="F161" s="1" t="s">
        <v>2551</v>
      </c>
      <c r="G161" s="1" t="s">
        <v>2555</v>
      </c>
    </row>
    <row x14ac:dyDescent="0.25" r="162" customHeight="1" ht="17.25" hidden="1">
      <c r="A162" s="112" t="s">
        <v>1573</v>
      </c>
      <c r="B162" s="1" t="s">
        <v>2549</v>
      </c>
      <c r="C162" s="1" t="s">
        <v>47</v>
      </c>
      <c r="D162" s="1" t="s">
        <v>1574</v>
      </c>
      <c r="E162" s="62">
        <v>31</v>
      </c>
      <c r="F162" s="1" t="s">
        <v>2551</v>
      </c>
      <c r="G162" s="1" t="s">
        <v>2552</v>
      </c>
    </row>
    <row x14ac:dyDescent="0.25" r="163" customHeight="1" ht="17.25" hidden="1">
      <c r="A163" s="112" t="s">
        <v>2832</v>
      </c>
      <c r="B163" s="1" t="s">
        <v>2549</v>
      </c>
      <c r="C163" s="1" t="s">
        <v>47</v>
      </c>
      <c r="D163" s="1" t="s">
        <v>2833</v>
      </c>
      <c r="E163" s="62">
        <v>29</v>
      </c>
      <c r="F163" s="1" t="s">
        <v>2551</v>
      </c>
      <c r="G163" s="1" t="s">
        <v>2555</v>
      </c>
    </row>
    <row x14ac:dyDescent="0.25" r="164" customHeight="1" ht="17.25" hidden="1">
      <c r="A164" s="112" t="s">
        <v>2834</v>
      </c>
      <c r="B164" s="1" t="s">
        <v>2549</v>
      </c>
      <c r="C164" s="1" t="s">
        <v>47</v>
      </c>
      <c r="D164" s="1" t="s">
        <v>2835</v>
      </c>
      <c r="E164" s="62">
        <v>36</v>
      </c>
      <c r="F164" s="1" t="s">
        <v>2551</v>
      </c>
      <c r="G164" s="1" t="s">
        <v>2558</v>
      </c>
    </row>
    <row x14ac:dyDescent="0.25" r="165" customHeight="1" ht="17.25" hidden="1">
      <c r="A165" s="112" t="s">
        <v>2834</v>
      </c>
      <c r="B165" s="1" t="s">
        <v>2549</v>
      </c>
      <c r="C165" s="1" t="s">
        <v>47</v>
      </c>
      <c r="D165" s="1" t="s">
        <v>2836</v>
      </c>
      <c r="E165" s="62">
        <v>40</v>
      </c>
      <c r="F165" s="1" t="s">
        <v>2551</v>
      </c>
      <c r="G165" s="1" t="s">
        <v>2555</v>
      </c>
    </row>
    <row x14ac:dyDescent="0.25" r="166" customHeight="1" ht="17.25" hidden="1">
      <c r="A166" s="112" t="s">
        <v>1397</v>
      </c>
      <c r="B166" s="1" t="s">
        <v>2549</v>
      </c>
      <c r="C166" s="1" t="s">
        <v>47</v>
      </c>
      <c r="D166" s="1" t="s">
        <v>1398</v>
      </c>
      <c r="E166" s="62">
        <v>22</v>
      </c>
      <c r="F166" s="1" t="s">
        <v>2551</v>
      </c>
      <c r="G166" s="1" t="s">
        <v>2552</v>
      </c>
    </row>
    <row x14ac:dyDescent="0.25" r="167" customHeight="1" ht="17.25" hidden="1">
      <c r="A167" s="112" t="s">
        <v>2837</v>
      </c>
      <c r="B167" s="1" t="s">
        <v>2549</v>
      </c>
      <c r="C167" s="1" t="s">
        <v>47</v>
      </c>
      <c r="D167" s="1" t="s">
        <v>2838</v>
      </c>
      <c r="E167" s="62">
        <v>25</v>
      </c>
      <c r="F167" s="1" t="s">
        <v>2551</v>
      </c>
      <c r="G167" s="1" t="s">
        <v>2552</v>
      </c>
    </row>
    <row x14ac:dyDescent="0.25" r="168" customHeight="1" ht="17.25" hidden="1">
      <c r="A168" s="112" t="s">
        <v>2839</v>
      </c>
      <c r="B168" s="1" t="s">
        <v>2549</v>
      </c>
      <c r="C168" s="1" t="s">
        <v>47</v>
      </c>
      <c r="D168" s="1" t="s">
        <v>2840</v>
      </c>
      <c r="E168" s="62">
        <v>49</v>
      </c>
      <c r="F168" s="1" t="s">
        <v>2551</v>
      </c>
      <c r="G168" s="1" t="s">
        <v>2555</v>
      </c>
    </row>
    <row x14ac:dyDescent="0.25" r="169" customHeight="1" ht="17.25" hidden="1">
      <c r="A169" s="112" t="s">
        <v>2841</v>
      </c>
      <c r="B169" s="1" t="s">
        <v>2549</v>
      </c>
      <c r="C169" s="1" t="s">
        <v>47</v>
      </c>
      <c r="D169" s="1" t="s">
        <v>2842</v>
      </c>
      <c r="E169" s="62">
        <v>23</v>
      </c>
      <c r="F169" s="1" t="s">
        <v>2551</v>
      </c>
      <c r="G169" s="1" t="s">
        <v>2555</v>
      </c>
    </row>
    <row x14ac:dyDescent="0.25" r="170" customHeight="1" ht="17.25" hidden="1">
      <c r="A170" s="112" t="s">
        <v>2183</v>
      </c>
      <c r="B170" s="1" t="s">
        <v>2549</v>
      </c>
      <c r="C170" s="1" t="s">
        <v>47</v>
      </c>
      <c r="D170" s="1" t="s">
        <v>2189</v>
      </c>
      <c r="E170" s="62">
        <v>31</v>
      </c>
      <c r="F170" s="1" t="s">
        <v>2551</v>
      </c>
      <c r="G170" s="1" t="s">
        <v>2552</v>
      </c>
    </row>
    <row x14ac:dyDescent="0.25" r="171" customHeight="1" ht="17.25" hidden="1">
      <c r="A171" s="112" t="s">
        <v>2183</v>
      </c>
      <c r="B171" s="1" t="s">
        <v>2549</v>
      </c>
      <c r="C171" s="1" t="s">
        <v>47</v>
      </c>
      <c r="D171" s="1" t="s">
        <v>2843</v>
      </c>
      <c r="E171" s="62">
        <v>28</v>
      </c>
      <c r="F171" s="1" t="s">
        <v>2551</v>
      </c>
      <c r="G171" s="1" t="s">
        <v>2552</v>
      </c>
    </row>
    <row x14ac:dyDescent="0.25" r="172" customHeight="1" ht="17.25" hidden="1">
      <c r="A172" s="112" t="s">
        <v>2844</v>
      </c>
      <c r="B172" s="1" t="s">
        <v>2549</v>
      </c>
      <c r="C172" s="1" t="s">
        <v>47</v>
      </c>
      <c r="D172" s="1" t="s">
        <v>2845</v>
      </c>
      <c r="E172" s="62">
        <v>19</v>
      </c>
      <c r="F172" s="1" t="s">
        <v>2551</v>
      </c>
      <c r="G172" s="1" t="s">
        <v>2552</v>
      </c>
    </row>
    <row x14ac:dyDescent="0.25" r="173" customHeight="1" ht="17.25" hidden="1">
      <c r="A173" s="112" t="s">
        <v>2846</v>
      </c>
      <c r="B173" s="1" t="s">
        <v>2549</v>
      </c>
      <c r="C173" s="1" t="s">
        <v>47</v>
      </c>
      <c r="D173" s="1" t="s">
        <v>2847</v>
      </c>
      <c r="E173" s="62">
        <v>26</v>
      </c>
      <c r="F173" s="1" t="s">
        <v>2551</v>
      </c>
      <c r="G173" s="1" t="s">
        <v>2552</v>
      </c>
    </row>
    <row x14ac:dyDescent="0.25" r="174" customHeight="1" ht="17.25" hidden="1">
      <c r="A174" s="112" t="s">
        <v>2848</v>
      </c>
      <c r="B174" s="1" t="s">
        <v>2549</v>
      </c>
      <c r="C174" s="1" t="s">
        <v>47</v>
      </c>
      <c r="D174" s="1" t="s">
        <v>2849</v>
      </c>
      <c r="E174" s="62">
        <v>22</v>
      </c>
      <c r="F174" s="1" t="s">
        <v>2551</v>
      </c>
      <c r="G174" s="1" t="s">
        <v>2555</v>
      </c>
    </row>
    <row x14ac:dyDescent="0.25" r="175" customHeight="1" ht="17.25" hidden="1">
      <c r="A175" s="112" t="s">
        <v>1380</v>
      </c>
      <c r="B175" s="1" t="s">
        <v>2549</v>
      </c>
      <c r="C175" s="1" t="s">
        <v>47</v>
      </c>
      <c r="D175" s="1" t="s">
        <v>1381</v>
      </c>
      <c r="E175" s="62">
        <v>20</v>
      </c>
      <c r="F175" s="1" t="s">
        <v>2551</v>
      </c>
      <c r="G175" s="1" t="s">
        <v>2555</v>
      </c>
    </row>
    <row x14ac:dyDescent="0.25" r="176" customHeight="1" ht="17.25" hidden="1">
      <c r="A176" s="112" t="s">
        <v>2850</v>
      </c>
      <c r="B176" s="1" t="s">
        <v>2549</v>
      </c>
      <c r="C176" s="1" t="s">
        <v>47</v>
      </c>
      <c r="D176" s="1" t="s">
        <v>2851</v>
      </c>
      <c r="E176" s="62">
        <v>19</v>
      </c>
      <c r="F176" s="1" t="s">
        <v>2551</v>
      </c>
      <c r="G176" s="1" t="s">
        <v>2555</v>
      </c>
    </row>
    <row x14ac:dyDescent="0.25" r="177" customHeight="1" ht="17.25" hidden="1">
      <c r="A177" s="112" t="s">
        <v>2852</v>
      </c>
      <c r="B177" s="1" t="s">
        <v>2549</v>
      </c>
      <c r="C177" s="1" t="s">
        <v>47</v>
      </c>
      <c r="D177" s="1" t="s">
        <v>2853</v>
      </c>
      <c r="E177" s="62">
        <v>20</v>
      </c>
      <c r="F177" s="1" t="s">
        <v>2551</v>
      </c>
      <c r="G177" s="1" t="s">
        <v>2555</v>
      </c>
    </row>
    <row x14ac:dyDescent="0.25" r="178" customHeight="1" ht="17.25" hidden="1">
      <c r="A178" s="112" t="s">
        <v>2854</v>
      </c>
      <c r="B178" s="1" t="s">
        <v>2549</v>
      </c>
      <c r="C178" s="1" t="s">
        <v>47</v>
      </c>
      <c r="D178" s="1" t="s">
        <v>2855</v>
      </c>
      <c r="E178" s="62">
        <v>21</v>
      </c>
      <c r="F178" s="1" t="s">
        <v>2551</v>
      </c>
      <c r="G178" s="1" t="s">
        <v>2558</v>
      </c>
    </row>
    <row x14ac:dyDescent="0.25" r="179" customHeight="1" ht="17.25" hidden="1">
      <c r="A179" s="112" t="s">
        <v>2856</v>
      </c>
      <c r="B179" s="1" t="s">
        <v>2549</v>
      </c>
      <c r="C179" s="1" t="s">
        <v>47</v>
      </c>
      <c r="D179" s="1" t="s">
        <v>2857</v>
      </c>
      <c r="E179" s="62">
        <v>20</v>
      </c>
      <c r="F179" s="1" t="s">
        <v>2551</v>
      </c>
      <c r="G179" s="1" t="s">
        <v>2555</v>
      </c>
    </row>
    <row x14ac:dyDescent="0.25" r="180" customHeight="1" ht="17.25" hidden="1">
      <c r="A180" s="112" t="s">
        <v>2858</v>
      </c>
      <c r="B180" s="1" t="s">
        <v>2549</v>
      </c>
      <c r="C180" s="1" t="s">
        <v>47</v>
      </c>
      <c r="D180" s="1" t="s">
        <v>2859</v>
      </c>
      <c r="E180" s="62">
        <v>22</v>
      </c>
      <c r="F180" s="1" t="s">
        <v>2551</v>
      </c>
      <c r="G180" s="1" t="s">
        <v>2552</v>
      </c>
    </row>
    <row x14ac:dyDescent="0.25" r="181" customHeight="1" ht="17.25" hidden="1">
      <c r="A181" s="112" t="s">
        <v>2860</v>
      </c>
      <c r="B181" s="1" t="s">
        <v>2549</v>
      </c>
      <c r="C181" s="1" t="s">
        <v>47</v>
      </c>
      <c r="D181" s="1" t="s">
        <v>2861</v>
      </c>
      <c r="E181" s="62">
        <v>19</v>
      </c>
      <c r="F181" s="1" t="s">
        <v>2551</v>
      </c>
      <c r="G181" s="1" t="s">
        <v>2552</v>
      </c>
    </row>
    <row x14ac:dyDescent="0.25" r="182" customHeight="1" ht="17.25" hidden="1">
      <c r="A182" s="112" t="s">
        <v>2862</v>
      </c>
      <c r="B182" s="1" t="s">
        <v>2549</v>
      </c>
      <c r="C182" s="1" t="s">
        <v>47</v>
      </c>
      <c r="D182" s="1" t="s">
        <v>2863</v>
      </c>
      <c r="E182" s="62">
        <v>22</v>
      </c>
      <c r="F182" s="1" t="s">
        <v>2551</v>
      </c>
      <c r="G182" s="1" t="s">
        <v>2552</v>
      </c>
    </row>
    <row x14ac:dyDescent="0.25" r="183" customHeight="1" ht="17.25" hidden="1">
      <c r="A183" s="112" t="s">
        <v>2864</v>
      </c>
      <c r="B183" s="1" t="s">
        <v>2549</v>
      </c>
      <c r="C183" s="1" t="s">
        <v>47</v>
      </c>
      <c r="D183" s="1" t="s">
        <v>2865</v>
      </c>
      <c r="E183" s="62">
        <v>19</v>
      </c>
      <c r="F183" s="1" t="s">
        <v>2551</v>
      </c>
      <c r="G183" s="1" t="s">
        <v>2555</v>
      </c>
    </row>
    <row x14ac:dyDescent="0.25" r="184" customHeight="1" ht="17.25" hidden="1">
      <c r="A184" s="112" t="s">
        <v>2866</v>
      </c>
      <c r="B184" s="1" t="s">
        <v>2549</v>
      </c>
      <c r="C184" s="1" t="s">
        <v>47</v>
      </c>
      <c r="D184" s="1" t="s">
        <v>2867</v>
      </c>
      <c r="E184" s="62">
        <v>27</v>
      </c>
      <c r="F184" s="1" t="s">
        <v>2551</v>
      </c>
      <c r="G184" s="1" t="s">
        <v>2555</v>
      </c>
    </row>
    <row x14ac:dyDescent="0.25" r="185" customHeight="1" ht="17.25" hidden="1">
      <c r="A185" s="112" t="s">
        <v>2868</v>
      </c>
      <c r="B185" s="1" t="s">
        <v>2549</v>
      </c>
      <c r="C185" s="1" t="s">
        <v>47</v>
      </c>
      <c r="D185" s="1" t="s">
        <v>2869</v>
      </c>
      <c r="E185" s="62">
        <v>19</v>
      </c>
      <c r="F185" s="1" t="s">
        <v>2551</v>
      </c>
      <c r="G185" s="1" t="s">
        <v>2558</v>
      </c>
    </row>
    <row x14ac:dyDescent="0.25" r="186" customHeight="1" ht="17.25" hidden="1">
      <c r="A186" s="112" t="s">
        <v>2870</v>
      </c>
      <c r="B186" s="1" t="s">
        <v>2549</v>
      </c>
      <c r="C186" s="1" t="s">
        <v>47</v>
      </c>
      <c r="D186" s="1" t="s">
        <v>2871</v>
      </c>
      <c r="E186" s="62">
        <v>23</v>
      </c>
      <c r="F186" s="1" t="s">
        <v>2561</v>
      </c>
      <c r="G186" s="1" t="s">
        <v>2552</v>
      </c>
    </row>
    <row x14ac:dyDescent="0.25" r="187" customHeight="1" ht="17.25" hidden="1">
      <c r="A187" s="112" t="s">
        <v>2872</v>
      </c>
      <c r="B187" s="1" t="s">
        <v>2549</v>
      </c>
      <c r="C187" s="1" t="s">
        <v>47</v>
      </c>
      <c r="D187" s="1" t="s">
        <v>2873</v>
      </c>
      <c r="E187" s="62">
        <v>31</v>
      </c>
      <c r="F187" s="1" t="s">
        <v>2551</v>
      </c>
      <c r="G187" s="1" t="s">
        <v>2558</v>
      </c>
    </row>
    <row x14ac:dyDescent="0.25" r="188" customHeight="1" ht="17.25" hidden="1">
      <c r="A188" s="112" t="s">
        <v>2874</v>
      </c>
      <c r="B188" s="1" t="s">
        <v>2549</v>
      </c>
      <c r="C188" s="1" t="s">
        <v>47</v>
      </c>
      <c r="D188" s="1" t="s">
        <v>2875</v>
      </c>
      <c r="E188" s="62">
        <v>20</v>
      </c>
      <c r="F188" s="1" t="s">
        <v>2551</v>
      </c>
      <c r="G188" s="1" t="s">
        <v>2552</v>
      </c>
    </row>
    <row x14ac:dyDescent="0.25" r="189" customHeight="1" ht="17.25" hidden="1">
      <c r="A189" s="112" t="s">
        <v>2876</v>
      </c>
      <c r="B189" s="1" t="s">
        <v>2549</v>
      </c>
      <c r="C189" s="1" t="s">
        <v>47</v>
      </c>
      <c r="D189" s="1" t="s">
        <v>2877</v>
      </c>
      <c r="E189" s="62">
        <v>31</v>
      </c>
      <c r="F189" s="1" t="s">
        <v>2551</v>
      </c>
      <c r="G189" s="1" t="s">
        <v>2552</v>
      </c>
    </row>
    <row x14ac:dyDescent="0.25" r="190" customHeight="1" ht="17.25" hidden="1">
      <c r="A190" s="112" t="s">
        <v>2876</v>
      </c>
      <c r="B190" s="1" t="s">
        <v>2549</v>
      </c>
      <c r="C190" s="1" t="s">
        <v>47</v>
      </c>
      <c r="D190" s="1" t="s">
        <v>2878</v>
      </c>
      <c r="E190" s="62">
        <v>38</v>
      </c>
      <c r="F190" s="1" t="s">
        <v>2551</v>
      </c>
      <c r="G190" s="1" t="s">
        <v>2555</v>
      </c>
    </row>
    <row x14ac:dyDescent="0.25" r="191" customHeight="1" ht="17.25" hidden="1">
      <c r="A191" s="112" t="s">
        <v>2879</v>
      </c>
      <c r="B191" s="1" t="s">
        <v>2549</v>
      </c>
      <c r="C191" s="1" t="s">
        <v>47</v>
      </c>
      <c r="D191" s="1" t="s">
        <v>2880</v>
      </c>
      <c r="E191" s="62">
        <v>30</v>
      </c>
      <c r="F191" s="1" t="s">
        <v>2551</v>
      </c>
      <c r="G191" s="1" t="s">
        <v>2552</v>
      </c>
    </row>
    <row x14ac:dyDescent="0.25" r="192" customHeight="1" ht="17.25" hidden="1">
      <c r="A192" s="112" t="s">
        <v>2881</v>
      </c>
      <c r="B192" s="1" t="s">
        <v>2549</v>
      </c>
      <c r="C192" s="1" t="s">
        <v>47</v>
      </c>
      <c r="D192" s="1" t="s">
        <v>2882</v>
      </c>
      <c r="E192" s="62">
        <v>27</v>
      </c>
      <c r="F192" s="1" t="s">
        <v>2551</v>
      </c>
      <c r="G192" s="1" t="s">
        <v>2558</v>
      </c>
    </row>
    <row x14ac:dyDescent="0.25" r="193" customHeight="1" ht="17.25" hidden="1">
      <c r="A193" s="112" t="s">
        <v>2883</v>
      </c>
      <c r="B193" s="1" t="s">
        <v>2549</v>
      </c>
      <c r="C193" s="1" t="s">
        <v>47</v>
      </c>
      <c r="D193" s="1" t="s">
        <v>2564</v>
      </c>
      <c r="E193" s="62">
        <v>42</v>
      </c>
      <c r="F193" s="1" t="s">
        <v>2551</v>
      </c>
      <c r="G193" s="1" t="s">
        <v>2552</v>
      </c>
    </row>
    <row x14ac:dyDescent="0.25" r="194" customHeight="1" ht="17.25" hidden="1">
      <c r="A194" s="112" t="s">
        <v>2884</v>
      </c>
      <c r="B194" s="1" t="s">
        <v>2549</v>
      </c>
      <c r="C194" s="1" t="s">
        <v>47</v>
      </c>
      <c r="D194" s="1" t="s">
        <v>2885</v>
      </c>
      <c r="E194" s="62">
        <v>35</v>
      </c>
      <c r="F194" s="1" t="s">
        <v>2551</v>
      </c>
      <c r="G194" s="1" t="s">
        <v>2555</v>
      </c>
    </row>
    <row x14ac:dyDescent="0.25" r="195" customHeight="1" ht="17.25" hidden="1">
      <c r="A195" s="112" t="s">
        <v>1588</v>
      </c>
      <c r="B195" s="1" t="s">
        <v>2549</v>
      </c>
      <c r="C195" s="1" t="s">
        <v>47</v>
      </c>
      <c r="D195" s="1" t="s">
        <v>1590</v>
      </c>
      <c r="E195" s="62">
        <v>32</v>
      </c>
      <c r="F195" s="1" t="s">
        <v>2551</v>
      </c>
      <c r="G195" s="1" t="s">
        <v>2552</v>
      </c>
    </row>
    <row x14ac:dyDescent="0.25" r="196" customHeight="1" ht="17.25" hidden="1">
      <c r="A196" s="112" t="s">
        <v>2886</v>
      </c>
      <c r="B196" s="1" t="s">
        <v>2549</v>
      </c>
      <c r="C196" s="1" t="s">
        <v>47</v>
      </c>
      <c r="D196" s="1" t="s">
        <v>2887</v>
      </c>
      <c r="E196" s="62">
        <v>29</v>
      </c>
      <c r="F196" s="1" t="s">
        <v>2551</v>
      </c>
      <c r="G196" s="1" t="s">
        <v>2558</v>
      </c>
    </row>
    <row x14ac:dyDescent="0.25" r="197" customHeight="1" ht="17.25" hidden="1">
      <c r="A197" s="112" t="s">
        <v>2888</v>
      </c>
      <c r="B197" s="1" t="s">
        <v>2549</v>
      </c>
      <c r="C197" s="1" t="s">
        <v>47</v>
      </c>
      <c r="D197" s="1" t="s">
        <v>2889</v>
      </c>
      <c r="E197" s="62">
        <v>20</v>
      </c>
      <c r="F197" s="1" t="s">
        <v>2551</v>
      </c>
      <c r="G197" s="1" t="s">
        <v>2552</v>
      </c>
    </row>
    <row x14ac:dyDescent="0.25" r="198" customHeight="1" ht="17.25" hidden="1">
      <c r="A198" s="112" t="s">
        <v>2890</v>
      </c>
      <c r="B198" s="1" t="s">
        <v>2549</v>
      </c>
      <c r="C198" s="1" t="s">
        <v>47</v>
      </c>
      <c r="D198" s="1" t="s">
        <v>2891</v>
      </c>
      <c r="E198" s="62">
        <v>19</v>
      </c>
      <c r="F198" s="1" t="s">
        <v>2551</v>
      </c>
      <c r="G198" s="1" t="s">
        <v>2552</v>
      </c>
    </row>
    <row x14ac:dyDescent="0.25" r="199" customHeight="1" ht="17.25" hidden="1">
      <c r="A199" s="112" t="s">
        <v>2892</v>
      </c>
      <c r="B199" s="1" t="s">
        <v>2549</v>
      </c>
      <c r="C199" s="1" t="s">
        <v>47</v>
      </c>
      <c r="D199" s="1" t="s">
        <v>2893</v>
      </c>
      <c r="E199" s="62">
        <v>719</v>
      </c>
      <c r="F199" s="1" t="s">
        <v>2561</v>
      </c>
      <c r="G199" s="1" t="s">
        <v>2558</v>
      </c>
    </row>
    <row x14ac:dyDescent="0.25" r="200" customHeight="1" ht="17.25" hidden="1">
      <c r="A200" s="112" t="s">
        <v>2894</v>
      </c>
      <c r="B200" s="1" t="s">
        <v>2549</v>
      </c>
      <c r="C200" s="1" t="s">
        <v>47</v>
      </c>
      <c r="D200" s="1" t="s">
        <v>2895</v>
      </c>
      <c r="E200" s="62">
        <v>24</v>
      </c>
      <c r="F200" s="1" t="s">
        <v>2551</v>
      </c>
      <c r="G200" s="1" t="s">
        <v>2552</v>
      </c>
    </row>
    <row x14ac:dyDescent="0.25" r="201" customHeight="1" ht="17.25" hidden="1">
      <c r="A201" s="112" t="s">
        <v>2896</v>
      </c>
      <c r="B201" s="1" t="s">
        <v>2549</v>
      </c>
      <c r="C201" s="1" t="s">
        <v>47</v>
      </c>
      <c r="D201" s="1" t="s">
        <v>2897</v>
      </c>
      <c r="E201" s="62">
        <v>21</v>
      </c>
      <c r="F201" s="1" t="s">
        <v>2551</v>
      </c>
      <c r="G201" s="1" t="s">
        <v>2555</v>
      </c>
    </row>
    <row x14ac:dyDescent="0.25" r="202" customHeight="1" ht="17.25" hidden="1">
      <c r="A202" s="112" t="s">
        <v>2896</v>
      </c>
      <c r="B202" s="1" t="s">
        <v>2549</v>
      </c>
      <c r="C202" s="1" t="s">
        <v>47</v>
      </c>
      <c r="D202" s="1" t="s">
        <v>2898</v>
      </c>
      <c r="E202" s="62">
        <v>18</v>
      </c>
      <c r="F202" s="1" t="s">
        <v>2551</v>
      </c>
      <c r="G202" s="1" t="s">
        <v>2552</v>
      </c>
    </row>
    <row x14ac:dyDescent="0.25" r="203" customHeight="1" ht="17.25" hidden="1">
      <c r="A203" s="112" t="s">
        <v>2899</v>
      </c>
      <c r="B203" s="1" t="s">
        <v>2549</v>
      </c>
      <c r="C203" s="1" t="s">
        <v>47</v>
      </c>
      <c r="D203" s="1" t="s">
        <v>2900</v>
      </c>
      <c r="E203" s="54" t="s">
        <v>2571</v>
      </c>
      <c r="F203" s="1" t="s">
        <v>2551</v>
      </c>
      <c r="G203" s="1" t="s">
        <v>2571</v>
      </c>
    </row>
    <row x14ac:dyDescent="0.25" r="204" customHeight="1" ht="17.25" hidden="1">
      <c r="A204" s="112" t="s">
        <v>2901</v>
      </c>
      <c r="B204" s="1" t="s">
        <v>2549</v>
      </c>
      <c r="C204" s="1" t="s">
        <v>47</v>
      </c>
      <c r="D204" s="1" t="s">
        <v>2902</v>
      </c>
      <c r="E204" s="62">
        <v>54</v>
      </c>
      <c r="F204" s="1" t="s">
        <v>2551</v>
      </c>
      <c r="G204" s="1" t="s">
        <v>2558</v>
      </c>
    </row>
    <row x14ac:dyDescent="0.25" r="205" customHeight="1" ht="17.25" hidden="1">
      <c r="A205" s="112" t="s">
        <v>2903</v>
      </c>
      <c r="B205" s="1" t="s">
        <v>2549</v>
      </c>
      <c r="C205" s="1" t="s">
        <v>47</v>
      </c>
      <c r="D205" s="1" t="s">
        <v>2904</v>
      </c>
      <c r="E205" s="62">
        <v>25</v>
      </c>
      <c r="F205" s="1" t="s">
        <v>2551</v>
      </c>
      <c r="G205" s="1" t="s">
        <v>2555</v>
      </c>
    </row>
    <row x14ac:dyDescent="0.25" r="206" customHeight="1" ht="17.25" hidden="1">
      <c r="A206" s="112" t="s">
        <v>2905</v>
      </c>
      <c r="B206" s="1" t="s">
        <v>2549</v>
      </c>
      <c r="C206" s="1" t="s">
        <v>47</v>
      </c>
      <c r="D206" s="1" t="s">
        <v>2906</v>
      </c>
      <c r="E206" s="62">
        <v>22</v>
      </c>
      <c r="F206" s="1" t="s">
        <v>2551</v>
      </c>
      <c r="G206" s="1" t="s">
        <v>2555</v>
      </c>
    </row>
    <row x14ac:dyDescent="0.25" r="207" customHeight="1" ht="17.25" hidden="1">
      <c r="A207" s="112" t="s">
        <v>2907</v>
      </c>
      <c r="B207" s="1" t="s">
        <v>2549</v>
      </c>
      <c r="C207" s="1" t="s">
        <v>47</v>
      </c>
      <c r="D207" s="1" t="s">
        <v>2908</v>
      </c>
      <c r="E207" s="62">
        <v>33</v>
      </c>
      <c r="F207" s="1" t="s">
        <v>2551</v>
      </c>
      <c r="G207" s="1" t="s">
        <v>2552</v>
      </c>
    </row>
    <row x14ac:dyDescent="0.25" r="208" customHeight="1" ht="17.25" hidden="1">
      <c r="A208" s="112" t="s">
        <v>2909</v>
      </c>
      <c r="B208" s="1" t="s">
        <v>2549</v>
      </c>
      <c r="C208" s="1" t="s">
        <v>47</v>
      </c>
      <c r="D208" s="1" t="s">
        <v>2910</v>
      </c>
      <c r="E208" s="62">
        <v>36</v>
      </c>
      <c r="F208" s="1" t="s">
        <v>2551</v>
      </c>
      <c r="G208" s="1" t="s">
        <v>2555</v>
      </c>
    </row>
    <row x14ac:dyDescent="0.25" r="209" customHeight="1" ht="17.25" hidden="1">
      <c r="A209" s="112" t="s">
        <v>2911</v>
      </c>
      <c r="B209" s="1" t="s">
        <v>2549</v>
      </c>
      <c r="C209" s="1" t="s">
        <v>47</v>
      </c>
      <c r="D209" s="1" t="s">
        <v>2912</v>
      </c>
      <c r="E209" s="62">
        <v>19</v>
      </c>
      <c r="F209" s="1" t="s">
        <v>2551</v>
      </c>
      <c r="G209" s="1" t="s">
        <v>2555</v>
      </c>
    </row>
    <row x14ac:dyDescent="0.25" r="210" customHeight="1" ht="17.25" hidden="1">
      <c r="A210" s="112" t="s">
        <v>2913</v>
      </c>
      <c r="B210" s="1" t="s">
        <v>2549</v>
      </c>
      <c r="C210" s="1" t="s">
        <v>47</v>
      </c>
      <c r="D210" s="1" t="s">
        <v>2914</v>
      </c>
      <c r="E210" s="62">
        <v>25</v>
      </c>
      <c r="F210" s="1" t="s">
        <v>2551</v>
      </c>
      <c r="G210" s="1" t="s">
        <v>2555</v>
      </c>
    </row>
    <row x14ac:dyDescent="0.25" r="211" customHeight="1" ht="17.25" hidden="1">
      <c r="A211" s="112" t="s">
        <v>2915</v>
      </c>
      <c r="B211" s="1" t="s">
        <v>2549</v>
      </c>
      <c r="C211" s="1" t="s">
        <v>47</v>
      </c>
      <c r="D211" s="1" t="s">
        <v>2916</v>
      </c>
      <c r="E211" s="62">
        <v>20</v>
      </c>
      <c r="F211" s="1" t="s">
        <v>2551</v>
      </c>
      <c r="G211" s="1" t="s">
        <v>2552</v>
      </c>
    </row>
    <row x14ac:dyDescent="0.25" r="212" customHeight="1" ht="17.25" hidden="1">
      <c r="A212" s="112" t="s">
        <v>2917</v>
      </c>
      <c r="B212" s="1" t="s">
        <v>2549</v>
      </c>
      <c r="C212" s="1" t="s">
        <v>47</v>
      </c>
      <c r="D212" s="1" t="s">
        <v>2918</v>
      </c>
      <c r="E212" s="62">
        <v>26</v>
      </c>
      <c r="F212" s="1" t="s">
        <v>2551</v>
      </c>
      <c r="G212" s="1" t="s">
        <v>2552</v>
      </c>
    </row>
    <row x14ac:dyDescent="0.25" r="213" customHeight="1" ht="17.25" hidden="1">
      <c r="A213" s="112" t="s">
        <v>2919</v>
      </c>
      <c r="B213" s="1" t="s">
        <v>2549</v>
      </c>
      <c r="C213" s="1" t="s">
        <v>47</v>
      </c>
      <c r="D213" s="1" t="s">
        <v>2920</v>
      </c>
      <c r="E213" s="62">
        <v>28</v>
      </c>
      <c r="F213" s="1" t="s">
        <v>2551</v>
      </c>
      <c r="G213" s="1" t="s">
        <v>2552</v>
      </c>
    </row>
    <row x14ac:dyDescent="0.25" r="214" customHeight="1" ht="17.25" hidden="1">
      <c r="A214" s="112" t="s">
        <v>2921</v>
      </c>
      <c r="B214" s="1" t="s">
        <v>2549</v>
      </c>
      <c r="C214" s="1" t="s">
        <v>47</v>
      </c>
      <c r="D214" s="1" t="s">
        <v>2922</v>
      </c>
      <c r="E214" s="62">
        <v>20</v>
      </c>
      <c r="F214" s="1" t="s">
        <v>2551</v>
      </c>
      <c r="G214" s="1" t="s">
        <v>2555</v>
      </c>
    </row>
    <row x14ac:dyDescent="0.25" r="215" customHeight="1" ht="17.25" hidden="1">
      <c r="A215" s="112" t="s">
        <v>2923</v>
      </c>
      <c r="B215" s="1" t="s">
        <v>2549</v>
      </c>
      <c r="C215" s="1" t="s">
        <v>47</v>
      </c>
      <c r="D215" s="1" t="s">
        <v>2924</v>
      </c>
      <c r="E215" s="62">
        <v>37</v>
      </c>
      <c r="F215" s="1" t="s">
        <v>2561</v>
      </c>
      <c r="G215" s="1" t="s">
        <v>2552</v>
      </c>
    </row>
    <row x14ac:dyDescent="0.25" r="216" customHeight="1" ht="17.25" hidden="1">
      <c r="A216" s="112" t="s">
        <v>2925</v>
      </c>
      <c r="B216" s="1" t="s">
        <v>2549</v>
      </c>
      <c r="C216" s="1" t="s">
        <v>47</v>
      </c>
      <c r="D216" s="1" t="s">
        <v>2926</v>
      </c>
      <c r="E216" s="62">
        <v>18</v>
      </c>
      <c r="F216" s="1" t="s">
        <v>2561</v>
      </c>
      <c r="G216" s="1" t="s">
        <v>2555</v>
      </c>
    </row>
    <row x14ac:dyDescent="0.25" r="217" customHeight="1" ht="17.25" hidden="1">
      <c r="A217" s="112" t="s">
        <v>2927</v>
      </c>
      <c r="B217" s="1" t="s">
        <v>2549</v>
      </c>
      <c r="C217" s="1" t="s">
        <v>47</v>
      </c>
      <c r="D217" s="1" t="s">
        <v>2928</v>
      </c>
      <c r="E217" s="62">
        <v>31</v>
      </c>
      <c r="F217" s="1" t="s">
        <v>2551</v>
      </c>
      <c r="G217" s="1" t="s">
        <v>2558</v>
      </c>
    </row>
    <row x14ac:dyDescent="0.25" r="218" customHeight="1" ht="17.25" hidden="1">
      <c r="A218" s="112" t="s">
        <v>2929</v>
      </c>
      <c r="B218" s="1" t="s">
        <v>2549</v>
      </c>
      <c r="C218" s="1" t="s">
        <v>47</v>
      </c>
      <c r="D218" s="1" t="s">
        <v>2930</v>
      </c>
      <c r="E218" s="62">
        <v>19</v>
      </c>
      <c r="F218" s="1" t="s">
        <v>2551</v>
      </c>
      <c r="G218" s="1" t="s">
        <v>2558</v>
      </c>
    </row>
    <row x14ac:dyDescent="0.25" r="219" customHeight="1" ht="17.25" hidden="1">
      <c r="A219" s="112" t="s">
        <v>2931</v>
      </c>
      <c r="B219" s="1" t="s">
        <v>2549</v>
      </c>
      <c r="C219" s="1" t="s">
        <v>47</v>
      </c>
      <c r="D219" s="1" t="s">
        <v>2932</v>
      </c>
      <c r="E219" s="62">
        <v>20</v>
      </c>
      <c r="F219" s="1" t="s">
        <v>2551</v>
      </c>
      <c r="G219" s="1" t="s">
        <v>2552</v>
      </c>
    </row>
    <row x14ac:dyDescent="0.25" r="220" customHeight="1" ht="17.25" hidden="1">
      <c r="A220" s="112" t="s">
        <v>2933</v>
      </c>
      <c r="B220" s="1" t="s">
        <v>2549</v>
      </c>
      <c r="C220" s="1" t="s">
        <v>47</v>
      </c>
      <c r="D220" s="1" t="s">
        <v>2934</v>
      </c>
      <c r="E220" s="62">
        <v>26</v>
      </c>
      <c r="F220" s="1" t="s">
        <v>2551</v>
      </c>
      <c r="G220" s="1" t="s">
        <v>2558</v>
      </c>
    </row>
    <row x14ac:dyDescent="0.25" r="221" customHeight="1" ht="17.25" hidden="1">
      <c r="A221" s="112" t="s">
        <v>2935</v>
      </c>
      <c r="B221" s="1" t="s">
        <v>2549</v>
      </c>
      <c r="C221" s="1" t="s">
        <v>47</v>
      </c>
      <c r="D221" s="1" t="s">
        <v>2936</v>
      </c>
      <c r="E221" s="62">
        <v>21</v>
      </c>
      <c r="F221" s="1" t="s">
        <v>2551</v>
      </c>
      <c r="G221" s="1" t="s">
        <v>2555</v>
      </c>
    </row>
    <row x14ac:dyDescent="0.25" r="222" customHeight="1" ht="17.25" hidden="1">
      <c r="A222" s="112" t="s">
        <v>2935</v>
      </c>
      <c r="B222" s="1" t="s">
        <v>2549</v>
      </c>
      <c r="C222" s="1" t="s">
        <v>47</v>
      </c>
      <c r="D222" s="1" t="s">
        <v>2937</v>
      </c>
      <c r="E222" s="62">
        <v>33</v>
      </c>
      <c r="F222" s="1" t="s">
        <v>2551</v>
      </c>
      <c r="G222" s="1" t="s">
        <v>2552</v>
      </c>
    </row>
    <row x14ac:dyDescent="0.25" r="223" customHeight="1" ht="17.25" hidden="1">
      <c r="A223" s="112" t="s">
        <v>2935</v>
      </c>
      <c r="B223" s="1" t="s">
        <v>2549</v>
      </c>
      <c r="C223" s="1" t="s">
        <v>47</v>
      </c>
      <c r="D223" s="1" t="s">
        <v>2938</v>
      </c>
      <c r="E223" s="62">
        <v>32</v>
      </c>
      <c r="F223" s="1" t="s">
        <v>2551</v>
      </c>
      <c r="G223" s="1" t="s">
        <v>2555</v>
      </c>
    </row>
    <row x14ac:dyDescent="0.25" r="224" customHeight="1" ht="17.25" hidden="1">
      <c r="A224" s="112" t="s">
        <v>2939</v>
      </c>
      <c r="B224" s="1" t="s">
        <v>2549</v>
      </c>
      <c r="C224" s="1" t="s">
        <v>47</v>
      </c>
      <c r="D224" s="1" t="s">
        <v>2940</v>
      </c>
      <c r="E224" s="62">
        <v>26</v>
      </c>
      <c r="F224" s="1" t="s">
        <v>2551</v>
      </c>
      <c r="G224" s="1" t="s">
        <v>2552</v>
      </c>
    </row>
    <row x14ac:dyDescent="0.25" r="225" customHeight="1" ht="17.25" hidden="1">
      <c r="A225" s="112" t="s">
        <v>2941</v>
      </c>
      <c r="B225" s="1" t="s">
        <v>2549</v>
      </c>
      <c r="C225" s="1" t="s">
        <v>47</v>
      </c>
      <c r="D225" s="1" t="s">
        <v>2942</v>
      </c>
      <c r="E225" s="62">
        <v>25</v>
      </c>
      <c r="F225" s="1" t="s">
        <v>2551</v>
      </c>
      <c r="G225" s="1" t="s">
        <v>2552</v>
      </c>
    </row>
    <row x14ac:dyDescent="0.25" r="226" customHeight="1" ht="17.25" hidden="1">
      <c r="A226" s="112" t="s">
        <v>2943</v>
      </c>
      <c r="B226" s="1" t="s">
        <v>2549</v>
      </c>
      <c r="C226" s="1" t="s">
        <v>47</v>
      </c>
      <c r="D226" s="1" t="s">
        <v>2944</v>
      </c>
      <c r="E226" s="62">
        <v>24</v>
      </c>
      <c r="F226" s="1" t="s">
        <v>2551</v>
      </c>
      <c r="G226" s="1" t="s">
        <v>2552</v>
      </c>
    </row>
    <row x14ac:dyDescent="0.25" r="227" customHeight="1" ht="17.25" hidden="1">
      <c r="A227" s="112" t="s">
        <v>2945</v>
      </c>
      <c r="B227" s="1" t="s">
        <v>2549</v>
      </c>
      <c r="C227" s="1" t="s">
        <v>47</v>
      </c>
      <c r="D227" s="1" t="s">
        <v>2946</v>
      </c>
      <c r="E227" s="62">
        <v>29</v>
      </c>
      <c r="F227" s="1" t="s">
        <v>2551</v>
      </c>
      <c r="G227" s="1" t="s">
        <v>2555</v>
      </c>
    </row>
    <row x14ac:dyDescent="0.25" r="228" customHeight="1" ht="17.25" hidden="1">
      <c r="A228" s="112" t="s">
        <v>2945</v>
      </c>
      <c r="B228" s="1" t="s">
        <v>2549</v>
      </c>
      <c r="C228" s="1" t="s">
        <v>47</v>
      </c>
      <c r="D228" s="1" t="s">
        <v>2947</v>
      </c>
      <c r="E228" s="62">
        <v>37</v>
      </c>
      <c r="F228" s="1" t="s">
        <v>2551</v>
      </c>
      <c r="G228" s="1" t="s">
        <v>2552</v>
      </c>
    </row>
    <row x14ac:dyDescent="0.25" r="229" customHeight="1" ht="17.25" hidden="1">
      <c r="A229" s="112" t="s">
        <v>2948</v>
      </c>
      <c r="B229" s="1" t="s">
        <v>2549</v>
      </c>
      <c r="C229" s="1" t="s">
        <v>47</v>
      </c>
      <c r="D229" s="1" t="s">
        <v>2949</v>
      </c>
      <c r="E229" s="62">
        <v>27</v>
      </c>
      <c r="F229" s="1" t="s">
        <v>2551</v>
      </c>
      <c r="G229" s="1" t="s">
        <v>2552</v>
      </c>
    </row>
    <row x14ac:dyDescent="0.25" r="230" customHeight="1" ht="17.25" hidden="1">
      <c r="A230" s="112" t="s">
        <v>2950</v>
      </c>
      <c r="B230" s="1" t="s">
        <v>2549</v>
      </c>
      <c r="C230" s="1" t="s">
        <v>47</v>
      </c>
      <c r="D230" s="1" t="s">
        <v>2951</v>
      </c>
      <c r="E230" s="62">
        <v>27</v>
      </c>
      <c r="F230" s="1" t="s">
        <v>2551</v>
      </c>
      <c r="G230" s="1" t="s">
        <v>2558</v>
      </c>
    </row>
    <row x14ac:dyDescent="0.25" r="231" customHeight="1" ht="17.25" hidden="1">
      <c r="A231" s="112" t="s">
        <v>2952</v>
      </c>
      <c r="B231" s="1" t="s">
        <v>2549</v>
      </c>
      <c r="C231" s="1" t="s">
        <v>47</v>
      </c>
      <c r="D231" s="1" t="s">
        <v>2953</v>
      </c>
      <c r="E231" s="62">
        <v>19</v>
      </c>
      <c r="F231" s="1" t="s">
        <v>2551</v>
      </c>
      <c r="G231" s="1" t="s">
        <v>2552</v>
      </c>
    </row>
    <row x14ac:dyDescent="0.25" r="232" customHeight="1" ht="17.25" hidden="1">
      <c r="A232" s="112" t="s">
        <v>2954</v>
      </c>
      <c r="B232" s="1" t="s">
        <v>2549</v>
      </c>
      <c r="C232" s="1" t="s">
        <v>47</v>
      </c>
      <c r="D232" s="1" t="s">
        <v>2955</v>
      </c>
      <c r="E232" s="62">
        <v>32</v>
      </c>
      <c r="F232" s="1" t="s">
        <v>2551</v>
      </c>
      <c r="G232" s="1" t="s">
        <v>2555</v>
      </c>
    </row>
    <row x14ac:dyDescent="0.25" r="233" customHeight="1" ht="17.25" hidden="1">
      <c r="A233" s="112" t="s">
        <v>2956</v>
      </c>
      <c r="B233" s="1" t="s">
        <v>2549</v>
      </c>
      <c r="C233" s="1" t="s">
        <v>47</v>
      </c>
      <c r="D233" s="1" t="s">
        <v>2957</v>
      </c>
      <c r="E233" s="62">
        <v>24</v>
      </c>
      <c r="F233" s="1" t="s">
        <v>2551</v>
      </c>
      <c r="G233" s="1" t="s">
        <v>2555</v>
      </c>
    </row>
    <row x14ac:dyDescent="0.25" r="234" customHeight="1" ht="17.25" hidden="1">
      <c r="A234" s="112" t="s">
        <v>2958</v>
      </c>
      <c r="B234" s="1" t="s">
        <v>2549</v>
      </c>
      <c r="C234" s="1" t="s">
        <v>47</v>
      </c>
      <c r="D234" s="1" t="s">
        <v>2959</v>
      </c>
      <c r="E234" s="62">
        <v>27</v>
      </c>
      <c r="F234" s="1" t="s">
        <v>2561</v>
      </c>
      <c r="G234" s="1" t="s">
        <v>2555</v>
      </c>
    </row>
    <row x14ac:dyDescent="0.25" r="235" customHeight="1" ht="17.25" hidden="1">
      <c r="A235" s="112" t="s">
        <v>2960</v>
      </c>
      <c r="B235" s="1" t="s">
        <v>2549</v>
      </c>
      <c r="C235" s="1" t="s">
        <v>47</v>
      </c>
      <c r="D235" s="1" t="s">
        <v>2961</v>
      </c>
      <c r="E235" s="62">
        <v>24</v>
      </c>
      <c r="F235" s="1" t="s">
        <v>2551</v>
      </c>
      <c r="G235" s="1" t="s">
        <v>2552</v>
      </c>
    </row>
    <row x14ac:dyDescent="0.25" r="236" customHeight="1" ht="17.25" hidden="1">
      <c r="A236" s="112" t="s">
        <v>2962</v>
      </c>
      <c r="B236" s="1" t="s">
        <v>2549</v>
      </c>
      <c r="C236" s="1" t="s">
        <v>47</v>
      </c>
      <c r="D236" s="1" t="s">
        <v>2963</v>
      </c>
      <c r="E236" s="62">
        <v>21</v>
      </c>
      <c r="F236" s="1" t="s">
        <v>2551</v>
      </c>
      <c r="G236" s="1" t="s">
        <v>2964</v>
      </c>
    </row>
    <row x14ac:dyDescent="0.25" r="237" customHeight="1" ht="17.25" hidden="1">
      <c r="A237" s="112" t="s">
        <v>2965</v>
      </c>
      <c r="B237" s="1" t="s">
        <v>2549</v>
      </c>
      <c r="C237" s="1" t="s">
        <v>47</v>
      </c>
      <c r="D237" s="1" t="s">
        <v>2966</v>
      </c>
      <c r="E237" s="62">
        <v>18</v>
      </c>
      <c r="F237" s="1" t="s">
        <v>2551</v>
      </c>
      <c r="G237" s="1" t="s">
        <v>2555</v>
      </c>
    </row>
    <row x14ac:dyDescent="0.25" r="238" customHeight="1" ht="17.25" hidden="1">
      <c r="A238" s="112" t="s">
        <v>1033</v>
      </c>
      <c r="B238" s="1" t="s">
        <v>2549</v>
      </c>
      <c r="C238" s="1" t="s">
        <v>47</v>
      </c>
      <c r="D238" s="1" t="s">
        <v>1035</v>
      </c>
      <c r="E238" s="62">
        <v>20</v>
      </c>
      <c r="F238" s="1" t="s">
        <v>2561</v>
      </c>
      <c r="G238" s="1" t="s">
        <v>2552</v>
      </c>
    </row>
    <row x14ac:dyDescent="0.25" r="239" customHeight="1" ht="17.25" hidden="1">
      <c r="A239" s="112" t="s">
        <v>2077</v>
      </c>
      <c r="B239" s="1" t="s">
        <v>2549</v>
      </c>
      <c r="C239" s="1" t="s">
        <v>47</v>
      </c>
      <c r="D239" s="1" t="s">
        <v>2079</v>
      </c>
      <c r="E239" s="62">
        <v>34</v>
      </c>
      <c r="F239" s="1" t="s">
        <v>2551</v>
      </c>
      <c r="G239" s="1" t="s">
        <v>2552</v>
      </c>
    </row>
    <row x14ac:dyDescent="0.25" r="240" customHeight="1" ht="17.25" hidden="1">
      <c r="A240" s="112" t="s">
        <v>2967</v>
      </c>
      <c r="B240" s="1" t="s">
        <v>2549</v>
      </c>
      <c r="C240" s="1" t="s">
        <v>48</v>
      </c>
      <c r="D240" s="1" t="s">
        <v>2968</v>
      </c>
      <c r="E240" s="62">
        <v>27</v>
      </c>
      <c r="F240" s="1" t="s">
        <v>2551</v>
      </c>
      <c r="G240" s="1" t="s">
        <v>2552</v>
      </c>
    </row>
    <row x14ac:dyDescent="0.25" r="241" customHeight="1" ht="17.25" hidden="1">
      <c r="A241" s="112" t="s">
        <v>2969</v>
      </c>
      <c r="B241" s="1" t="s">
        <v>2549</v>
      </c>
      <c r="C241" s="1" t="s">
        <v>48</v>
      </c>
      <c r="D241" s="1" t="s">
        <v>2970</v>
      </c>
      <c r="E241" s="62">
        <v>18</v>
      </c>
      <c r="F241" s="1" t="s">
        <v>2551</v>
      </c>
      <c r="G241" s="1" t="s">
        <v>2552</v>
      </c>
    </row>
    <row x14ac:dyDescent="0.25" r="242" customHeight="1" ht="17.25" hidden="1">
      <c r="A242" s="112" t="s">
        <v>2971</v>
      </c>
      <c r="B242" s="1" t="s">
        <v>2549</v>
      </c>
      <c r="C242" s="1" t="s">
        <v>48</v>
      </c>
      <c r="D242" s="1" t="s">
        <v>2972</v>
      </c>
      <c r="E242" s="62">
        <v>22</v>
      </c>
      <c r="F242" s="1" t="s">
        <v>2551</v>
      </c>
      <c r="G242" s="1" t="s">
        <v>2555</v>
      </c>
    </row>
    <row x14ac:dyDescent="0.25" r="243" customHeight="1" ht="17.25" hidden="1">
      <c r="A243" s="112" t="s">
        <v>2973</v>
      </c>
      <c r="B243" s="1" t="s">
        <v>2549</v>
      </c>
      <c r="C243" s="1" t="s">
        <v>48</v>
      </c>
      <c r="D243" s="1" t="s">
        <v>2974</v>
      </c>
      <c r="E243" s="62">
        <v>29</v>
      </c>
      <c r="F243" s="1" t="s">
        <v>2551</v>
      </c>
      <c r="G243" s="1" t="s">
        <v>2552</v>
      </c>
    </row>
    <row x14ac:dyDescent="0.25" r="244" customHeight="1" ht="17.25" hidden="1">
      <c r="A244" s="112" t="s">
        <v>2975</v>
      </c>
      <c r="B244" s="1" t="s">
        <v>2549</v>
      </c>
      <c r="C244" s="1" t="s">
        <v>48</v>
      </c>
      <c r="D244" s="1" t="s">
        <v>2976</v>
      </c>
      <c r="E244" s="62">
        <v>19</v>
      </c>
      <c r="F244" s="1" t="s">
        <v>2551</v>
      </c>
      <c r="G244" s="1" t="s">
        <v>2555</v>
      </c>
    </row>
    <row x14ac:dyDescent="0.25" r="245" customHeight="1" ht="17.25" hidden="1">
      <c r="A245" s="112" t="s">
        <v>2977</v>
      </c>
      <c r="B245" s="1" t="s">
        <v>2549</v>
      </c>
      <c r="C245" s="1" t="s">
        <v>48</v>
      </c>
      <c r="D245" s="1" t="s">
        <v>2978</v>
      </c>
      <c r="E245" s="62">
        <v>22</v>
      </c>
      <c r="F245" s="1" t="s">
        <v>2551</v>
      </c>
      <c r="G245" s="1" t="s">
        <v>2552</v>
      </c>
    </row>
    <row x14ac:dyDescent="0.25" r="246" customHeight="1" ht="17.25" hidden="1">
      <c r="A246" s="112" t="s">
        <v>2979</v>
      </c>
      <c r="B246" s="1" t="s">
        <v>2549</v>
      </c>
      <c r="C246" s="1" t="s">
        <v>48</v>
      </c>
      <c r="D246" s="1" t="s">
        <v>2980</v>
      </c>
      <c r="E246" s="62">
        <v>24</v>
      </c>
      <c r="F246" s="1" t="s">
        <v>2561</v>
      </c>
      <c r="G246" s="1" t="s">
        <v>2555</v>
      </c>
    </row>
    <row x14ac:dyDescent="0.25" r="247" customHeight="1" ht="17.25" hidden="1">
      <c r="A247" s="112" t="s">
        <v>2981</v>
      </c>
      <c r="B247" s="1" t="s">
        <v>2549</v>
      </c>
      <c r="C247" s="1" t="s">
        <v>48</v>
      </c>
      <c r="D247" s="1" t="s">
        <v>2982</v>
      </c>
      <c r="E247" s="62">
        <v>46</v>
      </c>
      <c r="F247" s="1" t="s">
        <v>2551</v>
      </c>
      <c r="G247" s="1" t="s">
        <v>2552</v>
      </c>
    </row>
    <row x14ac:dyDescent="0.25" r="248" customHeight="1" ht="17.25" hidden="1">
      <c r="A248" s="112" t="s">
        <v>2983</v>
      </c>
      <c r="B248" s="1" t="s">
        <v>2549</v>
      </c>
      <c r="C248" s="1" t="s">
        <v>48</v>
      </c>
      <c r="D248" s="1" t="s">
        <v>2984</v>
      </c>
      <c r="E248" s="62">
        <v>21</v>
      </c>
      <c r="F248" s="1" t="s">
        <v>2551</v>
      </c>
      <c r="G248" s="1" t="s">
        <v>2555</v>
      </c>
    </row>
    <row x14ac:dyDescent="0.25" r="249" customHeight="1" ht="17.25" hidden="1">
      <c r="A249" s="112" t="s">
        <v>2985</v>
      </c>
      <c r="B249" s="1" t="s">
        <v>2549</v>
      </c>
      <c r="C249" s="1" t="s">
        <v>48</v>
      </c>
      <c r="D249" s="1" t="s">
        <v>2986</v>
      </c>
      <c r="E249" s="62">
        <v>23</v>
      </c>
      <c r="F249" s="1" t="s">
        <v>2551</v>
      </c>
      <c r="G249" s="1" t="s">
        <v>2552</v>
      </c>
    </row>
    <row x14ac:dyDescent="0.25" r="250" customHeight="1" ht="17.25" hidden="1">
      <c r="A250" s="112" t="s">
        <v>2985</v>
      </c>
      <c r="B250" s="1" t="s">
        <v>2549</v>
      </c>
      <c r="C250" s="1" t="s">
        <v>48</v>
      </c>
      <c r="D250" s="1" t="s">
        <v>2987</v>
      </c>
      <c r="E250" s="62">
        <v>28</v>
      </c>
      <c r="F250" s="1" t="s">
        <v>2551</v>
      </c>
      <c r="G250" s="1" t="s">
        <v>2555</v>
      </c>
    </row>
    <row x14ac:dyDescent="0.25" r="251" customHeight="1" ht="17.25" hidden="1">
      <c r="A251" s="112" t="s">
        <v>2985</v>
      </c>
      <c r="B251" s="1" t="s">
        <v>2549</v>
      </c>
      <c r="C251" s="1" t="s">
        <v>48</v>
      </c>
      <c r="D251" s="1" t="s">
        <v>2988</v>
      </c>
      <c r="E251" s="62">
        <v>28</v>
      </c>
      <c r="F251" s="1" t="s">
        <v>2551</v>
      </c>
      <c r="G251" s="1" t="s">
        <v>2555</v>
      </c>
    </row>
    <row x14ac:dyDescent="0.25" r="252" customHeight="1" ht="17.25" hidden="1">
      <c r="A252" s="112" t="s">
        <v>2985</v>
      </c>
      <c r="B252" s="1" t="s">
        <v>2549</v>
      </c>
      <c r="C252" s="1" t="s">
        <v>48</v>
      </c>
      <c r="D252" s="1" t="s">
        <v>2989</v>
      </c>
      <c r="E252" s="62">
        <v>25</v>
      </c>
      <c r="F252" s="1" t="s">
        <v>2551</v>
      </c>
      <c r="G252" s="1" t="s">
        <v>2552</v>
      </c>
    </row>
    <row x14ac:dyDescent="0.25" r="253" customHeight="1" ht="17.25" hidden="1">
      <c r="A253" s="112" t="s">
        <v>2985</v>
      </c>
      <c r="B253" s="1" t="s">
        <v>2549</v>
      </c>
      <c r="C253" s="1" t="s">
        <v>48</v>
      </c>
      <c r="D253" s="1" t="s">
        <v>2990</v>
      </c>
      <c r="E253" s="62">
        <v>32</v>
      </c>
      <c r="F253" s="1" t="s">
        <v>2551</v>
      </c>
      <c r="G253" s="1" t="s">
        <v>2558</v>
      </c>
    </row>
    <row x14ac:dyDescent="0.25" r="254" customHeight="1" ht="17.25" hidden="1">
      <c r="A254" s="112" t="s">
        <v>2985</v>
      </c>
      <c r="B254" s="1" t="s">
        <v>2549</v>
      </c>
      <c r="C254" s="1" t="s">
        <v>48</v>
      </c>
      <c r="D254" s="1" t="s">
        <v>2991</v>
      </c>
      <c r="E254" s="62">
        <v>25</v>
      </c>
      <c r="F254" s="1" t="s">
        <v>2551</v>
      </c>
      <c r="G254" s="1" t="s">
        <v>2552</v>
      </c>
    </row>
    <row x14ac:dyDescent="0.25" r="255" customHeight="1" ht="17.25" hidden="1">
      <c r="A255" s="112" t="s">
        <v>2985</v>
      </c>
      <c r="B255" s="1" t="s">
        <v>2549</v>
      </c>
      <c r="C255" s="1" t="s">
        <v>48</v>
      </c>
      <c r="D255" s="1" t="s">
        <v>2992</v>
      </c>
      <c r="E255" s="62">
        <v>31</v>
      </c>
      <c r="F255" s="1" t="s">
        <v>2551</v>
      </c>
      <c r="G255" s="1" t="s">
        <v>2964</v>
      </c>
    </row>
    <row x14ac:dyDescent="0.25" r="256" customHeight="1" ht="17.25" hidden="1">
      <c r="A256" s="112" t="s">
        <v>2993</v>
      </c>
      <c r="B256" s="1" t="s">
        <v>2549</v>
      </c>
      <c r="C256" s="1" t="s">
        <v>48</v>
      </c>
      <c r="D256" s="1" t="s">
        <v>2994</v>
      </c>
      <c r="E256" s="62">
        <v>20</v>
      </c>
      <c r="F256" s="1" t="s">
        <v>2551</v>
      </c>
      <c r="G256" s="1" t="s">
        <v>2552</v>
      </c>
    </row>
    <row x14ac:dyDescent="0.25" r="257" customHeight="1" ht="17.25" hidden="1">
      <c r="A257" s="112" t="s">
        <v>2995</v>
      </c>
      <c r="B257" s="1" t="s">
        <v>2549</v>
      </c>
      <c r="C257" s="1" t="s">
        <v>48</v>
      </c>
      <c r="D257" s="1" t="s">
        <v>2996</v>
      </c>
      <c r="E257" s="62">
        <v>33</v>
      </c>
      <c r="F257" s="1" t="s">
        <v>2551</v>
      </c>
      <c r="G257" s="1" t="s">
        <v>2552</v>
      </c>
    </row>
    <row x14ac:dyDescent="0.25" r="258" customHeight="1" ht="17.25" hidden="1">
      <c r="A258" s="112" t="s">
        <v>2997</v>
      </c>
      <c r="B258" s="1" t="s">
        <v>2549</v>
      </c>
      <c r="C258" s="1" t="s">
        <v>48</v>
      </c>
      <c r="D258" s="1" t="s">
        <v>2998</v>
      </c>
      <c r="E258" s="62">
        <v>33</v>
      </c>
      <c r="F258" s="1" t="s">
        <v>2551</v>
      </c>
      <c r="G258" s="1" t="s">
        <v>2552</v>
      </c>
    </row>
    <row x14ac:dyDescent="0.25" r="259" customHeight="1" ht="17.25" hidden="1">
      <c r="A259" s="112" t="s">
        <v>2999</v>
      </c>
      <c r="B259" s="1" t="s">
        <v>2549</v>
      </c>
      <c r="C259" s="1" t="s">
        <v>48</v>
      </c>
      <c r="D259" s="1" t="s">
        <v>3000</v>
      </c>
      <c r="E259" s="62">
        <v>29</v>
      </c>
      <c r="F259" s="1" t="s">
        <v>2551</v>
      </c>
      <c r="G259" s="1" t="s">
        <v>2555</v>
      </c>
    </row>
    <row x14ac:dyDescent="0.25" r="260" customHeight="1" ht="17.25" hidden="1">
      <c r="A260" s="112" t="s">
        <v>3001</v>
      </c>
      <c r="B260" s="1" t="s">
        <v>2549</v>
      </c>
      <c r="C260" s="1" t="s">
        <v>48</v>
      </c>
      <c r="D260" s="1" t="s">
        <v>3002</v>
      </c>
      <c r="E260" s="62">
        <v>34</v>
      </c>
      <c r="F260" s="1" t="s">
        <v>2551</v>
      </c>
      <c r="G260" s="1" t="s">
        <v>2555</v>
      </c>
    </row>
    <row x14ac:dyDescent="0.25" r="261" customHeight="1" ht="17.25" hidden="1">
      <c r="A261" s="112" t="s">
        <v>3003</v>
      </c>
      <c r="B261" s="1" t="s">
        <v>2549</v>
      </c>
      <c r="C261" s="1" t="s">
        <v>48</v>
      </c>
      <c r="D261" s="1" t="s">
        <v>3004</v>
      </c>
      <c r="E261" s="62">
        <v>20</v>
      </c>
      <c r="F261" s="1" t="s">
        <v>2551</v>
      </c>
      <c r="G261" s="1" t="s">
        <v>2555</v>
      </c>
    </row>
    <row x14ac:dyDescent="0.25" r="262" customHeight="1" ht="17.25" hidden="1">
      <c r="A262" s="112" t="s">
        <v>3005</v>
      </c>
      <c r="B262" s="1" t="s">
        <v>2549</v>
      </c>
      <c r="C262" s="1" t="s">
        <v>48</v>
      </c>
      <c r="D262" s="1" t="s">
        <v>3006</v>
      </c>
      <c r="E262" s="62">
        <v>31</v>
      </c>
      <c r="F262" s="1" t="s">
        <v>2551</v>
      </c>
      <c r="G262" s="1" t="s">
        <v>2558</v>
      </c>
    </row>
    <row x14ac:dyDescent="0.25" r="263" customHeight="1" ht="17.25" hidden="1">
      <c r="A263" s="112" t="s">
        <v>3007</v>
      </c>
      <c r="B263" s="1" t="s">
        <v>2549</v>
      </c>
      <c r="C263" s="1" t="s">
        <v>48</v>
      </c>
      <c r="D263" s="1" t="s">
        <v>3008</v>
      </c>
      <c r="E263" s="62">
        <v>24</v>
      </c>
      <c r="F263" s="1" t="s">
        <v>2551</v>
      </c>
      <c r="G263" s="1" t="s">
        <v>2552</v>
      </c>
    </row>
    <row x14ac:dyDescent="0.25" r="264" customHeight="1" ht="17.25" hidden="1">
      <c r="A264" s="112" t="s">
        <v>3007</v>
      </c>
      <c r="B264" s="1" t="s">
        <v>2549</v>
      </c>
      <c r="C264" s="1" t="s">
        <v>48</v>
      </c>
      <c r="D264" s="1" t="s">
        <v>3009</v>
      </c>
      <c r="E264" s="62">
        <v>19</v>
      </c>
      <c r="F264" s="1" t="s">
        <v>2551</v>
      </c>
      <c r="G264" s="1" t="s">
        <v>2555</v>
      </c>
    </row>
    <row x14ac:dyDescent="0.25" r="265" customHeight="1" ht="17.25" hidden="1">
      <c r="A265" s="112" t="s">
        <v>3010</v>
      </c>
      <c r="B265" s="1" t="s">
        <v>2549</v>
      </c>
      <c r="C265" s="1" t="s">
        <v>48</v>
      </c>
      <c r="D265" s="1" t="s">
        <v>3011</v>
      </c>
      <c r="E265" s="62">
        <v>19</v>
      </c>
      <c r="F265" s="1" t="s">
        <v>2551</v>
      </c>
      <c r="G265" s="1" t="s">
        <v>2552</v>
      </c>
    </row>
    <row x14ac:dyDescent="0.25" r="266" customHeight="1" ht="17.25" hidden="1">
      <c r="A266" s="112" t="s">
        <v>3012</v>
      </c>
      <c r="B266" s="1" t="s">
        <v>2549</v>
      </c>
      <c r="C266" s="1" t="s">
        <v>48</v>
      </c>
      <c r="D266" s="1" t="s">
        <v>3013</v>
      </c>
      <c r="E266" s="62">
        <v>18</v>
      </c>
      <c r="F266" s="1" t="s">
        <v>2551</v>
      </c>
      <c r="G266" s="1" t="s">
        <v>2555</v>
      </c>
    </row>
    <row x14ac:dyDescent="0.25" r="267" customHeight="1" ht="17.25" hidden="1">
      <c r="A267" s="112" t="s">
        <v>3014</v>
      </c>
      <c r="B267" s="1" t="s">
        <v>2549</v>
      </c>
      <c r="C267" s="1" t="s">
        <v>48</v>
      </c>
      <c r="D267" s="1" t="s">
        <v>3015</v>
      </c>
      <c r="E267" s="62">
        <v>19</v>
      </c>
      <c r="F267" s="1" t="s">
        <v>2551</v>
      </c>
      <c r="G267" s="1" t="s">
        <v>2555</v>
      </c>
    </row>
    <row x14ac:dyDescent="0.25" r="268" customHeight="1" ht="17.25" hidden="1">
      <c r="A268" s="112" t="s">
        <v>3016</v>
      </c>
      <c r="B268" s="1" t="s">
        <v>2549</v>
      </c>
      <c r="C268" s="1" t="s">
        <v>48</v>
      </c>
      <c r="D268" s="1" t="s">
        <v>3017</v>
      </c>
      <c r="E268" s="62">
        <v>29</v>
      </c>
      <c r="F268" s="1" t="s">
        <v>2551</v>
      </c>
      <c r="G268" s="1" t="s">
        <v>2555</v>
      </c>
    </row>
    <row x14ac:dyDescent="0.25" r="269" customHeight="1" ht="17.25" hidden="1">
      <c r="A269" s="112" t="s">
        <v>3016</v>
      </c>
      <c r="B269" s="1" t="s">
        <v>2549</v>
      </c>
      <c r="C269" s="1" t="s">
        <v>48</v>
      </c>
      <c r="D269" s="1" t="s">
        <v>3018</v>
      </c>
      <c r="E269" s="62">
        <v>36</v>
      </c>
      <c r="F269" s="1" t="s">
        <v>2551</v>
      </c>
      <c r="G269" s="1" t="s">
        <v>2552</v>
      </c>
    </row>
    <row x14ac:dyDescent="0.25" r="270" customHeight="1" ht="17.25" hidden="1">
      <c r="A270" s="112" t="s">
        <v>1475</v>
      </c>
      <c r="B270" s="1" t="s">
        <v>2549</v>
      </c>
      <c r="C270" s="1" t="s">
        <v>48</v>
      </c>
      <c r="D270" s="1" t="s">
        <v>1477</v>
      </c>
      <c r="E270" s="62">
        <v>44</v>
      </c>
      <c r="F270" s="1" t="s">
        <v>2551</v>
      </c>
      <c r="G270" s="1" t="s">
        <v>2558</v>
      </c>
    </row>
    <row x14ac:dyDescent="0.25" r="271" customHeight="1" ht="17.25" hidden="1">
      <c r="A271" s="112" t="s">
        <v>3019</v>
      </c>
      <c r="B271" s="1" t="s">
        <v>2549</v>
      </c>
      <c r="C271" s="1" t="s">
        <v>48</v>
      </c>
      <c r="D271" s="1" t="s">
        <v>3020</v>
      </c>
      <c r="E271" s="62">
        <v>28</v>
      </c>
      <c r="F271" s="1" t="s">
        <v>2551</v>
      </c>
      <c r="G271" s="1" t="s">
        <v>2555</v>
      </c>
    </row>
    <row x14ac:dyDescent="0.25" r="272" customHeight="1" ht="17.25" hidden="1">
      <c r="A272" s="112" t="s">
        <v>2039</v>
      </c>
      <c r="B272" s="1" t="s">
        <v>2549</v>
      </c>
      <c r="C272" s="1" t="s">
        <v>48</v>
      </c>
      <c r="D272" s="1" t="s">
        <v>2040</v>
      </c>
      <c r="E272" s="62">
        <v>35</v>
      </c>
      <c r="F272" s="1" t="s">
        <v>2551</v>
      </c>
      <c r="G272" s="1" t="s">
        <v>2552</v>
      </c>
    </row>
    <row x14ac:dyDescent="0.25" r="273" customHeight="1" ht="17.25" hidden="1">
      <c r="A273" s="112" t="s">
        <v>3021</v>
      </c>
      <c r="B273" s="1" t="s">
        <v>2549</v>
      </c>
      <c r="C273" s="1" t="s">
        <v>48</v>
      </c>
      <c r="D273" s="1" t="s">
        <v>3022</v>
      </c>
      <c r="E273" s="62">
        <v>30</v>
      </c>
      <c r="F273" s="1" t="s">
        <v>2551</v>
      </c>
      <c r="G273" s="1" t="s">
        <v>2555</v>
      </c>
    </row>
    <row x14ac:dyDescent="0.25" r="274" customHeight="1" ht="17.25" hidden="1">
      <c r="A274" s="112" t="s">
        <v>3023</v>
      </c>
      <c r="B274" s="1" t="s">
        <v>2549</v>
      </c>
      <c r="C274" s="1" t="s">
        <v>48</v>
      </c>
      <c r="D274" s="1" t="s">
        <v>3024</v>
      </c>
      <c r="E274" s="62">
        <v>33</v>
      </c>
      <c r="F274" s="1" t="s">
        <v>2551</v>
      </c>
      <c r="G274" s="1" t="s">
        <v>2555</v>
      </c>
    </row>
    <row x14ac:dyDescent="0.25" r="275" customHeight="1" ht="17.25" hidden="1">
      <c r="A275" s="112" t="s">
        <v>3025</v>
      </c>
      <c r="B275" s="1" t="s">
        <v>2549</v>
      </c>
      <c r="C275" s="1" t="s">
        <v>48</v>
      </c>
      <c r="D275" s="1" t="s">
        <v>3026</v>
      </c>
      <c r="E275" s="62">
        <v>20</v>
      </c>
      <c r="F275" s="1" t="s">
        <v>2551</v>
      </c>
      <c r="G275" s="1" t="s">
        <v>2552</v>
      </c>
    </row>
    <row x14ac:dyDescent="0.25" r="276" customHeight="1" ht="17.25" hidden="1">
      <c r="A276" s="112" t="s">
        <v>3027</v>
      </c>
      <c r="B276" s="1" t="s">
        <v>2549</v>
      </c>
      <c r="C276" s="1" t="s">
        <v>48</v>
      </c>
      <c r="D276" s="1" t="s">
        <v>3028</v>
      </c>
      <c r="E276" s="62">
        <v>28</v>
      </c>
      <c r="F276" s="1" t="s">
        <v>2551</v>
      </c>
      <c r="G276" s="1" t="s">
        <v>2552</v>
      </c>
    </row>
    <row x14ac:dyDescent="0.25" r="277" customHeight="1" ht="17.25" hidden="1">
      <c r="A277" s="112" t="s">
        <v>1255</v>
      </c>
      <c r="B277" s="1" t="s">
        <v>2549</v>
      </c>
      <c r="C277" s="1" t="s">
        <v>48</v>
      </c>
      <c r="D277" s="1" t="s">
        <v>1256</v>
      </c>
      <c r="E277" s="62">
        <v>24</v>
      </c>
      <c r="F277" s="1" t="s">
        <v>2551</v>
      </c>
      <c r="G277" s="1" t="s">
        <v>2558</v>
      </c>
    </row>
    <row x14ac:dyDescent="0.25" r="278" customHeight="1" ht="17.25" hidden="1">
      <c r="A278" s="112" t="s">
        <v>3029</v>
      </c>
      <c r="B278" s="1" t="s">
        <v>2549</v>
      </c>
      <c r="C278" s="1" t="s">
        <v>48</v>
      </c>
      <c r="D278" s="1" t="s">
        <v>3030</v>
      </c>
      <c r="E278" s="62">
        <v>18</v>
      </c>
      <c r="F278" s="1" t="s">
        <v>2551</v>
      </c>
      <c r="G278" s="1" t="s">
        <v>2555</v>
      </c>
    </row>
    <row x14ac:dyDescent="0.25" r="279" customHeight="1" ht="17.25" hidden="1">
      <c r="A279" s="112" t="s">
        <v>3031</v>
      </c>
      <c r="B279" s="1" t="s">
        <v>2549</v>
      </c>
      <c r="C279" s="1" t="s">
        <v>48</v>
      </c>
      <c r="D279" s="1" t="s">
        <v>3032</v>
      </c>
      <c r="E279" s="62">
        <v>18</v>
      </c>
      <c r="F279" s="1" t="s">
        <v>2551</v>
      </c>
      <c r="G279" s="1" t="s">
        <v>2552</v>
      </c>
    </row>
    <row x14ac:dyDescent="0.25" r="280" customHeight="1" ht="17.25" hidden="1">
      <c r="A280" s="112" t="s">
        <v>3033</v>
      </c>
      <c r="B280" s="1" t="s">
        <v>2549</v>
      </c>
      <c r="C280" s="1" t="s">
        <v>48</v>
      </c>
      <c r="D280" s="1" t="s">
        <v>3034</v>
      </c>
      <c r="E280" s="62">
        <v>20</v>
      </c>
      <c r="F280" s="1" t="s">
        <v>2551</v>
      </c>
      <c r="G280" s="1" t="s">
        <v>2555</v>
      </c>
    </row>
    <row x14ac:dyDescent="0.25" r="281" customHeight="1" ht="17.25" hidden="1">
      <c r="A281" s="112" t="s">
        <v>3035</v>
      </c>
      <c r="B281" s="1" t="s">
        <v>2549</v>
      </c>
      <c r="C281" s="1" t="s">
        <v>48</v>
      </c>
      <c r="D281" s="1" t="s">
        <v>3036</v>
      </c>
      <c r="E281" s="62">
        <v>35</v>
      </c>
      <c r="F281" s="1" t="s">
        <v>2551</v>
      </c>
      <c r="G281" s="1" t="s">
        <v>2552</v>
      </c>
    </row>
    <row x14ac:dyDescent="0.25" r="282" customHeight="1" ht="17.25" hidden="1">
      <c r="A282" s="112" t="s">
        <v>3037</v>
      </c>
      <c r="B282" s="1" t="s">
        <v>2549</v>
      </c>
      <c r="C282" s="1" t="s">
        <v>48</v>
      </c>
      <c r="D282" s="1" t="s">
        <v>3038</v>
      </c>
      <c r="E282" s="62">
        <v>28</v>
      </c>
      <c r="F282" s="1" t="s">
        <v>2551</v>
      </c>
      <c r="G282" s="1" t="s">
        <v>2552</v>
      </c>
    </row>
    <row x14ac:dyDescent="0.25" r="283" customHeight="1" ht="17.25" hidden="1">
      <c r="A283" s="112" t="s">
        <v>3039</v>
      </c>
      <c r="B283" s="1" t="s">
        <v>2549</v>
      </c>
      <c r="C283" s="1" t="s">
        <v>48</v>
      </c>
      <c r="D283" s="1" t="s">
        <v>3040</v>
      </c>
      <c r="E283" s="62">
        <v>22</v>
      </c>
      <c r="F283" s="1" t="s">
        <v>2561</v>
      </c>
      <c r="G283" s="1" t="s">
        <v>2555</v>
      </c>
    </row>
    <row x14ac:dyDescent="0.25" r="284" customHeight="1" ht="17.25" hidden="1">
      <c r="A284" s="112" t="s">
        <v>3039</v>
      </c>
      <c r="B284" s="1" t="s">
        <v>2549</v>
      </c>
      <c r="C284" s="1" t="s">
        <v>48</v>
      </c>
      <c r="D284" s="1" t="s">
        <v>3041</v>
      </c>
      <c r="E284" s="62">
        <v>20</v>
      </c>
      <c r="F284" s="1" t="s">
        <v>2561</v>
      </c>
      <c r="G284" s="1" t="s">
        <v>2555</v>
      </c>
    </row>
    <row x14ac:dyDescent="0.25" r="285" customHeight="1" ht="17.25" hidden="1">
      <c r="A285" s="112" t="s">
        <v>3042</v>
      </c>
      <c r="B285" s="1" t="s">
        <v>2549</v>
      </c>
      <c r="C285" s="1" t="s">
        <v>48</v>
      </c>
      <c r="D285" s="1" t="s">
        <v>3043</v>
      </c>
      <c r="E285" s="62">
        <v>35</v>
      </c>
      <c r="F285" s="1" t="s">
        <v>2551</v>
      </c>
      <c r="G285" s="1" t="s">
        <v>2552</v>
      </c>
    </row>
    <row x14ac:dyDescent="0.25" r="286" customHeight="1" ht="17.25" hidden="1">
      <c r="A286" s="112" t="s">
        <v>3044</v>
      </c>
      <c r="B286" s="1" t="s">
        <v>2549</v>
      </c>
      <c r="C286" s="1" t="s">
        <v>48</v>
      </c>
      <c r="D286" s="1" t="s">
        <v>3045</v>
      </c>
      <c r="E286" s="62">
        <v>30</v>
      </c>
      <c r="F286" s="1" t="s">
        <v>2551</v>
      </c>
      <c r="G286" s="1" t="s">
        <v>2555</v>
      </c>
    </row>
    <row x14ac:dyDescent="0.25" r="287" customHeight="1" ht="17.25" hidden="1">
      <c r="A287" s="112" t="s">
        <v>3046</v>
      </c>
      <c r="B287" s="1" t="s">
        <v>2549</v>
      </c>
      <c r="C287" s="1" t="s">
        <v>48</v>
      </c>
      <c r="D287" s="1" t="s">
        <v>3047</v>
      </c>
      <c r="E287" s="62">
        <v>21</v>
      </c>
      <c r="F287" s="1" t="s">
        <v>2551</v>
      </c>
      <c r="G287" s="1" t="s">
        <v>2555</v>
      </c>
    </row>
    <row x14ac:dyDescent="0.25" r="288" customHeight="1" ht="17.25" hidden="1">
      <c r="A288" s="112" t="s">
        <v>3048</v>
      </c>
      <c r="B288" s="1" t="s">
        <v>2549</v>
      </c>
      <c r="C288" s="1" t="s">
        <v>48</v>
      </c>
      <c r="D288" s="1" t="s">
        <v>3049</v>
      </c>
      <c r="E288" s="54" t="s">
        <v>2571</v>
      </c>
      <c r="F288" s="1" t="s">
        <v>2551</v>
      </c>
      <c r="G288" s="1" t="s">
        <v>2555</v>
      </c>
    </row>
    <row x14ac:dyDescent="0.25" r="289" customHeight="1" ht="17.25" hidden="1">
      <c r="A289" s="112" t="s">
        <v>3048</v>
      </c>
      <c r="B289" s="1" t="s">
        <v>2549</v>
      </c>
      <c r="C289" s="1" t="s">
        <v>48</v>
      </c>
      <c r="D289" s="1" t="s">
        <v>3050</v>
      </c>
      <c r="E289" s="54" t="s">
        <v>2571</v>
      </c>
      <c r="F289" s="1" t="s">
        <v>2551</v>
      </c>
      <c r="G289" s="1" t="s">
        <v>2555</v>
      </c>
    </row>
    <row x14ac:dyDescent="0.25" r="290" customHeight="1" ht="17.25" hidden="1">
      <c r="A290" s="112" t="s">
        <v>3051</v>
      </c>
      <c r="B290" s="1" t="s">
        <v>2549</v>
      </c>
      <c r="C290" s="1" t="s">
        <v>48</v>
      </c>
      <c r="D290" s="1" t="s">
        <v>3052</v>
      </c>
      <c r="E290" s="62">
        <v>27</v>
      </c>
      <c r="F290" s="1" t="s">
        <v>2551</v>
      </c>
      <c r="G290" s="1" t="s">
        <v>2555</v>
      </c>
    </row>
    <row x14ac:dyDescent="0.25" r="291" customHeight="1" ht="17.25" hidden="1">
      <c r="A291" s="112" t="s">
        <v>3053</v>
      </c>
      <c r="B291" s="1" t="s">
        <v>2549</v>
      </c>
      <c r="C291" s="1" t="s">
        <v>48</v>
      </c>
      <c r="D291" s="1" t="s">
        <v>3054</v>
      </c>
      <c r="E291" s="62">
        <v>29</v>
      </c>
      <c r="F291" s="1" t="s">
        <v>2551</v>
      </c>
      <c r="G291" s="1" t="s">
        <v>2552</v>
      </c>
    </row>
    <row x14ac:dyDescent="0.25" r="292" customHeight="1" ht="17.25" hidden="1">
      <c r="A292" s="112" t="s">
        <v>3055</v>
      </c>
      <c r="B292" s="1" t="s">
        <v>2549</v>
      </c>
      <c r="C292" s="1" t="s">
        <v>48</v>
      </c>
      <c r="D292" s="1" t="s">
        <v>3056</v>
      </c>
      <c r="E292" s="62">
        <v>49</v>
      </c>
      <c r="F292" s="1" t="s">
        <v>2561</v>
      </c>
      <c r="G292" s="1" t="s">
        <v>2555</v>
      </c>
    </row>
    <row x14ac:dyDescent="0.25" r="293" customHeight="1" ht="17.25" hidden="1">
      <c r="A293" s="112" t="s">
        <v>3057</v>
      </c>
      <c r="B293" s="1" t="s">
        <v>2549</v>
      </c>
      <c r="C293" s="1" t="s">
        <v>48</v>
      </c>
      <c r="D293" s="1" t="s">
        <v>3058</v>
      </c>
      <c r="E293" s="62">
        <v>52</v>
      </c>
      <c r="F293" s="1" t="s">
        <v>2551</v>
      </c>
      <c r="G293" s="1" t="s">
        <v>2555</v>
      </c>
    </row>
    <row x14ac:dyDescent="0.25" r="294" customHeight="1" ht="17.25" hidden="1">
      <c r="A294" s="112" t="s">
        <v>3059</v>
      </c>
      <c r="B294" s="1" t="s">
        <v>2549</v>
      </c>
      <c r="C294" s="1" t="s">
        <v>48</v>
      </c>
      <c r="D294" s="1" t="s">
        <v>3060</v>
      </c>
      <c r="E294" s="62">
        <v>34</v>
      </c>
      <c r="F294" s="1" t="s">
        <v>2551</v>
      </c>
      <c r="G294" s="1" t="s">
        <v>2552</v>
      </c>
    </row>
    <row x14ac:dyDescent="0.25" r="295" customHeight="1" ht="17.25" hidden="1">
      <c r="A295" s="112" t="s">
        <v>3061</v>
      </c>
      <c r="B295" s="1" t="s">
        <v>2549</v>
      </c>
      <c r="C295" s="1" t="s">
        <v>48</v>
      </c>
      <c r="D295" s="1" t="s">
        <v>3062</v>
      </c>
      <c r="E295" s="62">
        <v>29</v>
      </c>
      <c r="F295" s="1" t="s">
        <v>2551</v>
      </c>
      <c r="G295" s="1" t="s">
        <v>2555</v>
      </c>
    </row>
    <row x14ac:dyDescent="0.25" r="296" customHeight="1" ht="17.25" hidden="1">
      <c r="A296" s="112" t="s">
        <v>3063</v>
      </c>
      <c r="B296" s="1" t="s">
        <v>2549</v>
      </c>
      <c r="C296" s="1" t="s">
        <v>48</v>
      </c>
      <c r="D296" s="1" t="s">
        <v>3064</v>
      </c>
      <c r="E296" s="62">
        <v>19</v>
      </c>
      <c r="F296" s="1" t="s">
        <v>2551</v>
      </c>
      <c r="G296" s="1" t="s">
        <v>2555</v>
      </c>
    </row>
    <row x14ac:dyDescent="0.25" r="297" customHeight="1" ht="17.25" hidden="1">
      <c r="A297" s="112" t="s">
        <v>3065</v>
      </c>
      <c r="B297" s="1" t="s">
        <v>2549</v>
      </c>
      <c r="C297" s="1" t="s">
        <v>48</v>
      </c>
      <c r="D297" s="1" t="s">
        <v>3066</v>
      </c>
      <c r="E297" s="62">
        <v>35</v>
      </c>
      <c r="F297" s="1" t="s">
        <v>2551</v>
      </c>
      <c r="G297" s="1" t="s">
        <v>2552</v>
      </c>
    </row>
    <row x14ac:dyDescent="0.25" r="298" customHeight="1" ht="17.25" hidden="1">
      <c r="A298" s="112" t="s">
        <v>3067</v>
      </c>
      <c r="B298" s="1" t="s">
        <v>2549</v>
      </c>
      <c r="C298" s="1" t="s">
        <v>48</v>
      </c>
      <c r="D298" s="1" t="s">
        <v>3068</v>
      </c>
      <c r="E298" s="62">
        <v>55</v>
      </c>
      <c r="F298" s="1" t="s">
        <v>2551</v>
      </c>
      <c r="G298" s="1" t="s">
        <v>2555</v>
      </c>
    </row>
    <row x14ac:dyDescent="0.25" r="299" customHeight="1" ht="17.25" hidden="1">
      <c r="A299" s="112" t="s">
        <v>895</v>
      </c>
      <c r="B299" s="1" t="s">
        <v>2549</v>
      </c>
      <c r="C299" s="1" t="s">
        <v>48</v>
      </c>
      <c r="D299" s="1" t="s">
        <v>897</v>
      </c>
      <c r="E299" s="62">
        <v>26</v>
      </c>
      <c r="F299" s="1" t="s">
        <v>2551</v>
      </c>
      <c r="G299" s="1" t="s">
        <v>2555</v>
      </c>
    </row>
    <row x14ac:dyDescent="0.25" r="300" customHeight="1" ht="17.25" hidden="1">
      <c r="A300" s="112" t="s">
        <v>3069</v>
      </c>
      <c r="B300" s="1" t="s">
        <v>2549</v>
      </c>
      <c r="C300" s="1" t="s">
        <v>48</v>
      </c>
      <c r="D300" s="1" t="s">
        <v>3070</v>
      </c>
      <c r="E300" s="62">
        <v>31</v>
      </c>
      <c r="F300" s="1" t="s">
        <v>2561</v>
      </c>
      <c r="G300" s="1" t="s">
        <v>2555</v>
      </c>
    </row>
    <row x14ac:dyDescent="0.25" r="301" customHeight="1" ht="17.25" hidden="1">
      <c r="A301" s="112" t="s">
        <v>3071</v>
      </c>
      <c r="B301" s="1" t="s">
        <v>2549</v>
      </c>
      <c r="C301" s="1" t="s">
        <v>48</v>
      </c>
      <c r="D301" s="1" t="s">
        <v>3072</v>
      </c>
      <c r="E301" s="62">
        <v>19</v>
      </c>
      <c r="F301" s="1" t="s">
        <v>2551</v>
      </c>
      <c r="G301" s="1" t="s">
        <v>2552</v>
      </c>
    </row>
    <row x14ac:dyDescent="0.25" r="302" customHeight="1" ht="17.25" hidden="1">
      <c r="A302" s="112" t="s">
        <v>3073</v>
      </c>
      <c r="B302" s="1" t="s">
        <v>2549</v>
      </c>
      <c r="C302" s="1" t="s">
        <v>48</v>
      </c>
      <c r="D302" s="1" t="s">
        <v>3074</v>
      </c>
      <c r="E302" s="62">
        <v>34</v>
      </c>
      <c r="F302" s="1" t="s">
        <v>2551</v>
      </c>
      <c r="G302" s="1" t="s">
        <v>2555</v>
      </c>
    </row>
    <row x14ac:dyDescent="0.25" r="303" customHeight="1" ht="17.25" hidden="1">
      <c r="A303" s="112" t="s">
        <v>3075</v>
      </c>
      <c r="B303" s="1" t="s">
        <v>2549</v>
      </c>
      <c r="C303" s="1" t="s">
        <v>48</v>
      </c>
      <c r="D303" s="1" t="s">
        <v>3076</v>
      </c>
      <c r="E303" s="62">
        <v>24</v>
      </c>
      <c r="F303" s="1" t="s">
        <v>2551</v>
      </c>
      <c r="G303" s="1" t="s">
        <v>2555</v>
      </c>
    </row>
    <row x14ac:dyDescent="0.25" r="304" customHeight="1" ht="17.25" hidden="1">
      <c r="A304" s="112" t="s">
        <v>3077</v>
      </c>
      <c r="B304" s="1" t="s">
        <v>2549</v>
      </c>
      <c r="C304" s="1" t="s">
        <v>48</v>
      </c>
      <c r="D304" s="1" t="s">
        <v>3078</v>
      </c>
      <c r="E304" s="62">
        <v>19</v>
      </c>
      <c r="F304" s="1" t="s">
        <v>2551</v>
      </c>
      <c r="G304" s="1" t="s">
        <v>2552</v>
      </c>
    </row>
    <row x14ac:dyDescent="0.25" r="305" customHeight="1" ht="17.25" hidden="1">
      <c r="A305" s="112" t="s">
        <v>3079</v>
      </c>
      <c r="B305" s="1" t="s">
        <v>2549</v>
      </c>
      <c r="C305" s="1" t="s">
        <v>48</v>
      </c>
      <c r="D305" s="1" t="s">
        <v>3080</v>
      </c>
      <c r="E305" s="62">
        <v>26</v>
      </c>
      <c r="F305" s="1" t="s">
        <v>2551</v>
      </c>
      <c r="G305" s="1" t="s">
        <v>2552</v>
      </c>
    </row>
    <row x14ac:dyDescent="0.25" r="306" customHeight="1" ht="17.25" hidden="1">
      <c r="A306" s="112" t="s">
        <v>3081</v>
      </c>
      <c r="B306" s="1" t="s">
        <v>2549</v>
      </c>
      <c r="C306" s="1" t="s">
        <v>48</v>
      </c>
      <c r="D306" s="1" t="s">
        <v>3082</v>
      </c>
      <c r="E306" s="62">
        <v>22</v>
      </c>
      <c r="F306" s="1" t="s">
        <v>2551</v>
      </c>
      <c r="G306" s="1" t="s">
        <v>2555</v>
      </c>
    </row>
    <row x14ac:dyDescent="0.25" r="307" customHeight="1" ht="17.25" hidden="1">
      <c r="A307" s="112" t="s">
        <v>3081</v>
      </c>
      <c r="B307" s="1" t="s">
        <v>2549</v>
      </c>
      <c r="C307" s="1" t="s">
        <v>48</v>
      </c>
      <c r="D307" s="1" t="s">
        <v>3083</v>
      </c>
      <c r="E307" s="62">
        <v>20</v>
      </c>
      <c r="F307" s="1" t="s">
        <v>2551</v>
      </c>
      <c r="G307" s="1" t="s">
        <v>2552</v>
      </c>
    </row>
    <row x14ac:dyDescent="0.25" r="308" customHeight="1" ht="17.25" hidden="1">
      <c r="A308" s="112" t="s">
        <v>3084</v>
      </c>
      <c r="B308" s="1" t="s">
        <v>2549</v>
      </c>
      <c r="C308" s="1" t="s">
        <v>48</v>
      </c>
      <c r="D308" s="1" t="s">
        <v>3085</v>
      </c>
      <c r="E308" s="62">
        <v>18</v>
      </c>
      <c r="F308" s="1" t="s">
        <v>2551</v>
      </c>
      <c r="G308" s="1" t="s">
        <v>2552</v>
      </c>
    </row>
    <row x14ac:dyDescent="0.25" r="309" customHeight="1" ht="17.25" hidden="1">
      <c r="A309" s="112" t="s">
        <v>3086</v>
      </c>
      <c r="B309" s="1" t="s">
        <v>2549</v>
      </c>
      <c r="C309" s="1" t="s">
        <v>48</v>
      </c>
      <c r="D309" s="1" t="s">
        <v>3087</v>
      </c>
      <c r="E309" s="62">
        <v>28</v>
      </c>
      <c r="F309" s="1" t="s">
        <v>2551</v>
      </c>
      <c r="G309" s="1" t="s">
        <v>2552</v>
      </c>
    </row>
    <row x14ac:dyDescent="0.25" r="310" customHeight="1" ht="17.25" hidden="1">
      <c r="A310" s="112" t="s">
        <v>3086</v>
      </c>
      <c r="B310" s="1" t="s">
        <v>2549</v>
      </c>
      <c r="C310" s="1" t="s">
        <v>48</v>
      </c>
      <c r="D310" s="1" t="s">
        <v>3088</v>
      </c>
      <c r="E310" s="62">
        <v>27</v>
      </c>
      <c r="F310" s="1" t="s">
        <v>2551</v>
      </c>
      <c r="G310" s="1" t="s">
        <v>2552</v>
      </c>
    </row>
    <row x14ac:dyDescent="0.25" r="311" customHeight="1" ht="17.25" hidden="1">
      <c r="A311" s="112" t="s">
        <v>3089</v>
      </c>
      <c r="B311" s="1" t="s">
        <v>2549</v>
      </c>
      <c r="C311" s="1" t="s">
        <v>48</v>
      </c>
      <c r="D311" s="1" t="s">
        <v>3090</v>
      </c>
      <c r="E311" s="62">
        <v>26</v>
      </c>
      <c r="F311" s="1" t="s">
        <v>2551</v>
      </c>
      <c r="G311" s="1" t="s">
        <v>2552</v>
      </c>
    </row>
    <row x14ac:dyDescent="0.25" r="312" customHeight="1" ht="17.25" hidden="1">
      <c r="A312" s="112" t="s">
        <v>3089</v>
      </c>
      <c r="B312" s="1" t="s">
        <v>2549</v>
      </c>
      <c r="C312" s="1" t="s">
        <v>48</v>
      </c>
      <c r="D312" s="1" t="s">
        <v>3091</v>
      </c>
      <c r="E312" s="62">
        <v>25</v>
      </c>
      <c r="F312" s="1" t="s">
        <v>2551</v>
      </c>
      <c r="G312" s="1" t="s">
        <v>2552</v>
      </c>
    </row>
    <row x14ac:dyDescent="0.25" r="313" customHeight="1" ht="17.25" hidden="1">
      <c r="A313" s="112" t="s">
        <v>3092</v>
      </c>
      <c r="B313" s="1" t="s">
        <v>2549</v>
      </c>
      <c r="C313" s="1" t="s">
        <v>48</v>
      </c>
      <c r="D313" s="1" t="s">
        <v>3093</v>
      </c>
      <c r="E313" s="62">
        <v>19</v>
      </c>
      <c r="F313" s="1" t="s">
        <v>2551</v>
      </c>
      <c r="G313" s="1" t="s">
        <v>2552</v>
      </c>
    </row>
    <row x14ac:dyDescent="0.25" r="314" customHeight="1" ht="17.25" hidden="1">
      <c r="A314" s="112" t="s">
        <v>3092</v>
      </c>
      <c r="B314" s="1" t="s">
        <v>2549</v>
      </c>
      <c r="C314" s="1" t="s">
        <v>48</v>
      </c>
      <c r="D314" s="1" t="s">
        <v>3094</v>
      </c>
      <c r="E314" s="62">
        <v>23</v>
      </c>
      <c r="F314" s="1" t="s">
        <v>2551</v>
      </c>
      <c r="G314" s="1" t="s">
        <v>2552</v>
      </c>
    </row>
    <row x14ac:dyDescent="0.25" r="315" customHeight="1" ht="17.25" hidden="1">
      <c r="A315" s="112" t="s">
        <v>3095</v>
      </c>
      <c r="B315" s="1" t="s">
        <v>2549</v>
      </c>
      <c r="C315" s="1" t="s">
        <v>48</v>
      </c>
      <c r="D315" s="1" t="s">
        <v>3096</v>
      </c>
      <c r="E315" s="62">
        <v>28</v>
      </c>
      <c r="F315" s="1" t="s">
        <v>2551</v>
      </c>
      <c r="G315" s="1" t="s">
        <v>2552</v>
      </c>
    </row>
    <row x14ac:dyDescent="0.25" r="316" customHeight="1" ht="17.25" hidden="1">
      <c r="A316" s="112" t="s">
        <v>3097</v>
      </c>
      <c r="B316" s="1" t="s">
        <v>2549</v>
      </c>
      <c r="C316" s="1" t="s">
        <v>48</v>
      </c>
      <c r="D316" s="1" t="s">
        <v>3098</v>
      </c>
      <c r="E316" s="62">
        <v>22</v>
      </c>
      <c r="F316" s="1" t="s">
        <v>2551</v>
      </c>
      <c r="G316" s="1" t="s">
        <v>2552</v>
      </c>
    </row>
    <row x14ac:dyDescent="0.25" r="317" customHeight="1" ht="17.25" hidden="1">
      <c r="A317" s="112" t="s">
        <v>3099</v>
      </c>
      <c r="B317" s="1" t="s">
        <v>2549</v>
      </c>
      <c r="C317" s="1" t="s">
        <v>48</v>
      </c>
      <c r="D317" s="1" t="s">
        <v>3100</v>
      </c>
      <c r="E317" s="62">
        <v>19</v>
      </c>
      <c r="F317" s="1" t="s">
        <v>2551</v>
      </c>
      <c r="G317" s="1" t="s">
        <v>2552</v>
      </c>
    </row>
    <row x14ac:dyDescent="0.25" r="318" customHeight="1" ht="17.25" hidden="1">
      <c r="A318" s="112" t="s">
        <v>3101</v>
      </c>
      <c r="B318" s="1" t="s">
        <v>2549</v>
      </c>
      <c r="C318" s="1" t="s">
        <v>48</v>
      </c>
      <c r="D318" s="1" t="s">
        <v>3102</v>
      </c>
      <c r="E318" s="62">
        <v>21</v>
      </c>
      <c r="F318" s="1" t="s">
        <v>2551</v>
      </c>
      <c r="G318" s="1" t="s">
        <v>2555</v>
      </c>
    </row>
    <row x14ac:dyDescent="0.25" r="319" customHeight="1" ht="17.25" hidden="1">
      <c r="A319" s="112" t="s">
        <v>1248</v>
      </c>
      <c r="B319" s="1" t="s">
        <v>2549</v>
      </c>
      <c r="C319" s="1" t="s">
        <v>48</v>
      </c>
      <c r="D319" s="1" t="s">
        <v>1250</v>
      </c>
      <c r="E319" s="62">
        <v>24</v>
      </c>
      <c r="F319" s="1" t="s">
        <v>2551</v>
      </c>
      <c r="G319" s="1" t="s">
        <v>2555</v>
      </c>
    </row>
    <row x14ac:dyDescent="0.25" r="320" customHeight="1" ht="17.25" hidden="1">
      <c r="A320" s="112" t="s">
        <v>3103</v>
      </c>
      <c r="B320" s="1" t="s">
        <v>2549</v>
      </c>
      <c r="C320" s="1" t="s">
        <v>48</v>
      </c>
      <c r="D320" s="1" t="s">
        <v>3104</v>
      </c>
      <c r="E320" s="62">
        <v>41</v>
      </c>
      <c r="F320" s="1" t="s">
        <v>2551</v>
      </c>
      <c r="G320" s="1" t="s">
        <v>2555</v>
      </c>
    </row>
    <row x14ac:dyDescent="0.25" r="321" customHeight="1" ht="17.25" hidden="1">
      <c r="A321" s="112" t="s">
        <v>3103</v>
      </c>
      <c r="B321" s="1" t="s">
        <v>2549</v>
      </c>
      <c r="C321" s="1" t="s">
        <v>48</v>
      </c>
      <c r="D321" s="1" t="s">
        <v>3105</v>
      </c>
      <c r="E321" s="62">
        <v>61</v>
      </c>
      <c r="F321" s="1" t="s">
        <v>2551</v>
      </c>
      <c r="G321" s="1" t="s">
        <v>2555</v>
      </c>
    </row>
    <row x14ac:dyDescent="0.25" r="322" customHeight="1" ht="17.25" hidden="1">
      <c r="A322" s="112" t="s">
        <v>3103</v>
      </c>
      <c r="B322" s="1" t="s">
        <v>2549</v>
      </c>
      <c r="C322" s="1" t="s">
        <v>48</v>
      </c>
      <c r="D322" s="1" t="s">
        <v>3106</v>
      </c>
      <c r="E322" s="62">
        <v>51</v>
      </c>
      <c r="F322" s="1" t="s">
        <v>2551</v>
      </c>
      <c r="G322" s="1" t="s">
        <v>2555</v>
      </c>
    </row>
    <row x14ac:dyDescent="0.25" r="323" customHeight="1" ht="17.25" hidden="1">
      <c r="A323" s="112" t="s">
        <v>3103</v>
      </c>
      <c r="B323" s="1" t="s">
        <v>2549</v>
      </c>
      <c r="C323" s="1" t="s">
        <v>48</v>
      </c>
      <c r="D323" s="1" t="s">
        <v>3107</v>
      </c>
      <c r="E323" s="62">
        <v>36</v>
      </c>
      <c r="F323" s="1" t="s">
        <v>2551</v>
      </c>
      <c r="G323" s="1" t="s">
        <v>2555</v>
      </c>
    </row>
    <row x14ac:dyDescent="0.25" r="324" customHeight="1" ht="17.25" hidden="1">
      <c r="A324" s="112" t="s">
        <v>3103</v>
      </c>
      <c r="B324" s="1" t="s">
        <v>2549</v>
      </c>
      <c r="C324" s="1" t="s">
        <v>48</v>
      </c>
      <c r="D324" s="1" t="s">
        <v>3108</v>
      </c>
      <c r="E324" s="62">
        <v>53</v>
      </c>
      <c r="F324" s="1" t="s">
        <v>2551</v>
      </c>
      <c r="G324" s="1" t="s">
        <v>2555</v>
      </c>
    </row>
    <row x14ac:dyDescent="0.25" r="325" customHeight="1" ht="17.25" hidden="1">
      <c r="A325" s="112" t="s">
        <v>3103</v>
      </c>
      <c r="B325" s="1" t="s">
        <v>2549</v>
      </c>
      <c r="C325" s="1" t="s">
        <v>48</v>
      </c>
      <c r="D325" s="1" t="s">
        <v>3109</v>
      </c>
      <c r="E325" s="62">
        <v>43</v>
      </c>
      <c r="F325" s="1" t="s">
        <v>2551</v>
      </c>
      <c r="G325" s="1" t="s">
        <v>2555</v>
      </c>
    </row>
    <row x14ac:dyDescent="0.25" r="326" customHeight="1" ht="17.25" hidden="1">
      <c r="A326" s="112" t="s">
        <v>3110</v>
      </c>
      <c r="B326" s="1" t="s">
        <v>2549</v>
      </c>
      <c r="C326" s="1" t="s">
        <v>48</v>
      </c>
      <c r="D326" s="1" t="s">
        <v>3111</v>
      </c>
      <c r="E326" s="62">
        <v>25</v>
      </c>
      <c r="F326" s="1" t="s">
        <v>2551</v>
      </c>
      <c r="G326" s="1" t="s">
        <v>2552</v>
      </c>
    </row>
    <row x14ac:dyDescent="0.25" r="327" customHeight="1" ht="17.25" hidden="1">
      <c r="A327" s="112" t="s">
        <v>3112</v>
      </c>
      <c r="B327" s="1" t="s">
        <v>2549</v>
      </c>
      <c r="C327" s="1" t="s">
        <v>48</v>
      </c>
      <c r="D327" s="1" t="s">
        <v>3113</v>
      </c>
      <c r="E327" s="62">
        <v>24</v>
      </c>
      <c r="F327" s="1" t="s">
        <v>2551</v>
      </c>
      <c r="G327" s="1" t="s">
        <v>2558</v>
      </c>
    </row>
    <row x14ac:dyDescent="0.25" r="328" customHeight="1" ht="17.25" hidden="1">
      <c r="A328" s="112" t="s">
        <v>3112</v>
      </c>
      <c r="B328" s="1" t="s">
        <v>2549</v>
      </c>
      <c r="C328" s="1" t="s">
        <v>48</v>
      </c>
      <c r="D328" s="1" t="s">
        <v>3114</v>
      </c>
      <c r="E328" s="62">
        <v>37</v>
      </c>
      <c r="F328" s="1" t="s">
        <v>2551</v>
      </c>
      <c r="G328" s="1" t="s">
        <v>2552</v>
      </c>
    </row>
    <row x14ac:dyDescent="0.25" r="329" customHeight="1" ht="17.25" hidden="1">
      <c r="A329" s="112" t="s">
        <v>3115</v>
      </c>
      <c r="B329" s="1" t="s">
        <v>2549</v>
      </c>
      <c r="C329" s="1" t="s">
        <v>48</v>
      </c>
      <c r="D329" s="1" t="s">
        <v>3116</v>
      </c>
      <c r="E329" s="62">
        <v>32</v>
      </c>
      <c r="F329" s="1" t="s">
        <v>2551</v>
      </c>
      <c r="G329" s="1" t="s">
        <v>2555</v>
      </c>
    </row>
    <row x14ac:dyDescent="0.25" r="330" customHeight="1" ht="17.25" hidden="1">
      <c r="A330" s="112" t="s">
        <v>3117</v>
      </c>
      <c r="B330" s="1" t="s">
        <v>2549</v>
      </c>
      <c r="C330" s="1" t="s">
        <v>48</v>
      </c>
      <c r="D330" s="1" t="s">
        <v>3118</v>
      </c>
      <c r="E330" s="62">
        <v>19</v>
      </c>
      <c r="F330" s="1" t="s">
        <v>2551</v>
      </c>
      <c r="G330" s="1" t="s">
        <v>2552</v>
      </c>
    </row>
    <row x14ac:dyDescent="0.25" r="331" customHeight="1" ht="17.25" hidden="1">
      <c r="A331" s="112" t="s">
        <v>3119</v>
      </c>
      <c r="B331" s="1" t="s">
        <v>2549</v>
      </c>
      <c r="C331" s="1" t="s">
        <v>48</v>
      </c>
      <c r="D331" s="1" t="s">
        <v>3120</v>
      </c>
      <c r="E331" s="62">
        <v>24</v>
      </c>
      <c r="F331" s="1" t="s">
        <v>2551</v>
      </c>
      <c r="G331" s="1" t="s">
        <v>2552</v>
      </c>
    </row>
    <row x14ac:dyDescent="0.25" r="332" customHeight="1" ht="17.25" hidden="1">
      <c r="A332" s="112" t="s">
        <v>3121</v>
      </c>
      <c r="B332" s="1" t="s">
        <v>2549</v>
      </c>
      <c r="C332" s="1" t="s">
        <v>48</v>
      </c>
      <c r="D332" s="1" t="s">
        <v>3122</v>
      </c>
      <c r="E332" s="62">
        <v>39</v>
      </c>
      <c r="F332" s="1" t="s">
        <v>2551</v>
      </c>
      <c r="G332" s="1" t="s">
        <v>2555</v>
      </c>
    </row>
    <row x14ac:dyDescent="0.25" r="333" customHeight="1" ht="17.25" hidden="1">
      <c r="A333" s="112" t="s">
        <v>3123</v>
      </c>
      <c r="B333" s="1" t="s">
        <v>2549</v>
      </c>
      <c r="C333" s="1" t="s">
        <v>48</v>
      </c>
      <c r="D333" s="1" t="s">
        <v>3124</v>
      </c>
      <c r="E333" s="62">
        <v>29</v>
      </c>
      <c r="F333" s="1" t="s">
        <v>2551</v>
      </c>
      <c r="G333" s="1" t="s">
        <v>2558</v>
      </c>
    </row>
    <row x14ac:dyDescent="0.25" r="334" customHeight="1" ht="17.25" hidden="1">
      <c r="A334" s="112" t="s">
        <v>3125</v>
      </c>
      <c r="B334" s="1" t="s">
        <v>2549</v>
      </c>
      <c r="C334" s="1" t="s">
        <v>48</v>
      </c>
      <c r="D334" s="1" t="s">
        <v>3126</v>
      </c>
      <c r="E334" s="62">
        <v>19</v>
      </c>
      <c r="F334" s="1" t="s">
        <v>2551</v>
      </c>
      <c r="G334" s="1" t="s">
        <v>2555</v>
      </c>
    </row>
    <row x14ac:dyDescent="0.25" r="335" customHeight="1" ht="17.25" hidden="1">
      <c r="A335" s="112" t="s">
        <v>2129</v>
      </c>
      <c r="B335" s="1" t="s">
        <v>2549</v>
      </c>
      <c r="C335" s="1" t="s">
        <v>48</v>
      </c>
      <c r="D335" s="1" t="s">
        <v>2130</v>
      </c>
      <c r="E335" s="62">
        <v>27</v>
      </c>
      <c r="F335" s="1" t="s">
        <v>2551</v>
      </c>
      <c r="G335" s="1" t="s">
        <v>2552</v>
      </c>
    </row>
    <row x14ac:dyDescent="0.25" r="336" customHeight="1" ht="17.25" hidden="1">
      <c r="A336" s="112" t="s">
        <v>3127</v>
      </c>
      <c r="B336" s="1" t="s">
        <v>2549</v>
      </c>
      <c r="C336" s="1" t="s">
        <v>48</v>
      </c>
      <c r="D336" s="1" t="s">
        <v>3128</v>
      </c>
      <c r="E336" s="62">
        <v>39</v>
      </c>
      <c r="F336" s="1" t="s">
        <v>2551</v>
      </c>
      <c r="G336" s="1" t="s">
        <v>2555</v>
      </c>
    </row>
    <row x14ac:dyDescent="0.25" r="337" customHeight="1" ht="17.25" hidden="1">
      <c r="A337" s="112" t="s">
        <v>3129</v>
      </c>
      <c r="B337" s="1" t="s">
        <v>2549</v>
      </c>
      <c r="C337" s="1" t="s">
        <v>48</v>
      </c>
      <c r="D337" s="1" t="s">
        <v>3130</v>
      </c>
      <c r="E337" s="62">
        <v>27</v>
      </c>
      <c r="F337" s="1" t="s">
        <v>2551</v>
      </c>
      <c r="G337" s="1" t="s">
        <v>2552</v>
      </c>
    </row>
    <row x14ac:dyDescent="0.25" r="338" customHeight="1" ht="17.25" hidden="1">
      <c r="A338" s="112" t="s">
        <v>3131</v>
      </c>
      <c r="B338" s="1" t="s">
        <v>2549</v>
      </c>
      <c r="C338" s="1" t="s">
        <v>48</v>
      </c>
      <c r="D338" s="1" t="s">
        <v>3132</v>
      </c>
      <c r="E338" s="62">
        <v>27</v>
      </c>
      <c r="F338" s="1" t="s">
        <v>2551</v>
      </c>
      <c r="G338" s="1" t="s">
        <v>2552</v>
      </c>
    </row>
    <row x14ac:dyDescent="0.25" r="339" customHeight="1" ht="17.25" hidden="1">
      <c r="A339" s="112" t="s">
        <v>3131</v>
      </c>
      <c r="B339" s="1" t="s">
        <v>2549</v>
      </c>
      <c r="C339" s="1" t="s">
        <v>48</v>
      </c>
      <c r="D339" s="1" t="s">
        <v>3133</v>
      </c>
      <c r="E339" s="62">
        <v>29</v>
      </c>
      <c r="F339" s="1" t="s">
        <v>2551</v>
      </c>
      <c r="G339" s="1" t="s">
        <v>2558</v>
      </c>
    </row>
    <row x14ac:dyDescent="0.25" r="340" customHeight="1" ht="17.25" hidden="1">
      <c r="A340" s="112" t="s">
        <v>3134</v>
      </c>
      <c r="B340" s="1" t="s">
        <v>2549</v>
      </c>
      <c r="C340" s="1" t="s">
        <v>48</v>
      </c>
      <c r="D340" s="1" t="s">
        <v>3135</v>
      </c>
      <c r="E340" s="62">
        <v>19</v>
      </c>
      <c r="F340" s="1" t="s">
        <v>2551</v>
      </c>
      <c r="G340" s="1" t="s">
        <v>2552</v>
      </c>
    </row>
    <row x14ac:dyDescent="0.25" r="341" customHeight="1" ht="17.25" hidden="1">
      <c r="A341" s="112" t="s">
        <v>3136</v>
      </c>
      <c r="B341" s="1" t="s">
        <v>2549</v>
      </c>
      <c r="C341" s="1" t="s">
        <v>48</v>
      </c>
      <c r="D341" s="1" t="s">
        <v>3137</v>
      </c>
      <c r="E341" s="62">
        <v>26</v>
      </c>
      <c r="F341" s="1" t="s">
        <v>2551</v>
      </c>
      <c r="G341" s="1" t="s">
        <v>2558</v>
      </c>
    </row>
    <row x14ac:dyDescent="0.25" r="342" customHeight="1" ht="17.25" hidden="1">
      <c r="A342" s="112" t="s">
        <v>3138</v>
      </c>
      <c r="B342" s="1" t="s">
        <v>2549</v>
      </c>
      <c r="C342" s="1" t="s">
        <v>48</v>
      </c>
      <c r="D342" s="1" t="s">
        <v>3139</v>
      </c>
      <c r="E342" s="54" t="s">
        <v>2571</v>
      </c>
      <c r="F342" s="1" t="s">
        <v>2551</v>
      </c>
      <c r="G342" s="1" t="s">
        <v>2555</v>
      </c>
    </row>
    <row x14ac:dyDescent="0.25" r="343" customHeight="1" ht="17.25" hidden="1">
      <c r="A343" s="112" t="s">
        <v>3138</v>
      </c>
      <c r="B343" s="1" t="s">
        <v>2549</v>
      </c>
      <c r="C343" s="1" t="s">
        <v>48</v>
      </c>
      <c r="D343" s="1" t="s">
        <v>3140</v>
      </c>
      <c r="E343" s="54" t="s">
        <v>2571</v>
      </c>
      <c r="F343" s="1" t="s">
        <v>2551</v>
      </c>
      <c r="G343" s="1" t="s">
        <v>2552</v>
      </c>
    </row>
    <row x14ac:dyDescent="0.25" r="344" customHeight="1" ht="17.25" hidden="1">
      <c r="A344" s="112" t="s">
        <v>3138</v>
      </c>
      <c r="B344" s="1" t="s">
        <v>2549</v>
      </c>
      <c r="C344" s="1" t="s">
        <v>48</v>
      </c>
      <c r="D344" s="1" t="s">
        <v>3141</v>
      </c>
      <c r="E344" s="54" t="s">
        <v>2571</v>
      </c>
      <c r="F344" s="1" t="s">
        <v>2551</v>
      </c>
      <c r="G344" s="1" t="s">
        <v>2555</v>
      </c>
    </row>
    <row x14ac:dyDescent="0.25" r="345" customHeight="1" ht="17.25" hidden="1">
      <c r="A345" s="112" t="s">
        <v>3138</v>
      </c>
      <c r="B345" s="1" t="s">
        <v>2549</v>
      </c>
      <c r="C345" s="1" t="s">
        <v>48</v>
      </c>
      <c r="D345" s="1" t="s">
        <v>3142</v>
      </c>
      <c r="E345" s="54" t="s">
        <v>2571</v>
      </c>
      <c r="F345" s="1" t="s">
        <v>2551</v>
      </c>
      <c r="G345" s="1" t="s">
        <v>2555</v>
      </c>
    </row>
    <row x14ac:dyDescent="0.25" r="346" customHeight="1" ht="17.25" hidden="1">
      <c r="A346" s="112" t="s">
        <v>3138</v>
      </c>
      <c r="B346" s="1" t="s">
        <v>2549</v>
      </c>
      <c r="C346" s="1" t="s">
        <v>48</v>
      </c>
      <c r="D346" s="1" t="s">
        <v>3143</v>
      </c>
      <c r="E346" s="54" t="s">
        <v>2571</v>
      </c>
      <c r="F346" s="1" t="s">
        <v>2551</v>
      </c>
      <c r="G346" s="1" t="s">
        <v>2552</v>
      </c>
    </row>
    <row x14ac:dyDescent="0.25" r="347" customHeight="1" ht="17.25" hidden="1">
      <c r="A347" s="112" t="s">
        <v>3144</v>
      </c>
      <c r="B347" s="1" t="s">
        <v>2549</v>
      </c>
      <c r="C347" s="1" t="s">
        <v>48</v>
      </c>
      <c r="D347" s="1" t="s">
        <v>3145</v>
      </c>
      <c r="E347" s="62">
        <v>22</v>
      </c>
      <c r="F347" s="1" t="s">
        <v>2551</v>
      </c>
      <c r="G347" s="1" t="s">
        <v>2555</v>
      </c>
    </row>
    <row x14ac:dyDescent="0.25" r="348" customHeight="1" ht="17.25" hidden="1">
      <c r="A348" s="112" t="s">
        <v>3146</v>
      </c>
      <c r="B348" s="1" t="s">
        <v>2549</v>
      </c>
      <c r="C348" s="1" t="s">
        <v>48</v>
      </c>
      <c r="D348" s="1" t="s">
        <v>3147</v>
      </c>
      <c r="E348" s="62">
        <v>-70</v>
      </c>
      <c r="F348" s="1" t="s">
        <v>2551</v>
      </c>
      <c r="G348" s="1" t="s">
        <v>2552</v>
      </c>
    </row>
    <row x14ac:dyDescent="0.25" r="349" customHeight="1" ht="17.25" hidden="1">
      <c r="A349" s="112" t="s">
        <v>2496</v>
      </c>
      <c r="B349" s="1" t="s">
        <v>2549</v>
      </c>
      <c r="C349" s="1" t="s">
        <v>49</v>
      </c>
      <c r="D349" s="1" t="s">
        <v>2497</v>
      </c>
      <c r="E349" s="62">
        <v>27</v>
      </c>
      <c r="F349" s="1" t="s">
        <v>2551</v>
      </c>
      <c r="G349" s="1" t="s">
        <v>2555</v>
      </c>
    </row>
    <row x14ac:dyDescent="0.25" r="350" customHeight="1" ht="17.25" hidden="1">
      <c r="A350" s="112" t="s">
        <v>3148</v>
      </c>
      <c r="B350" s="1" t="s">
        <v>2549</v>
      </c>
      <c r="C350" s="1" t="s">
        <v>49</v>
      </c>
      <c r="D350" s="1" t="s">
        <v>3149</v>
      </c>
      <c r="E350" s="62">
        <v>31</v>
      </c>
      <c r="F350" s="1" t="s">
        <v>2551</v>
      </c>
      <c r="G350" s="1" t="s">
        <v>2558</v>
      </c>
    </row>
    <row x14ac:dyDescent="0.25" r="351" customHeight="1" ht="17.25" hidden="1">
      <c r="A351" s="112" t="s">
        <v>3150</v>
      </c>
      <c r="B351" s="1" t="s">
        <v>2549</v>
      </c>
      <c r="C351" s="1" t="s">
        <v>49</v>
      </c>
      <c r="D351" s="1" t="s">
        <v>3151</v>
      </c>
      <c r="E351" s="62">
        <v>18</v>
      </c>
      <c r="F351" s="1" t="s">
        <v>2551</v>
      </c>
      <c r="G351" s="1" t="s">
        <v>2558</v>
      </c>
    </row>
    <row x14ac:dyDescent="0.25" r="352" customHeight="1" ht="17.25" hidden="1">
      <c r="A352" s="112" t="s">
        <v>3152</v>
      </c>
      <c r="B352" s="1" t="s">
        <v>2549</v>
      </c>
      <c r="C352" s="1" t="s">
        <v>49</v>
      </c>
      <c r="D352" s="1" t="s">
        <v>3153</v>
      </c>
      <c r="E352" s="62">
        <v>26</v>
      </c>
      <c r="F352" s="1" t="s">
        <v>2551</v>
      </c>
      <c r="G352" s="1" t="s">
        <v>2555</v>
      </c>
    </row>
    <row x14ac:dyDescent="0.25" r="353" customHeight="1" ht="17.25" hidden="1">
      <c r="A353" s="112" t="s">
        <v>3152</v>
      </c>
      <c r="B353" s="1" t="s">
        <v>2549</v>
      </c>
      <c r="C353" s="1" t="s">
        <v>49</v>
      </c>
      <c r="D353" s="1" t="s">
        <v>3154</v>
      </c>
      <c r="E353" s="62">
        <v>30</v>
      </c>
      <c r="F353" s="1" t="s">
        <v>2551</v>
      </c>
      <c r="G353" s="1" t="s">
        <v>2555</v>
      </c>
    </row>
    <row x14ac:dyDescent="0.25" r="354" customHeight="1" ht="17.25" hidden="1">
      <c r="A354" s="112" t="s">
        <v>3155</v>
      </c>
      <c r="B354" s="1" t="s">
        <v>2549</v>
      </c>
      <c r="C354" s="1" t="s">
        <v>49</v>
      </c>
      <c r="D354" s="1" t="s">
        <v>3156</v>
      </c>
      <c r="E354" s="62">
        <v>22</v>
      </c>
      <c r="F354" s="1" t="s">
        <v>2551</v>
      </c>
      <c r="G354" s="1" t="s">
        <v>2558</v>
      </c>
    </row>
    <row x14ac:dyDescent="0.25" r="355" customHeight="1" ht="17.25" hidden="1">
      <c r="A355" s="112" t="s">
        <v>3157</v>
      </c>
      <c r="B355" s="1" t="s">
        <v>2549</v>
      </c>
      <c r="C355" s="1" t="s">
        <v>49</v>
      </c>
      <c r="D355" s="1" t="s">
        <v>3158</v>
      </c>
      <c r="E355" s="62">
        <v>53</v>
      </c>
      <c r="F355" s="1" t="s">
        <v>2551</v>
      </c>
      <c r="G355" s="1" t="s">
        <v>2555</v>
      </c>
    </row>
    <row x14ac:dyDescent="0.25" r="356" customHeight="1" ht="17.25" hidden="1">
      <c r="A356" s="112" t="s">
        <v>3157</v>
      </c>
      <c r="B356" s="1" t="s">
        <v>2549</v>
      </c>
      <c r="C356" s="1" t="s">
        <v>49</v>
      </c>
      <c r="D356" s="1" t="s">
        <v>3159</v>
      </c>
      <c r="E356" s="62">
        <v>31</v>
      </c>
      <c r="F356" s="1" t="s">
        <v>2551</v>
      </c>
      <c r="G356" s="1" t="s">
        <v>2555</v>
      </c>
    </row>
    <row x14ac:dyDescent="0.25" r="357" customHeight="1" ht="17.25" hidden="1">
      <c r="A357" s="112" t="s">
        <v>3157</v>
      </c>
      <c r="B357" s="1" t="s">
        <v>2549</v>
      </c>
      <c r="C357" s="1" t="s">
        <v>49</v>
      </c>
      <c r="D357" s="1" t="s">
        <v>3160</v>
      </c>
      <c r="E357" s="62">
        <v>37</v>
      </c>
      <c r="F357" s="1" t="s">
        <v>2551</v>
      </c>
      <c r="G357" s="1" t="s">
        <v>2552</v>
      </c>
    </row>
    <row x14ac:dyDescent="0.25" r="358" customHeight="1" ht="17.25" hidden="1">
      <c r="A358" s="112" t="s">
        <v>3161</v>
      </c>
      <c r="B358" s="1" t="s">
        <v>2549</v>
      </c>
      <c r="C358" s="1" t="s">
        <v>49</v>
      </c>
      <c r="D358" s="1" t="s">
        <v>3162</v>
      </c>
      <c r="E358" s="62">
        <v>25</v>
      </c>
      <c r="F358" s="1" t="s">
        <v>2551</v>
      </c>
      <c r="G358" s="1" t="s">
        <v>2552</v>
      </c>
    </row>
    <row x14ac:dyDescent="0.25" r="359" customHeight="1" ht="17.25" hidden="1">
      <c r="A359" s="112" t="s">
        <v>3161</v>
      </c>
      <c r="B359" s="1" t="s">
        <v>2549</v>
      </c>
      <c r="C359" s="1" t="s">
        <v>49</v>
      </c>
      <c r="D359" s="1" t="s">
        <v>3163</v>
      </c>
      <c r="E359" s="62">
        <v>31</v>
      </c>
      <c r="F359" s="1" t="s">
        <v>2561</v>
      </c>
      <c r="G359" s="1" t="s">
        <v>2552</v>
      </c>
    </row>
    <row x14ac:dyDescent="0.25" r="360" customHeight="1" ht="17.25" hidden="1">
      <c r="A360" s="112" t="s">
        <v>3164</v>
      </c>
      <c r="B360" s="1" t="s">
        <v>2549</v>
      </c>
      <c r="C360" s="1" t="s">
        <v>49</v>
      </c>
      <c r="D360" s="1" t="s">
        <v>3165</v>
      </c>
      <c r="E360" s="62">
        <v>22</v>
      </c>
      <c r="F360" s="1" t="s">
        <v>2551</v>
      </c>
      <c r="G360" s="1" t="s">
        <v>2552</v>
      </c>
    </row>
    <row x14ac:dyDescent="0.25" r="361" customHeight="1" ht="17.25" hidden="1">
      <c r="A361" s="112" t="s">
        <v>3166</v>
      </c>
      <c r="B361" s="1" t="s">
        <v>2549</v>
      </c>
      <c r="C361" s="1" t="s">
        <v>49</v>
      </c>
      <c r="D361" s="1" t="s">
        <v>3167</v>
      </c>
      <c r="E361" s="62">
        <v>18</v>
      </c>
      <c r="F361" s="1" t="s">
        <v>2551</v>
      </c>
      <c r="G361" s="1" t="s">
        <v>2552</v>
      </c>
    </row>
    <row x14ac:dyDescent="0.25" r="362" customHeight="1" ht="17.25" hidden="1">
      <c r="A362" s="112" t="s">
        <v>3168</v>
      </c>
      <c r="B362" s="1" t="s">
        <v>2549</v>
      </c>
      <c r="C362" s="1" t="s">
        <v>49</v>
      </c>
      <c r="D362" s="1" t="s">
        <v>3169</v>
      </c>
      <c r="E362" s="62">
        <v>32</v>
      </c>
      <c r="F362" s="1" t="s">
        <v>2561</v>
      </c>
      <c r="G362" s="1" t="s">
        <v>2552</v>
      </c>
    </row>
    <row x14ac:dyDescent="0.25" r="363" customHeight="1" ht="17.25" hidden="1">
      <c r="A363" s="112" t="s">
        <v>3170</v>
      </c>
      <c r="B363" s="1" t="s">
        <v>2549</v>
      </c>
      <c r="C363" s="1" t="s">
        <v>49</v>
      </c>
      <c r="D363" s="1" t="s">
        <v>3171</v>
      </c>
      <c r="E363" s="62">
        <v>18</v>
      </c>
      <c r="F363" s="1" t="s">
        <v>2551</v>
      </c>
      <c r="G363" s="1" t="s">
        <v>2558</v>
      </c>
    </row>
    <row x14ac:dyDescent="0.25" r="364" customHeight="1" ht="17.25" hidden="1">
      <c r="A364" s="112" t="s">
        <v>3172</v>
      </c>
      <c r="B364" s="1" t="s">
        <v>2549</v>
      </c>
      <c r="C364" s="1" t="s">
        <v>49</v>
      </c>
      <c r="D364" s="1" t="s">
        <v>3173</v>
      </c>
      <c r="E364" s="62">
        <v>15</v>
      </c>
      <c r="F364" s="1" t="s">
        <v>2551</v>
      </c>
      <c r="G364" s="1" t="s">
        <v>2552</v>
      </c>
    </row>
    <row x14ac:dyDescent="0.25" r="365" customHeight="1" ht="17.25" hidden="1">
      <c r="A365" s="112" t="s">
        <v>3174</v>
      </c>
      <c r="B365" s="1" t="s">
        <v>2549</v>
      </c>
      <c r="C365" s="1" t="s">
        <v>49</v>
      </c>
      <c r="D365" s="1" t="s">
        <v>3175</v>
      </c>
      <c r="E365" s="62">
        <v>20</v>
      </c>
      <c r="F365" s="1" t="s">
        <v>2551</v>
      </c>
      <c r="G365" s="1" t="s">
        <v>2558</v>
      </c>
    </row>
    <row x14ac:dyDescent="0.25" r="366" customHeight="1" ht="17.25" hidden="1">
      <c r="A366" s="112" t="s">
        <v>3176</v>
      </c>
      <c r="B366" s="1" t="s">
        <v>2549</v>
      </c>
      <c r="C366" s="1" t="s">
        <v>49</v>
      </c>
      <c r="D366" s="1" t="s">
        <v>3177</v>
      </c>
      <c r="E366" s="62">
        <v>39</v>
      </c>
      <c r="F366" s="1" t="s">
        <v>2551</v>
      </c>
      <c r="G366" s="1" t="s">
        <v>2555</v>
      </c>
    </row>
    <row x14ac:dyDescent="0.25" r="367" customHeight="1" ht="17.25" hidden="1">
      <c r="A367" s="112" t="s">
        <v>3178</v>
      </c>
      <c r="B367" s="1" t="s">
        <v>2549</v>
      </c>
      <c r="C367" s="1" t="s">
        <v>49</v>
      </c>
      <c r="D367" s="1" t="s">
        <v>3179</v>
      </c>
      <c r="E367" s="62">
        <v>22</v>
      </c>
      <c r="F367" s="1" t="s">
        <v>2551</v>
      </c>
      <c r="G367" s="1" t="s">
        <v>2552</v>
      </c>
    </row>
    <row x14ac:dyDescent="0.25" r="368" customHeight="1" ht="17.25" hidden="1">
      <c r="A368" s="112" t="s">
        <v>3180</v>
      </c>
      <c r="B368" s="1" t="s">
        <v>2549</v>
      </c>
      <c r="C368" s="1" t="s">
        <v>49</v>
      </c>
      <c r="D368" s="1" t="s">
        <v>3181</v>
      </c>
      <c r="E368" s="62">
        <v>35</v>
      </c>
      <c r="F368" s="1" t="s">
        <v>2551</v>
      </c>
      <c r="G368" s="1" t="s">
        <v>2555</v>
      </c>
    </row>
    <row x14ac:dyDescent="0.25" r="369" customHeight="1" ht="17.25" hidden="1">
      <c r="A369" s="112" t="s">
        <v>3180</v>
      </c>
      <c r="B369" s="1" t="s">
        <v>2549</v>
      </c>
      <c r="C369" s="1" t="s">
        <v>49</v>
      </c>
      <c r="D369" s="1" t="s">
        <v>3182</v>
      </c>
      <c r="E369" s="62">
        <v>27</v>
      </c>
      <c r="F369" s="1" t="s">
        <v>2551</v>
      </c>
      <c r="G369" s="1" t="s">
        <v>2555</v>
      </c>
    </row>
    <row x14ac:dyDescent="0.25" r="370" customHeight="1" ht="17.25" hidden="1">
      <c r="A370" s="112" t="s">
        <v>3183</v>
      </c>
      <c r="B370" s="1" t="s">
        <v>2549</v>
      </c>
      <c r="C370" s="1" t="s">
        <v>49</v>
      </c>
      <c r="D370" s="1" t="s">
        <v>3184</v>
      </c>
      <c r="E370" s="62">
        <v>46</v>
      </c>
      <c r="F370" s="1" t="s">
        <v>2551</v>
      </c>
      <c r="G370" s="1" t="s">
        <v>2552</v>
      </c>
    </row>
    <row x14ac:dyDescent="0.25" r="371" customHeight="1" ht="17.25" hidden="1">
      <c r="A371" s="112" t="s">
        <v>3185</v>
      </c>
      <c r="B371" s="1" t="s">
        <v>2549</v>
      </c>
      <c r="C371" s="1" t="s">
        <v>49</v>
      </c>
      <c r="D371" s="1" t="s">
        <v>3186</v>
      </c>
      <c r="E371" s="62">
        <v>26</v>
      </c>
      <c r="F371" s="1" t="s">
        <v>2551</v>
      </c>
      <c r="G371" s="1" t="s">
        <v>2552</v>
      </c>
    </row>
    <row x14ac:dyDescent="0.25" r="372" customHeight="1" ht="17.25" hidden="1">
      <c r="A372" s="112" t="s">
        <v>3185</v>
      </c>
      <c r="B372" s="1" t="s">
        <v>2549</v>
      </c>
      <c r="C372" s="1" t="s">
        <v>49</v>
      </c>
      <c r="D372" s="1" t="s">
        <v>3187</v>
      </c>
      <c r="E372" s="62">
        <v>32</v>
      </c>
      <c r="F372" s="1" t="s">
        <v>2551</v>
      </c>
      <c r="G372" s="1" t="s">
        <v>2555</v>
      </c>
    </row>
    <row x14ac:dyDescent="0.25" r="373" customHeight="1" ht="17.25" hidden="1">
      <c r="A373" s="112" t="s">
        <v>3188</v>
      </c>
      <c r="B373" s="1" t="s">
        <v>2549</v>
      </c>
      <c r="C373" s="1" t="s">
        <v>49</v>
      </c>
      <c r="D373" s="1" t="s">
        <v>3189</v>
      </c>
      <c r="E373" s="62">
        <v>18</v>
      </c>
      <c r="F373" s="1" t="s">
        <v>2551</v>
      </c>
      <c r="G373" s="1" t="s">
        <v>2555</v>
      </c>
    </row>
    <row x14ac:dyDescent="0.25" r="374" customHeight="1" ht="17.25" hidden="1">
      <c r="A374" s="112" t="s">
        <v>3190</v>
      </c>
      <c r="B374" s="1" t="s">
        <v>2549</v>
      </c>
      <c r="C374" s="1" t="s">
        <v>49</v>
      </c>
      <c r="D374" s="1" t="s">
        <v>3191</v>
      </c>
      <c r="E374" s="62">
        <v>19</v>
      </c>
      <c r="F374" s="1" t="s">
        <v>2551</v>
      </c>
      <c r="G374" s="1" t="s">
        <v>2552</v>
      </c>
    </row>
    <row x14ac:dyDescent="0.25" r="375" customHeight="1" ht="17.25" hidden="1">
      <c r="A375" s="112" t="s">
        <v>3192</v>
      </c>
      <c r="B375" s="1" t="s">
        <v>2549</v>
      </c>
      <c r="C375" s="1" t="s">
        <v>49</v>
      </c>
      <c r="D375" s="1" t="s">
        <v>3193</v>
      </c>
      <c r="E375" s="62">
        <v>19</v>
      </c>
      <c r="F375" s="1" t="s">
        <v>2561</v>
      </c>
      <c r="G375" s="1" t="s">
        <v>2552</v>
      </c>
    </row>
    <row x14ac:dyDescent="0.25" r="376" customHeight="1" ht="17.25" hidden="1">
      <c r="A376" s="112" t="s">
        <v>3194</v>
      </c>
      <c r="B376" s="1" t="s">
        <v>2549</v>
      </c>
      <c r="C376" s="1" t="s">
        <v>49</v>
      </c>
      <c r="D376" s="1" t="s">
        <v>3195</v>
      </c>
      <c r="E376" s="62">
        <v>47</v>
      </c>
      <c r="F376" s="1" t="s">
        <v>2551</v>
      </c>
      <c r="G376" s="1" t="s">
        <v>2555</v>
      </c>
    </row>
    <row x14ac:dyDescent="0.25" r="377" customHeight="1" ht="17.25" hidden="1">
      <c r="A377" s="112" t="s">
        <v>3194</v>
      </c>
      <c r="B377" s="1" t="s">
        <v>2549</v>
      </c>
      <c r="C377" s="1" t="s">
        <v>49</v>
      </c>
      <c r="D377" s="1" t="s">
        <v>3196</v>
      </c>
      <c r="E377" s="54" t="s">
        <v>2571</v>
      </c>
      <c r="F377" s="1" t="s">
        <v>2551</v>
      </c>
      <c r="G377" s="1" t="s">
        <v>2555</v>
      </c>
    </row>
    <row x14ac:dyDescent="0.25" r="378" customHeight="1" ht="17.25" hidden="1">
      <c r="A378" s="112" t="s">
        <v>3197</v>
      </c>
      <c r="B378" s="1" t="s">
        <v>2549</v>
      </c>
      <c r="C378" s="1" t="s">
        <v>49</v>
      </c>
      <c r="D378" s="1" t="s">
        <v>3198</v>
      </c>
      <c r="E378" s="62">
        <v>37</v>
      </c>
      <c r="F378" s="1" t="s">
        <v>2551</v>
      </c>
      <c r="G378" s="1" t="s">
        <v>2555</v>
      </c>
    </row>
    <row x14ac:dyDescent="0.25" r="379" customHeight="1" ht="17.25" hidden="1">
      <c r="A379" s="112" t="s">
        <v>3199</v>
      </c>
      <c r="B379" s="1" t="s">
        <v>2549</v>
      </c>
      <c r="C379" s="1" t="s">
        <v>49</v>
      </c>
      <c r="D379" s="1" t="s">
        <v>3200</v>
      </c>
      <c r="E379" s="62">
        <v>25</v>
      </c>
      <c r="F379" s="1" t="s">
        <v>2551</v>
      </c>
      <c r="G379" s="1" t="s">
        <v>2552</v>
      </c>
    </row>
    <row x14ac:dyDescent="0.25" r="380" customHeight="1" ht="17.25" hidden="1">
      <c r="A380" s="112" t="s">
        <v>3201</v>
      </c>
      <c r="B380" s="1" t="s">
        <v>2549</v>
      </c>
      <c r="C380" s="1" t="s">
        <v>49</v>
      </c>
      <c r="D380" s="1" t="s">
        <v>3202</v>
      </c>
      <c r="E380" s="62">
        <v>18</v>
      </c>
      <c r="F380" s="1" t="s">
        <v>2551</v>
      </c>
      <c r="G380" s="1" t="s">
        <v>2552</v>
      </c>
    </row>
    <row x14ac:dyDescent="0.25" r="381" customHeight="1" ht="17.25" hidden="1">
      <c r="A381" s="112" t="s">
        <v>3203</v>
      </c>
      <c r="B381" s="1" t="s">
        <v>2549</v>
      </c>
      <c r="C381" s="1" t="s">
        <v>49</v>
      </c>
      <c r="D381" s="1" t="s">
        <v>3204</v>
      </c>
      <c r="E381" s="62">
        <v>19</v>
      </c>
      <c r="F381" s="1" t="s">
        <v>2551</v>
      </c>
      <c r="G381" s="1" t="s">
        <v>2555</v>
      </c>
    </row>
    <row x14ac:dyDescent="0.25" r="382" customHeight="1" ht="17.25" hidden="1">
      <c r="A382" s="112" t="s">
        <v>3205</v>
      </c>
      <c r="B382" s="1" t="s">
        <v>2549</v>
      </c>
      <c r="C382" s="1" t="s">
        <v>49</v>
      </c>
      <c r="D382" s="1" t="s">
        <v>3206</v>
      </c>
      <c r="E382" s="62">
        <v>39</v>
      </c>
      <c r="F382" s="1" t="s">
        <v>2551</v>
      </c>
      <c r="G382" s="1" t="s">
        <v>2552</v>
      </c>
    </row>
    <row x14ac:dyDescent="0.25" r="383" customHeight="1" ht="17.25" hidden="1">
      <c r="A383" s="112" t="s">
        <v>3207</v>
      </c>
      <c r="B383" s="1" t="s">
        <v>2549</v>
      </c>
      <c r="C383" s="1" t="s">
        <v>49</v>
      </c>
      <c r="D383" s="1" t="s">
        <v>3208</v>
      </c>
      <c r="E383" s="62">
        <v>28</v>
      </c>
      <c r="F383" s="1" t="s">
        <v>2551</v>
      </c>
      <c r="G383" s="1" t="s">
        <v>2552</v>
      </c>
    </row>
    <row x14ac:dyDescent="0.25" r="384" customHeight="1" ht="17.25" hidden="1">
      <c r="A384" s="112" t="s">
        <v>3209</v>
      </c>
      <c r="B384" s="1" t="s">
        <v>2549</v>
      </c>
      <c r="C384" s="1" t="s">
        <v>49</v>
      </c>
      <c r="D384" s="1" t="s">
        <v>3210</v>
      </c>
      <c r="E384" s="62">
        <v>20</v>
      </c>
      <c r="F384" s="1" t="s">
        <v>2551</v>
      </c>
      <c r="G384" s="1" t="s">
        <v>2552</v>
      </c>
    </row>
    <row x14ac:dyDescent="0.25" r="385" customHeight="1" ht="17.25" hidden="1">
      <c r="A385" s="112" t="s">
        <v>3211</v>
      </c>
      <c r="B385" s="1" t="s">
        <v>2549</v>
      </c>
      <c r="C385" s="1" t="s">
        <v>49</v>
      </c>
      <c r="D385" s="1" t="s">
        <v>3212</v>
      </c>
      <c r="E385" s="62">
        <v>39</v>
      </c>
      <c r="F385" s="1" t="s">
        <v>2551</v>
      </c>
      <c r="G385" s="1" t="s">
        <v>2555</v>
      </c>
    </row>
    <row x14ac:dyDescent="0.25" r="386" customHeight="1" ht="17.25" hidden="1">
      <c r="A386" s="112" t="s">
        <v>3213</v>
      </c>
      <c r="B386" s="1" t="s">
        <v>2549</v>
      </c>
      <c r="C386" s="1" t="s">
        <v>49</v>
      </c>
      <c r="D386" s="1" t="s">
        <v>3214</v>
      </c>
      <c r="E386" s="62">
        <v>42</v>
      </c>
      <c r="F386" s="1" t="s">
        <v>2561</v>
      </c>
      <c r="G386" s="1" t="s">
        <v>2552</v>
      </c>
    </row>
    <row x14ac:dyDescent="0.25" r="387" customHeight="1" ht="17.25" hidden="1">
      <c r="A387" s="112" t="s">
        <v>3215</v>
      </c>
      <c r="B387" s="1" t="s">
        <v>2549</v>
      </c>
      <c r="C387" s="1" t="s">
        <v>49</v>
      </c>
      <c r="D387" s="1" t="s">
        <v>3216</v>
      </c>
      <c r="E387" s="62">
        <v>19</v>
      </c>
      <c r="F387" s="1" t="s">
        <v>2551</v>
      </c>
      <c r="G387" s="1" t="s">
        <v>2552</v>
      </c>
    </row>
    <row x14ac:dyDescent="0.25" r="388" customHeight="1" ht="17.25" hidden="1">
      <c r="A388" s="112" t="s">
        <v>3217</v>
      </c>
      <c r="B388" s="1" t="s">
        <v>2549</v>
      </c>
      <c r="C388" s="1" t="s">
        <v>49</v>
      </c>
      <c r="D388" s="1" t="s">
        <v>3218</v>
      </c>
      <c r="E388" s="62">
        <v>22</v>
      </c>
      <c r="F388" s="1" t="s">
        <v>2551</v>
      </c>
      <c r="G388" s="1" t="s">
        <v>2555</v>
      </c>
    </row>
    <row x14ac:dyDescent="0.25" r="389" customHeight="1" ht="17.25" hidden="1">
      <c r="A389" s="112" t="s">
        <v>3219</v>
      </c>
      <c r="B389" s="1" t="s">
        <v>2549</v>
      </c>
      <c r="C389" s="1" t="s">
        <v>49</v>
      </c>
      <c r="D389" s="1" t="s">
        <v>3220</v>
      </c>
      <c r="E389" s="62">
        <v>27</v>
      </c>
      <c r="F389" s="1" t="s">
        <v>2551</v>
      </c>
      <c r="G389" s="1" t="s">
        <v>2552</v>
      </c>
    </row>
    <row x14ac:dyDescent="0.25" r="390" customHeight="1" ht="17.25" hidden="1">
      <c r="A390" s="112" t="s">
        <v>3221</v>
      </c>
      <c r="B390" s="1" t="s">
        <v>2549</v>
      </c>
      <c r="C390" s="1" t="s">
        <v>49</v>
      </c>
      <c r="D390" s="1" t="s">
        <v>3222</v>
      </c>
      <c r="E390" s="62">
        <v>20</v>
      </c>
      <c r="F390" s="1" t="s">
        <v>2551</v>
      </c>
      <c r="G390" s="1" t="s">
        <v>2552</v>
      </c>
    </row>
    <row x14ac:dyDescent="0.25" r="391" customHeight="1" ht="17.25" hidden="1">
      <c r="A391" s="112" t="s">
        <v>1407</v>
      </c>
      <c r="B391" s="1" t="s">
        <v>2549</v>
      </c>
      <c r="C391" s="1" t="s">
        <v>49</v>
      </c>
      <c r="D391" s="1" t="s">
        <v>1409</v>
      </c>
      <c r="E391" s="62">
        <v>31</v>
      </c>
      <c r="F391" s="1" t="s">
        <v>2551</v>
      </c>
      <c r="G391" s="1" t="s">
        <v>2555</v>
      </c>
    </row>
    <row x14ac:dyDescent="0.25" r="392" customHeight="1" ht="17.25" hidden="1">
      <c r="A392" s="112" t="s">
        <v>3223</v>
      </c>
      <c r="B392" s="1" t="s">
        <v>2549</v>
      </c>
      <c r="C392" s="1" t="s">
        <v>49</v>
      </c>
      <c r="D392" s="1" t="s">
        <v>3224</v>
      </c>
      <c r="E392" s="62">
        <v>30</v>
      </c>
      <c r="F392" s="1" t="s">
        <v>2551</v>
      </c>
      <c r="G392" s="1" t="s">
        <v>2552</v>
      </c>
    </row>
    <row x14ac:dyDescent="0.25" r="393" customHeight="1" ht="17.25" hidden="1">
      <c r="A393" s="112" t="s">
        <v>3225</v>
      </c>
      <c r="B393" s="1" t="s">
        <v>2549</v>
      </c>
      <c r="C393" s="1" t="s">
        <v>49</v>
      </c>
      <c r="D393" s="1" t="s">
        <v>3226</v>
      </c>
      <c r="E393" s="62">
        <v>18</v>
      </c>
      <c r="F393" s="1" t="s">
        <v>2551</v>
      </c>
      <c r="G393" s="1" t="s">
        <v>2558</v>
      </c>
    </row>
    <row x14ac:dyDescent="0.25" r="394" customHeight="1" ht="17.25" hidden="1">
      <c r="A394" s="112" t="s">
        <v>3227</v>
      </c>
      <c r="B394" s="1" t="s">
        <v>2549</v>
      </c>
      <c r="C394" s="1" t="s">
        <v>49</v>
      </c>
      <c r="D394" s="1" t="s">
        <v>3228</v>
      </c>
      <c r="E394" s="62">
        <v>20</v>
      </c>
      <c r="F394" s="1" t="s">
        <v>2551</v>
      </c>
      <c r="G394" s="1" t="s">
        <v>2555</v>
      </c>
    </row>
    <row x14ac:dyDescent="0.25" r="395" customHeight="1" ht="17.25" hidden="1">
      <c r="A395" s="112" t="s">
        <v>3229</v>
      </c>
      <c r="B395" s="1" t="s">
        <v>2549</v>
      </c>
      <c r="C395" s="1" t="s">
        <v>49</v>
      </c>
      <c r="D395" s="1" t="s">
        <v>3230</v>
      </c>
      <c r="E395" s="62">
        <v>19</v>
      </c>
      <c r="F395" s="1" t="s">
        <v>2551</v>
      </c>
      <c r="G395" s="1" t="s">
        <v>2552</v>
      </c>
    </row>
    <row x14ac:dyDescent="0.25" r="396" customHeight="1" ht="17.25" hidden="1">
      <c r="A396" s="112" t="s">
        <v>3231</v>
      </c>
      <c r="B396" s="1" t="s">
        <v>2549</v>
      </c>
      <c r="C396" s="1" t="s">
        <v>49</v>
      </c>
      <c r="D396" s="1" t="s">
        <v>3232</v>
      </c>
      <c r="E396" s="62">
        <v>22</v>
      </c>
      <c r="F396" s="1" t="s">
        <v>2551</v>
      </c>
      <c r="G396" s="1" t="s">
        <v>2552</v>
      </c>
    </row>
    <row x14ac:dyDescent="0.25" r="397" customHeight="1" ht="17.25" hidden="1">
      <c r="A397" s="112" t="s">
        <v>2433</v>
      </c>
      <c r="B397" s="1" t="s">
        <v>2549</v>
      </c>
      <c r="C397" s="1" t="s">
        <v>49</v>
      </c>
      <c r="D397" s="1" t="s">
        <v>3233</v>
      </c>
      <c r="E397" s="62">
        <v>20</v>
      </c>
      <c r="F397" s="1" t="s">
        <v>2551</v>
      </c>
      <c r="G397" s="1" t="s">
        <v>2555</v>
      </c>
    </row>
    <row x14ac:dyDescent="0.25" r="398" customHeight="1" ht="17.25" hidden="1">
      <c r="A398" s="112" t="s">
        <v>3234</v>
      </c>
      <c r="B398" s="1" t="s">
        <v>2549</v>
      </c>
      <c r="C398" s="1" t="s">
        <v>49</v>
      </c>
      <c r="D398" s="1" t="s">
        <v>3235</v>
      </c>
      <c r="E398" s="62">
        <v>19</v>
      </c>
      <c r="F398" s="1" t="s">
        <v>2551</v>
      </c>
      <c r="G398" s="1" t="s">
        <v>2552</v>
      </c>
    </row>
    <row x14ac:dyDescent="0.25" r="399" customHeight="1" ht="17.25" hidden="1">
      <c r="A399" s="112" t="s">
        <v>3236</v>
      </c>
      <c r="B399" s="1" t="s">
        <v>2549</v>
      </c>
      <c r="C399" s="1" t="s">
        <v>49</v>
      </c>
      <c r="D399" s="1" t="s">
        <v>3237</v>
      </c>
      <c r="E399" s="62">
        <v>39</v>
      </c>
      <c r="F399" s="1" t="s">
        <v>2551</v>
      </c>
      <c r="G399" s="1" t="s">
        <v>2552</v>
      </c>
    </row>
    <row x14ac:dyDescent="0.25" r="400" customHeight="1" ht="17.25" hidden="1">
      <c r="A400" s="112" t="s">
        <v>3238</v>
      </c>
      <c r="B400" s="1" t="s">
        <v>2549</v>
      </c>
      <c r="C400" s="1" t="s">
        <v>49</v>
      </c>
      <c r="D400" s="1" t="s">
        <v>3239</v>
      </c>
      <c r="E400" s="62">
        <v>22</v>
      </c>
      <c r="F400" s="1" t="s">
        <v>2551</v>
      </c>
      <c r="G400" s="1" t="s">
        <v>2555</v>
      </c>
    </row>
    <row x14ac:dyDescent="0.25" r="401" customHeight="1" ht="17.25" hidden="1">
      <c r="A401" s="112" t="s">
        <v>3240</v>
      </c>
      <c r="B401" s="1" t="s">
        <v>2549</v>
      </c>
      <c r="C401" s="1" t="s">
        <v>49</v>
      </c>
      <c r="D401" s="1" t="s">
        <v>3241</v>
      </c>
      <c r="E401" s="62">
        <v>21</v>
      </c>
      <c r="F401" s="1" t="s">
        <v>2551</v>
      </c>
      <c r="G401" s="1" t="s">
        <v>2552</v>
      </c>
    </row>
    <row x14ac:dyDescent="0.25" r="402" customHeight="1" ht="17.25" hidden="1">
      <c r="A402" s="112" t="s">
        <v>961</v>
      </c>
      <c r="B402" s="1" t="s">
        <v>2549</v>
      </c>
      <c r="C402" s="1" t="s">
        <v>49</v>
      </c>
      <c r="D402" s="1" t="s">
        <v>963</v>
      </c>
      <c r="E402" s="62">
        <v>30</v>
      </c>
      <c r="F402" s="1" t="s">
        <v>2551</v>
      </c>
      <c r="G402" s="1" t="s">
        <v>2552</v>
      </c>
    </row>
    <row x14ac:dyDescent="0.25" r="403" customHeight="1" ht="17.25" hidden="1">
      <c r="A403" s="112" t="s">
        <v>3242</v>
      </c>
      <c r="B403" s="1" t="s">
        <v>2549</v>
      </c>
      <c r="C403" s="1" t="s">
        <v>49</v>
      </c>
      <c r="D403" s="1" t="s">
        <v>3243</v>
      </c>
      <c r="E403" s="62">
        <v>23</v>
      </c>
      <c r="F403" s="1" t="s">
        <v>2551</v>
      </c>
      <c r="G403" s="1" t="s">
        <v>2552</v>
      </c>
    </row>
    <row x14ac:dyDescent="0.25" r="404" customHeight="1" ht="17.25" hidden="1">
      <c r="A404" s="112" t="s">
        <v>3244</v>
      </c>
      <c r="B404" s="1" t="s">
        <v>2549</v>
      </c>
      <c r="C404" s="1" t="s">
        <v>49</v>
      </c>
      <c r="D404" s="1" t="s">
        <v>3245</v>
      </c>
      <c r="E404" s="62">
        <v>43</v>
      </c>
      <c r="F404" s="1" t="s">
        <v>2551</v>
      </c>
      <c r="G404" s="1" t="s">
        <v>2552</v>
      </c>
    </row>
    <row x14ac:dyDescent="0.25" r="405" customHeight="1" ht="17.25" hidden="1">
      <c r="A405" s="112" t="s">
        <v>3244</v>
      </c>
      <c r="B405" s="1" t="s">
        <v>2549</v>
      </c>
      <c r="C405" s="1" t="s">
        <v>49</v>
      </c>
      <c r="D405" s="1" t="s">
        <v>3246</v>
      </c>
      <c r="E405" s="62">
        <v>46</v>
      </c>
      <c r="F405" s="1" t="s">
        <v>2561</v>
      </c>
      <c r="G405" s="1" t="s">
        <v>2552</v>
      </c>
    </row>
    <row x14ac:dyDescent="0.25" r="406" customHeight="1" ht="17.25" hidden="1">
      <c r="A406" s="112" t="s">
        <v>3247</v>
      </c>
      <c r="B406" s="1" t="s">
        <v>2549</v>
      </c>
      <c r="C406" s="1" t="s">
        <v>49</v>
      </c>
      <c r="D406" s="1" t="s">
        <v>3248</v>
      </c>
      <c r="E406" s="62">
        <v>18</v>
      </c>
      <c r="F406" s="1" t="s">
        <v>2551</v>
      </c>
      <c r="G406" s="1" t="s">
        <v>2552</v>
      </c>
    </row>
    <row x14ac:dyDescent="0.25" r="407" customHeight="1" ht="17.25" hidden="1">
      <c r="A407" s="112" t="s">
        <v>3249</v>
      </c>
      <c r="B407" s="1" t="s">
        <v>2549</v>
      </c>
      <c r="C407" s="1" t="s">
        <v>49</v>
      </c>
      <c r="D407" s="1" t="s">
        <v>3250</v>
      </c>
      <c r="E407" s="62">
        <v>18</v>
      </c>
      <c r="F407" s="1" t="s">
        <v>2551</v>
      </c>
      <c r="G407" s="1" t="s">
        <v>2555</v>
      </c>
    </row>
    <row x14ac:dyDescent="0.25" r="408" customHeight="1" ht="17.25" hidden="1">
      <c r="A408" s="112" t="s">
        <v>3249</v>
      </c>
      <c r="B408" s="1" t="s">
        <v>2549</v>
      </c>
      <c r="C408" s="1" t="s">
        <v>49</v>
      </c>
      <c r="D408" s="1" t="s">
        <v>3251</v>
      </c>
      <c r="E408" s="62">
        <v>19</v>
      </c>
      <c r="F408" s="1" t="s">
        <v>2551</v>
      </c>
      <c r="G408" s="1" t="s">
        <v>2552</v>
      </c>
    </row>
    <row x14ac:dyDescent="0.25" r="409" customHeight="1" ht="17.25" hidden="1">
      <c r="A409" s="112" t="s">
        <v>3252</v>
      </c>
      <c r="B409" s="1" t="s">
        <v>2549</v>
      </c>
      <c r="C409" s="1" t="s">
        <v>49</v>
      </c>
      <c r="D409" s="1" t="s">
        <v>3253</v>
      </c>
      <c r="E409" s="62">
        <v>26</v>
      </c>
      <c r="F409" s="1" t="s">
        <v>2551</v>
      </c>
      <c r="G409" s="1" t="s">
        <v>2552</v>
      </c>
    </row>
    <row x14ac:dyDescent="0.25" r="410" customHeight="1" ht="17.25" hidden="1">
      <c r="A410" s="112" t="s">
        <v>3254</v>
      </c>
      <c r="B410" s="1" t="s">
        <v>2549</v>
      </c>
      <c r="C410" s="1" t="s">
        <v>49</v>
      </c>
      <c r="D410" s="1" t="s">
        <v>3255</v>
      </c>
      <c r="E410" s="62">
        <v>35</v>
      </c>
      <c r="F410" s="1" t="s">
        <v>2551</v>
      </c>
      <c r="G410" s="1" t="s">
        <v>2555</v>
      </c>
    </row>
    <row x14ac:dyDescent="0.25" r="411" customHeight="1" ht="17.25" hidden="1">
      <c r="A411" s="112" t="s">
        <v>3256</v>
      </c>
      <c r="B411" s="1" t="s">
        <v>2549</v>
      </c>
      <c r="C411" s="1" t="s">
        <v>49</v>
      </c>
      <c r="D411" s="1" t="s">
        <v>3257</v>
      </c>
      <c r="E411" s="62">
        <v>30</v>
      </c>
      <c r="F411" s="1" t="s">
        <v>2551</v>
      </c>
      <c r="G411" s="1" t="s">
        <v>2558</v>
      </c>
    </row>
    <row x14ac:dyDescent="0.25" r="412" customHeight="1" ht="17.25" hidden="1">
      <c r="A412" s="112" t="s">
        <v>3258</v>
      </c>
      <c r="B412" s="1" t="s">
        <v>2549</v>
      </c>
      <c r="C412" s="1" t="s">
        <v>49</v>
      </c>
      <c r="D412" s="1" t="s">
        <v>3259</v>
      </c>
      <c r="E412" s="62">
        <v>39</v>
      </c>
      <c r="F412" s="1" t="s">
        <v>2551</v>
      </c>
      <c r="G412" s="1" t="s">
        <v>2555</v>
      </c>
    </row>
    <row x14ac:dyDescent="0.25" r="413" customHeight="1" ht="17.25" hidden="1">
      <c r="A413" s="112" t="s">
        <v>3260</v>
      </c>
      <c r="B413" s="1" t="s">
        <v>2549</v>
      </c>
      <c r="C413" s="1" t="s">
        <v>49</v>
      </c>
      <c r="D413" s="1" t="s">
        <v>3261</v>
      </c>
      <c r="E413" s="62">
        <v>19</v>
      </c>
      <c r="F413" s="1" t="s">
        <v>2551</v>
      </c>
      <c r="G413" s="1" t="s">
        <v>2552</v>
      </c>
    </row>
    <row x14ac:dyDescent="0.25" r="414" customHeight="1" ht="17.25" hidden="1">
      <c r="A414" s="112" t="s">
        <v>3262</v>
      </c>
      <c r="B414" s="1" t="s">
        <v>2549</v>
      </c>
      <c r="C414" s="1" t="s">
        <v>49</v>
      </c>
      <c r="D414" s="1" t="s">
        <v>3263</v>
      </c>
      <c r="E414" s="62">
        <v>36</v>
      </c>
      <c r="F414" s="1" t="s">
        <v>2551</v>
      </c>
      <c r="G414" s="1" t="s">
        <v>2552</v>
      </c>
    </row>
    <row x14ac:dyDescent="0.25" r="415" customHeight="1" ht="17.25" hidden="1">
      <c r="A415" s="112" t="s">
        <v>3264</v>
      </c>
      <c r="B415" s="1" t="s">
        <v>2549</v>
      </c>
      <c r="C415" s="1" t="s">
        <v>49</v>
      </c>
      <c r="D415" s="1" t="s">
        <v>3265</v>
      </c>
      <c r="E415" s="62">
        <v>38</v>
      </c>
      <c r="F415" s="1" t="s">
        <v>2551</v>
      </c>
      <c r="G415" s="1" t="s">
        <v>2555</v>
      </c>
    </row>
    <row x14ac:dyDescent="0.25" r="416" customHeight="1" ht="17.25" hidden="1">
      <c r="A416" s="112" t="s">
        <v>3266</v>
      </c>
      <c r="B416" s="1" t="s">
        <v>2549</v>
      </c>
      <c r="C416" s="1" t="s">
        <v>49</v>
      </c>
      <c r="D416" s="1" t="s">
        <v>3267</v>
      </c>
      <c r="E416" s="62">
        <v>33</v>
      </c>
      <c r="F416" s="1" t="s">
        <v>2551</v>
      </c>
      <c r="G416" s="1" t="s">
        <v>2555</v>
      </c>
    </row>
    <row x14ac:dyDescent="0.25" r="417" customHeight="1" ht="17.25" hidden="1">
      <c r="A417" s="112" t="s">
        <v>3268</v>
      </c>
      <c r="B417" s="1" t="s">
        <v>2549</v>
      </c>
      <c r="C417" s="1" t="s">
        <v>49</v>
      </c>
      <c r="D417" s="1" t="s">
        <v>3269</v>
      </c>
      <c r="E417" s="62">
        <v>32</v>
      </c>
      <c r="F417" s="1" t="s">
        <v>2551</v>
      </c>
      <c r="G417" s="1" t="s">
        <v>2555</v>
      </c>
    </row>
    <row x14ac:dyDescent="0.25" r="418" customHeight="1" ht="17.25" hidden="1">
      <c r="A418" s="112" t="s">
        <v>3268</v>
      </c>
      <c r="B418" s="1" t="s">
        <v>2549</v>
      </c>
      <c r="C418" s="1" t="s">
        <v>49</v>
      </c>
      <c r="D418" s="1" t="s">
        <v>3270</v>
      </c>
      <c r="E418" s="62">
        <v>33</v>
      </c>
      <c r="F418" s="1" t="s">
        <v>2551</v>
      </c>
      <c r="G418" s="1" t="s">
        <v>2552</v>
      </c>
    </row>
    <row x14ac:dyDescent="0.25" r="419" customHeight="1" ht="17.25" hidden="1">
      <c r="A419" s="112" t="s">
        <v>3268</v>
      </c>
      <c r="B419" s="1" t="s">
        <v>2549</v>
      </c>
      <c r="C419" s="1" t="s">
        <v>49</v>
      </c>
      <c r="D419" s="1" t="s">
        <v>3271</v>
      </c>
      <c r="E419" s="62">
        <v>29</v>
      </c>
      <c r="F419" s="1" t="s">
        <v>2551</v>
      </c>
      <c r="G419" s="1" t="s">
        <v>2552</v>
      </c>
    </row>
    <row x14ac:dyDescent="0.25" r="420" customHeight="1" ht="17.25" hidden="1">
      <c r="A420" s="112" t="s">
        <v>3272</v>
      </c>
      <c r="B420" s="1" t="s">
        <v>2549</v>
      </c>
      <c r="C420" s="1" t="s">
        <v>49</v>
      </c>
      <c r="D420" s="1" t="s">
        <v>3273</v>
      </c>
      <c r="E420" s="62">
        <v>19</v>
      </c>
      <c r="F420" s="1" t="s">
        <v>2551</v>
      </c>
      <c r="G420" s="1" t="s">
        <v>2552</v>
      </c>
    </row>
    <row x14ac:dyDescent="0.25" r="421" customHeight="1" ht="17.25" hidden="1">
      <c r="A421" s="112" t="s">
        <v>3274</v>
      </c>
      <c r="B421" s="1" t="s">
        <v>2549</v>
      </c>
      <c r="C421" s="1" t="s">
        <v>49</v>
      </c>
      <c r="D421" s="1" t="s">
        <v>3275</v>
      </c>
      <c r="E421" s="62">
        <v>38</v>
      </c>
      <c r="F421" s="1" t="s">
        <v>2551</v>
      </c>
      <c r="G421" s="1" t="s">
        <v>2552</v>
      </c>
    </row>
    <row x14ac:dyDescent="0.25" r="422" customHeight="1" ht="17.25" hidden="1">
      <c r="A422" s="112" t="s">
        <v>3276</v>
      </c>
      <c r="B422" s="1" t="s">
        <v>2549</v>
      </c>
      <c r="C422" s="1" t="s">
        <v>49</v>
      </c>
      <c r="D422" s="1" t="s">
        <v>3277</v>
      </c>
      <c r="E422" s="62">
        <v>29</v>
      </c>
      <c r="F422" s="1" t="s">
        <v>2551</v>
      </c>
      <c r="G422" s="1" t="s">
        <v>2555</v>
      </c>
    </row>
    <row x14ac:dyDescent="0.25" r="423" customHeight="1" ht="17.25" hidden="1">
      <c r="A423" s="112" t="s">
        <v>3278</v>
      </c>
      <c r="B423" s="1" t="s">
        <v>2549</v>
      </c>
      <c r="C423" s="1" t="s">
        <v>49</v>
      </c>
      <c r="D423" s="1" t="s">
        <v>3279</v>
      </c>
      <c r="E423" s="62">
        <v>19</v>
      </c>
      <c r="F423" s="1" t="s">
        <v>2551</v>
      </c>
      <c r="G423" s="1" t="s">
        <v>2558</v>
      </c>
    </row>
    <row x14ac:dyDescent="0.25" r="424" customHeight="1" ht="17.25" hidden="1">
      <c r="A424" s="112" t="s">
        <v>3280</v>
      </c>
      <c r="B424" s="1" t="s">
        <v>2549</v>
      </c>
      <c r="C424" s="1" t="s">
        <v>49</v>
      </c>
      <c r="D424" s="1" t="s">
        <v>3281</v>
      </c>
      <c r="E424" s="62">
        <v>20</v>
      </c>
      <c r="F424" s="1" t="s">
        <v>2551</v>
      </c>
      <c r="G424" s="1" t="s">
        <v>2552</v>
      </c>
    </row>
    <row x14ac:dyDescent="0.25" r="425" customHeight="1" ht="17.25" hidden="1">
      <c r="A425" s="112" t="s">
        <v>3280</v>
      </c>
      <c r="B425" s="1" t="s">
        <v>2549</v>
      </c>
      <c r="C425" s="1" t="s">
        <v>49</v>
      </c>
      <c r="D425" s="1" t="s">
        <v>3282</v>
      </c>
      <c r="E425" s="62">
        <v>24</v>
      </c>
      <c r="F425" s="1" t="s">
        <v>2551</v>
      </c>
      <c r="G425" s="1" t="s">
        <v>2555</v>
      </c>
    </row>
    <row x14ac:dyDescent="0.25" r="426" customHeight="1" ht="17.25" hidden="1">
      <c r="A426" s="112" t="s">
        <v>3280</v>
      </c>
      <c r="B426" s="1" t="s">
        <v>2549</v>
      </c>
      <c r="C426" s="1" t="s">
        <v>49</v>
      </c>
      <c r="D426" s="1" t="s">
        <v>3283</v>
      </c>
      <c r="E426" s="62">
        <v>31</v>
      </c>
      <c r="F426" s="1" t="s">
        <v>2551</v>
      </c>
      <c r="G426" s="1" t="s">
        <v>2552</v>
      </c>
    </row>
    <row x14ac:dyDescent="0.25" r="427" customHeight="1" ht="17.25" hidden="1">
      <c r="A427" s="112" t="s">
        <v>3280</v>
      </c>
      <c r="B427" s="1" t="s">
        <v>2549</v>
      </c>
      <c r="C427" s="1" t="s">
        <v>49</v>
      </c>
      <c r="D427" s="1" t="s">
        <v>3284</v>
      </c>
      <c r="E427" s="62">
        <v>18</v>
      </c>
      <c r="F427" s="1" t="s">
        <v>2551</v>
      </c>
      <c r="G427" s="1" t="s">
        <v>2552</v>
      </c>
    </row>
    <row x14ac:dyDescent="0.25" r="428" customHeight="1" ht="17.25" hidden="1">
      <c r="A428" s="112" t="s">
        <v>3280</v>
      </c>
      <c r="B428" s="1" t="s">
        <v>2549</v>
      </c>
      <c r="C428" s="1" t="s">
        <v>49</v>
      </c>
      <c r="D428" s="1" t="s">
        <v>3285</v>
      </c>
      <c r="E428" s="62">
        <v>23</v>
      </c>
      <c r="F428" s="1" t="s">
        <v>2551</v>
      </c>
      <c r="G428" s="1" t="s">
        <v>2558</v>
      </c>
    </row>
    <row x14ac:dyDescent="0.25" r="429" customHeight="1" ht="17.25" hidden="1">
      <c r="A429" s="112" t="s">
        <v>3280</v>
      </c>
      <c r="B429" s="1" t="s">
        <v>2549</v>
      </c>
      <c r="C429" s="1" t="s">
        <v>49</v>
      </c>
      <c r="D429" s="1" t="s">
        <v>3286</v>
      </c>
      <c r="E429" s="62">
        <v>32</v>
      </c>
      <c r="F429" s="1" t="s">
        <v>2551</v>
      </c>
      <c r="G429" s="1" t="s">
        <v>2558</v>
      </c>
    </row>
    <row x14ac:dyDescent="0.25" r="430" customHeight="1" ht="17.25" hidden="1">
      <c r="A430" s="112" t="s">
        <v>3287</v>
      </c>
      <c r="B430" s="1" t="s">
        <v>2549</v>
      </c>
      <c r="C430" s="1" t="s">
        <v>49</v>
      </c>
      <c r="D430" s="1" t="s">
        <v>3288</v>
      </c>
      <c r="E430" s="62">
        <v>31</v>
      </c>
      <c r="F430" s="1" t="s">
        <v>2551</v>
      </c>
      <c r="G430" s="1" t="s">
        <v>2552</v>
      </c>
    </row>
    <row x14ac:dyDescent="0.25" r="431" customHeight="1" ht="17.25" hidden="1">
      <c r="A431" s="112" t="s">
        <v>3289</v>
      </c>
      <c r="B431" s="1" t="s">
        <v>2549</v>
      </c>
      <c r="C431" s="1" t="s">
        <v>49</v>
      </c>
      <c r="D431" s="1" t="s">
        <v>3290</v>
      </c>
      <c r="E431" s="62">
        <v>37</v>
      </c>
      <c r="F431" s="1" t="s">
        <v>2551</v>
      </c>
      <c r="G431" s="1" t="s">
        <v>2552</v>
      </c>
    </row>
    <row x14ac:dyDescent="0.25" r="432" customHeight="1" ht="17.25" hidden="1">
      <c r="A432" s="112" t="s">
        <v>3291</v>
      </c>
      <c r="B432" s="1" t="s">
        <v>2549</v>
      </c>
      <c r="C432" s="1" t="s">
        <v>49</v>
      </c>
      <c r="D432" s="1" t="s">
        <v>3292</v>
      </c>
      <c r="E432" s="62">
        <v>24</v>
      </c>
      <c r="F432" s="1" t="s">
        <v>2551</v>
      </c>
      <c r="G432" s="1" t="s">
        <v>2552</v>
      </c>
    </row>
    <row x14ac:dyDescent="0.25" r="433" customHeight="1" ht="17.25" hidden="1">
      <c r="A433" s="112" t="s">
        <v>3293</v>
      </c>
      <c r="B433" s="1" t="s">
        <v>2549</v>
      </c>
      <c r="C433" s="1" t="s">
        <v>49</v>
      </c>
      <c r="D433" s="1" t="s">
        <v>3294</v>
      </c>
      <c r="E433" s="62">
        <v>21</v>
      </c>
      <c r="F433" s="1" t="s">
        <v>2551</v>
      </c>
      <c r="G433" s="1" t="s">
        <v>2552</v>
      </c>
    </row>
    <row x14ac:dyDescent="0.25" r="434" customHeight="1" ht="17.25" hidden="1">
      <c r="A434" s="112" t="s">
        <v>3295</v>
      </c>
      <c r="B434" s="1" t="s">
        <v>2549</v>
      </c>
      <c r="C434" s="1" t="s">
        <v>49</v>
      </c>
      <c r="D434" s="1" t="s">
        <v>3296</v>
      </c>
      <c r="E434" s="62">
        <v>18</v>
      </c>
      <c r="F434" s="1" t="s">
        <v>2551</v>
      </c>
      <c r="G434" s="1" t="s">
        <v>2552</v>
      </c>
    </row>
    <row x14ac:dyDescent="0.25" r="435" customHeight="1" ht="17.25" hidden="1">
      <c r="A435" s="112" t="s">
        <v>3297</v>
      </c>
      <c r="B435" s="1" t="s">
        <v>2549</v>
      </c>
      <c r="C435" s="1" t="s">
        <v>49</v>
      </c>
      <c r="D435" s="1" t="s">
        <v>3298</v>
      </c>
      <c r="E435" s="62">
        <v>22</v>
      </c>
      <c r="F435" s="1" t="s">
        <v>2551</v>
      </c>
      <c r="G435" s="1" t="s">
        <v>2552</v>
      </c>
    </row>
    <row x14ac:dyDescent="0.25" r="436" customHeight="1" ht="17.25" hidden="1">
      <c r="A436" s="112" t="s">
        <v>3299</v>
      </c>
      <c r="B436" s="1" t="s">
        <v>2549</v>
      </c>
      <c r="C436" s="1" t="s">
        <v>49</v>
      </c>
      <c r="D436" s="1" t="s">
        <v>3300</v>
      </c>
      <c r="E436" s="62">
        <v>34</v>
      </c>
      <c r="F436" s="1" t="s">
        <v>2551</v>
      </c>
      <c r="G436" s="1" t="s">
        <v>2558</v>
      </c>
    </row>
    <row x14ac:dyDescent="0.25" r="437" customHeight="1" ht="17.25" hidden="1">
      <c r="A437" s="112" t="s">
        <v>3301</v>
      </c>
      <c r="B437" s="1" t="s">
        <v>2549</v>
      </c>
      <c r="C437" s="1" t="s">
        <v>49</v>
      </c>
      <c r="D437" s="1" t="s">
        <v>3302</v>
      </c>
      <c r="E437" s="62">
        <v>41</v>
      </c>
      <c r="F437" s="1" t="s">
        <v>2551</v>
      </c>
      <c r="G437" s="1" t="s">
        <v>2558</v>
      </c>
    </row>
    <row x14ac:dyDescent="0.25" r="438" customHeight="1" ht="17.25" hidden="1">
      <c r="A438" s="112" t="s">
        <v>3303</v>
      </c>
      <c r="B438" s="1" t="s">
        <v>2549</v>
      </c>
      <c r="C438" s="1" t="s">
        <v>49</v>
      </c>
      <c r="D438" s="1" t="s">
        <v>3304</v>
      </c>
      <c r="E438" s="62">
        <v>23</v>
      </c>
      <c r="F438" s="1" t="s">
        <v>2551</v>
      </c>
      <c r="G438" s="1" t="s">
        <v>2552</v>
      </c>
    </row>
    <row x14ac:dyDescent="0.25" r="439" customHeight="1" ht="17.25" hidden="1">
      <c r="A439" s="112" t="s">
        <v>3305</v>
      </c>
      <c r="B439" s="1" t="s">
        <v>2549</v>
      </c>
      <c r="C439" s="1" t="s">
        <v>49</v>
      </c>
      <c r="D439" s="1" t="s">
        <v>3306</v>
      </c>
      <c r="E439" s="62">
        <v>18</v>
      </c>
      <c r="F439" s="1" t="s">
        <v>2551</v>
      </c>
      <c r="G439" s="1" t="s">
        <v>2552</v>
      </c>
    </row>
    <row x14ac:dyDescent="0.25" r="440" customHeight="1" ht="17.25" hidden="1">
      <c r="A440" s="112" t="s">
        <v>695</v>
      </c>
      <c r="B440" s="1" t="s">
        <v>2549</v>
      </c>
      <c r="C440" s="1" t="s">
        <v>49</v>
      </c>
      <c r="D440" s="1" t="s">
        <v>3307</v>
      </c>
      <c r="E440" s="62">
        <v>25</v>
      </c>
      <c r="F440" s="1" t="s">
        <v>2551</v>
      </c>
      <c r="G440" s="1" t="s">
        <v>2552</v>
      </c>
    </row>
    <row x14ac:dyDescent="0.25" r="441" customHeight="1" ht="17.25" hidden="1">
      <c r="A441" s="112" t="s">
        <v>695</v>
      </c>
      <c r="B441" s="1" t="s">
        <v>2549</v>
      </c>
      <c r="C441" s="1" t="s">
        <v>49</v>
      </c>
      <c r="D441" s="1" t="s">
        <v>702</v>
      </c>
      <c r="E441" s="62">
        <v>23</v>
      </c>
      <c r="F441" s="1" t="s">
        <v>2551</v>
      </c>
      <c r="G441" s="1" t="s">
        <v>2552</v>
      </c>
    </row>
    <row x14ac:dyDescent="0.25" r="442" customHeight="1" ht="17.25" hidden="1">
      <c r="A442" s="112" t="s">
        <v>3308</v>
      </c>
      <c r="B442" s="1" t="s">
        <v>2549</v>
      </c>
      <c r="C442" s="1" t="s">
        <v>49</v>
      </c>
      <c r="D442" s="1" t="s">
        <v>3309</v>
      </c>
      <c r="E442" s="62">
        <v>29</v>
      </c>
      <c r="F442" s="1" t="s">
        <v>2551</v>
      </c>
      <c r="G442" s="1" t="s">
        <v>2555</v>
      </c>
    </row>
    <row x14ac:dyDescent="0.25" r="443" customHeight="1" ht="17.25" hidden="1">
      <c r="A443" s="112" t="s">
        <v>3310</v>
      </c>
      <c r="B443" s="1" t="s">
        <v>2549</v>
      </c>
      <c r="C443" s="1" t="s">
        <v>49</v>
      </c>
      <c r="D443" s="1" t="s">
        <v>3311</v>
      </c>
      <c r="E443" s="62">
        <v>21</v>
      </c>
      <c r="F443" s="1" t="s">
        <v>2551</v>
      </c>
      <c r="G443" s="1" t="s">
        <v>2552</v>
      </c>
    </row>
    <row x14ac:dyDescent="0.25" r="444" customHeight="1" ht="17.25" hidden="1">
      <c r="A444" s="112" t="s">
        <v>3312</v>
      </c>
      <c r="B444" s="1" t="s">
        <v>2549</v>
      </c>
      <c r="C444" s="1" t="s">
        <v>49</v>
      </c>
      <c r="D444" s="1" t="s">
        <v>3313</v>
      </c>
      <c r="E444" s="62">
        <v>44</v>
      </c>
      <c r="F444" s="1" t="s">
        <v>2561</v>
      </c>
      <c r="G444" s="1" t="s">
        <v>2555</v>
      </c>
    </row>
    <row x14ac:dyDescent="0.25" r="445" customHeight="1" ht="17.25" hidden="1">
      <c r="A445" s="112" t="s">
        <v>3312</v>
      </c>
      <c r="B445" s="1" t="s">
        <v>2549</v>
      </c>
      <c r="C445" s="1" t="s">
        <v>49</v>
      </c>
      <c r="D445" s="1" t="s">
        <v>3314</v>
      </c>
      <c r="E445" s="62">
        <v>22</v>
      </c>
      <c r="F445" s="1" t="s">
        <v>2561</v>
      </c>
      <c r="G445" s="1" t="s">
        <v>2555</v>
      </c>
    </row>
    <row x14ac:dyDescent="0.25" r="446" customHeight="1" ht="17.25" hidden="1">
      <c r="A446" s="112" t="s">
        <v>3312</v>
      </c>
      <c r="B446" s="1" t="s">
        <v>2549</v>
      </c>
      <c r="C446" s="1" t="s">
        <v>49</v>
      </c>
      <c r="D446" s="1" t="s">
        <v>3315</v>
      </c>
      <c r="E446" s="62">
        <v>25</v>
      </c>
      <c r="F446" s="1" t="s">
        <v>2551</v>
      </c>
      <c r="G446" s="1" t="s">
        <v>2552</v>
      </c>
    </row>
    <row x14ac:dyDescent="0.25" r="447" customHeight="1" ht="17.25" hidden="1">
      <c r="A447" s="112" t="s">
        <v>744</v>
      </c>
      <c r="B447" s="1" t="s">
        <v>2549</v>
      </c>
      <c r="C447" s="1" t="s">
        <v>49</v>
      </c>
      <c r="D447" s="1" t="s">
        <v>746</v>
      </c>
      <c r="E447" s="62">
        <v>33</v>
      </c>
      <c r="F447" s="1" t="s">
        <v>2551</v>
      </c>
      <c r="G447" s="1" t="s">
        <v>2555</v>
      </c>
    </row>
    <row x14ac:dyDescent="0.25" r="448" customHeight="1" ht="17.25" hidden="1">
      <c r="A448" s="112" t="s">
        <v>3316</v>
      </c>
      <c r="B448" s="1" t="s">
        <v>2549</v>
      </c>
      <c r="C448" s="1" t="s">
        <v>49</v>
      </c>
      <c r="D448" s="1" t="s">
        <v>3317</v>
      </c>
      <c r="E448" s="62">
        <v>25</v>
      </c>
      <c r="F448" s="1" t="s">
        <v>2551</v>
      </c>
      <c r="G448" s="1" t="s">
        <v>2552</v>
      </c>
    </row>
    <row x14ac:dyDescent="0.25" r="449" customHeight="1" ht="17.25" hidden="1">
      <c r="A449" s="112" t="s">
        <v>3318</v>
      </c>
      <c r="B449" s="1" t="s">
        <v>2549</v>
      </c>
      <c r="C449" s="1" t="s">
        <v>49</v>
      </c>
      <c r="D449" s="1" t="s">
        <v>3319</v>
      </c>
      <c r="E449" s="62">
        <v>26</v>
      </c>
      <c r="F449" s="1" t="s">
        <v>2551</v>
      </c>
      <c r="G449" s="1" t="s">
        <v>2552</v>
      </c>
    </row>
    <row x14ac:dyDescent="0.25" r="450" customHeight="1" ht="17.25" hidden="1">
      <c r="A450" s="112" t="s">
        <v>1668</v>
      </c>
      <c r="B450" s="1" t="s">
        <v>2549</v>
      </c>
      <c r="C450" s="1" t="s">
        <v>50</v>
      </c>
      <c r="D450" s="1" t="s">
        <v>1921</v>
      </c>
      <c r="E450" s="62">
        <v>30</v>
      </c>
      <c r="F450" s="1" t="s">
        <v>2551</v>
      </c>
      <c r="G450" s="1" t="s">
        <v>2552</v>
      </c>
    </row>
    <row x14ac:dyDescent="0.25" r="451" customHeight="1" ht="17.25" hidden="1">
      <c r="A451" s="112" t="s">
        <v>1668</v>
      </c>
      <c r="B451" s="1" t="s">
        <v>2549</v>
      </c>
      <c r="C451" s="1" t="s">
        <v>50</v>
      </c>
      <c r="D451" s="1" t="s">
        <v>3320</v>
      </c>
      <c r="E451" s="62">
        <v>36</v>
      </c>
      <c r="F451" s="1" t="s">
        <v>2551</v>
      </c>
      <c r="G451" s="1" t="s">
        <v>2552</v>
      </c>
    </row>
    <row x14ac:dyDescent="0.25" r="452" customHeight="1" ht="17.25" hidden="1">
      <c r="A452" s="112" t="s">
        <v>3321</v>
      </c>
      <c r="B452" s="1" t="s">
        <v>2549</v>
      </c>
      <c r="C452" s="1" t="s">
        <v>50</v>
      </c>
      <c r="D452" s="1" t="s">
        <v>3322</v>
      </c>
      <c r="E452" s="62">
        <v>40</v>
      </c>
      <c r="F452" s="1" t="s">
        <v>2561</v>
      </c>
      <c r="G452" s="1" t="s">
        <v>2555</v>
      </c>
    </row>
    <row x14ac:dyDescent="0.25" r="453" customHeight="1" ht="17.25" hidden="1">
      <c r="A453" s="112" t="s">
        <v>3323</v>
      </c>
      <c r="B453" s="1" t="s">
        <v>2549</v>
      </c>
      <c r="C453" s="1" t="s">
        <v>50</v>
      </c>
      <c r="D453" s="1" t="s">
        <v>3324</v>
      </c>
      <c r="E453" s="62">
        <v>20</v>
      </c>
      <c r="F453" s="1" t="s">
        <v>2551</v>
      </c>
      <c r="G453" s="1" t="s">
        <v>2555</v>
      </c>
    </row>
    <row x14ac:dyDescent="0.25" r="454" customHeight="1" ht="17.25" hidden="1">
      <c r="A454" s="112" t="s">
        <v>3325</v>
      </c>
      <c r="B454" s="1" t="s">
        <v>2549</v>
      </c>
      <c r="C454" s="1" t="s">
        <v>50</v>
      </c>
      <c r="D454" s="1" t="s">
        <v>3326</v>
      </c>
      <c r="E454" s="62">
        <v>36</v>
      </c>
      <c r="F454" s="1" t="s">
        <v>2551</v>
      </c>
      <c r="G454" s="1" t="s">
        <v>2571</v>
      </c>
    </row>
    <row x14ac:dyDescent="0.25" r="455" customHeight="1" ht="17.25" hidden="1">
      <c r="A455" s="112" t="s">
        <v>3327</v>
      </c>
      <c r="B455" s="1" t="s">
        <v>2549</v>
      </c>
      <c r="C455" s="1" t="s">
        <v>50</v>
      </c>
      <c r="D455" s="1" t="s">
        <v>3328</v>
      </c>
      <c r="E455" s="62">
        <v>31</v>
      </c>
      <c r="F455" s="1" t="s">
        <v>2551</v>
      </c>
      <c r="G455" s="1" t="s">
        <v>2555</v>
      </c>
    </row>
    <row x14ac:dyDescent="0.25" r="456" customHeight="1" ht="17.25" hidden="1">
      <c r="A456" s="112" t="s">
        <v>3329</v>
      </c>
      <c r="B456" s="1" t="s">
        <v>2549</v>
      </c>
      <c r="C456" s="1" t="s">
        <v>50</v>
      </c>
      <c r="D456" s="1" t="s">
        <v>3330</v>
      </c>
      <c r="E456" s="62">
        <v>33</v>
      </c>
      <c r="F456" s="1" t="s">
        <v>2551</v>
      </c>
      <c r="G456" s="1" t="s">
        <v>2552</v>
      </c>
    </row>
    <row x14ac:dyDescent="0.25" r="457" customHeight="1" ht="17.25" hidden="1">
      <c r="A457" s="112" t="s">
        <v>789</v>
      </c>
      <c r="B457" s="1" t="s">
        <v>2549</v>
      </c>
      <c r="C457" s="1" t="s">
        <v>50</v>
      </c>
      <c r="D457" s="1" t="s">
        <v>791</v>
      </c>
      <c r="E457" s="62">
        <v>18</v>
      </c>
      <c r="F457" s="1" t="s">
        <v>2551</v>
      </c>
      <c r="G457" s="1" t="s">
        <v>2552</v>
      </c>
    </row>
    <row x14ac:dyDescent="0.25" r="458" customHeight="1" ht="17.25" hidden="1">
      <c r="A458" s="112" t="s">
        <v>3331</v>
      </c>
      <c r="B458" s="1" t="s">
        <v>2549</v>
      </c>
      <c r="C458" s="1" t="s">
        <v>50</v>
      </c>
      <c r="D458" s="1" t="s">
        <v>3332</v>
      </c>
      <c r="E458" s="62">
        <v>19</v>
      </c>
      <c r="F458" s="1" t="s">
        <v>2551</v>
      </c>
      <c r="G458" s="1" t="s">
        <v>2555</v>
      </c>
    </row>
    <row x14ac:dyDescent="0.25" r="459" customHeight="1" ht="17.25" hidden="1">
      <c r="A459" s="112" t="s">
        <v>3333</v>
      </c>
      <c r="B459" s="1" t="s">
        <v>2549</v>
      </c>
      <c r="C459" s="1" t="s">
        <v>50</v>
      </c>
      <c r="D459" s="1" t="s">
        <v>3334</v>
      </c>
      <c r="E459" s="62">
        <v>25</v>
      </c>
      <c r="F459" s="1" t="s">
        <v>2551</v>
      </c>
      <c r="G459" s="1" t="s">
        <v>2558</v>
      </c>
    </row>
    <row x14ac:dyDescent="0.25" r="460" customHeight="1" ht="17.25" hidden="1">
      <c r="A460" s="112" t="s">
        <v>3335</v>
      </c>
      <c r="B460" s="1" t="s">
        <v>2549</v>
      </c>
      <c r="C460" s="1" t="s">
        <v>50</v>
      </c>
      <c r="D460" s="1" t="s">
        <v>3336</v>
      </c>
      <c r="E460" s="62">
        <v>28</v>
      </c>
      <c r="F460" s="1" t="s">
        <v>2551</v>
      </c>
      <c r="G460" s="1" t="s">
        <v>2555</v>
      </c>
    </row>
    <row x14ac:dyDescent="0.25" r="461" customHeight="1" ht="17.25" hidden="1">
      <c r="A461" s="112" t="s">
        <v>3337</v>
      </c>
      <c r="B461" s="1" t="s">
        <v>2549</v>
      </c>
      <c r="C461" s="1" t="s">
        <v>50</v>
      </c>
      <c r="D461" s="1" t="s">
        <v>3338</v>
      </c>
      <c r="E461" s="62">
        <v>48</v>
      </c>
      <c r="F461" s="1" t="s">
        <v>2551</v>
      </c>
      <c r="G461" s="1" t="s">
        <v>2558</v>
      </c>
    </row>
    <row x14ac:dyDescent="0.25" r="462" customHeight="1" ht="17.25" hidden="1">
      <c r="A462" s="112" t="s">
        <v>3339</v>
      </c>
      <c r="B462" s="1" t="s">
        <v>2549</v>
      </c>
      <c r="C462" s="1" t="s">
        <v>50</v>
      </c>
      <c r="D462" s="1" t="s">
        <v>3340</v>
      </c>
      <c r="E462" s="62">
        <v>21</v>
      </c>
      <c r="F462" s="1" t="s">
        <v>2551</v>
      </c>
      <c r="G462" s="1" t="s">
        <v>2552</v>
      </c>
    </row>
    <row x14ac:dyDescent="0.25" r="463" customHeight="1" ht="17.25" hidden="1">
      <c r="A463" s="112" t="s">
        <v>3341</v>
      </c>
      <c r="B463" s="1" t="s">
        <v>2549</v>
      </c>
      <c r="C463" s="1" t="s">
        <v>50</v>
      </c>
      <c r="D463" s="1" t="s">
        <v>3342</v>
      </c>
      <c r="E463" s="62">
        <v>19</v>
      </c>
      <c r="F463" s="1" t="s">
        <v>2551</v>
      </c>
      <c r="G463" s="1" t="s">
        <v>2552</v>
      </c>
    </row>
    <row x14ac:dyDescent="0.25" r="464" customHeight="1" ht="17.25" hidden="1">
      <c r="A464" s="112" t="s">
        <v>3343</v>
      </c>
      <c r="B464" s="1" t="s">
        <v>2549</v>
      </c>
      <c r="C464" s="1" t="s">
        <v>50</v>
      </c>
      <c r="D464" s="1" t="s">
        <v>3344</v>
      </c>
      <c r="E464" s="62">
        <v>47</v>
      </c>
      <c r="F464" s="1" t="s">
        <v>2551</v>
      </c>
      <c r="G464" s="1" t="s">
        <v>2558</v>
      </c>
    </row>
    <row x14ac:dyDescent="0.25" r="465" customHeight="1" ht="17.25" hidden="1">
      <c r="A465" s="112" t="s">
        <v>3345</v>
      </c>
      <c r="B465" s="1" t="s">
        <v>2549</v>
      </c>
      <c r="C465" s="1" t="s">
        <v>50</v>
      </c>
      <c r="D465" s="1" t="s">
        <v>3346</v>
      </c>
      <c r="E465" s="62">
        <v>27</v>
      </c>
      <c r="F465" s="1" t="s">
        <v>2551</v>
      </c>
      <c r="G465" s="1" t="s">
        <v>2552</v>
      </c>
    </row>
    <row x14ac:dyDescent="0.25" r="466" customHeight="1" ht="17.25" hidden="1">
      <c r="A466" s="112" t="s">
        <v>3347</v>
      </c>
      <c r="B466" s="1" t="s">
        <v>2549</v>
      </c>
      <c r="C466" s="1" t="s">
        <v>50</v>
      </c>
      <c r="D466" s="1" t="s">
        <v>3348</v>
      </c>
      <c r="E466" s="62">
        <v>23</v>
      </c>
      <c r="F466" s="1" t="s">
        <v>2551</v>
      </c>
      <c r="G466" s="1" t="s">
        <v>2552</v>
      </c>
    </row>
    <row x14ac:dyDescent="0.25" r="467" customHeight="1" ht="17.25" hidden="1">
      <c r="A467" s="112" t="s">
        <v>3349</v>
      </c>
      <c r="B467" s="1" t="s">
        <v>2549</v>
      </c>
      <c r="C467" s="1" t="s">
        <v>50</v>
      </c>
      <c r="D467" s="1" t="s">
        <v>3350</v>
      </c>
      <c r="E467" s="62">
        <v>29</v>
      </c>
      <c r="F467" s="1" t="s">
        <v>2551</v>
      </c>
      <c r="G467" s="1" t="s">
        <v>2555</v>
      </c>
    </row>
    <row x14ac:dyDescent="0.25" r="468" customHeight="1" ht="17.25" hidden="1">
      <c r="A468" s="112" t="s">
        <v>3349</v>
      </c>
      <c r="B468" s="1" t="s">
        <v>2549</v>
      </c>
      <c r="C468" s="1" t="s">
        <v>50</v>
      </c>
      <c r="D468" s="1" t="s">
        <v>3351</v>
      </c>
      <c r="E468" s="62">
        <v>33</v>
      </c>
      <c r="F468" s="1" t="s">
        <v>2561</v>
      </c>
      <c r="G468" s="1" t="s">
        <v>2552</v>
      </c>
    </row>
    <row x14ac:dyDescent="0.25" r="469" customHeight="1" ht="17.25" hidden="1">
      <c r="A469" s="112" t="s">
        <v>3349</v>
      </c>
      <c r="B469" s="1" t="s">
        <v>2549</v>
      </c>
      <c r="C469" s="1" t="s">
        <v>50</v>
      </c>
      <c r="D469" s="1" t="s">
        <v>3352</v>
      </c>
      <c r="E469" s="62">
        <v>29</v>
      </c>
      <c r="F469" s="1" t="s">
        <v>2551</v>
      </c>
      <c r="G469" s="1" t="s">
        <v>2555</v>
      </c>
    </row>
    <row x14ac:dyDescent="0.25" r="470" customHeight="1" ht="17.25" hidden="1">
      <c r="A470" s="112" t="s">
        <v>3349</v>
      </c>
      <c r="B470" s="1" t="s">
        <v>2549</v>
      </c>
      <c r="C470" s="1" t="s">
        <v>50</v>
      </c>
      <c r="D470" s="1" t="s">
        <v>3353</v>
      </c>
      <c r="E470" s="62">
        <v>30</v>
      </c>
      <c r="F470" s="1" t="s">
        <v>2551</v>
      </c>
      <c r="G470" s="1" t="s">
        <v>2552</v>
      </c>
    </row>
    <row x14ac:dyDescent="0.25" r="471" customHeight="1" ht="17.25" hidden="1">
      <c r="A471" s="112" t="s">
        <v>3354</v>
      </c>
      <c r="B471" s="1" t="s">
        <v>2549</v>
      </c>
      <c r="C471" s="1" t="s">
        <v>50</v>
      </c>
      <c r="D471" s="1" t="s">
        <v>3355</v>
      </c>
      <c r="E471" s="62">
        <v>48</v>
      </c>
      <c r="F471" s="1" t="s">
        <v>2551</v>
      </c>
      <c r="G471" s="1" t="s">
        <v>2552</v>
      </c>
    </row>
    <row x14ac:dyDescent="0.25" r="472" customHeight="1" ht="17.25" hidden="1">
      <c r="A472" s="112" t="s">
        <v>3356</v>
      </c>
      <c r="B472" s="1" t="s">
        <v>2549</v>
      </c>
      <c r="C472" s="1" t="s">
        <v>50</v>
      </c>
      <c r="D472" s="1" t="s">
        <v>3357</v>
      </c>
      <c r="E472" s="62">
        <v>30</v>
      </c>
      <c r="F472" s="1" t="s">
        <v>2551</v>
      </c>
      <c r="G472" s="1" t="s">
        <v>2558</v>
      </c>
    </row>
    <row x14ac:dyDescent="0.25" r="473" customHeight="1" ht="17.25" hidden="1">
      <c r="A473" s="112" t="s">
        <v>3358</v>
      </c>
      <c r="B473" s="1" t="s">
        <v>2549</v>
      </c>
      <c r="C473" s="1" t="s">
        <v>50</v>
      </c>
      <c r="D473" s="1" t="s">
        <v>3359</v>
      </c>
      <c r="E473" s="62">
        <v>19</v>
      </c>
      <c r="F473" s="1" t="s">
        <v>2551</v>
      </c>
      <c r="G473" s="1" t="s">
        <v>2555</v>
      </c>
    </row>
    <row x14ac:dyDescent="0.25" r="474" customHeight="1" ht="17.25" hidden="1">
      <c r="A474" s="112" t="s">
        <v>3360</v>
      </c>
      <c r="B474" s="1" t="s">
        <v>2549</v>
      </c>
      <c r="C474" s="1" t="s">
        <v>50</v>
      </c>
      <c r="D474" s="1" t="s">
        <v>3361</v>
      </c>
      <c r="E474" s="62">
        <v>22</v>
      </c>
      <c r="F474" s="1" t="s">
        <v>2551</v>
      </c>
      <c r="G474" s="1" t="s">
        <v>2555</v>
      </c>
    </row>
    <row x14ac:dyDescent="0.25" r="475" customHeight="1" ht="17.25" hidden="1">
      <c r="A475" s="112" t="s">
        <v>3360</v>
      </c>
      <c r="B475" s="1" t="s">
        <v>2549</v>
      </c>
      <c r="C475" s="1" t="s">
        <v>50</v>
      </c>
      <c r="D475" s="1" t="s">
        <v>3362</v>
      </c>
      <c r="E475" s="62">
        <v>25</v>
      </c>
      <c r="F475" s="1" t="s">
        <v>2551</v>
      </c>
      <c r="G475" s="1" t="s">
        <v>2571</v>
      </c>
    </row>
    <row x14ac:dyDescent="0.25" r="476" customHeight="1" ht="17.25" hidden="1">
      <c r="A476" s="112" t="s">
        <v>3360</v>
      </c>
      <c r="B476" s="1" t="s">
        <v>2549</v>
      </c>
      <c r="C476" s="1" t="s">
        <v>50</v>
      </c>
      <c r="D476" s="1" t="s">
        <v>3363</v>
      </c>
      <c r="E476" s="62">
        <v>18</v>
      </c>
      <c r="F476" s="1" t="s">
        <v>2551</v>
      </c>
      <c r="G476" s="1" t="s">
        <v>2552</v>
      </c>
    </row>
    <row x14ac:dyDescent="0.25" r="477" customHeight="1" ht="17.25" hidden="1">
      <c r="A477" s="112" t="s">
        <v>2021</v>
      </c>
      <c r="B477" s="1" t="s">
        <v>2549</v>
      </c>
      <c r="C477" s="1" t="s">
        <v>50</v>
      </c>
      <c r="D477" s="1" t="s">
        <v>2023</v>
      </c>
      <c r="E477" s="62">
        <v>39</v>
      </c>
      <c r="F477" s="1" t="s">
        <v>2551</v>
      </c>
      <c r="G477" s="1" t="s">
        <v>2555</v>
      </c>
    </row>
    <row x14ac:dyDescent="0.25" r="478" customHeight="1" ht="17.25" hidden="1">
      <c r="A478" s="112" t="s">
        <v>3364</v>
      </c>
      <c r="B478" s="1" t="s">
        <v>2549</v>
      </c>
      <c r="C478" s="1" t="s">
        <v>50</v>
      </c>
      <c r="D478" s="1" t="s">
        <v>3365</v>
      </c>
      <c r="E478" s="62">
        <v>20</v>
      </c>
      <c r="F478" s="1" t="s">
        <v>2551</v>
      </c>
      <c r="G478" s="1" t="s">
        <v>2555</v>
      </c>
    </row>
    <row x14ac:dyDescent="0.25" r="479" customHeight="1" ht="17.25" hidden="1">
      <c r="A479" s="112" t="s">
        <v>3364</v>
      </c>
      <c r="B479" s="1" t="s">
        <v>2549</v>
      </c>
      <c r="C479" s="1" t="s">
        <v>50</v>
      </c>
      <c r="D479" s="1" t="s">
        <v>3366</v>
      </c>
      <c r="E479" s="62">
        <v>28</v>
      </c>
      <c r="F479" s="1" t="s">
        <v>2551</v>
      </c>
      <c r="G479" s="1" t="s">
        <v>2552</v>
      </c>
    </row>
    <row x14ac:dyDescent="0.25" r="480" customHeight="1" ht="17.25" hidden="1">
      <c r="A480" s="112" t="s">
        <v>3367</v>
      </c>
      <c r="B480" s="1" t="s">
        <v>2549</v>
      </c>
      <c r="C480" s="1" t="s">
        <v>50</v>
      </c>
      <c r="D480" s="1" t="s">
        <v>3368</v>
      </c>
      <c r="E480" s="62">
        <v>45</v>
      </c>
      <c r="F480" s="1" t="s">
        <v>2561</v>
      </c>
      <c r="G480" s="1" t="s">
        <v>2558</v>
      </c>
    </row>
    <row x14ac:dyDescent="0.25" r="481" customHeight="1" ht="17.25" hidden="1">
      <c r="A481" s="112" t="s">
        <v>3369</v>
      </c>
      <c r="B481" s="1" t="s">
        <v>2549</v>
      </c>
      <c r="C481" s="1" t="s">
        <v>50</v>
      </c>
      <c r="D481" s="1" t="s">
        <v>3370</v>
      </c>
      <c r="E481" s="62">
        <v>27</v>
      </c>
      <c r="F481" s="1" t="s">
        <v>2551</v>
      </c>
      <c r="G481" s="1" t="s">
        <v>2552</v>
      </c>
    </row>
    <row x14ac:dyDescent="0.25" r="482" customHeight="1" ht="17.25" hidden="1">
      <c r="A482" s="112" t="s">
        <v>3369</v>
      </c>
      <c r="B482" s="1" t="s">
        <v>2549</v>
      </c>
      <c r="C482" s="1" t="s">
        <v>50</v>
      </c>
      <c r="D482" s="1" t="s">
        <v>3371</v>
      </c>
      <c r="E482" s="62">
        <v>19</v>
      </c>
      <c r="F482" s="1" t="s">
        <v>2551</v>
      </c>
      <c r="G482" s="1" t="s">
        <v>2552</v>
      </c>
    </row>
    <row x14ac:dyDescent="0.25" r="483" customHeight="1" ht="17.25" hidden="1">
      <c r="A483" s="112" t="s">
        <v>3369</v>
      </c>
      <c r="B483" s="1" t="s">
        <v>2549</v>
      </c>
      <c r="C483" s="1" t="s">
        <v>50</v>
      </c>
      <c r="D483" s="1" t="s">
        <v>3372</v>
      </c>
      <c r="E483" s="62">
        <v>25</v>
      </c>
      <c r="F483" s="1" t="s">
        <v>2561</v>
      </c>
      <c r="G483" s="1" t="s">
        <v>2555</v>
      </c>
    </row>
    <row x14ac:dyDescent="0.25" r="484" customHeight="1" ht="17.25" hidden="1">
      <c r="A484" s="112" t="s">
        <v>3373</v>
      </c>
      <c r="B484" s="1" t="s">
        <v>2549</v>
      </c>
      <c r="C484" s="1" t="s">
        <v>50</v>
      </c>
      <c r="D484" s="1" t="s">
        <v>3374</v>
      </c>
      <c r="E484" s="62">
        <v>32</v>
      </c>
      <c r="F484" s="1" t="s">
        <v>2551</v>
      </c>
      <c r="G484" s="1" t="s">
        <v>2552</v>
      </c>
    </row>
    <row x14ac:dyDescent="0.25" r="485" customHeight="1" ht="17.25" hidden="1">
      <c r="A485" s="112" t="s">
        <v>3375</v>
      </c>
      <c r="B485" s="1" t="s">
        <v>2549</v>
      </c>
      <c r="C485" s="1" t="s">
        <v>50</v>
      </c>
      <c r="D485" s="1" t="s">
        <v>3376</v>
      </c>
      <c r="E485" s="62">
        <v>26</v>
      </c>
      <c r="F485" s="1" t="s">
        <v>2551</v>
      </c>
      <c r="G485" s="1" t="s">
        <v>2555</v>
      </c>
    </row>
    <row x14ac:dyDescent="0.25" r="486" customHeight="1" ht="17.25" hidden="1">
      <c r="A486" s="112" t="s">
        <v>399</v>
      </c>
      <c r="B486" s="1" t="s">
        <v>2549</v>
      </c>
      <c r="C486" s="1" t="s">
        <v>50</v>
      </c>
      <c r="D486" s="1" t="s">
        <v>401</v>
      </c>
      <c r="E486" s="62">
        <v>25</v>
      </c>
      <c r="F486" s="1" t="s">
        <v>2551</v>
      </c>
      <c r="G486" s="1" t="s">
        <v>2558</v>
      </c>
    </row>
    <row x14ac:dyDescent="0.25" r="487" customHeight="1" ht="17.25" hidden="1">
      <c r="A487" s="112" t="s">
        <v>3377</v>
      </c>
      <c r="B487" s="1" t="s">
        <v>2549</v>
      </c>
      <c r="C487" s="1" t="s">
        <v>50</v>
      </c>
      <c r="D487" s="1" t="s">
        <v>3378</v>
      </c>
      <c r="E487" s="62">
        <v>19</v>
      </c>
      <c r="F487" s="1" t="s">
        <v>2551</v>
      </c>
      <c r="G487" s="1" t="s">
        <v>2555</v>
      </c>
    </row>
    <row x14ac:dyDescent="0.25" r="488" customHeight="1" ht="17.25" hidden="1">
      <c r="A488" s="112" t="s">
        <v>3379</v>
      </c>
      <c r="B488" s="1" t="s">
        <v>2549</v>
      </c>
      <c r="C488" s="1" t="s">
        <v>50</v>
      </c>
      <c r="D488" s="1" t="s">
        <v>3380</v>
      </c>
      <c r="E488" s="62">
        <v>19</v>
      </c>
      <c r="F488" s="1" t="s">
        <v>2551</v>
      </c>
      <c r="G488" s="1" t="s">
        <v>2555</v>
      </c>
    </row>
    <row x14ac:dyDescent="0.25" r="489" customHeight="1" ht="17.25" hidden="1">
      <c r="A489" s="112" t="s">
        <v>3379</v>
      </c>
      <c r="B489" s="1" t="s">
        <v>2549</v>
      </c>
      <c r="C489" s="1" t="s">
        <v>50</v>
      </c>
      <c r="D489" s="1" t="s">
        <v>3381</v>
      </c>
      <c r="E489" s="62">
        <v>27</v>
      </c>
      <c r="F489" s="1" t="s">
        <v>2551</v>
      </c>
      <c r="G489" s="1" t="s">
        <v>2555</v>
      </c>
    </row>
    <row x14ac:dyDescent="0.25" r="490" customHeight="1" ht="17.25" hidden="1">
      <c r="A490" s="112" t="s">
        <v>3382</v>
      </c>
      <c r="B490" s="1" t="s">
        <v>2549</v>
      </c>
      <c r="C490" s="1" t="s">
        <v>50</v>
      </c>
      <c r="D490" s="1" t="s">
        <v>3383</v>
      </c>
      <c r="E490" s="62">
        <v>19</v>
      </c>
      <c r="F490" s="1" t="s">
        <v>2551</v>
      </c>
      <c r="G490" s="1" t="s">
        <v>2552</v>
      </c>
    </row>
    <row x14ac:dyDescent="0.25" r="491" customHeight="1" ht="17.25" hidden="1">
      <c r="A491" s="112" t="s">
        <v>3384</v>
      </c>
      <c r="B491" s="1" t="s">
        <v>2549</v>
      </c>
      <c r="C491" s="1" t="s">
        <v>50</v>
      </c>
      <c r="D491" s="1" t="s">
        <v>3385</v>
      </c>
      <c r="E491" s="62">
        <v>30</v>
      </c>
      <c r="F491" s="1" t="s">
        <v>2551</v>
      </c>
      <c r="G491" s="1" t="s">
        <v>2552</v>
      </c>
    </row>
    <row x14ac:dyDescent="0.25" r="492" customHeight="1" ht="17.25" hidden="1">
      <c r="A492" s="112" t="s">
        <v>3386</v>
      </c>
      <c r="B492" s="1" t="s">
        <v>2549</v>
      </c>
      <c r="C492" s="1" t="s">
        <v>50</v>
      </c>
      <c r="D492" s="1" t="s">
        <v>3387</v>
      </c>
      <c r="E492" s="62">
        <v>30</v>
      </c>
      <c r="F492" s="1" t="s">
        <v>2551</v>
      </c>
      <c r="G492" s="1" t="s">
        <v>2558</v>
      </c>
    </row>
    <row x14ac:dyDescent="0.25" r="493" customHeight="1" ht="17.25" hidden="1">
      <c r="A493" s="112" t="s">
        <v>3388</v>
      </c>
      <c r="B493" s="1" t="s">
        <v>2549</v>
      </c>
      <c r="C493" s="1" t="s">
        <v>50</v>
      </c>
      <c r="D493" s="1" t="s">
        <v>3389</v>
      </c>
      <c r="E493" s="62">
        <v>20</v>
      </c>
      <c r="F493" s="1" t="s">
        <v>2551</v>
      </c>
      <c r="G493" s="1" t="s">
        <v>2555</v>
      </c>
    </row>
    <row x14ac:dyDescent="0.25" r="494" customHeight="1" ht="17.25" hidden="1">
      <c r="A494" s="112" t="s">
        <v>3390</v>
      </c>
      <c r="B494" s="1" t="s">
        <v>2549</v>
      </c>
      <c r="C494" s="1" t="s">
        <v>50</v>
      </c>
      <c r="D494" s="1" t="s">
        <v>3391</v>
      </c>
      <c r="E494" s="62">
        <v>32</v>
      </c>
      <c r="F494" s="1" t="s">
        <v>2551</v>
      </c>
      <c r="G494" s="1" t="s">
        <v>2552</v>
      </c>
    </row>
    <row x14ac:dyDescent="0.25" r="495" customHeight="1" ht="17.25" hidden="1">
      <c r="A495" s="112" t="s">
        <v>3392</v>
      </c>
      <c r="B495" s="1" t="s">
        <v>2549</v>
      </c>
      <c r="C495" s="1" t="s">
        <v>50</v>
      </c>
      <c r="D495" s="1" t="s">
        <v>3393</v>
      </c>
      <c r="E495" s="62">
        <v>30</v>
      </c>
      <c r="F495" s="1" t="s">
        <v>2551</v>
      </c>
      <c r="G495" s="1" t="s">
        <v>2552</v>
      </c>
    </row>
    <row x14ac:dyDescent="0.25" r="496" customHeight="1" ht="17.25" hidden="1">
      <c r="A496" s="112" t="s">
        <v>3394</v>
      </c>
      <c r="B496" s="1" t="s">
        <v>2549</v>
      </c>
      <c r="C496" s="1" t="s">
        <v>50</v>
      </c>
      <c r="D496" s="1" t="s">
        <v>3395</v>
      </c>
      <c r="E496" s="62">
        <v>30</v>
      </c>
      <c r="F496" s="1" t="s">
        <v>2551</v>
      </c>
      <c r="G496" s="1" t="s">
        <v>2552</v>
      </c>
    </row>
    <row x14ac:dyDescent="0.25" r="497" customHeight="1" ht="17.25" hidden="1">
      <c r="A497" s="112" t="s">
        <v>3396</v>
      </c>
      <c r="B497" s="1" t="s">
        <v>2549</v>
      </c>
      <c r="C497" s="1" t="s">
        <v>50</v>
      </c>
      <c r="D497" s="1" t="s">
        <v>3397</v>
      </c>
      <c r="E497" s="54" t="s">
        <v>2571</v>
      </c>
      <c r="F497" s="1" t="s">
        <v>2551</v>
      </c>
      <c r="G497" s="1" t="s">
        <v>2555</v>
      </c>
    </row>
    <row x14ac:dyDescent="0.25" r="498" customHeight="1" ht="17.25" hidden="1">
      <c r="A498" s="112" t="s">
        <v>1459</v>
      </c>
      <c r="B498" s="1" t="s">
        <v>2549</v>
      </c>
      <c r="C498" s="1" t="s">
        <v>50</v>
      </c>
      <c r="D498" s="1" t="s">
        <v>3398</v>
      </c>
      <c r="E498" s="62">
        <v>20</v>
      </c>
      <c r="F498" s="1" t="s">
        <v>2551</v>
      </c>
      <c r="G498" s="1" t="s">
        <v>2552</v>
      </c>
    </row>
    <row x14ac:dyDescent="0.25" r="499" customHeight="1" ht="17.25" hidden="1">
      <c r="A499" s="112" t="s">
        <v>3399</v>
      </c>
      <c r="B499" s="1" t="s">
        <v>2549</v>
      </c>
      <c r="C499" s="1" t="s">
        <v>50</v>
      </c>
      <c r="D499" s="1" t="s">
        <v>3400</v>
      </c>
      <c r="E499" s="62">
        <v>24</v>
      </c>
      <c r="F499" s="1" t="s">
        <v>2551</v>
      </c>
      <c r="G499" s="1" t="s">
        <v>2552</v>
      </c>
    </row>
    <row x14ac:dyDescent="0.25" r="500" customHeight="1" ht="17.25" hidden="1">
      <c r="A500" s="112" t="s">
        <v>3401</v>
      </c>
      <c r="B500" s="1" t="s">
        <v>2549</v>
      </c>
      <c r="C500" s="1" t="s">
        <v>50</v>
      </c>
      <c r="D500" s="1" t="s">
        <v>3402</v>
      </c>
      <c r="E500" s="62">
        <v>21</v>
      </c>
      <c r="F500" s="1" t="s">
        <v>2551</v>
      </c>
      <c r="G500" s="1" t="s">
        <v>2552</v>
      </c>
    </row>
    <row x14ac:dyDescent="0.25" r="501" customHeight="1" ht="17.25" hidden="1">
      <c r="A501" s="112" t="s">
        <v>3403</v>
      </c>
      <c r="B501" s="1" t="s">
        <v>2549</v>
      </c>
      <c r="C501" s="1" t="s">
        <v>50</v>
      </c>
      <c r="D501" s="1" t="s">
        <v>3404</v>
      </c>
      <c r="E501" s="62">
        <v>20</v>
      </c>
      <c r="F501" s="1" t="s">
        <v>2561</v>
      </c>
      <c r="G501" s="1" t="s">
        <v>2555</v>
      </c>
    </row>
    <row x14ac:dyDescent="0.25" r="502" customHeight="1" ht="17.25" hidden="1">
      <c r="A502" s="112" t="s">
        <v>3403</v>
      </c>
      <c r="B502" s="1" t="s">
        <v>2549</v>
      </c>
      <c r="C502" s="1" t="s">
        <v>50</v>
      </c>
      <c r="D502" s="1" t="s">
        <v>3405</v>
      </c>
      <c r="E502" s="62">
        <v>18</v>
      </c>
      <c r="F502" s="1" t="s">
        <v>2561</v>
      </c>
      <c r="G502" s="1" t="s">
        <v>2555</v>
      </c>
    </row>
    <row x14ac:dyDescent="0.25" r="503" customHeight="1" ht="17.25" hidden="1">
      <c r="A503" s="112" t="s">
        <v>3406</v>
      </c>
      <c r="B503" s="1" t="s">
        <v>2549</v>
      </c>
      <c r="C503" s="1" t="s">
        <v>50</v>
      </c>
      <c r="D503" s="1" t="s">
        <v>3407</v>
      </c>
      <c r="E503" s="62">
        <v>35</v>
      </c>
      <c r="F503" s="1" t="s">
        <v>2551</v>
      </c>
      <c r="G503" s="1" t="s">
        <v>2552</v>
      </c>
    </row>
    <row x14ac:dyDescent="0.25" r="504" customHeight="1" ht="17.25" hidden="1">
      <c r="A504" s="112" t="s">
        <v>3408</v>
      </c>
      <c r="B504" s="1" t="s">
        <v>2549</v>
      </c>
      <c r="C504" s="1" t="s">
        <v>50</v>
      </c>
      <c r="D504" s="1" t="s">
        <v>3409</v>
      </c>
      <c r="E504" s="54" t="s">
        <v>2571</v>
      </c>
      <c r="F504" s="1" t="s">
        <v>2561</v>
      </c>
      <c r="G504" s="1" t="s">
        <v>2555</v>
      </c>
    </row>
    <row x14ac:dyDescent="0.25" r="505" customHeight="1" ht="17.25" hidden="1">
      <c r="A505" s="112" t="s">
        <v>3408</v>
      </c>
      <c r="B505" s="1" t="s">
        <v>2549</v>
      </c>
      <c r="C505" s="1" t="s">
        <v>50</v>
      </c>
      <c r="D505" s="1" t="s">
        <v>3410</v>
      </c>
      <c r="E505" s="62">
        <v>24</v>
      </c>
      <c r="F505" s="1" t="s">
        <v>2551</v>
      </c>
      <c r="G505" s="1" t="s">
        <v>2555</v>
      </c>
    </row>
    <row x14ac:dyDescent="0.25" r="506" customHeight="1" ht="17.25" hidden="1">
      <c r="A506" s="112" t="s">
        <v>3408</v>
      </c>
      <c r="B506" s="1" t="s">
        <v>2549</v>
      </c>
      <c r="C506" s="1" t="s">
        <v>50</v>
      </c>
      <c r="D506" s="1" t="s">
        <v>3411</v>
      </c>
      <c r="E506" s="54" t="s">
        <v>2571</v>
      </c>
      <c r="F506" s="1" t="s">
        <v>2551</v>
      </c>
      <c r="G506" s="1" t="s">
        <v>2555</v>
      </c>
    </row>
    <row x14ac:dyDescent="0.25" r="507" customHeight="1" ht="17.25" hidden="1">
      <c r="A507" s="112" t="s">
        <v>3408</v>
      </c>
      <c r="B507" s="1" t="s">
        <v>2549</v>
      </c>
      <c r="C507" s="1" t="s">
        <v>50</v>
      </c>
      <c r="D507" s="1" t="s">
        <v>3412</v>
      </c>
      <c r="E507" s="54" t="s">
        <v>2571</v>
      </c>
      <c r="F507" s="1" t="s">
        <v>2551</v>
      </c>
      <c r="G507" s="1" t="s">
        <v>2555</v>
      </c>
    </row>
    <row x14ac:dyDescent="0.25" r="508" customHeight="1" ht="17.25" hidden="1">
      <c r="A508" s="112" t="s">
        <v>3413</v>
      </c>
      <c r="B508" s="1" t="s">
        <v>2549</v>
      </c>
      <c r="C508" s="1" t="s">
        <v>50</v>
      </c>
      <c r="D508" s="1" t="s">
        <v>3414</v>
      </c>
      <c r="E508" s="62">
        <v>24</v>
      </c>
      <c r="F508" s="1" t="s">
        <v>2551</v>
      </c>
      <c r="G508" s="1" t="s">
        <v>2555</v>
      </c>
    </row>
    <row x14ac:dyDescent="0.25" r="509" customHeight="1" ht="17.25" hidden="1">
      <c r="A509" s="112" t="s">
        <v>3413</v>
      </c>
      <c r="B509" s="1" t="s">
        <v>2549</v>
      </c>
      <c r="C509" s="1" t="s">
        <v>50</v>
      </c>
      <c r="D509" s="1" t="s">
        <v>3415</v>
      </c>
      <c r="E509" s="62">
        <v>38</v>
      </c>
      <c r="F509" s="1" t="s">
        <v>2561</v>
      </c>
      <c r="G509" s="1" t="s">
        <v>2555</v>
      </c>
    </row>
    <row x14ac:dyDescent="0.25" r="510" customHeight="1" ht="17.25" hidden="1">
      <c r="A510" s="112" t="s">
        <v>3416</v>
      </c>
      <c r="B510" s="1" t="s">
        <v>2549</v>
      </c>
      <c r="C510" s="1" t="s">
        <v>50</v>
      </c>
      <c r="D510" s="1" t="s">
        <v>3417</v>
      </c>
      <c r="E510" s="62">
        <v>23</v>
      </c>
      <c r="F510" s="1" t="s">
        <v>2551</v>
      </c>
      <c r="G510" s="1" t="s">
        <v>2552</v>
      </c>
    </row>
    <row x14ac:dyDescent="0.25" r="511" customHeight="1" ht="17.25" hidden="1">
      <c r="A511" s="112" t="s">
        <v>3418</v>
      </c>
      <c r="B511" s="1" t="s">
        <v>2549</v>
      </c>
      <c r="C511" s="1" t="s">
        <v>50</v>
      </c>
      <c r="D511" s="1" t="s">
        <v>3419</v>
      </c>
      <c r="E511" s="62">
        <v>22</v>
      </c>
      <c r="F511" s="1" t="s">
        <v>2551</v>
      </c>
      <c r="G511" s="1" t="s">
        <v>2552</v>
      </c>
    </row>
    <row x14ac:dyDescent="0.25" r="512" customHeight="1" ht="17.25" hidden="1">
      <c r="A512" s="112" t="s">
        <v>3420</v>
      </c>
      <c r="B512" s="1" t="s">
        <v>2549</v>
      </c>
      <c r="C512" s="1" t="s">
        <v>50</v>
      </c>
      <c r="D512" s="1" t="s">
        <v>3421</v>
      </c>
      <c r="E512" s="62">
        <v>18</v>
      </c>
      <c r="F512" s="1" t="s">
        <v>2551</v>
      </c>
      <c r="G512" s="1" t="s">
        <v>2555</v>
      </c>
    </row>
    <row x14ac:dyDescent="0.25" r="513" customHeight="1" ht="17.25" hidden="1">
      <c r="A513" s="112" t="s">
        <v>3422</v>
      </c>
      <c r="B513" s="1" t="s">
        <v>2549</v>
      </c>
      <c r="C513" s="1" t="s">
        <v>50</v>
      </c>
      <c r="D513" s="1" t="s">
        <v>3423</v>
      </c>
      <c r="E513" s="62">
        <v>21</v>
      </c>
      <c r="F513" s="1" t="s">
        <v>2551</v>
      </c>
      <c r="G513" s="1" t="s">
        <v>2552</v>
      </c>
    </row>
    <row x14ac:dyDescent="0.25" r="514" customHeight="1" ht="17.25" hidden="1">
      <c r="A514" s="112" t="s">
        <v>3424</v>
      </c>
      <c r="B514" s="1" t="s">
        <v>2549</v>
      </c>
      <c r="C514" s="1" t="s">
        <v>50</v>
      </c>
      <c r="D514" s="1" t="s">
        <v>3425</v>
      </c>
      <c r="E514" s="62">
        <v>32</v>
      </c>
      <c r="F514" s="1" t="s">
        <v>2551</v>
      </c>
      <c r="G514" s="1" t="s">
        <v>2552</v>
      </c>
    </row>
    <row x14ac:dyDescent="0.25" r="515" customHeight="1" ht="17.25" hidden="1">
      <c r="A515" s="112" t="s">
        <v>3424</v>
      </c>
      <c r="B515" s="1" t="s">
        <v>2549</v>
      </c>
      <c r="C515" s="1" t="s">
        <v>50</v>
      </c>
      <c r="D515" s="1" t="s">
        <v>3426</v>
      </c>
      <c r="E515" s="62">
        <v>43</v>
      </c>
      <c r="F515" s="1" t="s">
        <v>2551</v>
      </c>
      <c r="G515" s="1" t="s">
        <v>2555</v>
      </c>
    </row>
    <row x14ac:dyDescent="0.25" r="516" customHeight="1" ht="17.25" hidden="1">
      <c r="A516" s="112" t="s">
        <v>3427</v>
      </c>
      <c r="B516" s="1" t="s">
        <v>2549</v>
      </c>
      <c r="C516" s="1" t="s">
        <v>50</v>
      </c>
      <c r="D516" s="1" t="s">
        <v>3428</v>
      </c>
      <c r="E516" s="62">
        <v>31</v>
      </c>
      <c r="F516" s="1" t="s">
        <v>2551</v>
      </c>
      <c r="G516" s="1" t="s">
        <v>2555</v>
      </c>
    </row>
    <row x14ac:dyDescent="0.25" r="517" customHeight="1" ht="17.25" hidden="1">
      <c r="A517" s="112" t="s">
        <v>3429</v>
      </c>
      <c r="B517" s="1" t="s">
        <v>2549</v>
      </c>
      <c r="C517" s="1" t="s">
        <v>50</v>
      </c>
      <c r="D517" s="1" t="s">
        <v>3430</v>
      </c>
      <c r="E517" s="62">
        <v>22</v>
      </c>
      <c r="F517" s="1" t="s">
        <v>2551</v>
      </c>
      <c r="G517" s="1" t="s">
        <v>2555</v>
      </c>
    </row>
    <row x14ac:dyDescent="0.25" r="518" customHeight="1" ht="17.25" hidden="1">
      <c r="A518" s="112" t="s">
        <v>3431</v>
      </c>
      <c r="B518" s="1" t="s">
        <v>2549</v>
      </c>
      <c r="C518" s="1" t="s">
        <v>50</v>
      </c>
      <c r="D518" s="1" t="s">
        <v>3432</v>
      </c>
      <c r="E518" s="62">
        <v>24</v>
      </c>
      <c r="F518" s="1" t="s">
        <v>2551</v>
      </c>
      <c r="G518" s="1" t="s">
        <v>2552</v>
      </c>
    </row>
    <row x14ac:dyDescent="0.25" r="519" customHeight="1" ht="17.25" hidden="1">
      <c r="A519" s="112" t="s">
        <v>3433</v>
      </c>
      <c r="B519" s="1" t="s">
        <v>2549</v>
      </c>
      <c r="C519" s="1" t="s">
        <v>50</v>
      </c>
      <c r="D519" s="1" t="s">
        <v>3434</v>
      </c>
      <c r="E519" s="62">
        <v>24</v>
      </c>
      <c r="F519" s="1" t="s">
        <v>2551</v>
      </c>
      <c r="G519" s="1" t="s">
        <v>2558</v>
      </c>
    </row>
    <row x14ac:dyDescent="0.25" r="520" customHeight="1" ht="17.25" hidden="1">
      <c r="A520" s="112" t="s">
        <v>3435</v>
      </c>
      <c r="B520" s="1" t="s">
        <v>2549</v>
      </c>
      <c r="C520" s="1" t="s">
        <v>50</v>
      </c>
      <c r="D520" s="1" t="s">
        <v>3436</v>
      </c>
      <c r="E520" s="62">
        <v>25</v>
      </c>
      <c r="F520" s="1" t="s">
        <v>2551</v>
      </c>
      <c r="G520" s="1" t="s">
        <v>2555</v>
      </c>
    </row>
    <row x14ac:dyDescent="0.25" r="521" customHeight="1" ht="17.25" hidden="1">
      <c r="A521" s="112" t="s">
        <v>3437</v>
      </c>
      <c r="B521" s="1" t="s">
        <v>2549</v>
      </c>
      <c r="C521" s="1" t="s">
        <v>50</v>
      </c>
      <c r="D521" s="1" t="s">
        <v>3438</v>
      </c>
      <c r="E521" s="62">
        <v>19</v>
      </c>
      <c r="F521" s="1" t="s">
        <v>2551</v>
      </c>
      <c r="G521" s="1" t="s">
        <v>2552</v>
      </c>
    </row>
    <row x14ac:dyDescent="0.25" r="522" customHeight="1" ht="17.25" hidden="1">
      <c r="A522" s="112" t="s">
        <v>3439</v>
      </c>
      <c r="B522" s="1" t="s">
        <v>2549</v>
      </c>
      <c r="C522" s="1" t="s">
        <v>50</v>
      </c>
      <c r="D522" s="1" t="s">
        <v>3440</v>
      </c>
      <c r="E522" s="62">
        <v>21</v>
      </c>
      <c r="F522" s="1" t="s">
        <v>2561</v>
      </c>
      <c r="G522" s="1" t="s">
        <v>2552</v>
      </c>
    </row>
    <row x14ac:dyDescent="0.25" r="523" customHeight="1" ht="17.25" hidden="1">
      <c r="A523" s="112" t="s">
        <v>3441</v>
      </c>
      <c r="B523" s="1" t="s">
        <v>2549</v>
      </c>
      <c r="C523" s="1" t="s">
        <v>50</v>
      </c>
      <c r="D523" s="1" t="s">
        <v>3442</v>
      </c>
      <c r="E523" s="62">
        <v>19</v>
      </c>
      <c r="F523" s="1" t="s">
        <v>2551</v>
      </c>
      <c r="G523" s="1" t="s">
        <v>2552</v>
      </c>
    </row>
    <row x14ac:dyDescent="0.25" r="524" customHeight="1" ht="17.25" hidden="1">
      <c r="A524" s="112" t="s">
        <v>3443</v>
      </c>
      <c r="B524" s="1" t="s">
        <v>2549</v>
      </c>
      <c r="C524" s="1" t="s">
        <v>50</v>
      </c>
      <c r="D524" s="1" t="s">
        <v>3444</v>
      </c>
      <c r="E524" s="62">
        <v>18</v>
      </c>
      <c r="F524" s="1" t="s">
        <v>2551</v>
      </c>
      <c r="G524" s="1" t="s">
        <v>2555</v>
      </c>
    </row>
    <row x14ac:dyDescent="0.25" r="525" customHeight="1" ht="17.25" hidden="1">
      <c r="A525" s="112" t="s">
        <v>3445</v>
      </c>
      <c r="B525" s="1" t="s">
        <v>2549</v>
      </c>
      <c r="C525" s="1" t="s">
        <v>50</v>
      </c>
      <c r="D525" s="1" t="s">
        <v>3446</v>
      </c>
      <c r="E525" s="62">
        <v>22</v>
      </c>
      <c r="F525" s="1" t="s">
        <v>2551</v>
      </c>
      <c r="G525" s="1" t="s">
        <v>2558</v>
      </c>
    </row>
    <row x14ac:dyDescent="0.25" r="526" customHeight="1" ht="17.25" hidden="1">
      <c r="A526" s="112" t="s">
        <v>3447</v>
      </c>
      <c r="B526" s="1" t="s">
        <v>2549</v>
      </c>
      <c r="C526" s="1" t="s">
        <v>50</v>
      </c>
      <c r="D526" s="1" t="s">
        <v>3448</v>
      </c>
      <c r="E526" s="62">
        <v>22</v>
      </c>
      <c r="F526" s="1" t="s">
        <v>2551</v>
      </c>
      <c r="G526" s="1" t="s">
        <v>2552</v>
      </c>
    </row>
    <row x14ac:dyDescent="0.25" r="527" customHeight="1" ht="17.25" hidden="1">
      <c r="A527" s="112" t="s">
        <v>3449</v>
      </c>
      <c r="B527" s="1" t="s">
        <v>2549</v>
      </c>
      <c r="C527" s="1" t="s">
        <v>50</v>
      </c>
      <c r="D527" s="1" t="s">
        <v>3450</v>
      </c>
      <c r="E527" s="62">
        <v>36</v>
      </c>
      <c r="F527" s="1" t="s">
        <v>2561</v>
      </c>
      <c r="G527" s="1" t="s">
        <v>2558</v>
      </c>
    </row>
    <row x14ac:dyDescent="0.25" r="528" customHeight="1" ht="17.25" hidden="1">
      <c r="A528" s="112" t="s">
        <v>3451</v>
      </c>
      <c r="B528" s="1" t="s">
        <v>2549</v>
      </c>
      <c r="C528" s="1" t="s">
        <v>50</v>
      </c>
      <c r="D528" s="1" t="s">
        <v>3452</v>
      </c>
      <c r="E528" s="62">
        <v>20</v>
      </c>
      <c r="F528" s="1" t="s">
        <v>2551</v>
      </c>
      <c r="G528" s="1" t="s">
        <v>2555</v>
      </c>
    </row>
    <row x14ac:dyDescent="0.25" r="529" customHeight="1" ht="17.25" hidden="1">
      <c r="A529" s="112" t="s">
        <v>3453</v>
      </c>
      <c r="B529" s="1" t="s">
        <v>2549</v>
      </c>
      <c r="C529" s="1" t="s">
        <v>50</v>
      </c>
      <c r="D529" s="1" t="s">
        <v>3454</v>
      </c>
      <c r="E529" s="62">
        <v>23</v>
      </c>
      <c r="F529" s="1" t="s">
        <v>2551</v>
      </c>
      <c r="G529" s="1" t="s">
        <v>2555</v>
      </c>
    </row>
    <row x14ac:dyDescent="0.25" r="530" customHeight="1" ht="17.25" hidden="1">
      <c r="A530" s="112" t="s">
        <v>3455</v>
      </c>
      <c r="B530" s="1" t="s">
        <v>2549</v>
      </c>
      <c r="C530" s="1" t="s">
        <v>50</v>
      </c>
      <c r="D530" s="1" t="s">
        <v>3456</v>
      </c>
      <c r="E530" s="62">
        <v>27</v>
      </c>
      <c r="F530" s="1" t="s">
        <v>2551</v>
      </c>
      <c r="G530" s="1" t="s">
        <v>2552</v>
      </c>
    </row>
    <row x14ac:dyDescent="0.25" r="531" customHeight="1" ht="17.25" hidden="1">
      <c r="A531" s="112" t="s">
        <v>3457</v>
      </c>
      <c r="B531" s="1" t="s">
        <v>2549</v>
      </c>
      <c r="C531" s="1" t="s">
        <v>50</v>
      </c>
      <c r="D531" s="1" t="s">
        <v>3458</v>
      </c>
      <c r="E531" s="62">
        <v>21</v>
      </c>
      <c r="F531" s="1" t="s">
        <v>2551</v>
      </c>
      <c r="G531" s="1" t="s">
        <v>2555</v>
      </c>
    </row>
    <row x14ac:dyDescent="0.25" r="532" customHeight="1" ht="17.25" hidden="1">
      <c r="A532" s="112" t="s">
        <v>3459</v>
      </c>
      <c r="B532" s="1" t="s">
        <v>2549</v>
      </c>
      <c r="C532" s="1" t="s">
        <v>50</v>
      </c>
      <c r="D532" s="1" t="s">
        <v>3460</v>
      </c>
      <c r="E532" s="62">
        <v>19</v>
      </c>
      <c r="F532" s="1" t="s">
        <v>2551</v>
      </c>
      <c r="G532" s="1" t="s">
        <v>2552</v>
      </c>
    </row>
    <row x14ac:dyDescent="0.25" r="533" customHeight="1" ht="17.25" hidden="1">
      <c r="A533" s="112" t="s">
        <v>3459</v>
      </c>
      <c r="B533" s="1" t="s">
        <v>2549</v>
      </c>
      <c r="C533" s="1" t="s">
        <v>50</v>
      </c>
      <c r="D533" s="1" t="s">
        <v>3461</v>
      </c>
      <c r="E533" s="62">
        <v>21</v>
      </c>
      <c r="F533" s="1" t="s">
        <v>2551</v>
      </c>
      <c r="G533" s="1" t="s">
        <v>2552</v>
      </c>
    </row>
    <row x14ac:dyDescent="0.25" r="534" customHeight="1" ht="17.25" hidden="1">
      <c r="A534" s="112" t="s">
        <v>3459</v>
      </c>
      <c r="B534" s="1" t="s">
        <v>2549</v>
      </c>
      <c r="C534" s="1" t="s">
        <v>50</v>
      </c>
      <c r="D534" s="1" t="s">
        <v>3462</v>
      </c>
      <c r="E534" s="62">
        <v>25</v>
      </c>
      <c r="F534" s="1" t="s">
        <v>2551</v>
      </c>
      <c r="G534" s="1" t="s">
        <v>2555</v>
      </c>
    </row>
    <row x14ac:dyDescent="0.25" r="535" customHeight="1" ht="17.25" hidden="1">
      <c r="A535" s="112" t="s">
        <v>3463</v>
      </c>
      <c r="B535" s="1" t="s">
        <v>2549</v>
      </c>
      <c r="C535" s="1" t="s">
        <v>50</v>
      </c>
      <c r="D535" s="1" t="s">
        <v>3464</v>
      </c>
      <c r="E535" s="62">
        <v>26</v>
      </c>
      <c r="F535" s="1" t="s">
        <v>2561</v>
      </c>
      <c r="G535" s="1" t="s">
        <v>2552</v>
      </c>
    </row>
    <row x14ac:dyDescent="0.25" r="536" customHeight="1" ht="17.25" hidden="1">
      <c r="A536" s="112" t="s">
        <v>3463</v>
      </c>
      <c r="B536" s="1" t="s">
        <v>2549</v>
      </c>
      <c r="C536" s="1" t="s">
        <v>50</v>
      </c>
      <c r="D536" s="1" t="s">
        <v>3465</v>
      </c>
      <c r="E536" s="62">
        <v>21</v>
      </c>
      <c r="F536" s="1" t="s">
        <v>2561</v>
      </c>
      <c r="G536" s="1" t="s">
        <v>2552</v>
      </c>
    </row>
    <row x14ac:dyDescent="0.25" r="537" customHeight="1" ht="17.25" hidden="1">
      <c r="A537" s="112" t="s">
        <v>3463</v>
      </c>
      <c r="B537" s="1" t="s">
        <v>2549</v>
      </c>
      <c r="C537" s="1" t="s">
        <v>50</v>
      </c>
      <c r="D537" s="1" t="s">
        <v>3466</v>
      </c>
      <c r="E537" s="62">
        <v>54</v>
      </c>
      <c r="F537" s="1" t="s">
        <v>2551</v>
      </c>
      <c r="G537" s="1" t="s">
        <v>2555</v>
      </c>
    </row>
    <row x14ac:dyDescent="0.25" r="538" customHeight="1" ht="17.25" hidden="1">
      <c r="A538" s="112" t="s">
        <v>3467</v>
      </c>
      <c r="B538" s="1" t="s">
        <v>2549</v>
      </c>
      <c r="C538" s="1" t="s">
        <v>50</v>
      </c>
      <c r="D538" s="1" t="s">
        <v>3468</v>
      </c>
      <c r="E538" s="62">
        <v>31</v>
      </c>
      <c r="F538" s="1" t="s">
        <v>2551</v>
      </c>
      <c r="G538" s="1" t="s">
        <v>2555</v>
      </c>
    </row>
    <row x14ac:dyDescent="0.25" r="539" customHeight="1" ht="17.25" hidden="1">
      <c r="A539" s="112" t="s">
        <v>3469</v>
      </c>
      <c r="B539" s="1" t="s">
        <v>2549</v>
      </c>
      <c r="C539" s="1" t="s">
        <v>50</v>
      </c>
      <c r="D539" s="1" t="s">
        <v>3470</v>
      </c>
      <c r="E539" s="62">
        <v>59</v>
      </c>
      <c r="F539" s="1" t="s">
        <v>2551</v>
      </c>
      <c r="G539" s="1" t="s">
        <v>2555</v>
      </c>
    </row>
    <row x14ac:dyDescent="0.25" r="540" customHeight="1" ht="17.25" hidden="1">
      <c r="A540" s="112" t="s">
        <v>3471</v>
      </c>
      <c r="B540" s="1" t="s">
        <v>2549</v>
      </c>
      <c r="C540" s="1" t="s">
        <v>50</v>
      </c>
      <c r="D540" s="1" t="s">
        <v>3472</v>
      </c>
      <c r="E540" s="62">
        <v>44</v>
      </c>
      <c r="F540" s="1" t="s">
        <v>2551</v>
      </c>
      <c r="G540" s="1" t="s">
        <v>2552</v>
      </c>
    </row>
    <row x14ac:dyDescent="0.25" r="541" customHeight="1" ht="17.25" hidden="1">
      <c r="A541" s="112" t="s">
        <v>3473</v>
      </c>
      <c r="B541" s="1" t="s">
        <v>2549</v>
      </c>
      <c r="C541" s="1" t="s">
        <v>50</v>
      </c>
      <c r="D541" s="1" t="s">
        <v>1509</v>
      </c>
      <c r="E541" s="62">
        <v>21</v>
      </c>
      <c r="F541" s="1" t="s">
        <v>2551</v>
      </c>
      <c r="G541" s="1" t="s">
        <v>2558</v>
      </c>
    </row>
    <row x14ac:dyDescent="0.25" r="542" customHeight="1" ht="17.25" hidden="1">
      <c r="A542" s="112" t="s">
        <v>3474</v>
      </c>
      <c r="B542" s="1" t="s">
        <v>2549</v>
      </c>
      <c r="C542" s="1" t="s">
        <v>50</v>
      </c>
      <c r="D542" s="1" t="s">
        <v>3475</v>
      </c>
      <c r="E542" s="62">
        <v>20</v>
      </c>
      <c r="F542" s="1" t="s">
        <v>2551</v>
      </c>
      <c r="G542" s="1" t="s">
        <v>2552</v>
      </c>
    </row>
    <row x14ac:dyDescent="0.25" r="543" customHeight="1" ht="17.25" hidden="1">
      <c r="A543" s="112" t="s">
        <v>3476</v>
      </c>
      <c r="B543" s="1" t="s">
        <v>2549</v>
      </c>
      <c r="C543" s="1" t="s">
        <v>50</v>
      </c>
      <c r="D543" s="1" t="s">
        <v>3477</v>
      </c>
      <c r="E543" s="62">
        <v>17</v>
      </c>
      <c r="F543" s="1" t="s">
        <v>2551</v>
      </c>
      <c r="G543" s="1" t="s">
        <v>2555</v>
      </c>
    </row>
    <row x14ac:dyDescent="0.25" r="544" customHeight="1" ht="17.25" hidden="1">
      <c r="A544" s="112" t="s">
        <v>3478</v>
      </c>
      <c r="B544" s="1" t="s">
        <v>2549</v>
      </c>
      <c r="C544" s="1" t="s">
        <v>50</v>
      </c>
      <c r="D544" s="1" t="s">
        <v>3479</v>
      </c>
      <c r="E544" s="62">
        <v>26</v>
      </c>
      <c r="F544" s="1" t="s">
        <v>2551</v>
      </c>
      <c r="G544" s="1" t="s">
        <v>2552</v>
      </c>
    </row>
    <row x14ac:dyDescent="0.25" r="545" customHeight="1" ht="17.25" hidden="1">
      <c r="A545" s="112" t="s">
        <v>3480</v>
      </c>
      <c r="B545" s="1" t="s">
        <v>2549</v>
      </c>
      <c r="C545" s="1" t="s">
        <v>50</v>
      </c>
      <c r="D545" s="1" t="s">
        <v>3481</v>
      </c>
      <c r="E545" s="62">
        <v>41</v>
      </c>
      <c r="F545" s="1" t="s">
        <v>2551</v>
      </c>
      <c r="G545" s="1" t="s">
        <v>2555</v>
      </c>
    </row>
    <row x14ac:dyDescent="0.25" r="546" customHeight="1" ht="17.25" hidden="1">
      <c r="A546" s="112" t="s">
        <v>3482</v>
      </c>
      <c r="B546" s="1" t="s">
        <v>2549</v>
      </c>
      <c r="C546" s="1" t="s">
        <v>50</v>
      </c>
      <c r="D546" s="1" t="s">
        <v>3483</v>
      </c>
      <c r="E546" s="62">
        <v>20</v>
      </c>
      <c r="F546" s="1" t="s">
        <v>2551</v>
      </c>
      <c r="G546" s="1" t="s">
        <v>2552</v>
      </c>
    </row>
    <row x14ac:dyDescent="0.25" r="547" customHeight="1" ht="17.25" hidden="1">
      <c r="A547" s="112" t="s">
        <v>3484</v>
      </c>
      <c r="B547" s="1" t="s">
        <v>2549</v>
      </c>
      <c r="C547" s="1" t="s">
        <v>50</v>
      </c>
      <c r="D547" s="1" t="s">
        <v>3485</v>
      </c>
      <c r="E547" s="62">
        <v>31</v>
      </c>
      <c r="F547" s="1" t="s">
        <v>2551</v>
      </c>
      <c r="G547" s="1" t="s">
        <v>2555</v>
      </c>
    </row>
    <row x14ac:dyDescent="0.25" r="548" customHeight="1" ht="17.25" hidden="1">
      <c r="A548" s="112" t="s">
        <v>3486</v>
      </c>
      <c r="B548" s="1" t="s">
        <v>2549</v>
      </c>
      <c r="C548" s="1" t="s">
        <v>50</v>
      </c>
      <c r="D548" s="1" t="s">
        <v>3487</v>
      </c>
      <c r="E548" s="62">
        <v>21</v>
      </c>
      <c r="F548" s="1" t="s">
        <v>2551</v>
      </c>
      <c r="G548" s="1" t="s">
        <v>2552</v>
      </c>
    </row>
    <row x14ac:dyDescent="0.25" r="549" customHeight="1" ht="17.25" hidden="1">
      <c r="A549" s="112" t="s">
        <v>3488</v>
      </c>
      <c r="B549" s="1" t="s">
        <v>2549</v>
      </c>
      <c r="C549" s="1" t="s">
        <v>50</v>
      </c>
      <c r="D549" s="1" t="s">
        <v>3489</v>
      </c>
      <c r="E549" s="62">
        <v>25</v>
      </c>
      <c r="F549" s="1" t="s">
        <v>2551</v>
      </c>
      <c r="G549" s="1" t="s">
        <v>2555</v>
      </c>
    </row>
    <row x14ac:dyDescent="0.25" r="550" customHeight="1" ht="17.25" hidden="1">
      <c r="A550" s="112" t="s">
        <v>3488</v>
      </c>
      <c r="B550" s="1" t="s">
        <v>2549</v>
      </c>
      <c r="C550" s="1" t="s">
        <v>50</v>
      </c>
      <c r="D550" s="1" t="s">
        <v>3490</v>
      </c>
      <c r="E550" s="62">
        <v>19</v>
      </c>
      <c r="F550" s="1" t="s">
        <v>2551</v>
      </c>
      <c r="G550" s="1" t="s">
        <v>2552</v>
      </c>
    </row>
    <row x14ac:dyDescent="0.25" r="551" customHeight="1" ht="17.25" hidden="1">
      <c r="A551" s="112" t="s">
        <v>3491</v>
      </c>
      <c r="B551" s="1" t="s">
        <v>2549</v>
      </c>
      <c r="C551" s="1" t="s">
        <v>50</v>
      </c>
      <c r="D551" s="1" t="s">
        <v>3492</v>
      </c>
      <c r="E551" s="62">
        <v>38</v>
      </c>
      <c r="F551" s="1" t="s">
        <v>2551</v>
      </c>
      <c r="G551" s="1" t="s">
        <v>2571</v>
      </c>
    </row>
    <row x14ac:dyDescent="0.25" r="552" customHeight="1" ht="17.25" hidden="1">
      <c r="A552" s="112" t="s">
        <v>3493</v>
      </c>
      <c r="B552" s="1" t="s">
        <v>2549</v>
      </c>
      <c r="C552" s="1" t="s">
        <v>50</v>
      </c>
      <c r="D552" s="1" t="s">
        <v>3494</v>
      </c>
      <c r="E552" s="62">
        <v>30</v>
      </c>
      <c r="F552" s="1" t="s">
        <v>2551</v>
      </c>
      <c r="G552" s="1" t="s">
        <v>2555</v>
      </c>
    </row>
    <row x14ac:dyDescent="0.25" r="553" customHeight="1" ht="17.25" hidden="1">
      <c r="A553" s="112" t="s">
        <v>3495</v>
      </c>
      <c r="B553" s="1" t="s">
        <v>2549</v>
      </c>
      <c r="C553" s="1" t="s">
        <v>50</v>
      </c>
      <c r="D553" s="1" t="s">
        <v>3496</v>
      </c>
      <c r="E553" s="62">
        <v>35</v>
      </c>
      <c r="F553" s="1" t="s">
        <v>2551</v>
      </c>
      <c r="G553" s="1" t="s">
        <v>2552</v>
      </c>
    </row>
    <row x14ac:dyDescent="0.25" r="554" customHeight="1" ht="17.25" hidden="1">
      <c r="A554" s="112" t="s">
        <v>3497</v>
      </c>
      <c r="B554" s="1" t="s">
        <v>2549</v>
      </c>
      <c r="C554" s="1" t="s">
        <v>50</v>
      </c>
      <c r="D554" s="1" t="s">
        <v>3498</v>
      </c>
      <c r="E554" s="62">
        <v>18</v>
      </c>
      <c r="F554" s="1" t="s">
        <v>2551</v>
      </c>
      <c r="G554" s="1" t="s">
        <v>2552</v>
      </c>
    </row>
    <row x14ac:dyDescent="0.25" r="555" customHeight="1" ht="17.25" hidden="1">
      <c r="A555" s="112" t="s">
        <v>3499</v>
      </c>
      <c r="B555" s="1" t="s">
        <v>2549</v>
      </c>
      <c r="C555" s="1" t="s">
        <v>50</v>
      </c>
      <c r="D555" s="1" t="s">
        <v>3500</v>
      </c>
      <c r="E555" s="62">
        <v>28</v>
      </c>
      <c r="F555" s="1" t="s">
        <v>2551</v>
      </c>
      <c r="G555" s="1" t="s">
        <v>2552</v>
      </c>
    </row>
    <row x14ac:dyDescent="0.25" r="556" customHeight="1" ht="17.25" hidden="1">
      <c r="A556" s="112" t="s">
        <v>3499</v>
      </c>
      <c r="B556" s="1" t="s">
        <v>2549</v>
      </c>
      <c r="C556" s="1" t="s">
        <v>50</v>
      </c>
      <c r="D556" s="1" t="s">
        <v>3501</v>
      </c>
      <c r="E556" s="62">
        <v>25</v>
      </c>
      <c r="F556" s="1" t="s">
        <v>2551</v>
      </c>
      <c r="G556" s="1" t="s">
        <v>2552</v>
      </c>
    </row>
    <row x14ac:dyDescent="0.25" r="557" customHeight="1" ht="17.25" hidden="1">
      <c r="A557" s="112" t="s">
        <v>3502</v>
      </c>
      <c r="B557" s="1" t="s">
        <v>2549</v>
      </c>
      <c r="C557" s="1" t="s">
        <v>50</v>
      </c>
      <c r="D557" s="1" t="s">
        <v>3503</v>
      </c>
      <c r="E557" s="62">
        <v>25</v>
      </c>
      <c r="F557" s="1" t="s">
        <v>2551</v>
      </c>
      <c r="G557" s="1" t="s">
        <v>2552</v>
      </c>
    </row>
    <row x14ac:dyDescent="0.25" r="558" customHeight="1" ht="17.25" hidden="1">
      <c r="A558" s="112" t="s">
        <v>3502</v>
      </c>
      <c r="B558" s="1" t="s">
        <v>2549</v>
      </c>
      <c r="C558" s="1" t="s">
        <v>50</v>
      </c>
      <c r="D558" s="1" t="s">
        <v>3504</v>
      </c>
      <c r="E558" s="62">
        <v>25</v>
      </c>
      <c r="F558" s="1" t="s">
        <v>2551</v>
      </c>
      <c r="G558" s="1" t="s">
        <v>2555</v>
      </c>
    </row>
    <row x14ac:dyDescent="0.25" r="559" customHeight="1" ht="17.25" hidden="1">
      <c r="A559" s="112" t="s">
        <v>3505</v>
      </c>
      <c r="B559" s="1" t="s">
        <v>2549</v>
      </c>
      <c r="C559" s="1" t="s">
        <v>50</v>
      </c>
      <c r="D559" s="1" t="s">
        <v>3506</v>
      </c>
      <c r="E559" s="62">
        <v>37</v>
      </c>
      <c r="F559" s="1" t="s">
        <v>2551</v>
      </c>
      <c r="G559" s="1" t="s">
        <v>2555</v>
      </c>
    </row>
    <row x14ac:dyDescent="0.25" r="560" customHeight="1" ht="17.25" hidden="1">
      <c r="A560" s="112" t="s">
        <v>1634</v>
      </c>
      <c r="B560" s="1" t="s">
        <v>2549</v>
      </c>
      <c r="C560" s="1" t="s">
        <v>50</v>
      </c>
      <c r="D560" s="1" t="s">
        <v>1636</v>
      </c>
      <c r="E560" s="62">
        <v>20</v>
      </c>
      <c r="F560" s="1" t="s">
        <v>2551</v>
      </c>
      <c r="G560" s="1" t="s">
        <v>2552</v>
      </c>
    </row>
    <row x14ac:dyDescent="0.25" r="561" customHeight="1" ht="17.25" hidden="1">
      <c r="A561" s="112" t="s">
        <v>3507</v>
      </c>
      <c r="B561" s="1" t="s">
        <v>2549</v>
      </c>
      <c r="C561" s="1" t="s">
        <v>50</v>
      </c>
      <c r="D561" s="1" t="s">
        <v>3508</v>
      </c>
      <c r="E561" s="62">
        <v>19</v>
      </c>
      <c r="F561" s="1" t="s">
        <v>2551</v>
      </c>
      <c r="G561" s="1" t="s">
        <v>2552</v>
      </c>
    </row>
    <row x14ac:dyDescent="0.25" r="562" customHeight="1" ht="17.25" hidden="1">
      <c r="A562" s="112" t="s">
        <v>3509</v>
      </c>
      <c r="B562" s="1" t="s">
        <v>2549</v>
      </c>
      <c r="C562" s="1" t="s">
        <v>50</v>
      </c>
      <c r="D562" s="1" t="s">
        <v>3510</v>
      </c>
      <c r="E562" s="62">
        <v>20</v>
      </c>
      <c r="F562" s="1" t="s">
        <v>2551</v>
      </c>
      <c r="G562" s="1" t="s">
        <v>2555</v>
      </c>
    </row>
    <row x14ac:dyDescent="0.25" r="563" customHeight="1" ht="17.25" hidden="1">
      <c r="A563" s="112" t="s">
        <v>3511</v>
      </c>
      <c r="B563" s="1" t="s">
        <v>2549</v>
      </c>
      <c r="C563" s="1" t="s">
        <v>50</v>
      </c>
      <c r="D563" s="1" t="s">
        <v>3512</v>
      </c>
      <c r="E563" s="62">
        <v>19</v>
      </c>
      <c r="F563" s="1" t="s">
        <v>2561</v>
      </c>
      <c r="G563" s="1" t="s">
        <v>2552</v>
      </c>
    </row>
    <row x14ac:dyDescent="0.25" r="564" customHeight="1" ht="17.25" hidden="1">
      <c r="A564" s="112" t="s">
        <v>3513</v>
      </c>
      <c r="B564" s="1" t="s">
        <v>2549</v>
      </c>
      <c r="C564" s="1" t="s">
        <v>50</v>
      </c>
      <c r="D564" s="1" t="s">
        <v>3514</v>
      </c>
      <c r="E564" s="62">
        <v>21</v>
      </c>
      <c r="F564" s="1" t="s">
        <v>2551</v>
      </c>
      <c r="G564" s="1" t="s">
        <v>2555</v>
      </c>
    </row>
    <row x14ac:dyDescent="0.25" r="565" customHeight="1" ht="17.25" hidden="1">
      <c r="A565" s="112" t="s">
        <v>3515</v>
      </c>
      <c r="B565" s="1" t="s">
        <v>2549</v>
      </c>
      <c r="C565" s="1" t="s">
        <v>50</v>
      </c>
      <c r="D565" s="1" t="s">
        <v>3516</v>
      </c>
      <c r="E565" s="62">
        <v>22</v>
      </c>
      <c r="F565" s="1" t="s">
        <v>2551</v>
      </c>
      <c r="G565" s="1" t="s">
        <v>2552</v>
      </c>
    </row>
    <row x14ac:dyDescent="0.25" r="566" customHeight="1" ht="17.25" hidden="1">
      <c r="A566" s="112" t="s">
        <v>3515</v>
      </c>
      <c r="B566" s="1" t="s">
        <v>2549</v>
      </c>
      <c r="C566" s="1" t="s">
        <v>50</v>
      </c>
      <c r="D566" s="1" t="s">
        <v>3517</v>
      </c>
      <c r="E566" s="62">
        <v>24</v>
      </c>
      <c r="F566" s="1" t="s">
        <v>2561</v>
      </c>
      <c r="G566" s="1" t="s">
        <v>2555</v>
      </c>
    </row>
    <row x14ac:dyDescent="0.25" r="567" customHeight="1" ht="17.25" hidden="1">
      <c r="A567" s="112" t="s">
        <v>3518</v>
      </c>
      <c r="B567" s="1" t="s">
        <v>2549</v>
      </c>
      <c r="C567" s="1" t="s">
        <v>50</v>
      </c>
      <c r="D567" s="1" t="s">
        <v>3519</v>
      </c>
      <c r="E567" s="62">
        <v>19</v>
      </c>
      <c r="F567" s="1" t="s">
        <v>2551</v>
      </c>
      <c r="G567" s="1" t="s">
        <v>2552</v>
      </c>
    </row>
    <row x14ac:dyDescent="0.25" r="568" customHeight="1" ht="17.25" hidden="1">
      <c r="A568" s="112" t="s">
        <v>3520</v>
      </c>
      <c r="B568" s="1" t="s">
        <v>2549</v>
      </c>
      <c r="C568" s="1" t="s">
        <v>50</v>
      </c>
      <c r="D568" s="1" t="s">
        <v>3521</v>
      </c>
      <c r="E568" s="62">
        <v>19</v>
      </c>
      <c r="F568" s="1" t="s">
        <v>2551</v>
      </c>
      <c r="G568" s="1" t="s">
        <v>2552</v>
      </c>
    </row>
    <row x14ac:dyDescent="0.25" r="569" customHeight="1" ht="17.25" hidden="1">
      <c r="A569" s="112" t="s">
        <v>3522</v>
      </c>
      <c r="B569" s="1" t="s">
        <v>2549</v>
      </c>
      <c r="C569" s="1" t="s">
        <v>50</v>
      </c>
      <c r="D569" s="1" t="s">
        <v>3523</v>
      </c>
      <c r="E569" s="62">
        <v>37</v>
      </c>
      <c r="F569" s="1" t="s">
        <v>2551</v>
      </c>
      <c r="G569" s="1" t="s">
        <v>2555</v>
      </c>
    </row>
    <row x14ac:dyDescent="0.25" r="570" customHeight="1" ht="17.25" hidden="1">
      <c r="A570" s="112" t="s">
        <v>3524</v>
      </c>
      <c r="B570" s="1" t="s">
        <v>2549</v>
      </c>
      <c r="C570" s="1" t="s">
        <v>50</v>
      </c>
      <c r="D570" s="1" t="s">
        <v>3525</v>
      </c>
      <c r="E570" s="62">
        <v>41</v>
      </c>
      <c r="F570" s="1" t="s">
        <v>2551</v>
      </c>
      <c r="G570" s="1" t="s">
        <v>2555</v>
      </c>
    </row>
    <row x14ac:dyDescent="0.25" r="571" customHeight="1" ht="17.25" hidden="1">
      <c r="A571" s="112" t="s">
        <v>3524</v>
      </c>
      <c r="B571" s="1" t="s">
        <v>2549</v>
      </c>
      <c r="C571" s="1" t="s">
        <v>50</v>
      </c>
      <c r="D571" s="1" t="s">
        <v>3526</v>
      </c>
      <c r="E571" s="62">
        <v>4</v>
      </c>
      <c r="F571" s="1" t="s">
        <v>2551</v>
      </c>
      <c r="G571" s="1" t="s">
        <v>2555</v>
      </c>
    </row>
    <row x14ac:dyDescent="0.25" r="572" customHeight="1" ht="17.25" hidden="1">
      <c r="A572" s="112" t="s">
        <v>3527</v>
      </c>
      <c r="B572" s="1" t="s">
        <v>2549</v>
      </c>
      <c r="C572" s="1" t="s">
        <v>50</v>
      </c>
      <c r="D572" s="1" t="s">
        <v>3528</v>
      </c>
      <c r="E572" s="62">
        <v>19</v>
      </c>
      <c r="F572" s="1" t="s">
        <v>2551</v>
      </c>
      <c r="G572" s="1" t="s">
        <v>2552</v>
      </c>
    </row>
    <row x14ac:dyDescent="0.25" r="573" customHeight="1" ht="17.25" hidden="1">
      <c r="A573" s="112" t="s">
        <v>3529</v>
      </c>
      <c r="B573" s="1" t="s">
        <v>2549</v>
      </c>
      <c r="C573" s="1" t="s">
        <v>50</v>
      </c>
      <c r="D573" s="1" t="s">
        <v>3530</v>
      </c>
      <c r="E573" s="62">
        <v>18</v>
      </c>
      <c r="F573" s="1" t="s">
        <v>2551</v>
      </c>
      <c r="G573" s="1" t="s">
        <v>2555</v>
      </c>
    </row>
    <row x14ac:dyDescent="0.25" r="574" customHeight="1" ht="17.25" hidden="1">
      <c r="A574" s="112" t="s">
        <v>3531</v>
      </c>
      <c r="B574" s="1" t="s">
        <v>2549</v>
      </c>
      <c r="C574" s="1" t="s">
        <v>50</v>
      </c>
      <c r="D574" s="1" t="s">
        <v>3532</v>
      </c>
      <c r="E574" s="62">
        <v>32</v>
      </c>
      <c r="F574" s="1" t="s">
        <v>2551</v>
      </c>
      <c r="G574" s="1" t="s">
        <v>2555</v>
      </c>
    </row>
    <row x14ac:dyDescent="0.25" r="575" customHeight="1" ht="17.25" hidden="1">
      <c r="A575" s="112" t="s">
        <v>3533</v>
      </c>
      <c r="B575" s="1" t="s">
        <v>2549</v>
      </c>
      <c r="C575" s="1" t="s">
        <v>50</v>
      </c>
      <c r="D575" s="1" t="s">
        <v>3534</v>
      </c>
      <c r="E575" s="62">
        <v>29</v>
      </c>
      <c r="F575" s="1" t="s">
        <v>2551</v>
      </c>
      <c r="G575" s="1" t="s">
        <v>2555</v>
      </c>
    </row>
    <row x14ac:dyDescent="0.25" r="576" customHeight="1" ht="17.25" hidden="1">
      <c r="A576" s="112" t="s">
        <v>3535</v>
      </c>
      <c r="B576" s="1" t="s">
        <v>2549</v>
      </c>
      <c r="C576" s="1" t="s">
        <v>50</v>
      </c>
      <c r="D576" s="1" t="s">
        <v>3536</v>
      </c>
      <c r="E576" s="62">
        <v>23</v>
      </c>
      <c r="F576" s="1" t="s">
        <v>2551</v>
      </c>
      <c r="G576" s="1" t="s">
        <v>2552</v>
      </c>
    </row>
    <row x14ac:dyDescent="0.25" r="577" customHeight="1" ht="17.25" hidden="1">
      <c r="A577" s="112" t="s">
        <v>3537</v>
      </c>
      <c r="B577" s="1" t="s">
        <v>2549</v>
      </c>
      <c r="C577" s="1" t="s">
        <v>50</v>
      </c>
      <c r="D577" s="1" t="s">
        <v>3538</v>
      </c>
      <c r="E577" s="62">
        <v>19</v>
      </c>
      <c r="F577" s="1" t="s">
        <v>2551</v>
      </c>
      <c r="G577" s="1" t="s">
        <v>2555</v>
      </c>
    </row>
    <row x14ac:dyDescent="0.25" r="578" customHeight="1" ht="17.25" hidden="1">
      <c r="A578" s="112" t="s">
        <v>3539</v>
      </c>
      <c r="B578" s="1" t="s">
        <v>2549</v>
      </c>
      <c r="C578" s="1" t="s">
        <v>50</v>
      </c>
      <c r="D578" s="1" t="s">
        <v>3540</v>
      </c>
      <c r="E578" s="62">
        <v>42</v>
      </c>
      <c r="F578" s="1" t="s">
        <v>2551</v>
      </c>
      <c r="G578" s="1" t="s">
        <v>2555</v>
      </c>
    </row>
    <row x14ac:dyDescent="0.25" r="579" customHeight="1" ht="17.25" hidden="1">
      <c r="A579" s="112" t="s">
        <v>3541</v>
      </c>
      <c r="B579" s="1" t="s">
        <v>2549</v>
      </c>
      <c r="C579" s="1" t="s">
        <v>50</v>
      </c>
      <c r="D579" s="1" t="s">
        <v>3542</v>
      </c>
      <c r="E579" s="62">
        <v>20</v>
      </c>
      <c r="F579" s="1" t="s">
        <v>2551</v>
      </c>
      <c r="G579" s="1" t="s">
        <v>2552</v>
      </c>
    </row>
    <row x14ac:dyDescent="0.25" r="580" customHeight="1" ht="17.25" hidden="1">
      <c r="A580" s="112" t="s">
        <v>3543</v>
      </c>
      <c r="B580" s="1" t="s">
        <v>2549</v>
      </c>
      <c r="C580" s="1" t="s">
        <v>50</v>
      </c>
      <c r="D580" s="1" t="s">
        <v>3544</v>
      </c>
      <c r="E580" s="62">
        <v>20</v>
      </c>
      <c r="F580" s="1" t="s">
        <v>2551</v>
      </c>
      <c r="G580" s="1" t="s">
        <v>2555</v>
      </c>
    </row>
    <row x14ac:dyDescent="0.25" r="581" customHeight="1" ht="17.25" hidden="1">
      <c r="A581" s="112" t="s">
        <v>3545</v>
      </c>
      <c r="B581" s="1" t="s">
        <v>2549</v>
      </c>
      <c r="C581" s="1" t="s">
        <v>50</v>
      </c>
      <c r="D581" s="1" t="s">
        <v>3546</v>
      </c>
      <c r="E581" s="54" t="s">
        <v>2571</v>
      </c>
      <c r="F581" s="1" t="s">
        <v>2561</v>
      </c>
      <c r="G581" s="1" t="s">
        <v>2555</v>
      </c>
    </row>
    <row x14ac:dyDescent="0.25" r="582" customHeight="1" ht="17.25" hidden="1">
      <c r="A582" s="112" t="s">
        <v>3545</v>
      </c>
      <c r="B582" s="1" t="s">
        <v>2549</v>
      </c>
      <c r="C582" s="1" t="s">
        <v>50</v>
      </c>
      <c r="D582" s="1" t="s">
        <v>3547</v>
      </c>
      <c r="E582" s="54" t="s">
        <v>2571</v>
      </c>
      <c r="F582" s="1" t="s">
        <v>2551</v>
      </c>
      <c r="G582" s="1" t="s">
        <v>2555</v>
      </c>
    </row>
    <row x14ac:dyDescent="0.25" r="583" customHeight="1" ht="17.25" hidden="1">
      <c r="A583" s="112" t="s">
        <v>3545</v>
      </c>
      <c r="B583" s="1" t="s">
        <v>2549</v>
      </c>
      <c r="C583" s="1" t="s">
        <v>50</v>
      </c>
      <c r="D583" s="1" t="s">
        <v>3548</v>
      </c>
      <c r="E583" s="54" t="s">
        <v>2571</v>
      </c>
      <c r="F583" s="1" t="s">
        <v>2551</v>
      </c>
      <c r="G583" s="1" t="s">
        <v>2555</v>
      </c>
    </row>
    <row x14ac:dyDescent="0.25" r="584" customHeight="1" ht="17.25" hidden="1">
      <c r="A584" s="112" t="s">
        <v>3549</v>
      </c>
      <c r="B584" s="1" t="s">
        <v>2549</v>
      </c>
      <c r="C584" s="1" t="s">
        <v>50</v>
      </c>
      <c r="D584" s="1" t="s">
        <v>3550</v>
      </c>
      <c r="E584" s="62">
        <v>37</v>
      </c>
      <c r="F584" s="1" t="s">
        <v>2551</v>
      </c>
      <c r="G584" s="1" t="s">
        <v>2552</v>
      </c>
    </row>
    <row x14ac:dyDescent="0.25" r="585" customHeight="1" ht="17.25" hidden="1">
      <c r="A585" s="112" t="s">
        <v>3551</v>
      </c>
      <c r="B585" s="1" t="s">
        <v>2549</v>
      </c>
      <c r="C585" s="1" t="s">
        <v>50</v>
      </c>
      <c r="D585" s="1" t="s">
        <v>3552</v>
      </c>
      <c r="E585" s="62">
        <v>21</v>
      </c>
      <c r="F585" s="1" t="s">
        <v>2551</v>
      </c>
      <c r="G585" s="1" t="s">
        <v>2552</v>
      </c>
    </row>
    <row x14ac:dyDescent="0.25" r="586" customHeight="1" ht="17.25" hidden="1">
      <c r="A586" s="112" t="s">
        <v>3553</v>
      </c>
      <c r="B586" s="1" t="s">
        <v>2549</v>
      </c>
      <c r="C586" s="1" t="s">
        <v>50</v>
      </c>
      <c r="D586" s="1" t="s">
        <v>3554</v>
      </c>
      <c r="E586" s="62">
        <v>25</v>
      </c>
      <c r="F586" s="1" t="s">
        <v>2551</v>
      </c>
      <c r="G586" s="1" t="s">
        <v>2555</v>
      </c>
    </row>
    <row x14ac:dyDescent="0.25" r="587" customHeight="1" ht="17.25" hidden="1">
      <c r="A587" s="112" t="s">
        <v>3555</v>
      </c>
      <c r="B587" s="1" t="s">
        <v>2549</v>
      </c>
      <c r="C587" s="1" t="s">
        <v>50</v>
      </c>
      <c r="D587" s="1" t="s">
        <v>3556</v>
      </c>
      <c r="E587" s="62">
        <v>24</v>
      </c>
      <c r="F587" s="1" t="s">
        <v>2551</v>
      </c>
      <c r="G587" s="1" t="s">
        <v>2552</v>
      </c>
    </row>
    <row x14ac:dyDescent="0.25" r="588" customHeight="1" ht="17.25" hidden="1">
      <c r="A588" s="112" t="s">
        <v>3557</v>
      </c>
      <c r="B588" s="1" t="s">
        <v>2549</v>
      </c>
      <c r="C588" s="1" t="s">
        <v>50</v>
      </c>
      <c r="D588" s="1" t="s">
        <v>3558</v>
      </c>
      <c r="E588" s="62">
        <v>48</v>
      </c>
      <c r="F588" s="1" t="s">
        <v>2561</v>
      </c>
      <c r="G588" s="1" t="s">
        <v>2552</v>
      </c>
    </row>
    <row x14ac:dyDescent="0.25" r="589" customHeight="1" ht="17.25" hidden="1">
      <c r="A589" s="112" t="s">
        <v>3559</v>
      </c>
      <c r="B589" s="1" t="s">
        <v>2549</v>
      </c>
      <c r="C589" s="1" t="s">
        <v>50</v>
      </c>
      <c r="D589" s="1" t="s">
        <v>3560</v>
      </c>
      <c r="E589" s="62">
        <v>18</v>
      </c>
      <c r="F589" s="1" t="s">
        <v>2551</v>
      </c>
      <c r="G589" s="1" t="s">
        <v>2552</v>
      </c>
    </row>
    <row x14ac:dyDescent="0.25" r="590" customHeight="1" ht="17.25" hidden="1">
      <c r="A590" s="112" t="s">
        <v>3561</v>
      </c>
      <c r="B590" s="1" t="s">
        <v>2549</v>
      </c>
      <c r="C590" s="1" t="s">
        <v>50</v>
      </c>
      <c r="D590" s="1" t="s">
        <v>3562</v>
      </c>
      <c r="E590" s="62">
        <v>28</v>
      </c>
      <c r="F590" s="1" t="s">
        <v>2551</v>
      </c>
      <c r="G590" s="1" t="s">
        <v>2555</v>
      </c>
    </row>
    <row x14ac:dyDescent="0.25" r="591" customHeight="1" ht="17.25" hidden="1">
      <c r="A591" s="112" t="s">
        <v>1884</v>
      </c>
      <c r="B591" s="1" t="s">
        <v>2549</v>
      </c>
      <c r="C591" s="1" t="s">
        <v>50</v>
      </c>
      <c r="D591" s="1" t="s">
        <v>3563</v>
      </c>
      <c r="E591" s="62">
        <v>22</v>
      </c>
      <c r="F591" s="1" t="s">
        <v>2551</v>
      </c>
      <c r="G591" s="1" t="s">
        <v>2555</v>
      </c>
    </row>
    <row x14ac:dyDescent="0.25" r="592" customHeight="1" ht="17.25" hidden="1">
      <c r="A592" s="112" t="s">
        <v>1884</v>
      </c>
      <c r="B592" s="1" t="s">
        <v>2549</v>
      </c>
      <c r="C592" s="1" t="s">
        <v>50</v>
      </c>
      <c r="D592" s="1" t="s">
        <v>3564</v>
      </c>
      <c r="E592" s="62">
        <v>21</v>
      </c>
      <c r="F592" s="1" t="s">
        <v>2551</v>
      </c>
      <c r="G592" s="1" t="s">
        <v>2555</v>
      </c>
    </row>
    <row x14ac:dyDescent="0.25" r="593" customHeight="1" ht="17.25" hidden="1">
      <c r="A593" s="112" t="s">
        <v>1223</v>
      </c>
      <c r="B593" s="1" t="s">
        <v>2549</v>
      </c>
      <c r="C593" s="1" t="s">
        <v>50</v>
      </c>
      <c r="D593" s="1" t="s">
        <v>2277</v>
      </c>
      <c r="E593" s="62">
        <v>29</v>
      </c>
      <c r="F593" s="1" t="s">
        <v>2561</v>
      </c>
      <c r="G593" s="1" t="s">
        <v>2555</v>
      </c>
    </row>
    <row x14ac:dyDescent="0.25" r="594" customHeight="1" ht="17.25" hidden="1">
      <c r="A594" s="112" t="s">
        <v>1223</v>
      </c>
      <c r="B594" s="1" t="s">
        <v>2549</v>
      </c>
      <c r="C594" s="1" t="s">
        <v>50</v>
      </c>
      <c r="D594" s="1" t="s">
        <v>3565</v>
      </c>
      <c r="E594" s="62">
        <v>19</v>
      </c>
      <c r="F594" s="1" t="s">
        <v>2561</v>
      </c>
      <c r="G594" s="1" t="s">
        <v>2552</v>
      </c>
    </row>
    <row x14ac:dyDescent="0.25" r="595" customHeight="1" ht="17.25" hidden="1">
      <c r="A595" s="112" t="s">
        <v>3566</v>
      </c>
      <c r="B595" s="1" t="s">
        <v>2549</v>
      </c>
      <c r="C595" s="1" t="s">
        <v>50</v>
      </c>
      <c r="D595" s="1" t="s">
        <v>3567</v>
      </c>
      <c r="E595" s="62">
        <v>21</v>
      </c>
      <c r="F595" s="1" t="s">
        <v>2551</v>
      </c>
      <c r="G595" s="1" t="s">
        <v>2555</v>
      </c>
    </row>
    <row x14ac:dyDescent="0.25" r="596" customHeight="1" ht="17.25" hidden="1">
      <c r="A596" s="112" t="s">
        <v>3568</v>
      </c>
      <c r="B596" s="1" t="s">
        <v>2549</v>
      </c>
      <c r="C596" s="1" t="s">
        <v>50</v>
      </c>
      <c r="D596" s="1" t="s">
        <v>3569</v>
      </c>
      <c r="E596" s="62">
        <v>19</v>
      </c>
      <c r="F596" s="1" t="s">
        <v>2551</v>
      </c>
      <c r="G596" s="1" t="s">
        <v>2552</v>
      </c>
    </row>
    <row x14ac:dyDescent="0.25" r="597" customHeight="1" ht="17.25" hidden="1">
      <c r="A597" s="112" t="s">
        <v>3570</v>
      </c>
      <c r="B597" s="1" t="s">
        <v>2549</v>
      </c>
      <c r="C597" s="1" t="s">
        <v>50</v>
      </c>
      <c r="D597" s="1" t="s">
        <v>3571</v>
      </c>
      <c r="E597" s="62">
        <v>18</v>
      </c>
      <c r="F597" s="1" t="s">
        <v>2551</v>
      </c>
      <c r="G597" s="1" t="s">
        <v>2552</v>
      </c>
    </row>
    <row x14ac:dyDescent="0.25" r="598" customHeight="1" ht="17.25" hidden="1">
      <c r="A598" s="112" t="s">
        <v>3572</v>
      </c>
      <c r="B598" s="1" t="s">
        <v>2549</v>
      </c>
      <c r="C598" s="1" t="s">
        <v>50</v>
      </c>
      <c r="D598" s="1" t="s">
        <v>3573</v>
      </c>
      <c r="E598" s="62">
        <v>31</v>
      </c>
      <c r="F598" s="1" t="s">
        <v>2551</v>
      </c>
      <c r="G598" s="1" t="s">
        <v>2552</v>
      </c>
    </row>
    <row x14ac:dyDescent="0.25" r="599" customHeight="1" ht="17.25" hidden="1">
      <c r="A599" s="112" t="s">
        <v>3574</v>
      </c>
      <c r="B599" s="1" t="s">
        <v>2549</v>
      </c>
      <c r="C599" s="1" t="s">
        <v>50</v>
      </c>
      <c r="D599" s="1" t="s">
        <v>3575</v>
      </c>
      <c r="E599" s="62">
        <v>27</v>
      </c>
      <c r="F599" s="1" t="s">
        <v>2551</v>
      </c>
      <c r="G599" s="1" t="s">
        <v>2558</v>
      </c>
    </row>
    <row x14ac:dyDescent="0.25" r="600" customHeight="1" ht="17.25" hidden="1">
      <c r="A600" s="112" t="s">
        <v>1902</v>
      </c>
      <c r="B600" s="1" t="s">
        <v>2549</v>
      </c>
      <c r="C600" s="1" t="s">
        <v>50</v>
      </c>
      <c r="D600" s="1" t="s">
        <v>3576</v>
      </c>
      <c r="E600" s="62">
        <v>29</v>
      </c>
      <c r="F600" s="1" t="s">
        <v>2551</v>
      </c>
      <c r="G600" s="1" t="s">
        <v>2555</v>
      </c>
    </row>
    <row x14ac:dyDescent="0.25" r="601" customHeight="1" ht="17.25" hidden="1">
      <c r="A601" s="112" t="s">
        <v>3577</v>
      </c>
      <c r="B601" s="1" t="s">
        <v>2549</v>
      </c>
      <c r="C601" s="1" t="s">
        <v>50</v>
      </c>
      <c r="D601" s="1" t="s">
        <v>3578</v>
      </c>
      <c r="E601" s="62">
        <v>19</v>
      </c>
      <c r="F601" s="1" t="s">
        <v>2551</v>
      </c>
      <c r="G601" s="1" t="s">
        <v>2552</v>
      </c>
    </row>
    <row x14ac:dyDescent="0.25" r="602" customHeight="1" ht="17.25" hidden="1">
      <c r="A602" s="112" t="s">
        <v>2139</v>
      </c>
      <c r="B602" s="1" t="s">
        <v>2549</v>
      </c>
      <c r="C602" s="1" t="s">
        <v>50</v>
      </c>
      <c r="D602" s="1" t="s">
        <v>2140</v>
      </c>
      <c r="E602" s="62">
        <v>34</v>
      </c>
      <c r="F602" s="1" t="s">
        <v>2551</v>
      </c>
      <c r="G602" s="1" t="s">
        <v>2555</v>
      </c>
    </row>
    <row x14ac:dyDescent="0.25" r="603" customHeight="1" ht="17.25" hidden="1">
      <c r="A603" s="112" t="s">
        <v>3579</v>
      </c>
      <c r="B603" s="1" t="s">
        <v>2549</v>
      </c>
      <c r="C603" s="1" t="s">
        <v>50</v>
      </c>
      <c r="D603" s="1" t="s">
        <v>3580</v>
      </c>
      <c r="E603" s="62">
        <v>19</v>
      </c>
      <c r="F603" s="1" t="s">
        <v>2551</v>
      </c>
      <c r="G603" s="1" t="s">
        <v>2552</v>
      </c>
    </row>
    <row x14ac:dyDescent="0.25" r="604" customHeight="1" ht="17.25" hidden="1">
      <c r="A604" s="112" t="s">
        <v>3581</v>
      </c>
      <c r="B604" s="1" t="s">
        <v>2549</v>
      </c>
      <c r="C604" s="1" t="s">
        <v>50</v>
      </c>
      <c r="D604" s="1" t="s">
        <v>3582</v>
      </c>
      <c r="E604" s="62">
        <v>27</v>
      </c>
      <c r="F604" s="1" t="s">
        <v>2551</v>
      </c>
      <c r="G604" s="1" t="s">
        <v>2571</v>
      </c>
    </row>
    <row x14ac:dyDescent="0.25" r="605" customHeight="1" ht="17.25" hidden="1">
      <c r="A605" s="112" t="s">
        <v>3583</v>
      </c>
      <c r="B605" s="1" t="s">
        <v>2549</v>
      </c>
      <c r="C605" s="1" t="s">
        <v>50</v>
      </c>
      <c r="D605" s="1" t="s">
        <v>3584</v>
      </c>
      <c r="E605" s="62">
        <v>22</v>
      </c>
      <c r="F605" s="1" t="s">
        <v>2551</v>
      </c>
      <c r="G605" s="1" t="s">
        <v>2552</v>
      </c>
    </row>
    <row x14ac:dyDescent="0.25" r="606" customHeight="1" ht="17.25" hidden="1">
      <c r="A606" s="112" t="s">
        <v>3585</v>
      </c>
      <c r="B606" s="1" t="s">
        <v>2549</v>
      </c>
      <c r="C606" s="1" t="s">
        <v>50</v>
      </c>
      <c r="D606" s="1" t="s">
        <v>3586</v>
      </c>
      <c r="E606" s="62">
        <v>31</v>
      </c>
      <c r="F606" s="1" t="s">
        <v>2551</v>
      </c>
      <c r="G606" s="1" t="s">
        <v>2555</v>
      </c>
    </row>
    <row x14ac:dyDescent="0.25" r="607" customHeight="1" ht="17.25" hidden="1">
      <c r="A607" s="112" t="s">
        <v>3587</v>
      </c>
      <c r="B607" s="1" t="s">
        <v>2549</v>
      </c>
      <c r="C607" s="1" t="s">
        <v>50</v>
      </c>
      <c r="D607" s="1" t="s">
        <v>3588</v>
      </c>
      <c r="E607" s="62">
        <v>20</v>
      </c>
      <c r="F607" s="1" t="s">
        <v>2551</v>
      </c>
      <c r="G607" s="1" t="s">
        <v>2555</v>
      </c>
    </row>
    <row x14ac:dyDescent="0.25" r="608" customHeight="1" ht="17.25" hidden="1">
      <c r="A608" s="112" t="s">
        <v>3589</v>
      </c>
      <c r="B608" s="1" t="s">
        <v>2549</v>
      </c>
      <c r="C608" s="1" t="s">
        <v>50</v>
      </c>
      <c r="D608" s="1" t="s">
        <v>3590</v>
      </c>
      <c r="E608" s="62">
        <v>23</v>
      </c>
      <c r="F608" s="1" t="s">
        <v>2561</v>
      </c>
      <c r="G608" s="1" t="s">
        <v>2552</v>
      </c>
    </row>
    <row x14ac:dyDescent="0.25" r="609" customHeight="1" ht="17.25" hidden="1">
      <c r="A609" s="112" t="s">
        <v>3591</v>
      </c>
      <c r="B609" s="1" t="s">
        <v>2549</v>
      </c>
      <c r="C609" s="1" t="s">
        <v>50</v>
      </c>
      <c r="D609" s="1" t="s">
        <v>3592</v>
      </c>
      <c r="E609" s="62">
        <v>22</v>
      </c>
      <c r="F609" s="1" t="s">
        <v>2551</v>
      </c>
      <c r="G609" s="1" t="s">
        <v>2555</v>
      </c>
    </row>
    <row x14ac:dyDescent="0.25" r="610" customHeight="1" ht="17.25" hidden="1">
      <c r="A610" s="112" t="s">
        <v>3593</v>
      </c>
      <c r="B610" s="1" t="s">
        <v>2549</v>
      </c>
      <c r="C610" s="1" t="s">
        <v>50</v>
      </c>
      <c r="D610" s="1" t="s">
        <v>3594</v>
      </c>
      <c r="E610" s="62">
        <v>39</v>
      </c>
      <c r="F610" s="1" t="s">
        <v>2551</v>
      </c>
      <c r="G610" s="1" t="s">
        <v>2555</v>
      </c>
    </row>
    <row x14ac:dyDescent="0.25" r="611" customHeight="1" ht="17.25" hidden="1">
      <c r="A611" s="112" t="s">
        <v>3595</v>
      </c>
      <c r="B611" s="1" t="s">
        <v>2549</v>
      </c>
      <c r="C611" s="1" t="s">
        <v>50</v>
      </c>
      <c r="D611" s="1" t="s">
        <v>3596</v>
      </c>
      <c r="E611" s="62">
        <v>19</v>
      </c>
      <c r="F611" s="1" t="s">
        <v>2551</v>
      </c>
      <c r="G611" s="1" t="s">
        <v>2552</v>
      </c>
    </row>
    <row x14ac:dyDescent="0.25" r="612" customHeight="1" ht="17.25" hidden="1">
      <c r="A612" s="112" t="s">
        <v>3597</v>
      </c>
      <c r="B612" s="1" t="s">
        <v>2549</v>
      </c>
      <c r="C612" s="1" t="s">
        <v>50</v>
      </c>
      <c r="D612" s="1" t="s">
        <v>3598</v>
      </c>
      <c r="E612" s="62">
        <v>29</v>
      </c>
      <c r="F612" s="1" t="s">
        <v>2551</v>
      </c>
      <c r="G612" s="1" t="s">
        <v>2552</v>
      </c>
    </row>
    <row x14ac:dyDescent="0.25" r="613" customHeight="1" ht="17.25" hidden="1">
      <c r="A613" s="112" t="s">
        <v>3599</v>
      </c>
      <c r="B613" s="1" t="s">
        <v>2549</v>
      </c>
      <c r="C613" s="1" t="s">
        <v>50</v>
      </c>
      <c r="D613" s="1" t="s">
        <v>3600</v>
      </c>
      <c r="E613" s="62">
        <v>23</v>
      </c>
      <c r="F613" s="1" t="s">
        <v>2551</v>
      </c>
      <c r="G613" s="1" t="s">
        <v>2552</v>
      </c>
    </row>
    <row x14ac:dyDescent="0.25" r="614" customHeight="1" ht="17.25" hidden="1">
      <c r="A614" s="112" t="s">
        <v>2392</v>
      </c>
      <c r="B614" s="1" t="s">
        <v>2549</v>
      </c>
      <c r="C614" s="1" t="s">
        <v>50</v>
      </c>
      <c r="D614" s="1" t="s">
        <v>2393</v>
      </c>
      <c r="E614" s="62">
        <v>20</v>
      </c>
      <c r="F614" s="1" t="s">
        <v>2551</v>
      </c>
      <c r="G614" s="1" t="s">
        <v>2558</v>
      </c>
    </row>
    <row x14ac:dyDescent="0.25" r="615" customHeight="1" ht="17.25" hidden="1">
      <c r="A615" s="112" t="s">
        <v>3601</v>
      </c>
      <c r="B615" s="1" t="s">
        <v>2549</v>
      </c>
      <c r="C615" s="1" t="s">
        <v>50</v>
      </c>
      <c r="D615" s="1" t="s">
        <v>3602</v>
      </c>
      <c r="E615" s="62">
        <v>35</v>
      </c>
      <c r="F615" s="1" t="s">
        <v>2551</v>
      </c>
      <c r="G615" s="1" t="s">
        <v>2552</v>
      </c>
    </row>
    <row x14ac:dyDescent="0.25" r="616" customHeight="1" ht="17.25" hidden="1">
      <c r="A616" s="112" t="s">
        <v>3603</v>
      </c>
      <c r="B616" s="1" t="s">
        <v>2549</v>
      </c>
      <c r="C616" s="1" t="s">
        <v>50</v>
      </c>
      <c r="D616" s="1" t="s">
        <v>3604</v>
      </c>
      <c r="E616" s="62">
        <v>23</v>
      </c>
      <c r="F616" s="1" t="s">
        <v>2551</v>
      </c>
      <c r="G616" s="1" t="s">
        <v>2555</v>
      </c>
    </row>
    <row x14ac:dyDescent="0.25" r="617" customHeight="1" ht="17.25" hidden="1">
      <c r="A617" s="112" t="s">
        <v>3603</v>
      </c>
      <c r="B617" s="1" t="s">
        <v>2549</v>
      </c>
      <c r="C617" s="1" t="s">
        <v>50</v>
      </c>
      <c r="D617" s="1" t="s">
        <v>3605</v>
      </c>
      <c r="E617" s="62">
        <v>23</v>
      </c>
      <c r="F617" s="1" t="s">
        <v>2551</v>
      </c>
      <c r="G617" s="1" t="s">
        <v>2555</v>
      </c>
    </row>
    <row x14ac:dyDescent="0.25" r="618" customHeight="1" ht="17.25" hidden="1">
      <c r="A618" s="112" t="s">
        <v>3603</v>
      </c>
      <c r="B618" s="1" t="s">
        <v>2549</v>
      </c>
      <c r="C618" s="1" t="s">
        <v>50</v>
      </c>
      <c r="D618" s="1" t="s">
        <v>3606</v>
      </c>
      <c r="E618" s="62">
        <v>29</v>
      </c>
      <c r="F618" s="1" t="s">
        <v>2551</v>
      </c>
      <c r="G618" s="1" t="s">
        <v>2555</v>
      </c>
    </row>
    <row x14ac:dyDescent="0.25" r="619" customHeight="1" ht="17.25" hidden="1">
      <c r="A619" s="112" t="s">
        <v>3603</v>
      </c>
      <c r="B619" s="1" t="s">
        <v>2549</v>
      </c>
      <c r="C619" s="1" t="s">
        <v>50</v>
      </c>
      <c r="D619" s="1" t="s">
        <v>3607</v>
      </c>
      <c r="E619" s="62">
        <v>25</v>
      </c>
      <c r="F619" s="1" t="s">
        <v>2551</v>
      </c>
      <c r="G619" s="1" t="s">
        <v>2555</v>
      </c>
    </row>
    <row x14ac:dyDescent="0.25" r="620" customHeight="1" ht="17.25" hidden="1">
      <c r="A620" s="112" t="s">
        <v>3603</v>
      </c>
      <c r="B620" s="1" t="s">
        <v>2549</v>
      </c>
      <c r="C620" s="1" t="s">
        <v>50</v>
      </c>
      <c r="D620" s="1" t="s">
        <v>3608</v>
      </c>
      <c r="E620" s="62">
        <v>29</v>
      </c>
      <c r="F620" s="1" t="s">
        <v>2561</v>
      </c>
      <c r="G620" s="1" t="s">
        <v>2552</v>
      </c>
    </row>
    <row x14ac:dyDescent="0.25" r="621" customHeight="1" ht="17.25" hidden="1">
      <c r="A621" s="112" t="s">
        <v>3609</v>
      </c>
      <c r="B621" s="1" t="s">
        <v>2549</v>
      </c>
      <c r="C621" s="1" t="s">
        <v>50</v>
      </c>
      <c r="D621" s="1" t="s">
        <v>3610</v>
      </c>
      <c r="E621" s="62">
        <v>19</v>
      </c>
      <c r="F621" s="1" t="s">
        <v>2551</v>
      </c>
      <c r="G621" s="1" t="s">
        <v>2558</v>
      </c>
    </row>
    <row x14ac:dyDescent="0.25" r="622" customHeight="1" ht="17.25" hidden="1">
      <c r="A622" s="112" t="s">
        <v>3611</v>
      </c>
      <c r="B622" s="1" t="s">
        <v>2549</v>
      </c>
      <c r="C622" s="1" t="s">
        <v>50</v>
      </c>
      <c r="D622" s="1" t="s">
        <v>3612</v>
      </c>
      <c r="E622" s="62">
        <v>24</v>
      </c>
      <c r="F622" s="1" t="s">
        <v>2551</v>
      </c>
      <c r="G622" s="1" t="s">
        <v>2552</v>
      </c>
    </row>
    <row x14ac:dyDescent="0.25" r="623" customHeight="1" ht="17.25" hidden="1">
      <c r="A623" s="112" t="s">
        <v>3613</v>
      </c>
      <c r="B623" s="1" t="s">
        <v>2549</v>
      </c>
      <c r="C623" s="1" t="s">
        <v>50</v>
      </c>
      <c r="D623" s="1" t="s">
        <v>3614</v>
      </c>
      <c r="E623" s="62">
        <v>25</v>
      </c>
      <c r="F623" s="1" t="s">
        <v>2551</v>
      </c>
      <c r="G623" s="1" t="s">
        <v>2552</v>
      </c>
    </row>
    <row x14ac:dyDescent="0.25" r="624" customHeight="1" ht="17.25" hidden="1">
      <c r="A624" s="112" t="s">
        <v>3615</v>
      </c>
      <c r="B624" s="1" t="s">
        <v>2549</v>
      </c>
      <c r="C624" s="1" t="s">
        <v>50</v>
      </c>
      <c r="D624" s="1" t="s">
        <v>3616</v>
      </c>
      <c r="E624" s="62">
        <v>31</v>
      </c>
      <c r="F624" s="1" t="s">
        <v>2551</v>
      </c>
      <c r="G624" s="1" t="s">
        <v>2571</v>
      </c>
    </row>
    <row x14ac:dyDescent="0.25" r="625" customHeight="1" ht="17.25" hidden="1">
      <c r="A625" s="112" t="s">
        <v>3615</v>
      </c>
      <c r="B625" s="1" t="s">
        <v>2549</v>
      </c>
      <c r="C625" s="1" t="s">
        <v>50</v>
      </c>
      <c r="D625" s="1" t="s">
        <v>3617</v>
      </c>
      <c r="E625" s="62">
        <v>19</v>
      </c>
      <c r="F625" s="1" t="s">
        <v>2551</v>
      </c>
      <c r="G625" s="1" t="s">
        <v>2571</v>
      </c>
    </row>
    <row x14ac:dyDescent="0.25" r="626" customHeight="1" ht="17.25" hidden="1">
      <c r="A626" s="112" t="s">
        <v>3618</v>
      </c>
      <c r="B626" s="1" t="s">
        <v>2549</v>
      </c>
      <c r="C626" s="1" t="s">
        <v>50</v>
      </c>
      <c r="D626" s="1" t="s">
        <v>3619</v>
      </c>
      <c r="E626" s="62">
        <v>24</v>
      </c>
      <c r="F626" s="1" t="s">
        <v>2551</v>
      </c>
      <c r="G626" s="1" t="s">
        <v>2552</v>
      </c>
    </row>
    <row x14ac:dyDescent="0.25" r="627" customHeight="1" ht="17.25" hidden="1">
      <c r="A627" s="112" t="s">
        <v>3620</v>
      </c>
      <c r="B627" s="1" t="s">
        <v>2549</v>
      </c>
      <c r="C627" s="1" t="s">
        <v>50</v>
      </c>
      <c r="D627" s="1" t="s">
        <v>3621</v>
      </c>
      <c r="E627" s="62">
        <v>38</v>
      </c>
      <c r="F627" s="1" t="s">
        <v>2551</v>
      </c>
      <c r="G627" s="1" t="s">
        <v>2555</v>
      </c>
    </row>
    <row x14ac:dyDescent="0.25" r="628" customHeight="1" ht="17.25" hidden="1">
      <c r="A628" s="112" t="s">
        <v>3622</v>
      </c>
      <c r="B628" s="1" t="s">
        <v>2549</v>
      </c>
      <c r="C628" s="1" t="s">
        <v>50</v>
      </c>
      <c r="D628" s="1" t="s">
        <v>3623</v>
      </c>
      <c r="E628" s="62">
        <v>25</v>
      </c>
      <c r="F628" s="1" t="s">
        <v>2551</v>
      </c>
      <c r="G628" s="1" t="s">
        <v>2552</v>
      </c>
    </row>
    <row x14ac:dyDescent="0.25" r="629" customHeight="1" ht="17.25" hidden="1">
      <c r="A629" s="112" t="s">
        <v>3624</v>
      </c>
      <c r="B629" s="1" t="s">
        <v>2549</v>
      </c>
      <c r="C629" s="1" t="s">
        <v>50</v>
      </c>
      <c r="D629" s="1" t="s">
        <v>3625</v>
      </c>
      <c r="E629" s="62">
        <v>21</v>
      </c>
      <c r="F629" s="1" t="s">
        <v>2551</v>
      </c>
      <c r="G629" s="1" t="s">
        <v>2555</v>
      </c>
    </row>
    <row x14ac:dyDescent="0.25" r="630" customHeight="1" ht="17.25" hidden="1">
      <c r="A630" s="112" t="s">
        <v>3624</v>
      </c>
      <c r="B630" s="1" t="s">
        <v>2549</v>
      </c>
      <c r="C630" s="1" t="s">
        <v>50</v>
      </c>
      <c r="D630" s="1" t="s">
        <v>3626</v>
      </c>
      <c r="E630" s="62">
        <v>23</v>
      </c>
      <c r="F630" s="1" t="s">
        <v>2551</v>
      </c>
      <c r="G630" s="1" t="s">
        <v>2555</v>
      </c>
    </row>
    <row x14ac:dyDescent="0.25" r="631" customHeight="1" ht="17.25" hidden="1">
      <c r="A631" s="112" t="s">
        <v>3627</v>
      </c>
      <c r="B631" s="1" t="s">
        <v>2549</v>
      </c>
      <c r="C631" s="1" t="s">
        <v>50</v>
      </c>
      <c r="D631" s="1" t="s">
        <v>3628</v>
      </c>
      <c r="E631" s="62">
        <v>27</v>
      </c>
      <c r="F631" s="1" t="s">
        <v>2551</v>
      </c>
      <c r="G631" s="1" t="s">
        <v>2555</v>
      </c>
    </row>
    <row x14ac:dyDescent="0.25" r="632" customHeight="1" ht="17.25" hidden="1">
      <c r="A632" s="112" t="s">
        <v>3629</v>
      </c>
      <c r="B632" s="1" t="s">
        <v>2549</v>
      </c>
      <c r="C632" s="1" t="s">
        <v>50</v>
      </c>
      <c r="D632" s="1" t="s">
        <v>3630</v>
      </c>
      <c r="E632" s="62">
        <v>20</v>
      </c>
      <c r="F632" s="1" t="s">
        <v>2551</v>
      </c>
      <c r="G632" s="1" t="s">
        <v>2552</v>
      </c>
    </row>
    <row x14ac:dyDescent="0.25" r="633" customHeight="1" ht="17.25" hidden="1">
      <c r="A633" s="112" t="s">
        <v>3631</v>
      </c>
      <c r="B633" s="1" t="s">
        <v>2549</v>
      </c>
      <c r="C633" s="1" t="s">
        <v>50</v>
      </c>
      <c r="D633" s="1" t="s">
        <v>3632</v>
      </c>
      <c r="E633" s="62">
        <v>44</v>
      </c>
      <c r="F633" s="1" t="s">
        <v>2551</v>
      </c>
      <c r="G633" s="1" t="s">
        <v>2552</v>
      </c>
    </row>
    <row x14ac:dyDescent="0.25" r="634" customHeight="1" ht="17.25" hidden="1">
      <c r="A634" s="112" t="s">
        <v>3633</v>
      </c>
      <c r="B634" s="1" t="s">
        <v>2549</v>
      </c>
      <c r="C634" s="1" t="s">
        <v>50</v>
      </c>
      <c r="D634" s="1" t="s">
        <v>3634</v>
      </c>
      <c r="E634" s="62">
        <v>33</v>
      </c>
      <c r="F634" s="1" t="s">
        <v>2551</v>
      </c>
      <c r="G634" s="1" t="s">
        <v>2555</v>
      </c>
    </row>
    <row x14ac:dyDescent="0.25" r="635" customHeight="1" ht="17.25" hidden="1">
      <c r="A635" s="112" t="s">
        <v>3635</v>
      </c>
      <c r="B635" s="1" t="s">
        <v>2549</v>
      </c>
      <c r="C635" s="1" t="s">
        <v>50</v>
      </c>
      <c r="D635" s="1" t="s">
        <v>3636</v>
      </c>
      <c r="E635" s="62">
        <v>35</v>
      </c>
      <c r="F635" s="1" t="s">
        <v>2551</v>
      </c>
      <c r="G635" s="1" t="s">
        <v>2558</v>
      </c>
    </row>
    <row x14ac:dyDescent="0.25" r="636" customHeight="1" ht="17.25" hidden="1">
      <c r="A636" s="112" t="s">
        <v>3637</v>
      </c>
      <c r="B636" s="1" t="s">
        <v>2549</v>
      </c>
      <c r="C636" s="1" t="s">
        <v>50</v>
      </c>
      <c r="D636" s="1" t="s">
        <v>3638</v>
      </c>
      <c r="E636" s="62">
        <v>38</v>
      </c>
      <c r="F636" s="1" t="s">
        <v>2551</v>
      </c>
      <c r="G636" s="1" t="s">
        <v>2552</v>
      </c>
    </row>
    <row x14ac:dyDescent="0.25" r="637" customHeight="1" ht="17.25" hidden="1">
      <c r="A637" s="112" t="s">
        <v>3639</v>
      </c>
      <c r="B637" s="1" t="s">
        <v>2549</v>
      </c>
      <c r="C637" s="1" t="s">
        <v>50</v>
      </c>
      <c r="D637" s="1" t="s">
        <v>3640</v>
      </c>
      <c r="E637" s="62">
        <v>26</v>
      </c>
      <c r="F637" s="1" t="s">
        <v>2551</v>
      </c>
      <c r="G637" s="1" t="s">
        <v>2555</v>
      </c>
    </row>
    <row x14ac:dyDescent="0.25" r="638" customHeight="1" ht="17.25" hidden="1">
      <c r="A638" s="112" t="s">
        <v>3641</v>
      </c>
      <c r="B638" s="1" t="s">
        <v>2549</v>
      </c>
      <c r="C638" s="1" t="s">
        <v>50</v>
      </c>
      <c r="D638" s="1" t="s">
        <v>3642</v>
      </c>
      <c r="E638" s="62">
        <v>18</v>
      </c>
      <c r="F638" s="1" t="s">
        <v>2551</v>
      </c>
      <c r="G638" s="1" t="s">
        <v>2552</v>
      </c>
    </row>
    <row x14ac:dyDescent="0.25" r="639" customHeight="1" ht="17.25" hidden="1">
      <c r="A639" s="112" t="s">
        <v>3643</v>
      </c>
      <c r="B639" s="1" t="s">
        <v>2549</v>
      </c>
      <c r="C639" s="1" t="s">
        <v>50</v>
      </c>
      <c r="D639" s="1" t="s">
        <v>3644</v>
      </c>
      <c r="E639" s="62">
        <v>53</v>
      </c>
      <c r="F639" s="1" t="s">
        <v>2551</v>
      </c>
      <c r="G639" s="1" t="s">
        <v>2552</v>
      </c>
    </row>
    <row x14ac:dyDescent="0.25" r="640" customHeight="1" ht="17.25" hidden="1">
      <c r="A640" s="112" t="s">
        <v>3645</v>
      </c>
      <c r="B640" s="1" t="s">
        <v>2549</v>
      </c>
      <c r="C640" s="1" t="s">
        <v>50</v>
      </c>
      <c r="D640" s="1" t="s">
        <v>3646</v>
      </c>
      <c r="E640" s="62">
        <v>22</v>
      </c>
      <c r="F640" s="1" t="s">
        <v>2551</v>
      </c>
      <c r="G640" s="1" t="s">
        <v>2552</v>
      </c>
    </row>
    <row x14ac:dyDescent="0.25" r="641" customHeight="1" ht="17.25" hidden="1">
      <c r="A641" s="112" t="s">
        <v>3647</v>
      </c>
      <c r="B641" s="1" t="s">
        <v>2549</v>
      </c>
      <c r="C641" s="1" t="s">
        <v>50</v>
      </c>
      <c r="D641" s="1" t="s">
        <v>3648</v>
      </c>
      <c r="E641" s="62">
        <v>38</v>
      </c>
      <c r="F641" s="1" t="s">
        <v>2551</v>
      </c>
      <c r="G641" s="1" t="s">
        <v>2555</v>
      </c>
    </row>
    <row x14ac:dyDescent="0.25" r="642" customHeight="1" ht="17.25" hidden="1">
      <c r="A642" s="112" t="s">
        <v>890</v>
      </c>
      <c r="B642" s="1" t="s">
        <v>2549</v>
      </c>
      <c r="C642" s="1" t="s">
        <v>50</v>
      </c>
      <c r="D642" s="1" t="s">
        <v>892</v>
      </c>
      <c r="E642" s="62">
        <v>22</v>
      </c>
      <c r="F642" s="1" t="s">
        <v>2551</v>
      </c>
      <c r="G642" s="1" t="s">
        <v>2552</v>
      </c>
    </row>
    <row x14ac:dyDescent="0.25" r="643" customHeight="1" ht="17.25" hidden="1">
      <c r="A643" s="112" t="s">
        <v>3649</v>
      </c>
      <c r="B643" s="1" t="s">
        <v>2549</v>
      </c>
      <c r="C643" s="1" t="s">
        <v>50</v>
      </c>
      <c r="D643" s="1" t="s">
        <v>3650</v>
      </c>
      <c r="E643" s="62">
        <v>42</v>
      </c>
      <c r="F643" s="1" t="s">
        <v>2551</v>
      </c>
      <c r="G643" s="1" t="s">
        <v>2555</v>
      </c>
    </row>
    <row x14ac:dyDescent="0.25" r="644" customHeight="1" ht="17.25" hidden="1">
      <c r="A644" s="112" t="s">
        <v>3651</v>
      </c>
      <c r="B644" s="1" t="s">
        <v>2549</v>
      </c>
      <c r="C644" s="1" t="s">
        <v>50</v>
      </c>
      <c r="D644" s="1" t="s">
        <v>3652</v>
      </c>
      <c r="E644" s="62">
        <v>26</v>
      </c>
      <c r="F644" s="1" t="s">
        <v>2551</v>
      </c>
      <c r="G644" s="1" t="s">
        <v>2555</v>
      </c>
    </row>
    <row x14ac:dyDescent="0.25" r="645" customHeight="1" ht="17.25" hidden="1">
      <c r="A645" s="112" t="s">
        <v>3653</v>
      </c>
      <c r="B645" s="1" t="s">
        <v>2549</v>
      </c>
      <c r="C645" s="1" t="s">
        <v>50</v>
      </c>
      <c r="D645" s="1" t="s">
        <v>3654</v>
      </c>
      <c r="E645" s="62">
        <v>18</v>
      </c>
      <c r="F645" s="1" t="s">
        <v>2551</v>
      </c>
      <c r="G645" s="1" t="s">
        <v>2552</v>
      </c>
    </row>
    <row x14ac:dyDescent="0.25" r="646" customHeight="1" ht="17.25" hidden="1">
      <c r="A646" s="112" t="s">
        <v>3655</v>
      </c>
      <c r="B646" s="1" t="s">
        <v>2549</v>
      </c>
      <c r="C646" s="1" t="s">
        <v>50</v>
      </c>
      <c r="D646" s="1" t="s">
        <v>3656</v>
      </c>
      <c r="E646" s="62">
        <v>37</v>
      </c>
      <c r="F646" s="1" t="s">
        <v>2551</v>
      </c>
      <c r="G646" s="1" t="s">
        <v>2555</v>
      </c>
    </row>
    <row x14ac:dyDescent="0.25" r="647" customHeight="1" ht="17.25" hidden="1">
      <c r="A647" s="112" t="s">
        <v>3657</v>
      </c>
      <c r="B647" s="1" t="s">
        <v>2549</v>
      </c>
      <c r="C647" s="1" t="s">
        <v>50</v>
      </c>
      <c r="D647" s="1" t="s">
        <v>3658</v>
      </c>
      <c r="E647" s="62">
        <v>20</v>
      </c>
      <c r="F647" s="1" t="s">
        <v>2561</v>
      </c>
      <c r="G647" s="1" t="s">
        <v>2555</v>
      </c>
    </row>
    <row x14ac:dyDescent="0.25" r="648" customHeight="1" ht="17.25" hidden="1">
      <c r="A648" s="112" t="s">
        <v>3659</v>
      </c>
      <c r="B648" s="1" t="s">
        <v>2549</v>
      </c>
      <c r="C648" s="1" t="s">
        <v>50</v>
      </c>
      <c r="D648" s="1" t="s">
        <v>3660</v>
      </c>
      <c r="E648" s="62">
        <v>20</v>
      </c>
      <c r="F648" s="1" t="s">
        <v>2561</v>
      </c>
      <c r="G648" s="1" t="s">
        <v>2558</v>
      </c>
    </row>
    <row x14ac:dyDescent="0.25" r="649" customHeight="1" ht="17.25" hidden="1">
      <c r="A649" s="112" t="s">
        <v>3661</v>
      </c>
      <c r="B649" s="1" t="s">
        <v>2549</v>
      </c>
      <c r="C649" s="1" t="s">
        <v>50</v>
      </c>
      <c r="D649" s="1" t="s">
        <v>3662</v>
      </c>
      <c r="E649" s="62">
        <v>18</v>
      </c>
      <c r="F649" s="1" t="s">
        <v>2551</v>
      </c>
      <c r="G649" s="1" t="s">
        <v>2555</v>
      </c>
    </row>
    <row x14ac:dyDescent="0.25" r="650" customHeight="1" ht="17.25" hidden="1">
      <c r="A650" s="112" t="s">
        <v>3663</v>
      </c>
      <c r="B650" s="1" t="s">
        <v>2549</v>
      </c>
      <c r="C650" s="1" t="s">
        <v>50</v>
      </c>
      <c r="D650" s="1" t="s">
        <v>3664</v>
      </c>
      <c r="E650" s="62">
        <v>19</v>
      </c>
      <c r="F650" s="1" t="s">
        <v>2551</v>
      </c>
      <c r="G650" s="1" t="s">
        <v>2552</v>
      </c>
    </row>
    <row x14ac:dyDescent="0.25" r="651" customHeight="1" ht="17.25" hidden="1">
      <c r="A651" s="112" t="s">
        <v>3663</v>
      </c>
      <c r="B651" s="1" t="s">
        <v>2549</v>
      </c>
      <c r="C651" s="1" t="s">
        <v>50</v>
      </c>
      <c r="D651" s="1" t="s">
        <v>3665</v>
      </c>
      <c r="E651" s="62">
        <v>23</v>
      </c>
      <c r="F651" s="1" t="s">
        <v>2551</v>
      </c>
      <c r="G651" s="1" t="s">
        <v>2555</v>
      </c>
    </row>
    <row x14ac:dyDescent="0.25" r="652" customHeight="1" ht="17.25" hidden="1">
      <c r="A652" s="112" t="s">
        <v>3663</v>
      </c>
      <c r="B652" s="1" t="s">
        <v>2549</v>
      </c>
      <c r="C652" s="1" t="s">
        <v>50</v>
      </c>
      <c r="D652" s="1" t="s">
        <v>3666</v>
      </c>
      <c r="E652" s="62">
        <v>28</v>
      </c>
      <c r="F652" s="1" t="s">
        <v>2551</v>
      </c>
      <c r="G652" s="1" t="s">
        <v>2552</v>
      </c>
    </row>
    <row x14ac:dyDescent="0.25" r="653" customHeight="1" ht="17.25" hidden="1">
      <c r="A653" s="112" t="s">
        <v>3667</v>
      </c>
      <c r="B653" s="1" t="s">
        <v>2549</v>
      </c>
      <c r="C653" s="1" t="s">
        <v>50</v>
      </c>
      <c r="D653" s="1" t="s">
        <v>3668</v>
      </c>
      <c r="E653" s="62">
        <v>24</v>
      </c>
      <c r="F653" s="1" t="s">
        <v>2551</v>
      </c>
      <c r="G653" s="1" t="s">
        <v>2552</v>
      </c>
    </row>
    <row x14ac:dyDescent="0.25" r="654" customHeight="1" ht="17.25" hidden="1">
      <c r="A654" s="112" t="s">
        <v>3669</v>
      </c>
      <c r="B654" s="1" t="s">
        <v>2549</v>
      </c>
      <c r="C654" s="1" t="s">
        <v>50</v>
      </c>
      <c r="D654" s="1" t="s">
        <v>3670</v>
      </c>
      <c r="E654" s="62">
        <v>18</v>
      </c>
      <c r="F654" s="1" t="s">
        <v>2551</v>
      </c>
      <c r="G654" s="1" t="s">
        <v>2555</v>
      </c>
    </row>
    <row x14ac:dyDescent="0.25" r="655" customHeight="1" ht="17.25" hidden="1">
      <c r="A655" s="112" t="s">
        <v>3671</v>
      </c>
      <c r="B655" s="1" t="s">
        <v>2549</v>
      </c>
      <c r="C655" s="1" t="s">
        <v>51</v>
      </c>
      <c r="D655" s="1" t="s">
        <v>3672</v>
      </c>
      <c r="E655" s="62">
        <v>19</v>
      </c>
      <c r="F655" s="1" t="s">
        <v>2551</v>
      </c>
      <c r="G655" s="1" t="s">
        <v>2552</v>
      </c>
    </row>
    <row x14ac:dyDescent="0.25" r="656" customHeight="1" ht="17.25" hidden="1">
      <c r="A656" s="112" t="s">
        <v>3671</v>
      </c>
      <c r="B656" s="1" t="s">
        <v>2549</v>
      </c>
      <c r="C656" s="1" t="s">
        <v>51</v>
      </c>
      <c r="D656" s="1" t="s">
        <v>3673</v>
      </c>
      <c r="E656" s="62">
        <v>21</v>
      </c>
      <c r="F656" s="1" t="s">
        <v>2551</v>
      </c>
      <c r="G656" s="1" t="s">
        <v>2552</v>
      </c>
    </row>
    <row x14ac:dyDescent="0.25" r="657" customHeight="1" ht="17.25" hidden="1">
      <c r="A657" s="112" t="s">
        <v>3674</v>
      </c>
      <c r="B657" s="1" t="s">
        <v>2549</v>
      </c>
      <c r="C657" s="1" t="s">
        <v>51</v>
      </c>
      <c r="D657" s="1" t="s">
        <v>3675</v>
      </c>
      <c r="E657" s="62">
        <v>21</v>
      </c>
      <c r="F657" s="1" t="s">
        <v>2551</v>
      </c>
      <c r="G657" s="1" t="s">
        <v>2558</v>
      </c>
    </row>
    <row x14ac:dyDescent="0.25" r="658" customHeight="1" ht="17.25" hidden="1">
      <c r="A658" s="112" t="s">
        <v>3674</v>
      </c>
      <c r="B658" s="1" t="s">
        <v>2549</v>
      </c>
      <c r="C658" s="1" t="s">
        <v>51</v>
      </c>
      <c r="D658" s="1" t="s">
        <v>3676</v>
      </c>
      <c r="E658" s="62">
        <v>22</v>
      </c>
      <c r="F658" s="1" t="s">
        <v>2551</v>
      </c>
      <c r="G658" s="1" t="s">
        <v>2552</v>
      </c>
    </row>
    <row x14ac:dyDescent="0.25" r="659" customHeight="1" ht="17.25" hidden="1">
      <c r="A659" s="112" t="s">
        <v>3677</v>
      </c>
      <c r="B659" s="1" t="s">
        <v>2549</v>
      </c>
      <c r="C659" s="1" t="s">
        <v>51</v>
      </c>
      <c r="D659" s="1" t="s">
        <v>3678</v>
      </c>
      <c r="E659" s="62">
        <v>23</v>
      </c>
      <c r="F659" s="1" t="s">
        <v>2551</v>
      </c>
      <c r="G659" s="1" t="s">
        <v>2552</v>
      </c>
    </row>
    <row x14ac:dyDescent="0.25" r="660" customHeight="1" ht="17.25" hidden="1">
      <c r="A660" s="112" t="s">
        <v>3679</v>
      </c>
      <c r="B660" s="1" t="s">
        <v>2549</v>
      </c>
      <c r="C660" s="1" t="s">
        <v>51</v>
      </c>
      <c r="D660" s="1" t="s">
        <v>3680</v>
      </c>
      <c r="E660" s="62">
        <v>26</v>
      </c>
      <c r="F660" s="1" t="s">
        <v>2561</v>
      </c>
      <c r="G660" s="1" t="s">
        <v>2552</v>
      </c>
    </row>
    <row x14ac:dyDescent="0.25" r="661" customHeight="1" ht="17.25" hidden="1">
      <c r="A661" s="112" t="s">
        <v>3681</v>
      </c>
      <c r="B661" s="1" t="s">
        <v>2549</v>
      </c>
      <c r="C661" s="1" t="s">
        <v>51</v>
      </c>
      <c r="D661" s="1" t="s">
        <v>3682</v>
      </c>
      <c r="E661" s="62">
        <v>29</v>
      </c>
      <c r="F661" s="1" t="s">
        <v>2551</v>
      </c>
      <c r="G661" s="1" t="s">
        <v>2555</v>
      </c>
    </row>
    <row x14ac:dyDescent="0.25" r="662" customHeight="1" ht="17.25" hidden="1">
      <c r="A662" s="112" t="s">
        <v>3683</v>
      </c>
      <c r="B662" s="1" t="s">
        <v>2549</v>
      </c>
      <c r="C662" s="1" t="s">
        <v>51</v>
      </c>
      <c r="D662" s="1" t="s">
        <v>3684</v>
      </c>
      <c r="E662" s="62">
        <v>21</v>
      </c>
      <c r="F662" s="1" t="s">
        <v>2551</v>
      </c>
      <c r="G662" s="1" t="s">
        <v>2558</v>
      </c>
    </row>
    <row x14ac:dyDescent="0.25" r="663" customHeight="1" ht="17.25" hidden="1">
      <c r="A663" s="112" t="s">
        <v>3685</v>
      </c>
      <c r="B663" s="1" t="s">
        <v>2549</v>
      </c>
      <c r="C663" s="1" t="s">
        <v>51</v>
      </c>
      <c r="D663" s="1" t="s">
        <v>3686</v>
      </c>
      <c r="E663" s="62">
        <v>34</v>
      </c>
      <c r="F663" s="1" t="s">
        <v>2551</v>
      </c>
      <c r="G663" s="1" t="s">
        <v>2558</v>
      </c>
    </row>
    <row x14ac:dyDescent="0.25" r="664" customHeight="1" ht="17.25" hidden="1">
      <c r="A664" s="112" t="s">
        <v>3685</v>
      </c>
      <c r="B664" s="1" t="s">
        <v>2549</v>
      </c>
      <c r="C664" s="1" t="s">
        <v>51</v>
      </c>
      <c r="D664" s="1" t="s">
        <v>3687</v>
      </c>
      <c r="E664" s="62">
        <v>26</v>
      </c>
      <c r="F664" s="1" t="s">
        <v>2551</v>
      </c>
      <c r="G664" s="1" t="s">
        <v>2558</v>
      </c>
    </row>
    <row x14ac:dyDescent="0.25" r="665" customHeight="1" ht="17.25" hidden="1">
      <c r="A665" s="112" t="s">
        <v>2143</v>
      </c>
      <c r="B665" s="1" t="s">
        <v>2549</v>
      </c>
      <c r="C665" s="1" t="s">
        <v>51</v>
      </c>
      <c r="D665" s="1" t="s">
        <v>2144</v>
      </c>
      <c r="E665" s="62">
        <v>24</v>
      </c>
      <c r="F665" s="1" t="s">
        <v>2551</v>
      </c>
      <c r="G665" s="1" t="s">
        <v>2552</v>
      </c>
    </row>
    <row x14ac:dyDescent="0.25" r="666" customHeight="1" ht="17.25" hidden="1">
      <c r="A666" s="112" t="s">
        <v>3688</v>
      </c>
      <c r="B666" s="1" t="s">
        <v>2549</v>
      </c>
      <c r="C666" s="1" t="s">
        <v>51</v>
      </c>
      <c r="D666" s="1" t="s">
        <v>3689</v>
      </c>
      <c r="E666" s="62">
        <v>22</v>
      </c>
      <c r="F666" s="1" t="s">
        <v>2551</v>
      </c>
      <c r="G666" s="1" t="s">
        <v>2552</v>
      </c>
    </row>
    <row x14ac:dyDescent="0.25" r="667" customHeight="1" ht="17.25" hidden="1">
      <c r="A667" s="112" t="s">
        <v>3690</v>
      </c>
      <c r="B667" s="1" t="s">
        <v>2549</v>
      </c>
      <c r="C667" s="1" t="s">
        <v>51</v>
      </c>
      <c r="D667" s="1" t="s">
        <v>3691</v>
      </c>
      <c r="E667" s="62">
        <v>22</v>
      </c>
      <c r="F667" s="1" t="s">
        <v>2551</v>
      </c>
      <c r="G667" s="1" t="s">
        <v>2552</v>
      </c>
    </row>
    <row x14ac:dyDescent="0.25" r="668" customHeight="1" ht="17.25" hidden="1">
      <c r="A668" s="112" t="s">
        <v>3690</v>
      </c>
      <c r="B668" s="1" t="s">
        <v>2549</v>
      </c>
      <c r="C668" s="1" t="s">
        <v>51</v>
      </c>
      <c r="D668" s="1" t="s">
        <v>3692</v>
      </c>
      <c r="E668" s="62">
        <v>23</v>
      </c>
      <c r="F668" s="1" t="s">
        <v>2551</v>
      </c>
      <c r="G668" s="1" t="s">
        <v>2552</v>
      </c>
    </row>
    <row x14ac:dyDescent="0.25" r="669" customHeight="1" ht="17.25" hidden="1">
      <c r="A669" s="112" t="s">
        <v>3693</v>
      </c>
      <c r="B669" s="1" t="s">
        <v>2549</v>
      </c>
      <c r="C669" s="1" t="s">
        <v>51</v>
      </c>
      <c r="D669" s="1" t="s">
        <v>3694</v>
      </c>
      <c r="E669" s="62">
        <v>28</v>
      </c>
      <c r="F669" s="1" t="s">
        <v>2551</v>
      </c>
      <c r="G669" s="1" t="s">
        <v>2552</v>
      </c>
    </row>
    <row x14ac:dyDescent="0.25" r="670" customHeight="1" ht="17.25" hidden="1">
      <c r="A670" s="112" t="s">
        <v>3695</v>
      </c>
      <c r="B670" s="1" t="s">
        <v>2549</v>
      </c>
      <c r="C670" s="1" t="s">
        <v>51</v>
      </c>
      <c r="D670" s="1" t="s">
        <v>3696</v>
      </c>
      <c r="E670" s="62">
        <v>21</v>
      </c>
      <c r="F670" s="1" t="s">
        <v>2551</v>
      </c>
      <c r="G670" s="1" t="s">
        <v>2552</v>
      </c>
    </row>
    <row x14ac:dyDescent="0.25" r="671" customHeight="1" ht="17.25" hidden="1">
      <c r="A671" s="112" t="s">
        <v>3697</v>
      </c>
      <c r="B671" s="1" t="s">
        <v>2549</v>
      </c>
      <c r="C671" s="1" t="s">
        <v>51</v>
      </c>
      <c r="D671" s="1" t="s">
        <v>3698</v>
      </c>
      <c r="E671" s="62">
        <v>20</v>
      </c>
      <c r="F671" s="1" t="s">
        <v>2561</v>
      </c>
      <c r="G671" s="1" t="s">
        <v>2555</v>
      </c>
    </row>
    <row x14ac:dyDescent="0.25" r="672" customHeight="1" ht="17.25" hidden="1">
      <c r="A672" s="112" t="s">
        <v>3697</v>
      </c>
      <c r="B672" s="1" t="s">
        <v>2549</v>
      </c>
      <c r="C672" s="1" t="s">
        <v>51</v>
      </c>
      <c r="D672" s="1" t="s">
        <v>3699</v>
      </c>
      <c r="E672" s="62">
        <v>37</v>
      </c>
      <c r="F672" s="1" t="s">
        <v>2551</v>
      </c>
      <c r="G672" s="1" t="s">
        <v>2555</v>
      </c>
    </row>
    <row x14ac:dyDescent="0.25" r="673" customHeight="1" ht="17.25" hidden="1">
      <c r="A673" s="112" t="s">
        <v>3700</v>
      </c>
      <c r="B673" s="1" t="s">
        <v>2549</v>
      </c>
      <c r="C673" s="1" t="s">
        <v>51</v>
      </c>
      <c r="D673" s="1" t="s">
        <v>3701</v>
      </c>
      <c r="E673" s="62">
        <v>30</v>
      </c>
      <c r="F673" s="1" t="s">
        <v>2551</v>
      </c>
      <c r="G673" s="1" t="s">
        <v>2558</v>
      </c>
    </row>
    <row x14ac:dyDescent="0.25" r="674" customHeight="1" ht="17.25" hidden="1">
      <c r="A674" s="112" t="s">
        <v>3702</v>
      </c>
      <c r="B674" s="1" t="s">
        <v>2549</v>
      </c>
      <c r="C674" s="1" t="s">
        <v>51</v>
      </c>
      <c r="D674" s="1" t="s">
        <v>3703</v>
      </c>
      <c r="E674" s="62">
        <v>24</v>
      </c>
      <c r="F674" s="1" t="s">
        <v>2551</v>
      </c>
      <c r="G674" s="1" t="s">
        <v>2552</v>
      </c>
    </row>
    <row x14ac:dyDescent="0.25" r="675" customHeight="1" ht="17.25" hidden="1">
      <c r="A675" s="112" t="s">
        <v>1866</v>
      </c>
      <c r="B675" s="1" t="s">
        <v>2549</v>
      </c>
      <c r="C675" s="1" t="s">
        <v>51</v>
      </c>
      <c r="D675" s="1" t="s">
        <v>1867</v>
      </c>
      <c r="E675" s="62">
        <v>26</v>
      </c>
      <c r="F675" s="1" t="s">
        <v>2551</v>
      </c>
      <c r="G675" s="1" t="s">
        <v>2558</v>
      </c>
    </row>
    <row x14ac:dyDescent="0.25" r="676" customHeight="1" ht="17.25" hidden="1">
      <c r="A676" s="112" t="s">
        <v>3704</v>
      </c>
      <c r="B676" s="1" t="s">
        <v>2549</v>
      </c>
      <c r="C676" s="1" t="s">
        <v>51</v>
      </c>
      <c r="D676" s="1" t="s">
        <v>3705</v>
      </c>
      <c r="E676" s="62">
        <v>18</v>
      </c>
      <c r="F676" s="1" t="s">
        <v>2551</v>
      </c>
      <c r="G676" s="1" t="s">
        <v>2555</v>
      </c>
    </row>
    <row x14ac:dyDescent="0.25" r="677" customHeight="1" ht="17.25" hidden="1">
      <c r="A677" s="112" t="s">
        <v>3706</v>
      </c>
      <c r="B677" s="1" t="s">
        <v>2549</v>
      </c>
      <c r="C677" s="1" t="s">
        <v>51</v>
      </c>
      <c r="D677" s="1" t="s">
        <v>3707</v>
      </c>
      <c r="E677" s="62">
        <v>18</v>
      </c>
      <c r="F677" s="1" t="s">
        <v>2551</v>
      </c>
      <c r="G677" s="1" t="s">
        <v>2552</v>
      </c>
    </row>
    <row x14ac:dyDescent="0.25" r="678" customHeight="1" ht="17.25" hidden="1">
      <c r="A678" s="112" t="s">
        <v>2197</v>
      </c>
      <c r="B678" s="1" t="s">
        <v>2549</v>
      </c>
      <c r="C678" s="1" t="s">
        <v>51</v>
      </c>
      <c r="D678" s="1" t="s">
        <v>2199</v>
      </c>
      <c r="E678" s="62">
        <v>35</v>
      </c>
      <c r="F678" s="1" t="s">
        <v>2551</v>
      </c>
      <c r="G678" s="1" t="s">
        <v>2552</v>
      </c>
    </row>
    <row x14ac:dyDescent="0.25" r="679" customHeight="1" ht="17.25" hidden="1">
      <c r="A679" s="112" t="s">
        <v>3708</v>
      </c>
      <c r="B679" s="1" t="s">
        <v>2549</v>
      </c>
      <c r="C679" s="1" t="s">
        <v>51</v>
      </c>
      <c r="D679" s="1" t="s">
        <v>3709</v>
      </c>
      <c r="E679" s="62">
        <v>18</v>
      </c>
      <c r="F679" s="1" t="s">
        <v>2551</v>
      </c>
      <c r="G679" s="1" t="s">
        <v>2555</v>
      </c>
    </row>
    <row x14ac:dyDescent="0.25" r="680" customHeight="1" ht="17.25" hidden="1">
      <c r="A680" s="112" t="s">
        <v>3710</v>
      </c>
      <c r="B680" s="1" t="s">
        <v>2549</v>
      </c>
      <c r="C680" s="1" t="s">
        <v>51</v>
      </c>
      <c r="D680" s="1" t="s">
        <v>3711</v>
      </c>
      <c r="E680" s="62">
        <v>27</v>
      </c>
      <c r="F680" s="1" t="s">
        <v>2551</v>
      </c>
      <c r="G680" s="1" t="s">
        <v>2552</v>
      </c>
    </row>
    <row x14ac:dyDescent="0.25" r="681" customHeight="1" ht="17.25" hidden="1">
      <c r="A681" s="112" t="s">
        <v>3712</v>
      </c>
      <c r="B681" s="1" t="s">
        <v>2549</v>
      </c>
      <c r="C681" s="1" t="s">
        <v>51</v>
      </c>
      <c r="D681" s="1" t="s">
        <v>3713</v>
      </c>
      <c r="E681" s="62">
        <v>28</v>
      </c>
      <c r="F681" s="1" t="s">
        <v>2551</v>
      </c>
      <c r="G681" s="1" t="s">
        <v>2555</v>
      </c>
    </row>
    <row x14ac:dyDescent="0.25" r="682" customHeight="1" ht="17.25" hidden="1">
      <c r="A682" s="112" t="s">
        <v>3712</v>
      </c>
      <c r="B682" s="1" t="s">
        <v>2549</v>
      </c>
      <c r="C682" s="1" t="s">
        <v>51</v>
      </c>
      <c r="D682" s="1" t="s">
        <v>3714</v>
      </c>
      <c r="E682" s="62">
        <v>33</v>
      </c>
      <c r="F682" s="1" t="s">
        <v>2551</v>
      </c>
      <c r="G682" s="1" t="s">
        <v>2555</v>
      </c>
    </row>
    <row x14ac:dyDescent="0.25" r="683" customHeight="1" ht="17.25" hidden="1">
      <c r="A683" s="112" t="s">
        <v>3715</v>
      </c>
      <c r="B683" s="1" t="s">
        <v>2549</v>
      </c>
      <c r="C683" s="1" t="s">
        <v>51</v>
      </c>
      <c r="D683" s="1" t="s">
        <v>3716</v>
      </c>
      <c r="E683" s="62">
        <v>20</v>
      </c>
      <c r="F683" s="1" t="s">
        <v>2551</v>
      </c>
      <c r="G683" s="1" t="s">
        <v>2552</v>
      </c>
    </row>
    <row x14ac:dyDescent="0.25" r="684" customHeight="1" ht="17.25" hidden="1">
      <c r="A684" s="112" t="s">
        <v>3717</v>
      </c>
      <c r="B684" s="1" t="s">
        <v>2549</v>
      </c>
      <c r="C684" s="1" t="s">
        <v>51</v>
      </c>
      <c r="D684" s="1" t="s">
        <v>3718</v>
      </c>
      <c r="E684" s="62">
        <v>20</v>
      </c>
      <c r="F684" s="1" t="s">
        <v>2551</v>
      </c>
      <c r="G684" s="1" t="s">
        <v>2558</v>
      </c>
    </row>
    <row x14ac:dyDescent="0.25" r="685" customHeight="1" ht="17.25" hidden="1">
      <c r="A685" s="112" t="s">
        <v>3719</v>
      </c>
      <c r="B685" s="1" t="s">
        <v>2549</v>
      </c>
      <c r="C685" s="1" t="s">
        <v>51</v>
      </c>
      <c r="D685" s="1" t="s">
        <v>3720</v>
      </c>
      <c r="E685" s="62">
        <v>19</v>
      </c>
      <c r="F685" s="1" t="s">
        <v>2551</v>
      </c>
      <c r="G685" s="1" t="s">
        <v>2552</v>
      </c>
    </row>
    <row x14ac:dyDescent="0.25" r="686" customHeight="1" ht="17.25" hidden="1">
      <c r="A686" s="112" t="s">
        <v>3721</v>
      </c>
      <c r="B686" s="1" t="s">
        <v>2549</v>
      </c>
      <c r="C686" s="1" t="s">
        <v>51</v>
      </c>
      <c r="D686" s="1" t="s">
        <v>3722</v>
      </c>
      <c r="E686" s="62">
        <v>44</v>
      </c>
      <c r="F686" s="1" t="s">
        <v>2551</v>
      </c>
      <c r="G686" s="1" t="s">
        <v>2552</v>
      </c>
    </row>
    <row x14ac:dyDescent="0.25" r="687" customHeight="1" ht="17.25" hidden="1">
      <c r="A687" s="112" t="s">
        <v>3723</v>
      </c>
      <c r="B687" s="1" t="s">
        <v>2549</v>
      </c>
      <c r="C687" s="1" t="s">
        <v>51</v>
      </c>
      <c r="D687" s="1" t="s">
        <v>3724</v>
      </c>
      <c r="E687" s="62">
        <v>20</v>
      </c>
      <c r="F687" s="1" t="s">
        <v>2551</v>
      </c>
      <c r="G687" s="1" t="s">
        <v>2552</v>
      </c>
    </row>
    <row x14ac:dyDescent="0.25" r="688" customHeight="1" ht="17.25" hidden="1">
      <c r="A688" s="112" t="s">
        <v>3725</v>
      </c>
      <c r="B688" s="1" t="s">
        <v>2549</v>
      </c>
      <c r="C688" s="1" t="s">
        <v>51</v>
      </c>
      <c r="D688" s="1" t="s">
        <v>3726</v>
      </c>
      <c r="E688" s="62">
        <v>39</v>
      </c>
      <c r="F688" s="1" t="s">
        <v>2551</v>
      </c>
      <c r="G688" s="1" t="s">
        <v>2555</v>
      </c>
    </row>
    <row x14ac:dyDescent="0.25" r="689" customHeight="1" ht="17.25" hidden="1">
      <c r="A689" s="112" t="s">
        <v>3727</v>
      </c>
      <c r="B689" s="1" t="s">
        <v>2549</v>
      </c>
      <c r="C689" s="1" t="s">
        <v>51</v>
      </c>
      <c r="D689" s="1" t="s">
        <v>3728</v>
      </c>
      <c r="E689" s="62">
        <v>19</v>
      </c>
      <c r="F689" s="1" t="s">
        <v>2551</v>
      </c>
      <c r="G689" s="1" t="s">
        <v>2552</v>
      </c>
    </row>
    <row x14ac:dyDescent="0.25" r="690" customHeight="1" ht="17.25" hidden="1">
      <c r="A690" s="112" t="s">
        <v>556</v>
      </c>
      <c r="B690" s="1" t="s">
        <v>2549</v>
      </c>
      <c r="C690" s="1" t="s">
        <v>51</v>
      </c>
      <c r="D690" s="1" t="s">
        <v>563</v>
      </c>
      <c r="E690" s="62">
        <v>27</v>
      </c>
      <c r="F690" s="1" t="s">
        <v>2551</v>
      </c>
      <c r="G690" s="1" t="s">
        <v>2555</v>
      </c>
    </row>
    <row x14ac:dyDescent="0.25" r="691" customHeight="1" ht="17.25" hidden="1">
      <c r="A691" s="112" t="s">
        <v>556</v>
      </c>
      <c r="B691" s="1" t="s">
        <v>2549</v>
      </c>
      <c r="C691" s="1" t="s">
        <v>51</v>
      </c>
      <c r="D691" s="1" t="s">
        <v>3729</v>
      </c>
      <c r="E691" s="62">
        <v>24</v>
      </c>
      <c r="F691" s="1" t="s">
        <v>2551</v>
      </c>
      <c r="G691" s="1" t="s">
        <v>2555</v>
      </c>
    </row>
    <row x14ac:dyDescent="0.25" r="692" customHeight="1" ht="17.25" hidden="1">
      <c r="A692" s="112" t="s">
        <v>3730</v>
      </c>
      <c r="B692" s="1" t="s">
        <v>2549</v>
      </c>
      <c r="C692" s="1" t="s">
        <v>51</v>
      </c>
      <c r="D692" s="1" t="s">
        <v>3731</v>
      </c>
      <c r="E692" s="62">
        <v>20</v>
      </c>
      <c r="F692" s="1" t="s">
        <v>2551</v>
      </c>
      <c r="G692" s="1" t="s">
        <v>2555</v>
      </c>
    </row>
    <row x14ac:dyDescent="0.25" r="693" customHeight="1" ht="17.25" hidden="1">
      <c r="A693" s="112" t="s">
        <v>3732</v>
      </c>
      <c r="B693" s="1" t="s">
        <v>2549</v>
      </c>
      <c r="C693" s="1" t="s">
        <v>51</v>
      </c>
      <c r="D693" s="1" t="s">
        <v>3733</v>
      </c>
      <c r="E693" s="62">
        <v>32</v>
      </c>
      <c r="F693" s="1" t="s">
        <v>2551</v>
      </c>
      <c r="G693" s="1" t="s">
        <v>2555</v>
      </c>
    </row>
    <row x14ac:dyDescent="0.25" r="694" customHeight="1" ht="17.25" hidden="1">
      <c r="A694" s="112" t="s">
        <v>3734</v>
      </c>
      <c r="B694" s="1" t="s">
        <v>2549</v>
      </c>
      <c r="C694" s="1" t="s">
        <v>51</v>
      </c>
      <c r="D694" s="1" t="s">
        <v>3735</v>
      </c>
      <c r="E694" s="62">
        <v>35</v>
      </c>
      <c r="F694" s="1" t="s">
        <v>2561</v>
      </c>
      <c r="G694" s="1" t="s">
        <v>2555</v>
      </c>
    </row>
    <row x14ac:dyDescent="0.25" r="695" customHeight="1" ht="17.25" hidden="1">
      <c r="A695" s="112" t="s">
        <v>3734</v>
      </c>
      <c r="B695" s="1" t="s">
        <v>2549</v>
      </c>
      <c r="C695" s="1" t="s">
        <v>51</v>
      </c>
      <c r="D695" s="1" t="s">
        <v>3736</v>
      </c>
      <c r="E695" s="62">
        <v>24</v>
      </c>
      <c r="F695" s="1" t="s">
        <v>2551</v>
      </c>
      <c r="G695" s="1" t="s">
        <v>2555</v>
      </c>
    </row>
    <row x14ac:dyDescent="0.25" r="696" customHeight="1" ht="17.25" hidden="1">
      <c r="A696" s="112" t="s">
        <v>3737</v>
      </c>
      <c r="B696" s="1" t="s">
        <v>2549</v>
      </c>
      <c r="C696" s="1" t="s">
        <v>51</v>
      </c>
      <c r="D696" s="1" t="s">
        <v>3738</v>
      </c>
      <c r="E696" s="62">
        <v>24</v>
      </c>
      <c r="F696" s="1" t="s">
        <v>2551</v>
      </c>
      <c r="G696" s="1" t="s">
        <v>2552</v>
      </c>
    </row>
    <row x14ac:dyDescent="0.25" r="697" customHeight="1" ht="17.25" hidden="1">
      <c r="A697" s="112" t="s">
        <v>2190</v>
      </c>
      <c r="B697" s="1" t="s">
        <v>2549</v>
      </c>
      <c r="C697" s="1" t="s">
        <v>51</v>
      </c>
      <c r="D697" s="1" t="s">
        <v>3739</v>
      </c>
      <c r="E697" s="62">
        <v>31</v>
      </c>
      <c r="F697" s="1" t="s">
        <v>2551</v>
      </c>
      <c r="G697" s="1" t="s">
        <v>2552</v>
      </c>
    </row>
    <row x14ac:dyDescent="0.25" r="698" customHeight="1" ht="17.25" hidden="1">
      <c r="A698" s="112" t="s">
        <v>3740</v>
      </c>
      <c r="B698" s="1" t="s">
        <v>2549</v>
      </c>
      <c r="C698" s="1" t="s">
        <v>51</v>
      </c>
      <c r="D698" s="1" t="s">
        <v>3741</v>
      </c>
      <c r="E698" s="62">
        <v>27</v>
      </c>
      <c r="F698" s="1" t="s">
        <v>2561</v>
      </c>
      <c r="G698" s="1" t="s">
        <v>2555</v>
      </c>
    </row>
    <row x14ac:dyDescent="0.25" r="699" customHeight="1" ht="17.25" hidden="1">
      <c r="A699" s="112" t="s">
        <v>3740</v>
      </c>
      <c r="B699" s="1" t="s">
        <v>2549</v>
      </c>
      <c r="C699" s="1" t="s">
        <v>51</v>
      </c>
      <c r="D699" s="1" t="s">
        <v>3742</v>
      </c>
      <c r="E699" s="62">
        <v>29</v>
      </c>
      <c r="F699" s="1" t="s">
        <v>2561</v>
      </c>
      <c r="G699" s="1" t="s">
        <v>2552</v>
      </c>
    </row>
    <row x14ac:dyDescent="0.25" r="700" customHeight="1" ht="17.25" hidden="1">
      <c r="A700" s="112" t="s">
        <v>3743</v>
      </c>
      <c r="B700" s="1" t="s">
        <v>2549</v>
      </c>
      <c r="C700" s="1" t="s">
        <v>51</v>
      </c>
      <c r="D700" s="1" t="s">
        <v>3744</v>
      </c>
      <c r="E700" s="62">
        <v>29</v>
      </c>
      <c r="F700" s="1" t="s">
        <v>2551</v>
      </c>
      <c r="G700" s="1" t="s">
        <v>2555</v>
      </c>
    </row>
    <row x14ac:dyDescent="0.25" r="701" customHeight="1" ht="17.25" hidden="1">
      <c r="A701" s="112" t="s">
        <v>3745</v>
      </c>
      <c r="B701" s="1" t="s">
        <v>2549</v>
      </c>
      <c r="C701" s="1" t="s">
        <v>51</v>
      </c>
      <c r="D701" s="1" t="s">
        <v>3746</v>
      </c>
      <c r="E701" s="62">
        <v>29</v>
      </c>
      <c r="F701" s="1" t="s">
        <v>2551</v>
      </c>
      <c r="G701" s="1" t="s">
        <v>2558</v>
      </c>
    </row>
    <row x14ac:dyDescent="0.25" r="702" customHeight="1" ht="17.25" hidden="1">
      <c r="A702" s="112" t="s">
        <v>3747</v>
      </c>
      <c r="B702" s="1" t="s">
        <v>2549</v>
      </c>
      <c r="C702" s="1" t="s">
        <v>51</v>
      </c>
      <c r="D702" s="1" t="s">
        <v>3748</v>
      </c>
      <c r="E702" s="62">
        <v>21</v>
      </c>
      <c r="F702" s="1" t="s">
        <v>2551</v>
      </c>
      <c r="G702" s="1" t="s">
        <v>2552</v>
      </c>
    </row>
    <row x14ac:dyDescent="0.25" r="703" customHeight="1" ht="17.25" hidden="1">
      <c r="A703" s="112" t="s">
        <v>3749</v>
      </c>
      <c r="B703" s="1" t="s">
        <v>2549</v>
      </c>
      <c r="C703" s="1" t="s">
        <v>51</v>
      </c>
      <c r="D703" s="1" t="s">
        <v>3750</v>
      </c>
      <c r="E703" s="62">
        <v>22</v>
      </c>
      <c r="F703" s="1" t="s">
        <v>2551</v>
      </c>
      <c r="G703" s="1" t="s">
        <v>2558</v>
      </c>
    </row>
    <row x14ac:dyDescent="0.25" r="704" customHeight="1" ht="17.25" hidden="1">
      <c r="A704" s="112" t="s">
        <v>3749</v>
      </c>
      <c r="B704" s="1" t="s">
        <v>2549</v>
      </c>
      <c r="C704" s="1" t="s">
        <v>51</v>
      </c>
      <c r="D704" s="1" t="s">
        <v>3751</v>
      </c>
      <c r="E704" s="62">
        <v>22</v>
      </c>
      <c r="F704" s="1" t="s">
        <v>2561</v>
      </c>
      <c r="G704" s="1" t="s">
        <v>2558</v>
      </c>
    </row>
    <row x14ac:dyDescent="0.25" r="705" customHeight="1" ht="17.25" hidden="1">
      <c r="A705" s="112" t="s">
        <v>3752</v>
      </c>
      <c r="B705" s="1" t="s">
        <v>2549</v>
      </c>
      <c r="C705" s="1" t="s">
        <v>51</v>
      </c>
      <c r="D705" s="1" t="s">
        <v>3753</v>
      </c>
      <c r="E705" s="62">
        <v>48</v>
      </c>
      <c r="F705" s="1" t="s">
        <v>2551</v>
      </c>
      <c r="G705" s="1" t="s">
        <v>2555</v>
      </c>
    </row>
    <row x14ac:dyDescent="0.25" r="706" customHeight="1" ht="17.25" hidden="1">
      <c r="A706" s="112" t="s">
        <v>2222</v>
      </c>
      <c r="B706" s="1" t="s">
        <v>2549</v>
      </c>
      <c r="C706" s="1" t="s">
        <v>51</v>
      </c>
      <c r="D706" s="1" t="s">
        <v>2223</v>
      </c>
      <c r="E706" s="62">
        <v>27</v>
      </c>
      <c r="F706" s="1" t="s">
        <v>2551</v>
      </c>
      <c r="G706" s="1" t="s">
        <v>2552</v>
      </c>
    </row>
    <row x14ac:dyDescent="0.25" r="707" customHeight="1" ht="17.25" hidden="1">
      <c r="A707" s="112" t="s">
        <v>3754</v>
      </c>
      <c r="B707" s="1" t="s">
        <v>2549</v>
      </c>
      <c r="C707" s="1" t="s">
        <v>51</v>
      </c>
      <c r="D707" s="1" t="s">
        <v>3755</v>
      </c>
      <c r="E707" s="62">
        <v>22</v>
      </c>
      <c r="F707" s="1" t="s">
        <v>2551</v>
      </c>
      <c r="G707" s="1" t="s">
        <v>2552</v>
      </c>
    </row>
    <row x14ac:dyDescent="0.25" r="708" customHeight="1" ht="17.25" hidden="1">
      <c r="A708" s="112" t="s">
        <v>3756</v>
      </c>
      <c r="B708" s="1" t="s">
        <v>2549</v>
      </c>
      <c r="C708" s="1" t="s">
        <v>51</v>
      </c>
      <c r="D708" s="1" t="s">
        <v>3757</v>
      </c>
      <c r="E708" s="62">
        <v>19</v>
      </c>
      <c r="F708" s="1" t="s">
        <v>2551</v>
      </c>
      <c r="G708" s="1" t="s">
        <v>2552</v>
      </c>
    </row>
    <row x14ac:dyDescent="0.25" r="709" customHeight="1" ht="17.25" hidden="1">
      <c r="A709" s="112" t="s">
        <v>3758</v>
      </c>
      <c r="B709" s="1" t="s">
        <v>2549</v>
      </c>
      <c r="C709" s="1" t="s">
        <v>51</v>
      </c>
      <c r="D709" s="1" t="s">
        <v>3759</v>
      </c>
      <c r="E709" s="62">
        <v>19</v>
      </c>
      <c r="F709" s="1" t="s">
        <v>2551</v>
      </c>
      <c r="G709" s="1" t="s">
        <v>2552</v>
      </c>
    </row>
    <row x14ac:dyDescent="0.25" r="710" customHeight="1" ht="17.25" hidden="1">
      <c r="A710" s="112" t="s">
        <v>3758</v>
      </c>
      <c r="B710" s="1" t="s">
        <v>2549</v>
      </c>
      <c r="C710" s="1" t="s">
        <v>51</v>
      </c>
      <c r="D710" s="1" t="s">
        <v>3760</v>
      </c>
      <c r="E710" s="62">
        <v>22</v>
      </c>
      <c r="F710" s="1" t="s">
        <v>2551</v>
      </c>
      <c r="G710" s="1" t="s">
        <v>2552</v>
      </c>
    </row>
    <row x14ac:dyDescent="0.25" r="711" customHeight="1" ht="17.25" hidden="1">
      <c r="A711" s="112" t="s">
        <v>3761</v>
      </c>
      <c r="B711" s="1" t="s">
        <v>2549</v>
      </c>
      <c r="C711" s="1" t="s">
        <v>51</v>
      </c>
      <c r="D711" s="1" t="s">
        <v>3762</v>
      </c>
      <c r="E711" s="62">
        <v>23</v>
      </c>
      <c r="F711" s="1" t="s">
        <v>2551</v>
      </c>
      <c r="G711" s="1" t="s">
        <v>2555</v>
      </c>
    </row>
    <row x14ac:dyDescent="0.25" r="712" customHeight="1" ht="17.25" hidden="1">
      <c r="A712" s="112" t="s">
        <v>3763</v>
      </c>
      <c r="B712" s="1" t="s">
        <v>2549</v>
      </c>
      <c r="C712" s="1" t="s">
        <v>51</v>
      </c>
      <c r="D712" s="1" t="s">
        <v>3764</v>
      </c>
      <c r="E712" s="62">
        <v>23</v>
      </c>
      <c r="F712" s="1" t="s">
        <v>2551</v>
      </c>
      <c r="G712" s="1" t="s">
        <v>2555</v>
      </c>
    </row>
    <row x14ac:dyDescent="0.25" r="713" customHeight="1" ht="17.25" hidden="1">
      <c r="A713" s="112" t="s">
        <v>3765</v>
      </c>
      <c r="B713" s="1" t="s">
        <v>2549</v>
      </c>
      <c r="C713" s="1" t="s">
        <v>51</v>
      </c>
      <c r="D713" s="1" t="s">
        <v>3766</v>
      </c>
      <c r="E713" s="62">
        <v>32</v>
      </c>
      <c r="F713" s="1" t="s">
        <v>2551</v>
      </c>
      <c r="G713" s="1" t="s">
        <v>2552</v>
      </c>
    </row>
    <row x14ac:dyDescent="0.25" r="714" customHeight="1" ht="17.25" hidden="1">
      <c r="A714" s="112" t="s">
        <v>3767</v>
      </c>
      <c r="B714" s="1" t="s">
        <v>2549</v>
      </c>
      <c r="C714" s="1" t="s">
        <v>51</v>
      </c>
      <c r="D714" s="1" t="s">
        <v>3768</v>
      </c>
      <c r="E714" s="62">
        <v>18</v>
      </c>
      <c r="F714" s="1" t="s">
        <v>2561</v>
      </c>
      <c r="G714" s="1" t="s">
        <v>2555</v>
      </c>
    </row>
    <row x14ac:dyDescent="0.25" r="715" customHeight="1" ht="17.25" hidden="1">
      <c r="A715" s="112" t="s">
        <v>3769</v>
      </c>
      <c r="B715" s="1" t="s">
        <v>2549</v>
      </c>
      <c r="C715" s="1" t="s">
        <v>51</v>
      </c>
      <c r="D715" s="1" t="s">
        <v>3770</v>
      </c>
      <c r="E715" s="62">
        <v>23</v>
      </c>
      <c r="F715" s="1" t="s">
        <v>2551</v>
      </c>
      <c r="G715" s="1" t="s">
        <v>2552</v>
      </c>
    </row>
    <row x14ac:dyDescent="0.25" r="716" customHeight="1" ht="17.25" hidden="1">
      <c r="A716" s="112" t="s">
        <v>3769</v>
      </c>
      <c r="B716" s="1" t="s">
        <v>2549</v>
      </c>
      <c r="C716" s="1" t="s">
        <v>51</v>
      </c>
      <c r="D716" s="1" t="s">
        <v>3771</v>
      </c>
      <c r="E716" s="62">
        <v>23</v>
      </c>
      <c r="F716" s="1" t="s">
        <v>2551</v>
      </c>
      <c r="G716" s="1" t="s">
        <v>2552</v>
      </c>
    </row>
    <row x14ac:dyDescent="0.25" r="717" customHeight="1" ht="17.25" hidden="1">
      <c r="A717" s="112" t="s">
        <v>3772</v>
      </c>
      <c r="B717" s="1" t="s">
        <v>2549</v>
      </c>
      <c r="C717" s="1" t="s">
        <v>51</v>
      </c>
      <c r="D717" s="1" t="s">
        <v>3773</v>
      </c>
      <c r="E717" s="62">
        <v>28</v>
      </c>
      <c r="F717" s="1" t="s">
        <v>2561</v>
      </c>
      <c r="G717" s="1" t="s">
        <v>2555</v>
      </c>
    </row>
    <row x14ac:dyDescent="0.25" r="718" customHeight="1" ht="17.25" hidden="1">
      <c r="A718" s="112" t="s">
        <v>3774</v>
      </c>
      <c r="B718" s="1" t="s">
        <v>2549</v>
      </c>
      <c r="C718" s="1" t="s">
        <v>51</v>
      </c>
      <c r="D718" s="1" t="s">
        <v>3775</v>
      </c>
      <c r="E718" s="62">
        <v>28</v>
      </c>
      <c r="F718" s="1" t="s">
        <v>2551</v>
      </c>
      <c r="G718" s="1" t="s">
        <v>2558</v>
      </c>
    </row>
    <row x14ac:dyDescent="0.25" r="719" customHeight="1" ht="17.25" hidden="1">
      <c r="A719" s="112" t="s">
        <v>3774</v>
      </c>
      <c r="B719" s="1" t="s">
        <v>2549</v>
      </c>
      <c r="C719" s="1" t="s">
        <v>51</v>
      </c>
      <c r="D719" s="1" t="s">
        <v>3776</v>
      </c>
      <c r="E719" s="62">
        <v>24</v>
      </c>
      <c r="F719" s="1" t="s">
        <v>2551</v>
      </c>
      <c r="G719" s="1" t="s">
        <v>2555</v>
      </c>
    </row>
    <row x14ac:dyDescent="0.25" r="720" customHeight="1" ht="17.25" hidden="1">
      <c r="A720" s="112" t="s">
        <v>3777</v>
      </c>
      <c r="B720" s="1" t="s">
        <v>2549</v>
      </c>
      <c r="C720" s="1" t="s">
        <v>51</v>
      </c>
      <c r="D720" s="1" t="s">
        <v>3778</v>
      </c>
      <c r="E720" s="62">
        <v>35</v>
      </c>
      <c r="F720" s="1" t="s">
        <v>2551</v>
      </c>
      <c r="G720" s="1" t="s">
        <v>2555</v>
      </c>
    </row>
    <row x14ac:dyDescent="0.25" r="721" customHeight="1" ht="17.25" hidden="1">
      <c r="A721" s="112" t="s">
        <v>3779</v>
      </c>
      <c r="B721" s="1" t="s">
        <v>2549</v>
      </c>
      <c r="C721" s="1" t="s">
        <v>51</v>
      </c>
      <c r="D721" s="1" t="s">
        <v>3780</v>
      </c>
      <c r="E721" s="62">
        <v>18</v>
      </c>
      <c r="F721" s="1" t="s">
        <v>2551</v>
      </c>
      <c r="G721" s="1" t="s">
        <v>2552</v>
      </c>
    </row>
    <row x14ac:dyDescent="0.25" r="722" customHeight="1" ht="17.25" hidden="1">
      <c r="A722" s="112" t="s">
        <v>3781</v>
      </c>
      <c r="B722" s="1" t="s">
        <v>2549</v>
      </c>
      <c r="C722" s="1" t="s">
        <v>51</v>
      </c>
      <c r="D722" s="1" t="s">
        <v>3782</v>
      </c>
      <c r="E722" s="62">
        <v>20</v>
      </c>
      <c r="F722" s="1" t="s">
        <v>2551</v>
      </c>
      <c r="G722" s="1" t="s">
        <v>2555</v>
      </c>
    </row>
    <row x14ac:dyDescent="0.25" r="723" customHeight="1" ht="17.25" hidden="1">
      <c r="A723" s="112" t="s">
        <v>3783</v>
      </c>
      <c r="B723" s="1" t="s">
        <v>2549</v>
      </c>
      <c r="C723" s="1" t="s">
        <v>51</v>
      </c>
      <c r="D723" s="1" t="s">
        <v>3784</v>
      </c>
      <c r="E723" s="62">
        <v>20</v>
      </c>
      <c r="F723" s="1" t="s">
        <v>2551</v>
      </c>
      <c r="G723" s="1" t="s">
        <v>2552</v>
      </c>
    </row>
    <row x14ac:dyDescent="0.25" r="724" customHeight="1" ht="17.25" hidden="1">
      <c r="A724" s="112" t="s">
        <v>3785</v>
      </c>
      <c r="B724" s="1" t="s">
        <v>2549</v>
      </c>
      <c r="C724" s="1" t="s">
        <v>51</v>
      </c>
      <c r="D724" s="1" t="s">
        <v>3786</v>
      </c>
      <c r="E724" s="62">
        <v>24</v>
      </c>
      <c r="F724" s="1" t="s">
        <v>2551</v>
      </c>
      <c r="G724" s="1" t="s">
        <v>2552</v>
      </c>
    </row>
    <row x14ac:dyDescent="0.25" r="725" customHeight="1" ht="17.25" hidden="1">
      <c r="A725" s="112" t="s">
        <v>3785</v>
      </c>
      <c r="B725" s="1" t="s">
        <v>2549</v>
      </c>
      <c r="C725" s="1" t="s">
        <v>51</v>
      </c>
      <c r="D725" s="1" t="s">
        <v>3787</v>
      </c>
      <c r="E725" s="62">
        <v>32</v>
      </c>
      <c r="F725" s="1" t="s">
        <v>2551</v>
      </c>
      <c r="G725" s="1" t="s">
        <v>2555</v>
      </c>
    </row>
    <row x14ac:dyDescent="0.25" r="726" customHeight="1" ht="17.25" hidden="1">
      <c r="A726" s="112" t="s">
        <v>3788</v>
      </c>
      <c r="B726" s="1" t="s">
        <v>2549</v>
      </c>
      <c r="C726" s="1" t="s">
        <v>51</v>
      </c>
      <c r="D726" s="1" t="s">
        <v>3789</v>
      </c>
      <c r="E726" s="62">
        <v>24</v>
      </c>
      <c r="F726" s="1" t="s">
        <v>2551</v>
      </c>
      <c r="G726" s="1" t="s">
        <v>2555</v>
      </c>
    </row>
    <row x14ac:dyDescent="0.25" r="727" customHeight="1" ht="17.25" hidden="1">
      <c r="A727" s="112" t="s">
        <v>3790</v>
      </c>
      <c r="B727" s="1" t="s">
        <v>2549</v>
      </c>
      <c r="C727" s="1" t="s">
        <v>51</v>
      </c>
      <c r="D727" s="1" t="s">
        <v>3791</v>
      </c>
      <c r="E727" s="62">
        <v>23</v>
      </c>
      <c r="F727" s="1" t="s">
        <v>2551</v>
      </c>
      <c r="G727" s="1" t="s">
        <v>2555</v>
      </c>
    </row>
    <row x14ac:dyDescent="0.25" r="728" customHeight="1" ht="17.25" hidden="1">
      <c r="A728" s="112" t="s">
        <v>3792</v>
      </c>
      <c r="B728" s="1" t="s">
        <v>2549</v>
      </c>
      <c r="C728" s="1" t="s">
        <v>51</v>
      </c>
      <c r="D728" s="1" t="s">
        <v>3793</v>
      </c>
      <c r="E728" s="62">
        <v>54</v>
      </c>
      <c r="F728" s="1" t="s">
        <v>2551</v>
      </c>
      <c r="G728" s="1" t="s">
        <v>2552</v>
      </c>
    </row>
    <row x14ac:dyDescent="0.25" r="729" customHeight="1" ht="17.25" hidden="1">
      <c r="A729" s="112" t="s">
        <v>3792</v>
      </c>
      <c r="B729" s="1" t="s">
        <v>2549</v>
      </c>
      <c r="C729" s="1" t="s">
        <v>51</v>
      </c>
      <c r="D729" s="1" t="s">
        <v>3794</v>
      </c>
      <c r="E729" s="62">
        <v>33</v>
      </c>
      <c r="F729" s="1" t="s">
        <v>2551</v>
      </c>
      <c r="G729" s="1" t="s">
        <v>2552</v>
      </c>
    </row>
    <row x14ac:dyDescent="0.25" r="730" customHeight="1" ht="17.25" hidden="1">
      <c r="A730" s="112" t="s">
        <v>3795</v>
      </c>
      <c r="B730" s="1" t="s">
        <v>2549</v>
      </c>
      <c r="C730" s="1" t="s">
        <v>51</v>
      </c>
      <c r="D730" s="1" t="s">
        <v>3796</v>
      </c>
      <c r="E730" s="62">
        <v>39</v>
      </c>
      <c r="F730" s="1" t="s">
        <v>2551</v>
      </c>
      <c r="G730" s="1" t="s">
        <v>2555</v>
      </c>
    </row>
    <row x14ac:dyDescent="0.25" r="731" customHeight="1" ht="17.25" hidden="1">
      <c r="A731" s="112" t="s">
        <v>3795</v>
      </c>
      <c r="B731" s="1" t="s">
        <v>2549</v>
      </c>
      <c r="C731" s="1" t="s">
        <v>51</v>
      </c>
      <c r="D731" s="1" t="s">
        <v>3797</v>
      </c>
      <c r="E731" s="62">
        <v>26</v>
      </c>
      <c r="F731" s="1" t="s">
        <v>2551</v>
      </c>
      <c r="G731" s="1" t="s">
        <v>2552</v>
      </c>
    </row>
    <row x14ac:dyDescent="0.25" r="732" customHeight="1" ht="17.25" hidden="1">
      <c r="A732" s="112" t="s">
        <v>3795</v>
      </c>
      <c r="B732" s="1" t="s">
        <v>2549</v>
      </c>
      <c r="C732" s="1" t="s">
        <v>51</v>
      </c>
      <c r="D732" s="1" t="s">
        <v>3798</v>
      </c>
      <c r="E732" s="62">
        <v>42</v>
      </c>
      <c r="F732" s="1" t="s">
        <v>2561</v>
      </c>
      <c r="G732" s="1" t="s">
        <v>2555</v>
      </c>
    </row>
    <row x14ac:dyDescent="0.25" r="733" customHeight="1" ht="17.25" hidden="1">
      <c r="A733" s="112" t="s">
        <v>3799</v>
      </c>
      <c r="B733" s="1" t="s">
        <v>2549</v>
      </c>
      <c r="C733" s="1" t="s">
        <v>51</v>
      </c>
      <c r="D733" s="1" t="s">
        <v>3800</v>
      </c>
      <c r="E733" s="62">
        <v>18</v>
      </c>
      <c r="F733" s="1" t="s">
        <v>2551</v>
      </c>
      <c r="G733" s="1" t="s">
        <v>2558</v>
      </c>
    </row>
    <row x14ac:dyDescent="0.25" r="734" customHeight="1" ht="17.25" hidden="1">
      <c r="A734" s="112" t="s">
        <v>3801</v>
      </c>
      <c r="B734" s="1" t="s">
        <v>2549</v>
      </c>
      <c r="C734" s="1" t="s">
        <v>51</v>
      </c>
      <c r="D734" s="1" t="s">
        <v>3802</v>
      </c>
      <c r="E734" s="62">
        <v>42</v>
      </c>
      <c r="F734" s="1" t="s">
        <v>2551</v>
      </c>
      <c r="G734" s="1" t="s">
        <v>2558</v>
      </c>
    </row>
    <row x14ac:dyDescent="0.25" r="735" customHeight="1" ht="17.25" hidden="1">
      <c r="A735" s="112" t="s">
        <v>3803</v>
      </c>
      <c r="B735" s="1" t="s">
        <v>2549</v>
      </c>
      <c r="C735" s="1" t="s">
        <v>51</v>
      </c>
      <c r="D735" s="1" t="s">
        <v>3804</v>
      </c>
      <c r="E735" s="62">
        <v>30</v>
      </c>
      <c r="F735" s="1" t="s">
        <v>2551</v>
      </c>
      <c r="G735" s="1" t="s">
        <v>2552</v>
      </c>
    </row>
    <row x14ac:dyDescent="0.25" r="736" customHeight="1" ht="17.25" hidden="1">
      <c r="A736" s="112" t="s">
        <v>3805</v>
      </c>
      <c r="B736" s="1" t="s">
        <v>2549</v>
      </c>
      <c r="C736" s="1" t="s">
        <v>51</v>
      </c>
      <c r="D736" s="1" t="s">
        <v>3517</v>
      </c>
      <c r="E736" s="62">
        <v>20</v>
      </c>
      <c r="F736" s="1" t="s">
        <v>2561</v>
      </c>
      <c r="G736" s="1" t="s">
        <v>2555</v>
      </c>
    </row>
    <row x14ac:dyDescent="0.25" r="737" customHeight="1" ht="17.25" hidden="1">
      <c r="A737" s="112" t="s">
        <v>3806</v>
      </c>
      <c r="B737" s="1" t="s">
        <v>2549</v>
      </c>
      <c r="C737" s="1" t="s">
        <v>51</v>
      </c>
      <c r="D737" s="1" t="s">
        <v>3807</v>
      </c>
      <c r="E737" s="62">
        <v>24</v>
      </c>
      <c r="F737" s="1" t="s">
        <v>2551</v>
      </c>
      <c r="G737" s="1" t="s">
        <v>2552</v>
      </c>
    </row>
    <row x14ac:dyDescent="0.25" r="738" customHeight="1" ht="17.25" hidden="1">
      <c r="A738" s="112" t="s">
        <v>3806</v>
      </c>
      <c r="B738" s="1" t="s">
        <v>2549</v>
      </c>
      <c r="C738" s="1" t="s">
        <v>51</v>
      </c>
      <c r="D738" s="1" t="s">
        <v>3808</v>
      </c>
      <c r="E738" s="62">
        <v>24</v>
      </c>
      <c r="F738" s="1" t="s">
        <v>2551</v>
      </c>
      <c r="G738" s="1" t="s">
        <v>2552</v>
      </c>
    </row>
    <row x14ac:dyDescent="0.25" r="739" customHeight="1" ht="17.25" hidden="1">
      <c r="A739" s="112" t="s">
        <v>1775</v>
      </c>
      <c r="B739" s="1" t="s">
        <v>2549</v>
      </c>
      <c r="C739" s="1" t="s">
        <v>51</v>
      </c>
      <c r="D739" s="1" t="s">
        <v>3809</v>
      </c>
      <c r="E739" s="62">
        <v>19</v>
      </c>
      <c r="F739" s="1" t="s">
        <v>2551</v>
      </c>
      <c r="G739" s="1" t="s">
        <v>2552</v>
      </c>
    </row>
    <row x14ac:dyDescent="0.25" r="740" customHeight="1" ht="17.25" hidden="1">
      <c r="A740" s="112" t="s">
        <v>1775</v>
      </c>
      <c r="B740" s="1" t="s">
        <v>2549</v>
      </c>
      <c r="C740" s="1" t="s">
        <v>51</v>
      </c>
      <c r="D740" s="1" t="s">
        <v>2227</v>
      </c>
      <c r="E740" s="62">
        <v>23</v>
      </c>
      <c r="F740" s="1" t="s">
        <v>2561</v>
      </c>
      <c r="G740" s="1" t="s">
        <v>2552</v>
      </c>
    </row>
    <row x14ac:dyDescent="0.25" r="741" customHeight="1" ht="17.25" hidden="1">
      <c r="A741" s="112" t="s">
        <v>3810</v>
      </c>
      <c r="B741" s="1" t="s">
        <v>2549</v>
      </c>
      <c r="C741" s="1" t="s">
        <v>51</v>
      </c>
      <c r="D741" s="1" t="s">
        <v>3811</v>
      </c>
      <c r="E741" s="62">
        <v>38</v>
      </c>
      <c r="F741" s="1" t="s">
        <v>2551</v>
      </c>
      <c r="G741" s="1" t="s">
        <v>2552</v>
      </c>
    </row>
    <row x14ac:dyDescent="0.25" r="742" customHeight="1" ht="17.25" hidden="1">
      <c r="A742" s="112" t="s">
        <v>3812</v>
      </c>
      <c r="B742" s="1" t="s">
        <v>2549</v>
      </c>
      <c r="C742" s="1" t="s">
        <v>51</v>
      </c>
      <c r="D742" s="1" t="s">
        <v>3813</v>
      </c>
      <c r="E742" s="62">
        <v>42</v>
      </c>
      <c r="F742" s="1" t="s">
        <v>2551</v>
      </c>
      <c r="G742" s="1" t="s">
        <v>2558</v>
      </c>
    </row>
    <row x14ac:dyDescent="0.25" r="743" customHeight="1" ht="17.25" hidden="1">
      <c r="A743" s="112" t="s">
        <v>3812</v>
      </c>
      <c r="B743" s="1" t="s">
        <v>2549</v>
      </c>
      <c r="C743" s="1" t="s">
        <v>51</v>
      </c>
      <c r="D743" s="1" t="s">
        <v>3814</v>
      </c>
      <c r="E743" s="62">
        <v>45</v>
      </c>
      <c r="F743" s="1" t="s">
        <v>2551</v>
      </c>
      <c r="G743" s="1" t="s">
        <v>2555</v>
      </c>
    </row>
    <row x14ac:dyDescent="0.25" r="744" customHeight="1" ht="17.25" hidden="1">
      <c r="A744" s="112" t="s">
        <v>3815</v>
      </c>
      <c r="B744" s="1" t="s">
        <v>2549</v>
      </c>
      <c r="C744" s="1" t="s">
        <v>51</v>
      </c>
      <c r="D744" s="1" t="s">
        <v>3816</v>
      </c>
      <c r="E744" s="62">
        <v>29</v>
      </c>
      <c r="F744" s="1" t="s">
        <v>2551</v>
      </c>
      <c r="G744" s="1" t="s">
        <v>2552</v>
      </c>
    </row>
    <row x14ac:dyDescent="0.25" r="745" customHeight="1" ht="17.25" hidden="1">
      <c r="A745" s="112" t="s">
        <v>3817</v>
      </c>
      <c r="B745" s="1" t="s">
        <v>2549</v>
      </c>
      <c r="C745" s="1" t="s">
        <v>51</v>
      </c>
      <c r="D745" s="1" t="s">
        <v>3818</v>
      </c>
      <c r="E745" s="62">
        <v>40</v>
      </c>
      <c r="F745" s="1" t="s">
        <v>2551</v>
      </c>
      <c r="G745" s="1" t="s">
        <v>2558</v>
      </c>
    </row>
    <row x14ac:dyDescent="0.25" r="746" customHeight="1" ht="17.25" hidden="1">
      <c r="A746" s="112" t="s">
        <v>3819</v>
      </c>
      <c r="B746" s="1" t="s">
        <v>2549</v>
      </c>
      <c r="C746" s="1" t="s">
        <v>51</v>
      </c>
      <c r="D746" s="1" t="s">
        <v>3820</v>
      </c>
      <c r="E746" s="62">
        <v>24</v>
      </c>
      <c r="F746" s="1" t="s">
        <v>2551</v>
      </c>
      <c r="G746" s="1" t="s">
        <v>2558</v>
      </c>
    </row>
    <row x14ac:dyDescent="0.25" r="747" customHeight="1" ht="17.25" hidden="1">
      <c r="A747" s="112" t="s">
        <v>3821</v>
      </c>
      <c r="B747" s="1" t="s">
        <v>2549</v>
      </c>
      <c r="C747" s="1" t="s">
        <v>51</v>
      </c>
      <c r="D747" s="1" t="s">
        <v>3822</v>
      </c>
      <c r="E747" s="62">
        <v>22</v>
      </c>
      <c r="F747" s="1" t="s">
        <v>2551</v>
      </c>
      <c r="G747" s="1" t="s">
        <v>2552</v>
      </c>
    </row>
    <row x14ac:dyDescent="0.25" r="748" customHeight="1" ht="17.25" hidden="1">
      <c r="A748" s="112" t="s">
        <v>3823</v>
      </c>
      <c r="B748" s="1" t="s">
        <v>2549</v>
      </c>
      <c r="C748" s="1" t="s">
        <v>51</v>
      </c>
      <c r="D748" s="1" t="s">
        <v>3824</v>
      </c>
      <c r="E748" s="62">
        <v>26</v>
      </c>
      <c r="F748" s="1" t="s">
        <v>2551</v>
      </c>
      <c r="G748" s="1" t="s">
        <v>2552</v>
      </c>
    </row>
    <row x14ac:dyDescent="0.25" r="749" customHeight="1" ht="17.25" hidden="1">
      <c r="A749" s="112" t="s">
        <v>3825</v>
      </c>
      <c r="B749" s="1" t="s">
        <v>2549</v>
      </c>
      <c r="C749" s="1" t="s">
        <v>51</v>
      </c>
      <c r="D749" s="1" t="s">
        <v>3826</v>
      </c>
      <c r="E749" s="62">
        <v>22</v>
      </c>
      <c r="F749" s="1" t="s">
        <v>2551</v>
      </c>
      <c r="G749" s="1" t="s">
        <v>2552</v>
      </c>
    </row>
    <row x14ac:dyDescent="0.25" r="750" customHeight="1" ht="17.25" hidden="1">
      <c r="A750" s="112" t="s">
        <v>3827</v>
      </c>
      <c r="B750" s="1" t="s">
        <v>2549</v>
      </c>
      <c r="C750" s="1" t="s">
        <v>51</v>
      </c>
      <c r="D750" s="1" t="s">
        <v>3828</v>
      </c>
      <c r="E750" s="62">
        <v>36</v>
      </c>
      <c r="F750" s="1" t="s">
        <v>2551</v>
      </c>
      <c r="G750" s="1" t="s">
        <v>2552</v>
      </c>
    </row>
    <row x14ac:dyDescent="0.25" r="751" customHeight="1" ht="17.25" hidden="1">
      <c r="A751" s="112" t="s">
        <v>3829</v>
      </c>
      <c r="B751" s="1" t="s">
        <v>2549</v>
      </c>
      <c r="C751" s="1" t="s">
        <v>51</v>
      </c>
      <c r="D751" s="1" t="s">
        <v>3830</v>
      </c>
      <c r="E751" s="62">
        <v>39</v>
      </c>
      <c r="F751" s="1" t="s">
        <v>2551</v>
      </c>
      <c r="G751" s="1" t="s">
        <v>2552</v>
      </c>
    </row>
    <row x14ac:dyDescent="0.25" r="752" customHeight="1" ht="17.25" hidden="1">
      <c r="A752" s="112" t="s">
        <v>3831</v>
      </c>
      <c r="B752" s="1" t="s">
        <v>2549</v>
      </c>
      <c r="C752" s="1" t="s">
        <v>51</v>
      </c>
      <c r="D752" s="1" t="s">
        <v>3832</v>
      </c>
      <c r="E752" s="62">
        <v>20</v>
      </c>
      <c r="F752" s="1" t="s">
        <v>2551</v>
      </c>
      <c r="G752" s="1" t="s">
        <v>2558</v>
      </c>
    </row>
    <row x14ac:dyDescent="0.25" r="753" customHeight="1" ht="17.25" hidden="1">
      <c r="A753" s="112" t="s">
        <v>3831</v>
      </c>
      <c r="B753" s="1" t="s">
        <v>2549</v>
      </c>
      <c r="C753" s="1" t="s">
        <v>51</v>
      </c>
      <c r="D753" s="1" t="s">
        <v>3833</v>
      </c>
      <c r="E753" s="62">
        <v>23</v>
      </c>
      <c r="F753" s="1" t="s">
        <v>2551</v>
      </c>
      <c r="G753" s="1" t="s">
        <v>2552</v>
      </c>
    </row>
    <row x14ac:dyDescent="0.25" r="754" customHeight="1" ht="17.25" hidden="1">
      <c r="A754" s="112" t="s">
        <v>3834</v>
      </c>
      <c r="B754" s="1" t="s">
        <v>2549</v>
      </c>
      <c r="C754" s="1" t="s">
        <v>51</v>
      </c>
      <c r="D754" s="1" t="s">
        <v>3835</v>
      </c>
      <c r="E754" s="62">
        <v>32</v>
      </c>
      <c r="F754" s="1" t="s">
        <v>2551</v>
      </c>
      <c r="G754" s="1" t="s">
        <v>2552</v>
      </c>
    </row>
    <row x14ac:dyDescent="0.25" r="755" customHeight="1" ht="17.25" hidden="1">
      <c r="A755" s="112" t="s">
        <v>3836</v>
      </c>
      <c r="B755" s="1" t="s">
        <v>2549</v>
      </c>
      <c r="C755" s="1" t="s">
        <v>51</v>
      </c>
      <c r="D755" s="1" t="s">
        <v>3837</v>
      </c>
      <c r="E755" s="62">
        <v>18</v>
      </c>
      <c r="F755" s="1" t="s">
        <v>2551</v>
      </c>
      <c r="G755" s="1" t="s">
        <v>2558</v>
      </c>
    </row>
    <row x14ac:dyDescent="0.25" r="756" customHeight="1" ht="17.25" hidden="1">
      <c r="A756" s="112" t="s">
        <v>3838</v>
      </c>
      <c r="B756" s="1" t="s">
        <v>2549</v>
      </c>
      <c r="C756" s="1" t="s">
        <v>51</v>
      </c>
      <c r="D756" s="1" t="s">
        <v>3839</v>
      </c>
      <c r="E756" s="62">
        <v>19</v>
      </c>
      <c r="F756" s="1" t="s">
        <v>2551</v>
      </c>
      <c r="G756" s="1" t="s">
        <v>2555</v>
      </c>
    </row>
    <row x14ac:dyDescent="0.25" r="757" customHeight="1" ht="17.25" hidden="1">
      <c r="A757" s="112" t="s">
        <v>3838</v>
      </c>
      <c r="B757" s="1" t="s">
        <v>2549</v>
      </c>
      <c r="C757" s="1" t="s">
        <v>51</v>
      </c>
      <c r="D757" s="1" t="s">
        <v>3840</v>
      </c>
      <c r="E757" s="62">
        <v>22</v>
      </c>
      <c r="F757" s="1" t="s">
        <v>2551</v>
      </c>
      <c r="G757" s="1" t="s">
        <v>2552</v>
      </c>
    </row>
    <row x14ac:dyDescent="0.25" r="758" customHeight="1" ht="17.25" hidden="1">
      <c r="A758" s="112" t="s">
        <v>3841</v>
      </c>
      <c r="B758" s="1" t="s">
        <v>2549</v>
      </c>
      <c r="C758" s="1" t="s">
        <v>51</v>
      </c>
      <c r="D758" s="1" t="s">
        <v>3842</v>
      </c>
      <c r="E758" s="62">
        <v>34</v>
      </c>
      <c r="F758" s="1" t="s">
        <v>2551</v>
      </c>
      <c r="G758" s="1" t="s">
        <v>2555</v>
      </c>
    </row>
    <row x14ac:dyDescent="0.25" r="759" customHeight="1" ht="17.25" hidden="1">
      <c r="A759" s="112" t="s">
        <v>3843</v>
      </c>
      <c r="B759" s="1" t="s">
        <v>2549</v>
      </c>
      <c r="C759" s="1" t="s">
        <v>51</v>
      </c>
      <c r="D759" s="1" t="s">
        <v>3844</v>
      </c>
      <c r="E759" s="62">
        <v>28</v>
      </c>
      <c r="F759" s="1" t="s">
        <v>2551</v>
      </c>
      <c r="G759" s="1" t="s">
        <v>2552</v>
      </c>
    </row>
    <row x14ac:dyDescent="0.25" r="760" customHeight="1" ht="17.25" hidden="1">
      <c r="A760" s="112" t="s">
        <v>3845</v>
      </c>
      <c r="B760" s="1" t="s">
        <v>2549</v>
      </c>
      <c r="C760" s="1" t="s">
        <v>51</v>
      </c>
      <c r="D760" s="1" t="s">
        <v>3846</v>
      </c>
      <c r="E760" s="62">
        <v>29</v>
      </c>
      <c r="F760" s="1" t="s">
        <v>2551</v>
      </c>
      <c r="G760" s="1" t="s">
        <v>2555</v>
      </c>
    </row>
    <row x14ac:dyDescent="0.25" r="761" customHeight="1" ht="17.25" hidden="1">
      <c r="A761" s="112" t="s">
        <v>1496</v>
      </c>
      <c r="B761" s="1" t="s">
        <v>2549</v>
      </c>
      <c r="C761" s="1" t="s">
        <v>51</v>
      </c>
      <c r="D761" s="1" t="s">
        <v>3847</v>
      </c>
      <c r="E761" s="62">
        <v>19</v>
      </c>
      <c r="F761" s="1" t="s">
        <v>2551</v>
      </c>
      <c r="G761" s="1" t="s">
        <v>2555</v>
      </c>
    </row>
    <row x14ac:dyDescent="0.25" r="762" customHeight="1" ht="17.25" hidden="1">
      <c r="A762" s="112" t="s">
        <v>3848</v>
      </c>
      <c r="B762" s="1" t="s">
        <v>2549</v>
      </c>
      <c r="C762" s="1" t="s">
        <v>51</v>
      </c>
      <c r="D762" s="1" t="s">
        <v>3849</v>
      </c>
      <c r="E762" s="62">
        <v>22</v>
      </c>
      <c r="F762" s="1" t="s">
        <v>2551</v>
      </c>
      <c r="G762" s="1" t="s">
        <v>2552</v>
      </c>
    </row>
    <row x14ac:dyDescent="0.25" r="763" customHeight="1" ht="17.25" hidden="1">
      <c r="A763" s="112" t="s">
        <v>3850</v>
      </c>
      <c r="B763" s="1" t="s">
        <v>2549</v>
      </c>
      <c r="C763" s="1" t="s">
        <v>51</v>
      </c>
      <c r="D763" s="1" t="s">
        <v>3851</v>
      </c>
      <c r="E763" s="62">
        <v>27</v>
      </c>
      <c r="F763" s="1" t="s">
        <v>2551</v>
      </c>
      <c r="G763" s="1" t="s">
        <v>2558</v>
      </c>
    </row>
    <row x14ac:dyDescent="0.25" r="764" customHeight="1" ht="17.25" hidden="1">
      <c r="A764" s="112" t="s">
        <v>3852</v>
      </c>
      <c r="B764" s="1" t="s">
        <v>2549</v>
      </c>
      <c r="C764" s="1" t="s">
        <v>51</v>
      </c>
      <c r="D764" s="1" t="s">
        <v>3853</v>
      </c>
      <c r="E764" s="62">
        <v>25</v>
      </c>
      <c r="F764" s="1" t="s">
        <v>2551</v>
      </c>
      <c r="G764" s="1" t="s">
        <v>2555</v>
      </c>
    </row>
    <row x14ac:dyDescent="0.25" r="765" customHeight="1" ht="17.25" hidden="1">
      <c r="A765" s="112" t="s">
        <v>3852</v>
      </c>
      <c r="B765" s="1" t="s">
        <v>2549</v>
      </c>
      <c r="C765" s="1" t="s">
        <v>51</v>
      </c>
      <c r="D765" s="1" t="s">
        <v>3854</v>
      </c>
      <c r="E765" s="62">
        <v>32</v>
      </c>
      <c r="F765" s="1" t="s">
        <v>2551</v>
      </c>
      <c r="G765" s="1" t="s">
        <v>2555</v>
      </c>
    </row>
    <row x14ac:dyDescent="0.25" r="766" customHeight="1" ht="17.25" hidden="1">
      <c r="A766" s="112" t="s">
        <v>3855</v>
      </c>
      <c r="B766" s="1" t="s">
        <v>2549</v>
      </c>
      <c r="C766" s="1" t="s">
        <v>51</v>
      </c>
      <c r="D766" s="1" t="s">
        <v>3856</v>
      </c>
      <c r="E766" s="62">
        <v>21</v>
      </c>
      <c r="F766" s="1" t="s">
        <v>2551</v>
      </c>
      <c r="G766" s="1" t="s">
        <v>2552</v>
      </c>
    </row>
    <row x14ac:dyDescent="0.25" r="767" customHeight="1" ht="17.25" hidden="1">
      <c r="A767" s="112" t="s">
        <v>3857</v>
      </c>
      <c r="B767" s="1" t="s">
        <v>2549</v>
      </c>
      <c r="C767" s="1" t="s">
        <v>51</v>
      </c>
      <c r="D767" s="1" t="s">
        <v>3858</v>
      </c>
      <c r="E767" s="62">
        <v>20</v>
      </c>
      <c r="F767" s="1" t="s">
        <v>2551</v>
      </c>
      <c r="G767" s="1" t="s">
        <v>2552</v>
      </c>
    </row>
    <row x14ac:dyDescent="0.25" r="768" customHeight="1" ht="17.25" hidden="1">
      <c r="A768" s="112" t="s">
        <v>3857</v>
      </c>
      <c r="B768" s="1" t="s">
        <v>2549</v>
      </c>
      <c r="C768" s="1" t="s">
        <v>51</v>
      </c>
      <c r="D768" s="1" t="s">
        <v>3859</v>
      </c>
      <c r="E768" s="54" t="s">
        <v>2571</v>
      </c>
      <c r="F768" s="1" t="s">
        <v>2551</v>
      </c>
      <c r="G768" s="1" t="s">
        <v>2558</v>
      </c>
    </row>
    <row x14ac:dyDescent="0.25" r="769" customHeight="1" ht="17.25" hidden="1">
      <c r="A769" s="112" t="s">
        <v>3860</v>
      </c>
      <c r="B769" s="1" t="s">
        <v>2549</v>
      </c>
      <c r="C769" s="1" t="s">
        <v>51</v>
      </c>
      <c r="D769" s="1" t="s">
        <v>3861</v>
      </c>
      <c r="E769" s="62">
        <v>25</v>
      </c>
      <c r="F769" s="1" t="s">
        <v>2551</v>
      </c>
      <c r="G769" s="1" t="s">
        <v>2552</v>
      </c>
    </row>
    <row x14ac:dyDescent="0.25" r="770" customHeight="1" ht="17.25" hidden="1">
      <c r="A770" s="112" t="s">
        <v>3862</v>
      </c>
      <c r="B770" s="1" t="s">
        <v>2549</v>
      </c>
      <c r="C770" s="1" t="s">
        <v>51</v>
      </c>
      <c r="D770" s="1" t="s">
        <v>3863</v>
      </c>
      <c r="E770" s="62">
        <v>30</v>
      </c>
      <c r="F770" s="1" t="s">
        <v>2551</v>
      </c>
      <c r="G770" s="1" t="s">
        <v>2552</v>
      </c>
    </row>
    <row x14ac:dyDescent="0.25" r="771" customHeight="1" ht="17.25" hidden="1">
      <c r="A771" s="112" t="s">
        <v>3864</v>
      </c>
      <c r="B771" s="1" t="s">
        <v>2549</v>
      </c>
      <c r="C771" s="1" t="s">
        <v>51</v>
      </c>
      <c r="D771" s="1" t="s">
        <v>3865</v>
      </c>
      <c r="E771" s="62">
        <v>24</v>
      </c>
      <c r="F771" s="1" t="s">
        <v>2551</v>
      </c>
      <c r="G771" s="1" t="s">
        <v>2558</v>
      </c>
    </row>
    <row x14ac:dyDescent="0.25" r="772" customHeight="1" ht="17.25" hidden="1">
      <c r="A772" s="112" t="s">
        <v>3866</v>
      </c>
      <c r="B772" s="1" t="s">
        <v>2549</v>
      </c>
      <c r="C772" s="1" t="s">
        <v>51</v>
      </c>
      <c r="D772" s="1" t="s">
        <v>3867</v>
      </c>
      <c r="E772" s="62">
        <v>29</v>
      </c>
      <c r="F772" s="1" t="s">
        <v>2551</v>
      </c>
      <c r="G772" s="1" t="s">
        <v>2555</v>
      </c>
    </row>
    <row x14ac:dyDescent="0.25" r="773" customHeight="1" ht="17.25" hidden="1">
      <c r="A773" s="112" t="s">
        <v>3868</v>
      </c>
      <c r="B773" s="1" t="s">
        <v>2549</v>
      </c>
      <c r="C773" s="1" t="s">
        <v>51</v>
      </c>
      <c r="D773" s="1" t="s">
        <v>3869</v>
      </c>
      <c r="E773" s="62">
        <v>56</v>
      </c>
      <c r="F773" s="1" t="s">
        <v>2551</v>
      </c>
      <c r="G773" s="1" t="s">
        <v>2552</v>
      </c>
    </row>
    <row x14ac:dyDescent="0.25" r="774" customHeight="1" ht="17.25" hidden="1">
      <c r="A774" s="112" t="s">
        <v>3870</v>
      </c>
      <c r="B774" s="1" t="s">
        <v>2549</v>
      </c>
      <c r="C774" s="1" t="s">
        <v>51</v>
      </c>
      <c r="D774" s="1" t="s">
        <v>3871</v>
      </c>
      <c r="E774" s="62">
        <v>18</v>
      </c>
      <c r="F774" s="1" t="s">
        <v>2551</v>
      </c>
      <c r="G774" s="1" t="s">
        <v>2552</v>
      </c>
    </row>
    <row x14ac:dyDescent="0.25" r="775" customHeight="1" ht="17.25" hidden="1">
      <c r="A775" s="112" t="s">
        <v>3872</v>
      </c>
      <c r="B775" s="1" t="s">
        <v>2549</v>
      </c>
      <c r="C775" s="1" t="s">
        <v>51</v>
      </c>
      <c r="D775" s="1" t="s">
        <v>3873</v>
      </c>
      <c r="E775" s="62">
        <v>28</v>
      </c>
      <c r="F775" s="1" t="s">
        <v>2551</v>
      </c>
      <c r="G775" s="1" t="s">
        <v>2552</v>
      </c>
    </row>
    <row x14ac:dyDescent="0.25" r="776" customHeight="1" ht="17.25" hidden="1">
      <c r="A776" s="112" t="s">
        <v>3874</v>
      </c>
      <c r="B776" s="1" t="s">
        <v>2549</v>
      </c>
      <c r="C776" s="1" t="s">
        <v>51</v>
      </c>
      <c r="D776" s="1" t="s">
        <v>3875</v>
      </c>
      <c r="E776" s="62">
        <v>24</v>
      </c>
      <c r="F776" s="1" t="s">
        <v>2551</v>
      </c>
      <c r="G776" s="1" t="s">
        <v>2555</v>
      </c>
    </row>
    <row x14ac:dyDescent="0.25" r="777" customHeight="1" ht="17.25" hidden="1">
      <c r="A777" s="112" t="s">
        <v>3874</v>
      </c>
      <c r="B777" s="1" t="s">
        <v>2549</v>
      </c>
      <c r="C777" s="1" t="s">
        <v>51</v>
      </c>
      <c r="D777" s="1" t="s">
        <v>3876</v>
      </c>
      <c r="E777" s="62">
        <v>26</v>
      </c>
      <c r="F777" s="1" t="s">
        <v>2551</v>
      </c>
      <c r="G777" s="1" t="s">
        <v>2555</v>
      </c>
    </row>
    <row x14ac:dyDescent="0.25" r="778" customHeight="1" ht="17.25" hidden="1">
      <c r="A778" s="112" t="s">
        <v>3874</v>
      </c>
      <c r="B778" s="1" t="s">
        <v>2549</v>
      </c>
      <c r="C778" s="1" t="s">
        <v>51</v>
      </c>
      <c r="D778" s="1" t="s">
        <v>3877</v>
      </c>
      <c r="E778" s="62">
        <v>27</v>
      </c>
      <c r="F778" s="1" t="s">
        <v>2561</v>
      </c>
      <c r="G778" s="1" t="s">
        <v>2552</v>
      </c>
    </row>
    <row x14ac:dyDescent="0.25" r="779" customHeight="1" ht="17.25" hidden="1">
      <c r="A779" s="112" t="s">
        <v>1984</v>
      </c>
      <c r="B779" s="1" t="s">
        <v>2549</v>
      </c>
      <c r="C779" s="1" t="s">
        <v>51</v>
      </c>
      <c r="D779" s="1" t="s">
        <v>3878</v>
      </c>
      <c r="E779" s="62">
        <v>54</v>
      </c>
      <c r="F779" s="1" t="s">
        <v>2551</v>
      </c>
      <c r="G779" s="1" t="s">
        <v>2555</v>
      </c>
    </row>
    <row x14ac:dyDescent="0.25" r="780" customHeight="1" ht="17.25" hidden="1">
      <c r="A780" s="112" t="s">
        <v>1984</v>
      </c>
      <c r="B780" s="1" t="s">
        <v>2549</v>
      </c>
      <c r="C780" s="1" t="s">
        <v>51</v>
      </c>
      <c r="D780" s="1" t="s">
        <v>3879</v>
      </c>
      <c r="E780" s="62">
        <v>32</v>
      </c>
      <c r="F780" s="1" t="s">
        <v>2551</v>
      </c>
      <c r="G780" s="1" t="s">
        <v>2558</v>
      </c>
    </row>
    <row x14ac:dyDescent="0.25" r="781" customHeight="1" ht="17.25" hidden="1">
      <c r="A781" s="112" t="s">
        <v>1391</v>
      </c>
      <c r="B781" s="1" t="s">
        <v>2549</v>
      </c>
      <c r="C781" s="1" t="s">
        <v>51</v>
      </c>
      <c r="D781" s="1" t="s">
        <v>3880</v>
      </c>
      <c r="E781" s="62">
        <v>32</v>
      </c>
      <c r="F781" s="1" t="s">
        <v>2561</v>
      </c>
      <c r="G781" s="1" t="s">
        <v>2552</v>
      </c>
    </row>
    <row x14ac:dyDescent="0.25" r="782" customHeight="1" ht="17.25" hidden="1">
      <c r="A782" s="112" t="s">
        <v>3881</v>
      </c>
      <c r="B782" s="1" t="s">
        <v>2549</v>
      </c>
      <c r="C782" s="1" t="s">
        <v>51</v>
      </c>
      <c r="D782" s="1" t="s">
        <v>3882</v>
      </c>
      <c r="E782" s="62">
        <v>43</v>
      </c>
      <c r="F782" s="1" t="s">
        <v>2551</v>
      </c>
      <c r="G782" s="1" t="s">
        <v>2555</v>
      </c>
    </row>
    <row x14ac:dyDescent="0.25" r="783" customHeight="1" ht="17.25" hidden="1">
      <c r="A783" s="112" t="s">
        <v>3881</v>
      </c>
      <c r="B783" s="1" t="s">
        <v>2549</v>
      </c>
      <c r="C783" s="1" t="s">
        <v>51</v>
      </c>
      <c r="D783" s="1" t="s">
        <v>3883</v>
      </c>
      <c r="E783" s="62">
        <v>20</v>
      </c>
      <c r="F783" s="1" t="s">
        <v>2551</v>
      </c>
      <c r="G783" s="1" t="s">
        <v>2555</v>
      </c>
    </row>
    <row x14ac:dyDescent="0.25" r="784" customHeight="1" ht="17.25" hidden="1">
      <c r="A784" s="112" t="s">
        <v>3881</v>
      </c>
      <c r="B784" s="1" t="s">
        <v>2549</v>
      </c>
      <c r="C784" s="1" t="s">
        <v>51</v>
      </c>
      <c r="D784" s="1" t="s">
        <v>3884</v>
      </c>
      <c r="E784" s="62">
        <v>41</v>
      </c>
      <c r="F784" s="1" t="s">
        <v>2561</v>
      </c>
      <c r="G784" s="1" t="s">
        <v>2552</v>
      </c>
    </row>
    <row x14ac:dyDescent="0.25" r="785" customHeight="1" ht="17.25" hidden="1">
      <c r="A785" s="112" t="s">
        <v>3881</v>
      </c>
      <c r="B785" s="1" t="s">
        <v>2549</v>
      </c>
      <c r="C785" s="1" t="s">
        <v>51</v>
      </c>
      <c r="D785" s="1" t="s">
        <v>3885</v>
      </c>
      <c r="E785" s="62">
        <v>22</v>
      </c>
      <c r="F785" s="1" t="s">
        <v>2551</v>
      </c>
      <c r="G785" s="1" t="s">
        <v>2552</v>
      </c>
    </row>
    <row x14ac:dyDescent="0.25" r="786" customHeight="1" ht="17.25" hidden="1">
      <c r="A786" s="112" t="s">
        <v>3881</v>
      </c>
      <c r="B786" s="1" t="s">
        <v>2549</v>
      </c>
      <c r="C786" s="1" t="s">
        <v>51</v>
      </c>
      <c r="D786" s="1" t="s">
        <v>3886</v>
      </c>
      <c r="E786" s="62">
        <v>38</v>
      </c>
      <c r="F786" s="1" t="s">
        <v>2551</v>
      </c>
      <c r="G786" s="1" t="s">
        <v>2555</v>
      </c>
    </row>
    <row x14ac:dyDescent="0.25" r="787" customHeight="1" ht="17.25" hidden="1">
      <c r="A787" s="112" t="s">
        <v>3887</v>
      </c>
      <c r="B787" s="1" t="s">
        <v>2549</v>
      </c>
      <c r="C787" s="1" t="s">
        <v>51</v>
      </c>
      <c r="D787" s="1" t="s">
        <v>3888</v>
      </c>
      <c r="E787" s="62">
        <v>44</v>
      </c>
      <c r="F787" s="1" t="s">
        <v>2551</v>
      </c>
      <c r="G787" s="1" t="s">
        <v>2555</v>
      </c>
    </row>
    <row x14ac:dyDescent="0.25" r="788" customHeight="1" ht="17.25" hidden="1">
      <c r="A788" s="112" t="s">
        <v>3889</v>
      </c>
      <c r="B788" s="1" t="s">
        <v>2549</v>
      </c>
      <c r="C788" s="1" t="s">
        <v>51</v>
      </c>
      <c r="D788" s="1" t="s">
        <v>3890</v>
      </c>
      <c r="E788" s="62">
        <v>25</v>
      </c>
      <c r="F788" s="1" t="s">
        <v>2551</v>
      </c>
      <c r="G788" s="1" t="s">
        <v>2555</v>
      </c>
    </row>
    <row x14ac:dyDescent="0.25" r="789" customHeight="1" ht="17.25" hidden="1">
      <c r="A789" s="112" t="s">
        <v>3891</v>
      </c>
      <c r="B789" s="1" t="s">
        <v>2549</v>
      </c>
      <c r="C789" s="1" t="s">
        <v>51</v>
      </c>
      <c r="D789" s="1" t="s">
        <v>3892</v>
      </c>
      <c r="E789" s="62">
        <v>28</v>
      </c>
      <c r="F789" s="1" t="s">
        <v>2551</v>
      </c>
      <c r="G789" s="1" t="s">
        <v>2552</v>
      </c>
    </row>
    <row x14ac:dyDescent="0.25" r="790" customHeight="1" ht="17.25" hidden="1">
      <c r="A790" s="112" t="s">
        <v>3891</v>
      </c>
      <c r="B790" s="1" t="s">
        <v>2549</v>
      </c>
      <c r="C790" s="1" t="s">
        <v>51</v>
      </c>
      <c r="D790" s="1" t="s">
        <v>3893</v>
      </c>
      <c r="E790" s="62">
        <v>28</v>
      </c>
      <c r="F790" s="1" t="s">
        <v>2551</v>
      </c>
      <c r="G790" s="1" t="s">
        <v>2552</v>
      </c>
    </row>
    <row x14ac:dyDescent="0.25" r="791" customHeight="1" ht="17.25" hidden="1">
      <c r="A791" s="112" t="s">
        <v>3894</v>
      </c>
      <c r="B791" s="1" t="s">
        <v>2549</v>
      </c>
      <c r="C791" s="1" t="s">
        <v>51</v>
      </c>
      <c r="D791" s="1" t="s">
        <v>3895</v>
      </c>
      <c r="E791" s="62">
        <v>26</v>
      </c>
      <c r="F791" s="1" t="s">
        <v>2551</v>
      </c>
      <c r="G791" s="1" t="s">
        <v>2552</v>
      </c>
    </row>
    <row x14ac:dyDescent="0.25" r="792" customHeight="1" ht="17.25" hidden="1">
      <c r="A792" s="112" t="s">
        <v>3896</v>
      </c>
      <c r="B792" s="1" t="s">
        <v>2549</v>
      </c>
      <c r="C792" s="1" t="s">
        <v>51</v>
      </c>
      <c r="D792" s="1" t="s">
        <v>3897</v>
      </c>
      <c r="E792" s="62">
        <v>19</v>
      </c>
      <c r="F792" s="1" t="s">
        <v>2551</v>
      </c>
      <c r="G792" s="1" t="s">
        <v>2555</v>
      </c>
    </row>
    <row x14ac:dyDescent="0.25" r="793" customHeight="1" ht="17.25" hidden="1">
      <c r="A793" s="112" t="s">
        <v>3898</v>
      </c>
      <c r="B793" s="1" t="s">
        <v>2549</v>
      </c>
      <c r="C793" s="1" t="s">
        <v>51</v>
      </c>
      <c r="D793" s="1" t="s">
        <v>3899</v>
      </c>
      <c r="E793" s="62">
        <v>31</v>
      </c>
      <c r="F793" s="1" t="s">
        <v>2551</v>
      </c>
      <c r="G793" s="1" t="s">
        <v>2558</v>
      </c>
    </row>
    <row x14ac:dyDescent="0.25" r="794" customHeight="1" ht="17.25" hidden="1">
      <c r="A794" s="112" t="s">
        <v>3900</v>
      </c>
      <c r="B794" s="1" t="s">
        <v>2549</v>
      </c>
      <c r="C794" s="1" t="s">
        <v>51</v>
      </c>
      <c r="D794" s="1" t="s">
        <v>3901</v>
      </c>
      <c r="E794" s="62">
        <v>32</v>
      </c>
      <c r="F794" s="1" t="s">
        <v>2551</v>
      </c>
      <c r="G794" s="1" t="s">
        <v>2552</v>
      </c>
    </row>
    <row x14ac:dyDescent="0.25" r="795" customHeight="1" ht="17.25" hidden="1">
      <c r="A795" s="112" t="s">
        <v>3902</v>
      </c>
      <c r="B795" s="1" t="s">
        <v>2549</v>
      </c>
      <c r="C795" s="1" t="s">
        <v>51</v>
      </c>
      <c r="D795" s="1" t="s">
        <v>3903</v>
      </c>
      <c r="E795" s="62">
        <v>31</v>
      </c>
      <c r="F795" s="1" t="s">
        <v>2551</v>
      </c>
      <c r="G795" s="1" t="s">
        <v>2555</v>
      </c>
    </row>
    <row x14ac:dyDescent="0.25" r="796" customHeight="1" ht="17.25" hidden="1">
      <c r="A796" s="112" t="s">
        <v>3904</v>
      </c>
      <c r="B796" s="1" t="s">
        <v>2549</v>
      </c>
      <c r="C796" s="1" t="s">
        <v>51</v>
      </c>
      <c r="D796" s="1" t="s">
        <v>3905</v>
      </c>
      <c r="E796" s="62">
        <v>53</v>
      </c>
      <c r="F796" s="1" t="s">
        <v>2561</v>
      </c>
      <c r="G796" s="1" t="s">
        <v>2558</v>
      </c>
    </row>
    <row x14ac:dyDescent="0.25" r="797" customHeight="1" ht="17.25" hidden="1">
      <c r="A797" s="112" t="s">
        <v>3906</v>
      </c>
      <c r="B797" s="1" t="s">
        <v>2549</v>
      </c>
      <c r="C797" s="1" t="s">
        <v>51</v>
      </c>
      <c r="D797" s="1" t="s">
        <v>3907</v>
      </c>
      <c r="E797" s="62">
        <v>40</v>
      </c>
      <c r="F797" s="1" t="s">
        <v>2561</v>
      </c>
      <c r="G797" s="1" t="s">
        <v>2552</v>
      </c>
    </row>
    <row x14ac:dyDescent="0.25" r="798" customHeight="1" ht="17.25" hidden="1">
      <c r="A798" s="112" t="s">
        <v>3908</v>
      </c>
      <c r="B798" s="1" t="s">
        <v>2549</v>
      </c>
      <c r="C798" s="1" t="s">
        <v>51</v>
      </c>
      <c r="D798" s="1" t="s">
        <v>3909</v>
      </c>
      <c r="E798" s="62">
        <v>25</v>
      </c>
      <c r="F798" s="1" t="s">
        <v>2551</v>
      </c>
      <c r="G798" s="1" t="s">
        <v>2558</v>
      </c>
    </row>
    <row x14ac:dyDescent="0.25" r="799" customHeight="1" ht="17.25" hidden="1">
      <c r="A799" s="112" t="s">
        <v>3910</v>
      </c>
      <c r="B799" s="1" t="s">
        <v>2549</v>
      </c>
      <c r="C799" s="1" t="s">
        <v>51</v>
      </c>
      <c r="D799" s="1" t="s">
        <v>3911</v>
      </c>
      <c r="E799" s="62">
        <v>20</v>
      </c>
      <c r="F799" s="1" t="s">
        <v>2551</v>
      </c>
      <c r="G799" s="1" t="s">
        <v>2552</v>
      </c>
    </row>
    <row x14ac:dyDescent="0.25" r="800" customHeight="1" ht="17.25" hidden="1">
      <c r="A800" s="112" t="s">
        <v>3912</v>
      </c>
      <c r="B800" s="1" t="s">
        <v>2549</v>
      </c>
      <c r="C800" s="1" t="s">
        <v>51</v>
      </c>
      <c r="D800" s="1" t="s">
        <v>3913</v>
      </c>
      <c r="E800" s="62">
        <v>21</v>
      </c>
      <c r="F800" s="1" t="s">
        <v>2551</v>
      </c>
      <c r="G800" s="1" t="s">
        <v>2552</v>
      </c>
    </row>
    <row x14ac:dyDescent="0.25" r="801" customHeight="1" ht="17.25" hidden="1">
      <c r="A801" s="112" t="s">
        <v>3914</v>
      </c>
      <c r="B801" s="1" t="s">
        <v>2549</v>
      </c>
      <c r="C801" s="1" t="s">
        <v>51</v>
      </c>
      <c r="D801" s="1" t="s">
        <v>3915</v>
      </c>
      <c r="E801" s="62">
        <v>29</v>
      </c>
      <c r="F801" s="1" t="s">
        <v>2551</v>
      </c>
      <c r="G801" s="1" t="s">
        <v>2552</v>
      </c>
    </row>
    <row x14ac:dyDescent="0.25" r="802" customHeight="1" ht="17.25" hidden="1">
      <c r="A802" s="112" t="s">
        <v>3916</v>
      </c>
      <c r="B802" s="1" t="s">
        <v>2549</v>
      </c>
      <c r="C802" s="1" t="s">
        <v>51</v>
      </c>
      <c r="D802" s="1" t="s">
        <v>3917</v>
      </c>
      <c r="E802" s="62">
        <v>27</v>
      </c>
      <c r="F802" s="1" t="s">
        <v>2551</v>
      </c>
      <c r="G802" s="1" t="s">
        <v>2552</v>
      </c>
    </row>
    <row x14ac:dyDescent="0.25" r="803" customHeight="1" ht="17.25" hidden="1">
      <c r="A803" s="112" t="s">
        <v>3916</v>
      </c>
      <c r="B803" s="1" t="s">
        <v>2549</v>
      </c>
      <c r="C803" s="1" t="s">
        <v>51</v>
      </c>
      <c r="D803" s="1" t="s">
        <v>3918</v>
      </c>
      <c r="E803" s="62">
        <v>26</v>
      </c>
      <c r="F803" s="1" t="s">
        <v>2551</v>
      </c>
      <c r="G803" s="1" t="s">
        <v>2552</v>
      </c>
    </row>
    <row x14ac:dyDescent="0.25" r="804" customHeight="1" ht="17.25" hidden="1">
      <c r="A804" s="112" t="s">
        <v>3919</v>
      </c>
      <c r="B804" s="1" t="s">
        <v>2549</v>
      </c>
      <c r="C804" s="1" t="s">
        <v>51</v>
      </c>
      <c r="D804" s="1" t="s">
        <v>3920</v>
      </c>
      <c r="E804" s="62">
        <v>21</v>
      </c>
      <c r="F804" s="1" t="s">
        <v>2551</v>
      </c>
      <c r="G804" s="1" t="s">
        <v>2552</v>
      </c>
    </row>
    <row x14ac:dyDescent="0.25" r="805" customHeight="1" ht="17.25" hidden="1">
      <c r="A805" s="112" t="s">
        <v>3921</v>
      </c>
      <c r="B805" s="1" t="s">
        <v>2549</v>
      </c>
      <c r="C805" s="1" t="s">
        <v>51</v>
      </c>
      <c r="D805" s="1" t="s">
        <v>3922</v>
      </c>
      <c r="E805" s="62">
        <v>19</v>
      </c>
      <c r="F805" s="1" t="s">
        <v>2551</v>
      </c>
      <c r="G805" s="1" t="s">
        <v>2558</v>
      </c>
    </row>
    <row x14ac:dyDescent="0.25" r="806" customHeight="1" ht="17.25" hidden="1">
      <c r="A806" s="112" t="s">
        <v>3923</v>
      </c>
      <c r="B806" s="1" t="s">
        <v>2549</v>
      </c>
      <c r="C806" s="1" t="s">
        <v>51</v>
      </c>
      <c r="D806" s="1" t="s">
        <v>3924</v>
      </c>
      <c r="E806" s="62">
        <v>28</v>
      </c>
      <c r="F806" s="1" t="s">
        <v>2561</v>
      </c>
      <c r="G806" s="1" t="s">
        <v>2552</v>
      </c>
    </row>
    <row x14ac:dyDescent="0.25" r="807" customHeight="1" ht="17.25" hidden="1">
      <c r="A807" s="112" t="s">
        <v>3925</v>
      </c>
      <c r="B807" s="1" t="s">
        <v>2549</v>
      </c>
      <c r="C807" s="1" t="s">
        <v>51</v>
      </c>
      <c r="D807" s="1" t="s">
        <v>3430</v>
      </c>
      <c r="E807" s="62">
        <v>33</v>
      </c>
      <c r="F807" s="1" t="s">
        <v>2551</v>
      </c>
      <c r="G807" s="1" t="s">
        <v>2558</v>
      </c>
    </row>
    <row x14ac:dyDescent="0.25" r="808" customHeight="1" ht="17.25" hidden="1">
      <c r="A808" s="112" t="s">
        <v>3926</v>
      </c>
      <c r="B808" s="1" t="s">
        <v>2549</v>
      </c>
      <c r="C808" s="1" t="s">
        <v>51</v>
      </c>
      <c r="D808" s="1" t="s">
        <v>3927</v>
      </c>
      <c r="E808" s="62">
        <v>39</v>
      </c>
      <c r="F808" s="1" t="s">
        <v>2551</v>
      </c>
      <c r="G808" s="1" t="s">
        <v>2555</v>
      </c>
    </row>
    <row x14ac:dyDescent="0.25" r="809" customHeight="1" ht="17.25" hidden="1">
      <c r="A809" s="112" t="s">
        <v>3928</v>
      </c>
      <c r="B809" s="1" t="s">
        <v>2549</v>
      </c>
      <c r="C809" s="1" t="s">
        <v>51</v>
      </c>
      <c r="D809" s="1" t="s">
        <v>3929</v>
      </c>
      <c r="E809" s="62">
        <v>37</v>
      </c>
      <c r="F809" s="1" t="s">
        <v>2551</v>
      </c>
      <c r="G809" s="1" t="s">
        <v>2552</v>
      </c>
    </row>
    <row x14ac:dyDescent="0.25" r="810" customHeight="1" ht="17.25" hidden="1">
      <c r="A810" s="112" t="s">
        <v>3928</v>
      </c>
      <c r="B810" s="1" t="s">
        <v>2549</v>
      </c>
      <c r="C810" s="1" t="s">
        <v>51</v>
      </c>
      <c r="D810" s="1" t="s">
        <v>3930</v>
      </c>
      <c r="E810" s="54" t="s">
        <v>2571</v>
      </c>
      <c r="F810" s="1" t="s">
        <v>2551</v>
      </c>
      <c r="G810" s="1" t="s">
        <v>2555</v>
      </c>
    </row>
    <row x14ac:dyDescent="0.25" r="811" customHeight="1" ht="17.25" hidden="1">
      <c r="A811" s="112" t="s">
        <v>3928</v>
      </c>
      <c r="B811" s="1" t="s">
        <v>2549</v>
      </c>
      <c r="C811" s="1" t="s">
        <v>51</v>
      </c>
      <c r="D811" s="1" t="s">
        <v>3931</v>
      </c>
      <c r="E811" s="62">
        <v>36</v>
      </c>
      <c r="F811" s="1" t="s">
        <v>2551</v>
      </c>
      <c r="G811" s="1" t="s">
        <v>2552</v>
      </c>
    </row>
    <row x14ac:dyDescent="0.25" r="812" customHeight="1" ht="17.25" hidden="1">
      <c r="A812" s="112" t="s">
        <v>3932</v>
      </c>
      <c r="B812" s="1" t="s">
        <v>2549</v>
      </c>
      <c r="C812" s="1" t="s">
        <v>52</v>
      </c>
      <c r="D812" s="1" t="s">
        <v>3933</v>
      </c>
      <c r="E812" s="62">
        <v>820</v>
      </c>
      <c r="F812" s="1" t="s">
        <v>2561</v>
      </c>
      <c r="G812" s="1" t="s">
        <v>2555</v>
      </c>
    </row>
    <row x14ac:dyDescent="0.25" r="813" customHeight="1" ht="17.25" hidden="1">
      <c r="A813" s="112" t="s">
        <v>3932</v>
      </c>
      <c r="B813" s="1" t="s">
        <v>2549</v>
      </c>
      <c r="C813" s="1" t="s">
        <v>52</v>
      </c>
      <c r="D813" s="1" t="s">
        <v>3934</v>
      </c>
      <c r="E813" s="62">
        <v>26</v>
      </c>
      <c r="F813" s="1" t="s">
        <v>2551</v>
      </c>
      <c r="G813" s="1" t="s">
        <v>2571</v>
      </c>
    </row>
    <row x14ac:dyDescent="0.25" r="814" customHeight="1" ht="17.25" hidden="1">
      <c r="A814" s="112" t="s">
        <v>3935</v>
      </c>
      <c r="B814" s="1" t="s">
        <v>2549</v>
      </c>
      <c r="C814" s="1" t="s">
        <v>52</v>
      </c>
      <c r="D814" s="1" t="s">
        <v>3936</v>
      </c>
      <c r="E814" s="62">
        <v>24</v>
      </c>
      <c r="F814" s="1" t="s">
        <v>2551</v>
      </c>
      <c r="G814" s="1" t="s">
        <v>2555</v>
      </c>
    </row>
    <row x14ac:dyDescent="0.25" r="815" customHeight="1" ht="17.25" hidden="1">
      <c r="A815" s="112" t="s">
        <v>3937</v>
      </c>
      <c r="B815" s="1" t="s">
        <v>2549</v>
      </c>
      <c r="C815" s="1" t="s">
        <v>52</v>
      </c>
      <c r="D815" s="1" t="s">
        <v>3938</v>
      </c>
      <c r="E815" s="62">
        <v>32</v>
      </c>
      <c r="F815" s="1" t="s">
        <v>2551</v>
      </c>
      <c r="G815" s="1" t="s">
        <v>2552</v>
      </c>
    </row>
    <row x14ac:dyDescent="0.25" r="816" customHeight="1" ht="17.25" hidden="1">
      <c r="A816" s="112" t="s">
        <v>3939</v>
      </c>
      <c r="B816" s="1" t="s">
        <v>2549</v>
      </c>
      <c r="C816" s="1" t="s">
        <v>52</v>
      </c>
      <c r="D816" s="1" t="s">
        <v>3940</v>
      </c>
      <c r="E816" s="62">
        <v>32</v>
      </c>
      <c r="F816" s="1" t="s">
        <v>2551</v>
      </c>
      <c r="G816" s="1" t="s">
        <v>2558</v>
      </c>
    </row>
    <row x14ac:dyDescent="0.25" r="817" customHeight="1" ht="17.25" hidden="1">
      <c r="A817" s="112" t="s">
        <v>3941</v>
      </c>
      <c r="B817" s="1" t="s">
        <v>2549</v>
      </c>
      <c r="C817" s="1" t="s">
        <v>52</v>
      </c>
      <c r="D817" s="1" t="s">
        <v>3942</v>
      </c>
      <c r="E817" s="62">
        <v>19</v>
      </c>
      <c r="F817" s="1" t="s">
        <v>2551</v>
      </c>
      <c r="G817" s="1" t="s">
        <v>2552</v>
      </c>
    </row>
    <row x14ac:dyDescent="0.25" r="818" customHeight="1" ht="17.25" hidden="1">
      <c r="A818" s="112" t="s">
        <v>3943</v>
      </c>
      <c r="B818" s="1" t="s">
        <v>2549</v>
      </c>
      <c r="C818" s="1" t="s">
        <v>52</v>
      </c>
      <c r="D818" s="1" t="s">
        <v>3944</v>
      </c>
      <c r="E818" s="62">
        <v>29</v>
      </c>
      <c r="F818" s="1" t="s">
        <v>2551</v>
      </c>
      <c r="G818" s="1" t="s">
        <v>2552</v>
      </c>
    </row>
    <row x14ac:dyDescent="0.25" r="819" customHeight="1" ht="17.25" hidden="1">
      <c r="A819" s="112" t="s">
        <v>3943</v>
      </c>
      <c r="B819" s="1" t="s">
        <v>2549</v>
      </c>
      <c r="C819" s="1" t="s">
        <v>52</v>
      </c>
      <c r="D819" s="1" t="s">
        <v>3945</v>
      </c>
      <c r="E819" s="62">
        <v>18</v>
      </c>
      <c r="F819" s="1" t="s">
        <v>2551</v>
      </c>
      <c r="G819" s="1" t="s">
        <v>2552</v>
      </c>
    </row>
    <row x14ac:dyDescent="0.25" r="820" customHeight="1" ht="17.25" hidden="1">
      <c r="A820" s="112" t="s">
        <v>2248</v>
      </c>
      <c r="B820" s="1" t="s">
        <v>2549</v>
      </c>
      <c r="C820" s="1" t="s">
        <v>52</v>
      </c>
      <c r="D820" s="1" t="s">
        <v>2250</v>
      </c>
      <c r="E820" s="62">
        <v>26</v>
      </c>
      <c r="F820" s="1" t="s">
        <v>2551</v>
      </c>
      <c r="G820" s="1" t="s">
        <v>2555</v>
      </c>
    </row>
    <row x14ac:dyDescent="0.25" r="821" customHeight="1" ht="17.25" hidden="1">
      <c r="A821" s="112" t="s">
        <v>3946</v>
      </c>
      <c r="B821" s="1" t="s">
        <v>2549</v>
      </c>
      <c r="C821" s="1" t="s">
        <v>52</v>
      </c>
      <c r="D821" s="1" t="s">
        <v>3947</v>
      </c>
      <c r="E821" s="62">
        <v>37</v>
      </c>
      <c r="F821" s="1" t="s">
        <v>2561</v>
      </c>
      <c r="G821" s="1" t="s">
        <v>2552</v>
      </c>
    </row>
    <row x14ac:dyDescent="0.25" r="822" customHeight="1" ht="17.25" hidden="1">
      <c r="A822" s="112" t="s">
        <v>3948</v>
      </c>
      <c r="B822" s="1" t="s">
        <v>2549</v>
      </c>
      <c r="C822" s="1" t="s">
        <v>52</v>
      </c>
      <c r="D822" s="1" t="s">
        <v>3949</v>
      </c>
      <c r="E822" s="62">
        <v>33</v>
      </c>
      <c r="F822" s="1" t="s">
        <v>2551</v>
      </c>
      <c r="G822" s="1" t="s">
        <v>2571</v>
      </c>
    </row>
    <row x14ac:dyDescent="0.25" r="823" customHeight="1" ht="17.25" hidden="1">
      <c r="A823" s="112" t="s">
        <v>3950</v>
      </c>
      <c r="B823" s="1" t="s">
        <v>2549</v>
      </c>
      <c r="C823" s="1" t="s">
        <v>52</v>
      </c>
      <c r="D823" s="1" t="s">
        <v>3951</v>
      </c>
      <c r="E823" s="62">
        <v>32</v>
      </c>
      <c r="F823" s="1" t="s">
        <v>2551</v>
      </c>
      <c r="G823" s="1" t="s">
        <v>2555</v>
      </c>
    </row>
    <row x14ac:dyDescent="0.25" r="824" customHeight="1" ht="17.25" hidden="1">
      <c r="A824" s="112" t="s">
        <v>3952</v>
      </c>
      <c r="B824" s="1" t="s">
        <v>2549</v>
      </c>
      <c r="C824" s="1" t="s">
        <v>52</v>
      </c>
      <c r="D824" s="1" t="s">
        <v>3953</v>
      </c>
      <c r="E824" s="62">
        <v>49</v>
      </c>
      <c r="F824" s="1" t="s">
        <v>2551</v>
      </c>
      <c r="G824" s="1" t="s">
        <v>2558</v>
      </c>
    </row>
    <row x14ac:dyDescent="0.25" r="825" customHeight="1" ht="17.25" hidden="1">
      <c r="A825" s="112" t="s">
        <v>3954</v>
      </c>
      <c r="B825" s="1" t="s">
        <v>2549</v>
      </c>
      <c r="C825" s="1" t="s">
        <v>52</v>
      </c>
      <c r="D825" s="1" t="s">
        <v>3955</v>
      </c>
      <c r="E825" s="62">
        <v>27</v>
      </c>
      <c r="F825" s="1" t="s">
        <v>2551</v>
      </c>
      <c r="G825" s="1" t="s">
        <v>2552</v>
      </c>
    </row>
    <row x14ac:dyDescent="0.25" r="826" customHeight="1" ht="17.25" hidden="1">
      <c r="A826" s="112" t="s">
        <v>3956</v>
      </c>
      <c r="B826" s="1" t="s">
        <v>2549</v>
      </c>
      <c r="C826" s="1" t="s">
        <v>52</v>
      </c>
      <c r="D826" s="1" t="s">
        <v>3957</v>
      </c>
      <c r="E826" s="62">
        <v>35</v>
      </c>
      <c r="F826" s="1" t="s">
        <v>2551</v>
      </c>
      <c r="G826" s="1" t="s">
        <v>2552</v>
      </c>
    </row>
    <row x14ac:dyDescent="0.25" r="827" customHeight="1" ht="17.25" hidden="1">
      <c r="A827" s="112" t="s">
        <v>3958</v>
      </c>
      <c r="B827" s="1" t="s">
        <v>2549</v>
      </c>
      <c r="C827" s="1" t="s">
        <v>52</v>
      </c>
      <c r="D827" s="1" t="s">
        <v>3959</v>
      </c>
      <c r="E827" s="62">
        <v>24</v>
      </c>
      <c r="F827" s="1" t="s">
        <v>2561</v>
      </c>
      <c r="G827" s="1" t="s">
        <v>2552</v>
      </c>
    </row>
    <row x14ac:dyDescent="0.25" r="828" customHeight="1" ht="17.25" hidden="1">
      <c r="A828" s="112" t="s">
        <v>2452</v>
      </c>
      <c r="B828" s="1" t="s">
        <v>2549</v>
      </c>
      <c r="C828" s="1" t="s">
        <v>52</v>
      </c>
      <c r="D828" s="1" t="s">
        <v>2453</v>
      </c>
      <c r="E828" s="62">
        <v>20</v>
      </c>
      <c r="F828" s="1" t="s">
        <v>2551</v>
      </c>
      <c r="G828" s="1" t="s">
        <v>2552</v>
      </c>
    </row>
    <row x14ac:dyDescent="0.25" r="829" customHeight="1" ht="17.25" hidden="1">
      <c r="A829" s="112" t="s">
        <v>3960</v>
      </c>
      <c r="B829" s="1" t="s">
        <v>2549</v>
      </c>
      <c r="C829" s="1" t="s">
        <v>52</v>
      </c>
      <c r="D829" s="1" t="s">
        <v>3961</v>
      </c>
      <c r="E829" s="62">
        <v>23</v>
      </c>
      <c r="F829" s="1" t="s">
        <v>2551</v>
      </c>
      <c r="G829" s="1" t="s">
        <v>2552</v>
      </c>
    </row>
    <row x14ac:dyDescent="0.25" r="830" customHeight="1" ht="17.25" hidden="1">
      <c r="A830" s="112" t="s">
        <v>3962</v>
      </c>
      <c r="B830" s="1" t="s">
        <v>2549</v>
      </c>
      <c r="C830" s="1" t="s">
        <v>52</v>
      </c>
      <c r="D830" s="1" t="s">
        <v>3963</v>
      </c>
      <c r="E830" s="62">
        <v>24</v>
      </c>
      <c r="F830" s="1" t="s">
        <v>2551</v>
      </c>
      <c r="G830" s="1" t="s">
        <v>2552</v>
      </c>
    </row>
    <row x14ac:dyDescent="0.25" r="831" customHeight="1" ht="17.25" hidden="1">
      <c r="A831" s="112" t="s">
        <v>3964</v>
      </c>
      <c r="B831" s="1" t="s">
        <v>2549</v>
      </c>
      <c r="C831" s="1" t="s">
        <v>52</v>
      </c>
      <c r="D831" s="1" t="s">
        <v>2525</v>
      </c>
      <c r="E831" s="62">
        <v>37</v>
      </c>
      <c r="F831" s="1" t="s">
        <v>2551</v>
      </c>
      <c r="G831" s="1" t="s">
        <v>2555</v>
      </c>
    </row>
    <row x14ac:dyDescent="0.25" r="832" customHeight="1" ht="17.25" hidden="1">
      <c r="A832" s="112" t="s">
        <v>3965</v>
      </c>
      <c r="B832" s="1" t="s">
        <v>2549</v>
      </c>
      <c r="C832" s="1" t="s">
        <v>52</v>
      </c>
      <c r="D832" s="1" t="s">
        <v>3966</v>
      </c>
      <c r="E832" s="62">
        <v>35</v>
      </c>
      <c r="F832" s="1" t="s">
        <v>2551</v>
      </c>
      <c r="G832" s="1" t="s">
        <v>2555</v>
      </c>
    </row>
    <row x14ac:dyDescent="0.25" r="833" customHeight="1" ht="17.25" hidden="1">
      <c r="A833" s="112" t="s">
        <v>3967</v>
      </c>
      <c r="B833" s="1" t="s">
        <v>2549</v>
      </c>
      <c r="C833" s="1" t="s">
        <v>52</v>
      </c>
      <c r="D833" s="1" t="s">
        <v>3968</v>
      </c>
      <c r="E833" s="62">
        <v>24</v>
      </c>
      <c r="F833" s="1" t="s">
        <v>2551</v>
      </c>
      <c r="G833" s="1" t="s">
        <v>2555</v>
      </c>
    </row>
    <row x14ac:dyDescent="0.25" r="834" customHeight="1" ht="17.25" hidden="1">
      <c r="A834" s="112" t="s">
        <v>3969</v>
      </c>
      <c r="B834" s="1" t="s">
        <v>2549</v>
      </c>
      <c r="C834" s="1" t="s">
        <v>52</v>
      </c>
      <c r="D834" s="1" t="s">
        <v>3970</v>
      </c>
      <c r="E834" s="62">
        <v>31</v>
      </c>
      <c r="F834" s="1" t="s">
        <v>2551</v>
      </c>
      <c r="G834" s="1" t="s">
        <v>2558</v>
      </c>
    </row>
    <row x14ac:dyDescent="0.25" r="835" customHeight="1" ht="17.25" hidden="1">
      <c r="A835" s="112" t="s">
        <v>3969</v>
      </c>
      <c r="B835" s="1" t="s">
        <v>2549</v>
      </c>
      <c r="C835" s="1" t="s">
        <v>52</v>
      </c>
      <c r="D835" s="1" t="s">
        <v>3971</v>
      </c>
      <c r="E835" s="62">
        <v>42</v>
      </c>
      <c r="F835" s="1" t="s">
        <v>2551</v>
      </c>
      <c r="G835" s="1" t="s">
        <v>2558</v>
      </c>
    </row>
    <row x14ac:dyDescent="0.25" r="836" customHeight="1" ht="17.25" hidden="1">
      <c r="A836" s="112" t="s">
        <v>3972</v>
      </c>
      <c r="B836" s="1" t="s">
        <v>2549</v>
      </c>
      <c r="C836" s="1" t="s">
        <v>52</v>
      </c>
      <c r="D836" s="1" t="s">
        <v>3973</v>
      </c>
      <c r="E836" s="62">
        <v>23</v>
      </c>
      <c r="F836" s="1" t="s">
        <v>2551</v>
      </c>
      <c r="G836" s="1" t="s">
        <v>2552</v>
      </c>
    </row>
    <row x14ac:dyDescent="0.25" r="837" customHeight="1" ht="17.25" hidden="1">
      <c r="A837" s="112" t="s">
        <v>3974</v>
      </c>
      <c r="B837" s="1" t="s">
        <v>2549</v>
      </c>
      <c r="C837" s="1" t="s">
        <v>52</v>
      </c>
      <c r="D837" s="1" t="s">
        <v>3975</v>
      </c>
      <c r="E837" s="62">
        <v>30</v>
      </c>
      <c r="F837" s="1" t="s">
        <v>2551</v>
      </c>
      <c r="G837" s="1" t="s">
        <v>2555</v>
      </c>
    </row>
    <row x14ac:dyDescent="0.25" r="838" customHeight="1" ht="17.25" hidden="1">
      <c r="A838" s="112" t="s">
        <v>3976</v>
      </c>
      <c r="B838" s="1" t="s">
        <v>2549</v>
      </c>
      <c r="C838" s="1" t="s">
        <v>52</v>
      </c>
      <c r="D838" s="1" t="s">
        <v>3977</v>
      </c>
      <c r="E838" s="62">
        <v>20</v>
      </c>
      <c r="F838" s="1" t="s">
        <v>2551</v>
      </c>
      <c r="G838" s="1" t="s">
        <v>2558</v>
      </c>
    </row>
    <row x14ac:dyDescent="0.25" r="839" customHeight="1" ht="17.25" hidden="1">
      <c r="A839" s="112" t="s">
        <v>3978</v>
      </c>
      <c r="B839" s="1" t="s">
        <v>2549</v>
      </c>
      <c r="C839" s="1" t="s">
        <v>52</v>
      </c>
      <c r="D839" s="1" t="s">
        <v>3979</v>
      </c>
      <c r="E839" s="62">
        <v>26</v>
      </c>
      <c r="F839" s="1" t="s">
        <v>2551</v>
      </c>
      <c r="G839" s="1" t="s">
        <v>2552</v>
      </c>
    </row>
    <row x14ac:dyDescent="0.25" r="840" customHeight="1" ht="17.25" hidden="1">
      <c r="A840" s="112" t="s">
        <v>3980</v>
      </c>
      <c r="B840" s="1" t="s">
        <v>2549</v>
      </c>
      <c r="C840" s="1" t="s">
        <v>52</v>
      </c>
      <c r="D840" s="1" t="s">
        <v>3981</v>
      </c>
      <c r="E840" s="62">
        <v>38</v>
      </c>
      <c r="F840" s="1" t="s">
        <v>2551</v>
      </c>
      <c r="G840" s="1" t="s">
        <v>2552</v>
      </c>
    </row>
    <row x14ac:dyDescent="0.25" r="841" customHeight="1" ht="17.25" hidden="1">
      <c r="A841" s="112" t="s">
        <v>3980</v>
      </c>
      <c r="B841" s="1" t="s">
        <v>2549</v>
      </c>
      <c r="C841" s="1" t="s">
        <v>52</v>
      </c>
      <c r="D841" s="1" t="s">
        <v>3982</v>
      </c>
      <c r="E841" s="62">
        <v>29</v>
      </c>
      <c r="F841" s="1" t="s">
        <v>2561</v>
      </c>
      <c r="G841" s="1" t="s">
        <v>2552</v>
      </c>
    </row>
    <row x14ac:dyDescent="0.25" r="842" customHeight="1" ht="17.25" hidden="1">
      <c r="A842" s="112" t="s">
        <v>3980</v>
      </c>
      <c r="B842" s="1" t="s">
        <v>2549</v>
      </c>
      <c r="C842" s="1" t="s">
        <v>52</v>
      </c>
      <c r="D842" s="1" t="s">
        <v>3983</v>
      </c>
      <c r="E842" s="62">
        <v>32</v>
      </c>
      <c r="F842" s="1" t="s">
        <v>2561</v>
      </c>
      <c r="G842" s="1" t="s">
        <v>2552</v>
      </c>
    </row>
    <row x14ac:dyDescent="0.25" r="843" customHeight="1" ht="17.25" hidden="1">
      <c r="A843" s="112" t="s">
        <v>3984</v>
      </c>
      <c r="B843" s="1" t="s">
        <v>2549</v>
      </c>
      <c r="C843" s="1" t="s">
        <v>52</v>
      </c>
      <c r="D843" s="1" t="s">
        <v>3985</v>
      </c>
      <c r="E843" s="62">
        <v>30</v>
      </c>
      <c r="F843" s="1" t="s">
        <v>2551</v>
      </c>
      <c r="G843" s="1" t="s">
        <v>2552</v>
      </c>
    </row>
    <row x14ac:dyDescent="0.25" r="844" customHeight="1" ht="17.25" hidden="1">
      <c r="A844" s="112" t="s">
        <v>3986</v>
      </c>
      <c r="B844" s="1" t="s">
        <v>2549</v>
      </c>
      <c r="C844" s="1" t="s">
        <v>52</v>
      </c>
      <c r="D844" s="1" t="s">
        <v>3987</v>
      </c>
      <c r="E844" s="62">
        <v>27</v>
      </c>
      <c r="F844" s="1" t="s">
        <v>2551</v>
      </c>
      <c r="G844" s="1" t="s">
        <v>2555</v>
      </c>
    </row>
    <row x14ac:dyDescent="0.25" r="845" customHeight="1" ht="17.25" hidden="1">
      <c r="A845" s="112" t="s">
        <v>3988</v>
      </c>
      <c r="B845" s="1" t="s">
        <v>2549</v>
      </c>
      <c r="C845" s="1" t="s">
        <v>52</v>
      </c>
      <c r="D845" s="1" t="s">
        <v>3989</v>
      </c>
      <c r="E845" s="62">
        <v>28</v>
      </c>
      <c r="F845" s="1" t="s">
        <v>2551</v>
      </c>
      <c r="G845" s="1" t="s">
        <v>2552</v>
      </c>
    </row>
    <row x14ac:dyDescent="0.25" r="846" customHeight="1" ht="17.25" hidden="1">
      <c r="A846" s="112" t="s">
        <v>3990</v>
      </c>
      <c r="B846" s="1" t="s">
        <v>2549</v>
      </c>
      <c r="C846" s="1" t="s">
        <v>52</v>
      </c>
      <c r="D846" s="1" t="s">
        <v>3991</v>
      </c>
      <c r="E846" s="62">
        <v>18</v>
      </c>
      <c r="F846" s="1" t="s">
        <v>2551</v>
      </c>
      <c r="G846" s="1" t="s">
        <v>2558</v>
      </c>
    </row>
    <row x14ac:dyDescent="0.25" r="847" customHeight="1" ht="17.25" hidden="1">
      <c r="A847" s="112" t="s">
        <v>3992</v>
      </c>
      <c r="B847" s="1" t="s">
        <v>2549</v>
      </c>
      <c r="C847" s="1" t="s">
        <v>52</v>
      </c>
      <c r="D847" s="1" t="s">
        <v>3993</v>
      </c>
      <c r="E847" s="62">
        <v>31</v>
      </c>
      <c r="F847" s="1" t="s">
        <v>2551</v>
      </c>
      <c r="G847" s="1" t="s">
        <v>2552</v>
      </c>
    </row>
    <row x14ac:dyDescent="0.25" r="848" customHeight="1" ht="17.25" hidden="1">
      <c r="A848" s="112" t="s">
        <v>3994</v>
      </c>
      <c r="B848" s="1" t="s">
        <v>2549</v>
      </c>
      <c r="C848" s="1" t="s">
        <v>52</v>
      </c>
      <c r="D848" s="1" t="s">
        <v>3995</v>
      </c>
      <c r="E848" s="62">
        <v>20</v>
      </c>
      <c r="F848" s="1" t="s">
        <v>2551</v>
      </c>
      <c r="G848" s="1" t="s">
        <v>2555</v>
      </c>
    </row>
    <row x14ac:dyDescent="0.25" r="849" customHeight="1" ht="17.25" hidden="1">
      <c r="A849" s="112" t="s">
        <v>3994</v>
      </c>
      <c r="B849" s="1" t="s">
        <v>2549</v>
      </c>
      <c r="C849" s="1" t="s">
        <v>52</v>
      </c>
      <c r="D849" s="1" t="s">
        <v>3996</v>
      </c>
      <c r="E849" s="62">
        <v>32</v>
      </c>
      <c r="F849" s="1" t="s">
        <v>2551</v>
      </c>
      <c r="G849" s="1" t="s">
        <v>2555</v>
      </c>
    </row>
    <row x14ac:dyDescent="0.25" r="850" customHeight="1" ht="17.25" hidden="1">
      <c r="A850" s="112" t="s">
        <v>3997</v>
      </c>
      <c r="B850" s="1" t="s">
        <v>2549</v>
      </c>
      <c r="C850" s="1" t="s">
        <v>52</v>
      </c>
      <c r="D850" s="1" t="s">
        <v>3998</v>
      </c>
      <c r="E850" s="62">
        <v>22</v>
      </c>
      <c r="F850" s="1" t="s">
        <v>2561</v>
      </c>
      <c r="G850" s="1" t="s">
        <v>2555</v>
      </c>
    </row>
    <row x14ac:dyDescent="0.25" r="851" customHeight="1" ht="17.25" hidden="1">
      <c r="A851" s="112" t="s">
        <v>3997</v>
      </c>
      <c r="B851" s="1" t="s">
        <v>2549</v>
      </c>
      <c r="C851" s="1" t="s">
        <v>52</v>
      </c>
      <c r="D851" s="1" t="s">
        <v>3999</v>
      </c>
      <c r="E851" s="62">
        <v>23</v>
      </c>
      <c r="F851" s="1" t="s">
        <v>2551</v>
      </c>
      <c r="G851" s="1" t="s">
        <v>2555</v>
      </c>
    </row>
    <row x14ac:dyDescent="0.25" r="852" customHeight="1" ht="17.25" hidden="1">
      <c r="A852" s="112" t="s">
        <v>4000</v>
      </c>
      <c r="B852" s="1" t="s">
        <v>2549</v>
      </c>
      <c r="C852" s="1" t="s">
        <v>52</v>
      </c>
      <c r="D852" s="1" t="s">
        <v>4001</v>
      </c>
      <c r="E852" s="62">
        <v>20</v>
      </c>
      <c r="F852" s="1" t="s">
        <v>2551</v>
      </c>
      <c r="G852" s="1" t="s">
        <v>2552</v>
      </c>
    </row>
    <row x14ac:dyDescent="0.25" r="853" customHeight="1" ht="17.25" hidden="1">
      <c r="A853" s="112" t="s">
        <v>4000</v>
      </c>
      <c r="B853" s="1" t="s">
        <v>2549</v>
      </c>
      <c r="C853" s="1" t="s">
        <v>52</v>
      </c>
      <c r="D853" s="1" t="s">
        <v>4002</v>
      </c>
      <c r="E853" s="62">
        <v>23</v>
      </c>
      <c r="F853" s="1" t="s">
        <v>2551</v>
      </c>
      <c r="G853" s="1" t="s">
        <v>2552</v>
      </c>
    </row>
    <row x14ac:dyDescent="0.25" r="854" customHeight="1" ht="17.25" hidden="1">
      <c r="A854" s="112" t="s">
        <v>4003</v>
      </c>
      <c r="B854" s="1" t="s">
        <v>2549</v>
      </c>
      <c r="C854" s="1" t="s">
        <v>52</v>
      </c>
      <c r="D854" s="1" t="s">
        <v>4004</v>
      </c>
      <c r="E854" s="62">
        <v>25</v>
      </c>
      <c r="F854" s="1" t="s">
        <v>2551</v>
      </c>
      <c r="G854" s="1" t="s">
        <v>2555</v>
      </c>
    </row>
    <row x14ac:dyDescent="0.25" r="855" customHeight="1" ht="17.25" hidden="1">
      <c r="A855" s="112" t="s">
        <v>4003</v>
      </c>
      <c r="B855" s="1" t="s">
        <v>2549</v>
      </c>
      <c r="C855" s="1" t="s">
        <v>52</v>
      </c>
      <c r="D855" s="1" t="s">
        <v>4005</v>
      </c>
      <c r="E855" s="62">
        <v>20</v>
      </c>
      <c r="F855" s="1" t="s">
        <v>2551</v>
      </c>
      <c r="G855" s="1" t="s">
        <v>2555</v>
      </c>
    </row>
    <row x14ac:dyDescent="0.25" r="856" customHeight="1" ht="17.25" hidden="1">
      <c r="A856" s="112" t="s">
        <v>4006</v>
      </c>
      <c r="B856" s="1" t="s">
        <v>2549</v>
      </c>
      <c r="C856" s="1" t="s">
        <v>52</v>
      </c>
      <c r="D856" s="1" t="s">
        <v>2756</v>
      </c>
      <c r="E856" s="62">
        <v>19</v>
      </c>
      <c r="F856" s="1" t="s">
        <v>2551</v>
      </c>
      <c r="G856" s="1" t="s">
        <v>2555</v>
      </c>
    </row>
    <row x14ac:dyDescent="0.25" r="857" customHeight="1" ht="17.25" hidden="1">
      <c r="A857" s="112" t="s">
        <v>4007</v>
      </c>
      <c r="B857" s="1" t="s">
        <v>2549</v>
      </c>
      <c r="C857" s="1" t="s">
        <v>52</v>
      </c>
      <c r="D857" s="1" t="s">
        <v>4008</v>
      </c>
      <c r="E857" s="62">
        <v>34</v>
      </c>
      <c r="F857" s="1" t="s">
        <v>2551</v>
      </c>
      <c r="G857" s="1" t="s">
        <v>2555</v>
      </c>
    </row>
    <row x14ac:dyDescent="0.25" r="858" customHeight="1" ht="17.25" hidden="1">
      <c r="A858" s="112" t="s">
        <v>4009</v>
      </c>
      <c r="B858" s="1" t="s">
        <v>2549</v>
      </c>
      <c r="C858" s="1" t="s">
        <v>52</v>
      </c>
      <c r="D858" s="1" t="s">
        <v>4010</v>
      </c>
      <c r="E858" s="62">
        <v>29</v>
      </c>
      <c r="F858" s="1" t="s">
        <v>2551</v>
      </c>
      <c r="G858" s="1" t="s">
        <v>2555</v>
      </c>
    </row>
    <row x14ac:dyDescent="0.25" r="859" customHeight="1" ht="17.25" hidden="1">
      <c r="A859" s="112" t="s">
        <v>4011</v>
      </c>
      <c r="B859" s="1" t="s">
        <v>2549</v>
      </c>
      <c r="C859" s="1" t="s">
        <v>52</v>
      </c>
      <c r="D859" s="1" t="s">
        <v>4012</v>
      </c>
      <c r="E859" s="62">
        <v>29</v>
      </c>
      <c r="F859" s="1" t="s">
        <v>2551</v>
      </c>
      <c r="G859" s="1" t="s">
        <v>2552</v>
      </c>
    </row>
    <row x14ac:dyDescent="0.25" r="860" customHeight="1" ht="17.25" hidden="1">
      <c r="A860" s="112" t="s">
        <v>4013</v>
      </c>
      <c r="B860" s="1" t="s">
        <v>2549</v>
      </c>
      <c r="C860" s="1" t="s">
        <v>52</v>
      </c>
      <c r="D860" s="1" t="s">
        <v>4014</v>
      </c>
      <c r="E860" s="62">
        <v>34</v>
      </c>
      <c r="F860" s="1" t="s">
        <v>2551</v>
      </c>
      <c r="G860" s="1" t="s">
        <v>2555</v>
      </c>
    </row>
    <row x14ac:dyDescent="0.25" r="861" customHeight="1" ht="17.25" hidden="1">
      <c r="A861" s="112" t="s">
        <v>4015</v>
      </c>
      <c r="B861" s="1" t="s">
        <v>2549</v>
      </c>
      <c r="C861" s="1" t="s">
        <v>52</v>
      </c>
      <c r="D861" s="1" t="s">
        <v>4016</v>
      </c>
      <c r="E861" s="62">
        <v>28</v>
      </c>
      <c r="F861" s="1" t="s">
        <v>2551</v>
      </c>
      <c r="G861" s="1" t="s">
        <v>2552</v>
      </c>
    </row>
    <row x14ac:dyDescent="0.25" r="862" customHeight="1" ht="17.25" hidden="1">
      <c r="A862" s="112" t="s">
        <v>4017</v>
      </c>
      <c r="B862" s="1" t="s">
        <v>2549</v>
      </c>
      <c r="C862" s="1" t="s">
        <v>52</v>
      </c>
      <c r="D862" s="1" t="s">
        <v>4018</v>
      </c>
      <c r="E862" s="62">
        <v>29</v>
      </c>
      <c r="F862" s="1" t="s">
        <v>2551</v>
      </c>
      <c r="G862" s="1" t="s">
        <v>2555</v>
      </c>
    </row>
    <row x14ac:dyDescent="0.25" r="863" customHeight="1" ht="17.25" hidden="1">
      <c r="A863" s="112" t="s">
        <v>4019</v>
      </c>
      <c r="B863" s="1" t="s">
        <v>2549</v>
      </c>
      <c r="C863" s="1" t="s">
        <v>52</v>
      </c>
      <c r="D863" s="1" t="s">
        <v>4020</v>
      </c>
      <c r="E863" s="62">
        <v>21</v>
      </c>
      <c r="F863" s="1" t="s">
        <v>2561</v>
      </c>
      <c r="G863" s="1" t="s">
        <v>2552</v>
      </c>
    </row>
    <row x14ac:dyDescent="0.25" r="864" customHeight="1" ht="17.25" hidden="1">
      <c r="A864" s="112" t="s">
        <v>4021</v>
      </c>
      <c r="B864" s="1" t="s">
        <v>2549</v>
      </c>
      <c r="C864" s="1" t="s">
        <v>52</v>
      </c>
      <c r="D864" s="1" t="s">
        <v>4022</v>
      </c>
      <c r="E864" s="54" t="s">
        <v>2571</v>
      </c>
      <c r="F864" s="1" t="s">
        <v>2561</v>
      </c>
      <c r="G864" s="1" t="s">
        <v>2555</v>
      </c>
    </row>
    <row x14ac:dyDescent="0.25" r="865" customHeight="1" ht="17.25" hidden="1">
      <c r="A865" s="112" t="s">
        <v>4023</v>
      </c>
      <c r="B865" s="1" t="s">
        <v>2549</v>
      </c>
      <c r="C865" s="1" t="s">
        <v>52</v>
      </c>
      <c r="D865" s="1" t="s">
        <v>4024</v>
      </c>
      <c r="E865" s="62">
        <v>33</v>
      </c>
      <c r="F865" s="1" t="s">
        <v>2551</v>
      </c>
      <c r="G865" s="1" t="s">
        <v>2555</v>
      </c>
    </row>
    <row x14ac:dyDescent="0.25" r="866" customHeight="1" ht="17.25" hidden="1">
      <c r="A866" s="112" t="s">
        <v>4023</v>
      </c>
      <c r="B866" s="1" t="s">
        <v>2549</v>
      </c>
      <c r="C866" s="1" t="s">
        <v>52</v>
      </c>
      <c r="D866" s="1" t="s">
        <v>4025</v>
      </c>
      <c r="E866" s="62">
        <v>32</v>
      </c>
      <c r="F866" s="1" t="s">
        <v>2551</v>
      </c>
      <c r="G866" s="1" t="s">
        <v>2555</v>
      </c>
    </row>
    <row x14ac:dyDescent="0.25" r="867" customHeight="1" ht="17.25" hidden="1">
      <c r="A867" s="112" t="s">
        <v>4026</v>
      </c>
      <c r="B867" s="1" t="s">
        <v>2549</v>
      </c>
      <c r="C867" s="1" t="s">
        <v>52</v>
      </c>
      <c r="D867" s="1" t="s">
        <v>4027</v>
      </c>
      <c r="E867" s="62">
        <v>23</v>
      </c>
      <c r="F867" s="1" t="s">
        <v>2551</v>
      </c>
      <c r="G867" s="1" t="s">
        <v>2552</v>
      </c>
    </row>
    <row x14ac:dyDescent="0.25" r="868" customHeight="1" ht="17.25" hidden="1">
      <c r="A868" s="112" t="s">
        <v>4028</v>
      </c>
      <c r="B868" s="1" t="s">
        <v>2549</v>
      </c>
      <c r="C868" s="1" t="s">
        <v>52</v>
      </c>
      <c r="D868" s="1" t="s">
        <v>4029</v>
      </c>
      <c r="E868" s="62">
        <v>22</v>
      </c>
      <c r="F868" s="1" t="s">
        <v>2551</v>
      </c>
      <c r="G868" s="1" t="s">
        <v>2552</v>
      </c>
    </row>
    <row x14ac:dyDescent="0.25" r="869" customHeight="1" ht="17.25" hidden="1">
      <c r="A869" s="112" t="s">
        <v>4030</v>
      </c>
      <c r="B869" s="1" t="s">
        <v>2549</v>
      </c>
      <c r="C869" s="1" t="s">
        <v>52</v>
      </c>
      <c r="D869" s="1" t="s">
        <v>4031</v>
      </c>
      <c r="E869" s="62">
        <v>47</v>
      </c>
      <c r="F869" s="1" t="s">
        <v>2551</v>
      </c>
      <c r="G869" s="1" t="s">
        <v>2555</v>
      </c>
    </row>
    <row x14ac:dyDescent="0.25" r="870" customHeight="1" ht="17.25" hidden="1">
      <c r="A870" s="112" t="s">
        <v>4032</v>
      </c>
      <c r="B870" s="1" t="s">
        <v>2549</v>
      </c>
      <c r="C870" s="1" t="s">
        <v>52</v>
      </c>
      <c r="D870" s="1" t="s">
        <v>4033</v>
      </c>
      <c r="E870" s="62">
        <v>38</v>
      </c>
      <c r="F870" s="1" t="s">
        <v>2551</v>
      </c>
      <c r="G870" s="1" t="s">
        <v>2552</v>
      </c>
    </row>
    <row x14ac:dyDescent="0.25" r="871" customHeight="1" ht="17.25" hidden="1">
      <c r="A871" s="112" t="s">
        <v>1966</v>
      </c>
      <c r="B871" s="1" t="s">
        <v>2549</v>
      </c>
      <c r="C871" s="1" t="s">
        <v>52</v>
      </c>
      <c r="D871" s="1" t="s">
        <v>4034</v>
      </c>
      <c r="E871" s="62">
        <v>40</v>
      </c>
      <c r="F871" s="1" t="s">
        <v>2551</v>
      </c>
      <c r="G871" s="1" t="s">
        <v>2558</v>
      </c>
    </row>
    <row x14ac:dyDescent="0.25" r="872" customHeight="1" ht="17.25" hidden="1">
      <c r="A872" s="112" t="s">
        <v>1966</v>
      </c>
      <c r="B872" s="1" t="s">
        <v>2549</v>
      </c>
      <c r="C872" s="1" t="s">
        <v>52</v>
      </c>
      <c r="D872" s="1" t="s">
        <v>1968</v>
      </c>
      <c r="E872" s="62">
        <v>40</v>
      </c>
      <c r="F872" s="1" t="s">
        <v>2561</v>
      </c>
      <c r="G872" s="1" t="s">
        <v>2558</v>
      </c>
    </row>
    <row x14ac:dyDescent="0.25" r="873" customHeight="1" ht="17.25" hidden="1">
      <c r="A873" s="112" t="s">
        <v>4035</v>
      </c>
      <c r="B873" s="1" t="s">
        <v>2549</v>
      </c>
      <c r="C873" s="1" t="s">
        <v>52</v>
      </c>
      <c r="D873" s="1" t="s">
        <v>4036</v>
      </c>
      <c r="E873" s="62">
        <v>18</v>
      </c>
      <c r="F873" s="1" t="s">
        <v>2551</v>
      </c>
      <c r="G873" s="1" t="s">
        <v>2552</v>
      </c>
    </row>
    <row x14ac:dyDescent="0.25" r="874" customHeight="1" ht="17.25" hidden="1">
      <c r="A874" s="112" t="s">
        <v>4037</v>
      </c>
      <c r="B874" s="1" t="s">
        <v>2549</v>
      </c>
      <c r="C874" s="1" t="s">
        <v>52</v>
      </c>
      <c r="D874" s="1" t="s">
        <v>4038</v>
      </c>
      <c r="E874" s="62">
        <v>27</v>
      </c>
      <c r="F874" s="1" t="s">
        <v>2551</v>
      </c>
      <c r="G874" s="1" t="s">
        <v>2558</v>
      </c>
    </row>
    <row x14ac:dyDescent="0.25" r="875" customHeight="1" ht="17.25" hidden="1">
      <c r="A875" s="112" t="s">
        <v>4039</v>
      </c>
      <c r="B875" s="1" t="s">
        <v>2549</v>
      </c>
      <c r="C875" s="1" t="s">
        <v>52</v>
      </c>
      <c r="D875" s="1" t="s">
        <v>4040</v>
      </c>
      <c r="E875" s="62">
        <v>21</v>
      </c>
      <c r="F875" s="1" t="s">
        <v>2551</v>
      </c>
      <c r="G875" s="1" t="s">
        <v>2555</v>
      </c>
    </row>
    <row x14ac:dyDescent="0.25" r="876" customHeight="1" ht="17.25" hidden="1">
      <c r="A876" s="112" t="s">
        <v>4041</v>
      </c>
      <c r="B876" s="1" t="s">
        <v>2549</v>
      </c>
      <c r="C876" s="1" t="s">
        <v>52</v>
      </c>
      <c r="D876" s="1" t="s">
        <v>4042</v>
      </c>
      <c r="E876" s="62">
        <v>39</v>
      </c>
      <c r="F876" s="1" t="s">
        <v>2561</v>
      </c>
      <c r="G876" s="1" t="s">
        <v>2552</v>
      </c>
    </row>
    <row x14ac:dyDescent="0.25" r="877" customHeight="1" ht="17.25" hidden="1">
      <c r="A877" s="112" t="s">
        <v>4041</v>
      </c>
      <c r="B877" s="1" t="s">
        <v>2549</v>
      </c>
      <c r="C877" s="1" t="s">
        <v>52</v>
      </c>
      <c r="D877" s="1" t="s">
        <v>4043</v>
      </c>
      <c r="E877" s="62">
        <v>33</v>
      </c>
      <c r="F877" s="1" t="s">
        <v>2561</v>
      </c>
      <c r="G877" s="1" t="s">
        <v>2552</v>
      </c>
    </row>
    <row x14ac:dyDescent="0.25" r="878" customHeight="1" ht="17.25" hidden="1">
      <c r="A878" s="112" t="s">
        <v>4044</v>
      </c>
      <c r="B878" s="1" t="s">
        <v>2549</v>
      </c>
      <c r="C878" s="1" t="s">
        <v>52</v>
      </c>
      <c r="D878" s="1" t="s">
        <v>4045</v>
      </c>
      <c r="E878" s="62">
        <v>25</v>
      </c>
      <c r="F878" s="1" t="s">
        <v>2561</v>
      </c>
      <c r="G878" s="1" t="s">
        <v>2558</v>
      </c>
    </row>
    <row x14ac:dyDescent="0.25" r="879" customHeight="1" ht="17.25" hidden="1">
      <c r="A879" s="112" t="s">
        <v>2242</v>
      </c>
      <c r="B879" s="1" t="s">
        <v>2549</v>
      </c>
      <c r="C879" s="1" t="s">
        <v>52</v>
      </c>
      <c r="D879" s="1" t="s">
        <v>2243</v>
      </c>
      <c r="E879" s="62">
        <v>28</v>
      </c>
      <c r="F879" s="1" t="s">
        <v>2551</v>
      </c>
      <c r="G879" s="1" t="s">
        <v>2555</v>
      </c>
    </row>
    <row x14ac:dyDescent="0.25" r="880" customHeight="1" ht="17.25" hidden="1">
      <c r="A880" s="112" t="s">
        <v>4046</v>
      </c>
      <c r="B880" s="1" t="s">
        <v>2549</v>
      </c>
      <c r="C880" s="1" t="s">
        <v>52</v>
      </c>
      <c r="D880" s="1" t="s">
        <v>4047</v>
      </c>
      <c r="E880" s="62">
        <v>36</v>
      </c>
      <c r="F880" s="1" t="s">
        <v>2551</v>
      </c>
      <c r="G880" s="1" t="s">
        <v>2571</v>
      </c>
    </row>
    <row x14ac:dyDescent="0.25" r="881" customHeight="1" ht="17.25" hidden="1">
      <c r="A881" s="112" t="s">
        <v>4048</v>
      </c>
      <c r="B881" s="1" t="s">
        <v>2549</v>
      </c>
      <c r="C881" s="1" t="s">
        <v>52</v>
      </c>
      <c r="D881" s="1" t="s">
        <v>4049</v>
      </c>
      <c r="E881" s="62">
        <v>34</v>
      </c>
      <c r="F881" s="1" t="s">
        <v>2551</v>
      </c>
      <c r="G881" s="1" t="s">
        <v>2555</v>
      </c>
    </row>
    <row x14ac:dyDescent="0.25" r="882" customHeight="1" ht="17.25" hidden="1">
      <c r="A882" s="112" t="s">
        <v>2255</v>
      </c>
      <c r="B882" s="1" t="s">
        <v>2549</v>
      </c>
      <c r="C882" s="1" t="s">
        <v>52</v>
      </c>
      <c r="D882" s="1" t="s">
        <v>4050</v>
      </c>
      <c r="E882" s="62">
        <v>25</v>
      </c>
      <c r="F882" s="1" t="s">
        <v>2551</v>
      </c>
      <c r="G882" s="1" t="s">
        <v>2552</v>
      </c>
    </row>
    <row x14ac:dyDescent="0.25" r="883" customHeight="1" ht="17.25" hidden="1">
      <c r="A883" s="112" t="s">
        <v>2255</v>
      </c>
      <c r="B883" s="1" t="s">
        <v>2549</v>
      </c>
      <c r="C883" s="1" t="s">
        <v>52</v>
      </c>
      <c r="D883" s="1" t="s">
        <v>4051</v>
      </c>
      <c r="E883" s="54" t="s">
        <v>2571</v>
      </c>
      <c r="F883" s="1" t="s">
        <v>2551</v>
      </c>
      <c r="G883" s="1" t="s">
        <v>2571</v>
      </c>
    </row>
    <row x14ac:dyDescent="0.25" r="884" customHeight="1" ht="17.25" hidden="1">
      <c r="A884" s="112" t="s">
        <v>4052</v>
      </c>
      <c r="B884" s="1" t="s">
        <v>2549</v>
      </c>
      <c r="C884" s="1" t="s">
        <v>52</v>
      </c>
      <c r="D884" s="1" t="s">
        <v>4053</v>
      </c>
      <c r="E884" s="54" t="s">
        <v>2571</v>
      </c>
      <c r="F884" s="1" t="s">
        <v>2551</v>
      </c>
      <c r="G884" s="1" t="s">
        <v>2552</v>
      </c>
    </row>
    <row x14ac:dyDescent="0.25" r="885" customHeight="1" ht="17.25" hidden="1">
      <c r="A885" s="112" t="s">
        <v>4054</v>
      </c>
      <c r="B885" s="1" t="s">
        <v>2549</v>
      </c>
      <c r="C885" s="1" t="s">
        <v>52</v>
      </c>
      <c r="D885" s="1" t="s">
        <v>4055</v>
      </c>
      <c r="E885" s="62">
        <v>19</v>
      </c>
      <c r="F885" s="1" t="s">
        <v>2551</v>
      </c>
      <c r="G885" s="1" t="s">
        <v>2555</v>
      </c>
    </row>
    <row x14ac:dyDescent="0.25" r="886" customHeight="1" ht="17.25" hidden="1">
      <c r="A886" s="112" t="s">
        <v>4056</v>
      </c>
      <c r="B886" s="1" t="s">
        <v>2549</v>
      </c>
      <c r="C886" s="1" t="s">
        <v>52</v>
      </c>
      <c r="D886" s="1" t="s">
        <v>4057</v>
      </c>
      <c r="E886" s="62">
        <v>18</v>
      </c>
      <c r="F886" s="1" t="s">
        <v>2551</v>
      </c>
      <c r="G886" s="1" t="s">
        <v>2552</v>
      </c>
    </row>
    <row x14ac:dyDescent="0.25" r="887" customHeight="1" ht="17.25" hidden="1">
      <c r="A887" s="112" t="s">
        <v>4058</v>
      </c>
      <c r="B887" s="1" t="s">
        <v>2549</v>
      </c>
      <c r="C887" s="1" t="s">
        <v>52</v>
      </c>
      <c r="D887" s="1" t="s">
        <v>4059</v>
      </c>
      <c r="E887" s="62">
        <v>21</v>
      </c>
      <c r="F887" s="1" t="s">
        <v>2551</v>
      </c>
      <c r="G887" s="1" t="s">
        <v>2552</v>
      </c>
    </row>
    <row x14ac:dyDescent="0.25" r="888" customHeight="1" ht="17.25" hidden="1">
      <c r="A888" s="112" t="s">
        <v>4060</v>
      </c>
      <c r="B888" s="1" t="s">
        <v>2549</v>
      </c>
      <c r="C888" s="1" t="s">
        <v>52</v>
      </c>
      <c r="D888" s="1" t="s">
        <v>4061</v>
      </c>
      <c r="E888" s="62">
        <v>21</v>
      </c>
      <c r="F888" s="1" t="s">
        <v>2551</v>
      </c>
      <c r="G888" s="1" t="s">
        <v>2552</v>
      </c>
    </row>
    <row x14ac:dyDescent="0.25" r="889" customHeight="1" ht="17.25" hidden="1">
      <c r="A889" s="112" t="s">
        <v>4062</v>
      </c>
      <c r="B889" s="1" t="s">
        <v>2549</v>
      </c>
      <c r="C889" s="1" t="s">
        <v>52</v>
      </c>
      <c r="D889" s="1" t="s">
        <v>4063</v>
      </c>
      <c r="E889" s="62">
        <v>39</v>
      </c>
      <c r="F889" s="1" t="s">
        <v>2551</v>
      </c>
      <c r="G889" s="1" t="s">
        <v>2552</v>
      </c>
    </row>
    <row x14ac:dyDescent="0.25" r="890" customHeight="1" ht="17.25" hidden="1">
      <c r="A890" s="112" t="s">
        <v>2056</v>
      </c>
      <c r="B890" s="1" t="s">
        <v>2549</v>
      </c>
      <c r="C890" s="1" t="s">
        <v>52</v>
      </c>
      <c r="D890" s="1" t="s">
        <v>2057</v>
      </c>
      <c r="E890" s="62">
        <v>22</v>
      </c>
      <c r="F890" s="1" t="s">
        <v>2551</v>
      </c>
      <c r="G890" s="1" t="s">
        <v>2558</v>
      </c>
    </row>
    <row x14ac:dyDescent="0.25" r="891" customHeight="1" ht="17.25" hidden="1">
      <c r="A891" s="112" t="s">
        <v>4064</v>
      </c>
      <c r="B891" s="1" t="s">
        <v>2549</v>
      </c>
      <c r="C891" s="1" t="s">
        <v>52</v>
      </c>
      <c r="D891" s="1" t="s">
        <v>4065</v>
      </c>
      <c r="E891" s="62">
        <v>23</v>
      </c>
      <c r="F891" s="1" t="s">
        <v>2551</v>
      </c>
      <c r="G891" s="1" t="s">
        <v>2555</v>
      </c>
    </row>
    <row x14ac:dyDescent="0.25" r="892" customHeight="1" ht="17.25" hidden="1">
      <c r="A892" s="112" t="s">
        <v>4066</v>
      </c>
      <c r="B892" s="1" t="s">
        <v>2549</v>
      </c>
      <c r="C892" s="1" t="s">
        <v>52</v>
      </c>
      <c r="D892" s="1" t="s">
        <v>4067</v>
      </c>
      <c r="E892" s="62">
        <v>32</v>
      </c>
      <c r="F892" s="1" t="s">
        <v>2551</v>
      </c>
      <c r="G892" s="1" t="s">
        <v>2555</v>
      </c>
    </row>
    <row x14ac:dyDescent="0.25" r="893" customHeight="1" ht="17.25" hidden="1">
      <c r="A893" s="112" t="s">
        <v>4068</v>
      </c>
      <c r="B893" s="1" t="s">
        <v>2549</v>
      </c>
      <c r="C893" s="1" t="s">
        <v>52</v>
      </c>
      <c r="D893" s="1" t="s">
        <v>4069</v>
      </c>
      <c r="E893" s="62">
        <v>28</v>
      </c>
      <c r="F893" s="1" t="s">
        <v>2551</v>
      </c>
      <c r="G893" s="1" t="s">
        <v>2552</v>
      </c>
    </row>
    <row x14ac:dyDescent="0.25" r="894" customHeight="1" ht="17.25" hidden="1">
      <c r="A894" s="112" t="s">
        <v>4070</v>
      </c>
      <c r="B894" s="1" t="s">
        <v>2549</v>
      </c>
      <c r="C894" s="1" t="s">
        <v>52</v>
      </c>
      <c r="D894" s="1" t="s">
        <v>4071</v>
      </c>
      <c r="E894" s="62">
        <v>44</v>
      </c>
      <c r="F894" s="1" t="s">
        <v>2551</v>
      </c>
      <c r="G894" s="1" t="s">
        <v>2552</v>
      </c>
    </row>
    <row x14ac:dyDescent="0.25" r="895" customHeight="1" ht="17.25" hidden="1">
      <c r="A895" s="112" t="s">
        <v>4072</v>
      </c>
      <c r="B895" s="1" t="s">
        <v>2549</v>
      </c>
      <c r="C895" s="1" t="s">
        <v>52</v>
      </c>
      <c r="D895" s="1" t="s">
        <v>4073</v>
      </c>
      <c r="E895" s="62">
        <v>33</v>
      </c>
      <c r="F895" s="1" t="s">
        <v>2551</v>
      </c>
      <c r="G895" s="1" t="s">
        <v>2552</v>
      </c>
    </row>
    <row x14ac:dyDescent="0.25" r="896" customHeight="1" ht="17.25" hidden="1">
      <c r="A896" s="112" t="s">
        <v>4074</v>
      </c>
      <c r="B896" s="1" t="s">
        <v>2549</v>
      </c>
      <c r="C896" s="1" t="s">
        <v>52</v>
      </c>
      <c r="D896" s="1" t="s">
        <v>4075</v>
      </c>
      <c r="E896" s="62">
        <v>19</v>
      </c>
      <c r="F896" s="1" t="s">
        <v>2551</v>
      </c>
      <c r="G896" s="1" t="s">
        <v>2555</v>
      </c>
    </row>
    <row x14ac:dyDescent="0.25" r="897" customHeight="1" ht="17.25" hidden="1">
      <c r="A897" s="112" t="s">
        <v>4076</v>
      </c>
      <c r="B897" s="1" t="s">
        <v>2549</v>
      </c>
      <c r="C897" s="1" t="s">
        <v>52</v>
      </c>
      <c r="D897" s="1" t="s">
        <v>4077</v>
      </c>
      <c r="E897" s="62">
        <v>21</v>
      </c>
      <c r="F897" s="1" t="s">
        <v>2551</v>
      </c>
      <c r="G897" s="1" t="s">
        <v>2552</v>
      </c>
    </row>
    <row x14ac:dyDescent="0.25" r="898" customHeight="1" ht="17.25" hidden="1">
      <c r="A898" s="112" t="s">
        <v>4078</v>
      </c>
      <c r="B898" s="1" t="s">
        <v>2549</v>
      </c>
      <c r="C898" s="1" t="s">
        <v>52</v>
      </c>
      <c r="D898" s="1" t="s">
        <v>4079</v>
      </c>
      <c r="E898" s="62">
        <v>26</v>
      </c>
      <c r="F898" s="1" t="s">
        <v>2551</v>
      </c>
      <c r="G898" s="1" t="s">
        <v>2552</v>
      </c>
    </row>
    <row x14ac:dyDescent="0.25" r="899" customHeight="1" ht="17.25" hidden="1">
      <c r="A899" s="112" t="s">
        <v>4080</v>
      </c>
      <c r="B899" s="1" t="s">
        <v>2549</v>
      </c>
      <c r="C899" s="1" t="s">
        <v>52</v>
      </c>
      <c r="D899" s="1" t="s">
        <v>4081</v>
      </c>
      <c r="E899" s="62">
        <v>28</v>
      </c>
      <c r="F899" s="1" t="s">
        <v>2551</v>
      </c>
      <c r="G899" s="1" t="s">
        <v>2552</v>
      </c>
    </row>
    <row x14ac:dyDescent="0.25" r="900" customHeight="1" ht="17.25" hidden="1">
      <c r="A900" s="112" t="s">
        <v>4082</v>
      </c>
      <c r="B900" s="1" t="s">
        <v>2549</v>
      </c>
      <c r="C900" s="1" t="s">
        <v>52</v>
      </c>
      <c r="D900" s="1" t="s">
        <v>4083</v>
      </c>
      <c r="E900" s="62">
        <v>21</v>
      </c>
      <c r="F900" s="1" t="s">
        <v>2551</v>
      </c>
      <c r="G900" s="1" t="s">
        <v>2552</v>
      </c>
    </row>
    <row x14ac:dyDescent="0.25" r="901" customHeight="1" ht="17.25" hidden="1">
      <c r="A901" s="112" t="s">
        <v>4084</v>
      </c>
      <c r="B901" s="1" t="s">
        <v>2549</v>
      </c>
      <c r="C901" s="1" t="s">
        <v>52</v>
      </c>
      <c r="D901" s="1" t="s">
        <v>4085</v>
      </c>
      <c r="E901" s="62">
        <v>36</v>
      </c>
      <c r="F901" s="1" t="s">
        <v>2551</v>
      </c>
      <c r="G901" s="1" t="s">
        <v>2555</v>
      </c>
    </row>
    <row x14ac:dyDescent="0.25" r="902" customHeight="1" ht="17.25" hidden="1">
      <c r="A902" s="112" t="s">
        <v>4086</v>
      </c>
      <c r="B902" s="1" t="s">
        <v>2549</v>
      </c>
      <c r="C902" s="1" t="s">
        <v>52</v>
      </c>
      <c r="D902" s="1" t="s">
        <v>4087</v>
      </c>
      <c r="E902" s="62">
        <v>25</v>
      </c>
      <c r="F902" s="1" t="s">
        <v>2551</v>
      </c>
      <c r="G902" s="1" t="s">
        <v>2552</v>
      </c>
    </row>
    <row x14ac:dyDescent="0.25" r="903" customHeight="1" ht="17.25" hidden="1">
      <c r="A903" s="112" t="s">
        <v>4088</v>
      </c>
      <c r="B903" s="1" t="s">
        <v>2549</v>
      </c>
      <c r="C903" s="1" t="s">
        <v>52</v>
      </c>
      <c r="D903" s="1" t="s">
        <v>4089</v>
      </c>
      <c r="E903" s="62">
        <v>23</v>
      </c>
      <c r="F903" s="1" t="s">
        <v>2551</v>
      </c>
      <c r="G903" s="1" t="s">
        <v>2555</v>
      </c>
    </row>
    <row x14ac:dyDescent="0.25" r="904" customHeight="1" ht="17.25" hidden="1">
      <c r="A904" s="112" t="s">
        <v>4088</v>
      </c>
      <c r="B904" s="1" t="s">
        <v>2549</v>
      </c>
      <c r="C904" s="1" t="s">
        <v>52</v>
      </c>
      <c r="D904" s="1" t="s">
        <v>4090</v>
      </c>
      <c r="E904" s="62">
        <v>22</v>
      </c>
      <c r="F904" s="1" t="s">
        <v>2551</v>
      </c>
      <c r="G904" s="1" t="s">
        <v>2555</v>
      </c>
    </row>
    <row x14ac:dyDescent="0.25" r="905" customHeight="1" ht="17.25" hidden="1">
      <c r="A905" s="112" t="s">
        <v>4091</v>
      </c>
      <c r="B905" s="1" t="s">
        <v>2549</v>
      </c>
      <c r="C905" s="1" t="s">
        <v>52</v>
      </c>
      <c r="D905" s="1" t="s">
        <v>4092</v>
      </c>
      <c r="E905" s="62">
        <v>22</v>
      </c>
      <c r="F905" s="1" t="s">
        <v>2551</v>
      </c>
      <c r="G905" s="1" t="s">
        <v>2552</v>
      </c>
    </row>
    <row x14ac:dyDescent="0.25" r="906" customHeight="1" ht="17.25" hidden="1">
      <c r="A906" s="112" t="s">
        <v>4093</v>
      </c>
      <c r="B906" s="1" t="s">
        <v>2549</v>
      </c>
      <c r="C906" s="1" t="s">
        <v>52</v>
      </c>
      <c r="D906" s="1" t="s">
        <v>4094</v>
      </c>
      <c r="E906" s="62">
        <v>18</v>
      </c>
      <c r="F906" s="1" t="s">
        <v>2551</v>
      </c>
      <c r="G906" s="1" t="s">
        <v>2552</v>
      </c>
    </row>
    <row x14ac:dyDescent="0.25" r="907" customHeight="1" ht="17.25" hidden="1">
      <c r="A907" s="112" t="s">
        <v>4095</v>
      </c>
      <c r="B907" s="1" t="s">
        <v>2549</v>
      </c>
      <c r="C907" s="1" t="s">
        <v>52</v>
      </c>
      <c r="D907" s="1" t="s">
        <v>4096</v>
      </c>
      <c r="E907" s="62">
        <v>21</v>
      </c>
      <c r="F907" s="1" t="s">
        <v>2561</v>
      </c>
      <c r="G907" s="1" t="s">
        <v>2555</v>
      </c>
    </row>
    <row x14ac:dyDescent="0.25" r="908" customHeight="1" ht="17.25" hidden="1">
      <c r="A908" s="112" t="s">
        <v>4095</v>
      </c>
      <c r="B908" s="1" t="s">
        <v>2549</v>
      </c>
      <c r="C908" s="1" t="s">
        <v>52</v>
      </c>
      <c r="D908" s="1" t="s">
        <v>4097</v>
      </c>
      <c r="E908" s="62">
        <v>43</v>
      </c>
      <c r="F908" s="1" t="s">
        <v>2551</v>
      </c>
      <c r="G908" s="1" t="s">
        <v>2552</v>
      </c>
    </row>
    <row x14ac:dyDescent="0.25" r="909" customHeight="1" ht="17.25" hidden="1">
      <c r="A909" s="112" t="s">
        <v>4098</v>
      </c>
      <c r="B909" s="1" t="s">
        <v>2549</v>
      </c>
      <c r="C909" s="1" t="s">
        <v>52</v>
      </c>
      <c r="D909" s="1" t="s">
        <v>4099</v>
      </c>
      <c r="E909" s="62">
        <v>35</v>
      </c>
      <c r="F909" s="1" t="s">
        <v>2551</v>
      </c>
      <c r="G909" s="1" t="s">
        <v>2558</v>
      </c>
    </row>
    <row x14ac:dyDescent="0.25" r="910" customHeight="1" ht="17.25" hidden="1">
      <c r="A910" s="112" t="s">
        <v>4100</v>
      </c>
      <c r="B910" s="1" t="s">
        <v>2549</v>
      </c>
      <c r="C910" s="1" t="s">
        <v>52</v>
      </c>
      <c r="D910" s="1" t="s">
        <v>4101</v>
      </c>
      <c r="E910" s="62">
        <v>32</v>
      </c>
      <c r="F910" s="1" t="s">
        <v>2551</v>
      </c>
      <c r="G910" s="1" t="s">
        <v>2558</v>
      </c>
    </row>
    <row x14ac:dyDescent="0.25" r="911" customHeight="1" ht="17.25" hidden="1">
      <c r="A911" s="112" t="s">
        <v>4102</v>
      </c>
      <c r="B911" s="1" t="s">
        <v>2549</v>
      </c>
      <c r="C911" s="1" t="s">
        <v>52</v>
      </c>
      <c r="D911" s="1" t="s">
        <v>4103</v>
      </c>
      <c r="E911" s="62">
        <v>35</v>
      </c>
      <c r="F911" s="1" t="s">
        <v>2551</v>
      </c>
      <c r="G911" s="1" t="s">
        <v>2571</v>
      </c>
    </row>
    <row x14ac:dyDescent="0.25" r="912" customHeight="1" ht="17.25" hidden="1">
      <c r="A912" s="112" t="s">
        <v>4104</v>
      </c>
      <c r="B912" s="1" t="s">
        <v>2549</v>
      </c>
      <c r="C912" s="1" t="s">
        <v>52</v>
      </c>
      <c r="D912" s="1" t="s">
        <v>4105</v>
      </c>
      <c r="E912" s="62">
        <v>21</v>
      </c>
      <c r="F912" s="1" t="s">
        <v>2561</v>
      </c>
      <c r="G912" s="1" t="s">
        <v>2555</v>
      </c>
    </row>
    <row x14ac:dyDescent="0.25" r="913" customHeight="1" ht="17.25" hidden="1">
      <c r="A913" s="112" t="s">
        <v>4106</v>
      </c>
      <c r="B913" s="1" t="s">
        <v>2549</v>
      </c>
      <c r="C913" s="1" t="s">
        <v>52</v>
      </c>
      <c r="D913" s="1" t="s">
        <v>4107</v>
      </c>
      <c r="E913" s="62">
        <v>24</v>
      </c>
      <c r="F913" s="1" t="s">
        <v>2551</v>
      </c>
      <c r="G913" s="1" t="s">
        <v>2552</v>
      </c>
    </row>
    <row x14ac:dyDescent="0.25" r="914" customHeight="1" ht="17.25" hidden="1">
      <c r="A914" s="112" t="s">
        <v>4108</v>
      </c>
      <c r="B914" s="1" t="s">
        <v>2549</v>
      </c>
      <c r="C914" s="1" t="s">
        <v>52</v>
      </c>
      <c r="D914" s="1" t="s">
        <v>4109</v>
      </c>
      <c r="E914" s="62">
        <v>34</v>
      </c>
      <c r="F914" s="1" t="s">
        <v>2551</v>
      </c>
      <c r="G914" s="1" t="s">
        <v>2558</v>
      </c>
    </row>
    <row x14ac:dyDescent="0.25" r="915" customHeight="1" ht="17.25" hidden="1">
      <c r="A915" s="112" t="s">
        <v>4110</v>
      </c>
      <c r="B915" s="1" t="s">
        <v>2549</v>
      </c>
      <c r="C915" s="1" t="s">
        <v>52</v>
      </c>
      <c r="D915" s="1" t="s">
        <v>4111</v>
      </c>
      <c r="E915" s="62">
        <v>27</v>
      </c>
      <c r="F915" s="1" t="s">
        <v>2551</v>
      </c>
      <c r="G915" s="1" t="s">
        <v>2555</v>
      </c>
    </row>
    <row x14ac:dyDescent="0.25" r="916" customHeight="1" ht="17.25" hidden="1">
      <c r="A916" s="112" t="s">
        <v>4112</v>
      </c>
      <c r="B916" s="1" t="s">
        <v>2549</v>
      </c>
      <c r="C916" s="1" t="s">
        <v>52</v>
      </c>
      <c r="D916" s="1" t="s">
        <v>4113</v>
      </c>
      <c r="E916" s="62">
        <v>21</v>
      </c>
      <c r="F916" s="1" t="s">
        <v>2551</v>
      </c>
      <c r="G916" s="1" t="s">
        <v>2558</v>
      </c>
    </row>
    <row x14ac:dyDescent="0.25" r="917" customHeight="1" ht="17.25" hidden="1">
      <c r="A917" s="112" t="s">
        <v>4114</v>
      </c>
      <c r="B917" s="1" t="s">
        <v>2549</v>
      </c>
      <c r="C917" s="1" t="s">
        <v>52</v>
      </c>
      <c r="D917" s="1" t="s">
        <v>4115</v>
      </c>
      <c r="E917" s="62">
        <v>33</v>
      </c>
      <c r="F917" s="1" t="s">
        <v>2561</v>
      </c>
      <c r="G917" s="1" t="s">
        <v>2552</v>
      </c>
    </row>
    <row x14ac:dyDescent="0.25" r="918" customHeight="1" ht="17.25" hidden="1">
      <c r="A918" s="112" t="s">
        <v>4116</v>
      </c>
      <c r="B918" s="1" t="s">
        <v>2549</v>
      </c>
      <c r="C918" s="1" t="s">
        <v>52</v>
      </c>
      <c r="D918" s="1" t="s">
        <v>4117</v>
      </c>
      <c r="E918" s="62">
        <v>21</v>
      </c>
      <c r="F918" s="1" t="s">
        <v>2551</v>
      </c>
      <c r="G918" s="1" t="s">
        <v>2552</v>
      </c>
    </row>
    <row x14ac:dyDescent="0.25" r="919" customHeight="1" ht="17.25" hidden="1">
      <c r="A919" s="112" t="s">
        <v>4118</v>
      </c>
      <c r="B919" s="1" t="s">
        <v>2549</v>
      </c>
      <c r="C919" s="1" t="s">
        <v>52</v>
      </c>
      <c r="D919" s="1" t="s">
        <v>4119</v>
      </c>
      <c r="E919" s="62">
        <v>18</v>
      </c>
      <c r="F919" s="1" t="s">
        <v>2551</v>
      </c>
      <c r="G919" s="1" t="s">
        <v>2552</v>
      </c>
    </row>
    <row x14ac:dyDescent="0.25" r="920" customHeight="1" ht="17.25" hidden="1">
      <c r="A920" s="112" t="s">
        <v>4120</v>
      </c>
      <c r="B920" s="1" t="s">
        <v>2549</v>
      </c>
      <c r="C920" s="1" t="s">
        <v>52</v>
      </c>
      <c r="D920" s="1" t="s">
        <v>4121</v>
      </c>
      <c r="E920" s="62">
        <v>25</v>
      </c>
      <c r="F920" s="1" t="s">
        <v>2551</v>
      </c>
      <c r="G920" s="1" t="s">
        <v>2552</v>
      </c>
    </row>
    <row x14ac:dyDescent="0.25" r="921" customHeight="1" ht="17.25" hidden="1">
      <c r="A921" s="112" t="s">
        <v>4120</v>
      </c>
      <c r="B921" s="1" t="s">
        <v>2549</v>
      </c>
      <c r="C921" s="1" t="s">
        <v>52</v>
      </c>
      <c r="D921" s="1" t="s">
        <v>4122</v>
      </c>
      <c r="E921" s="62">
        <v>24</v>
      </c>
      <c r="F921" s="1" t="s">
        <v>2551</v>
      </c>
      <c r="G921" s="1" t="s">
        <v>2555</v>
      </c>
    </row>
    <row x14ac:dyDescent="0.25" r="922" customHeight="1" ht="17.25" hidden="1">
      <c r="A922" s="112" t="s">
        <v>4123</v>
      </c>
      <c r="B922" s="1" t="s">
        <v>2549</v>
      </c>
      <c r="C922" s="1" t="s">
        <v>52</v>
      </c>
      <c r="D922" s="1" t="s">
        <v>4124</v>
      </c>
      <c r="E922" s="62">
        <v>26</v>
      </c>
      <c r="F922" s="1" t="s">
        <v>2551</v>
      </c>
      <c r="G922" s="1" t="s">
        <v>2558</v>
      </c>
    </row>
    <row x14ac:dyDescent="0.25" r="923" customHeight="1" ht="17.25" hidden="1">
      <c r="A923" s="112" t="s">
        <v>4125</v>
      </c>
      <c r="B923" s="1" t="s">
        <v>2549</v>
      </c>
      <c r="C923" s="1" t="s">
        <v>52</v>
      </c>
      <c r="D923" s="1" t="s">
        <v>4126</v>
      </c>
      <c r="E923" s="62">
        <v>25</v>
      </c>
      <c r="F923" s="1" t="s">
        <v>2551</v>
      </c>
      <c r="G923" s="1" t="s">
        <v>2552</v>
      </c>
    </row>
    <row x14ac:dyDescent="0.25" r="924" customHeight="1" ht="17.25" hidden="1">
      <c r="A924" s="112" t="s">
        <v>4127</v>
      </c>
      <c r="B924" s="1" t="s">
        <v>2549</v>
      </c>
      <c r="C924" s="1" t="s">
        <v>52</v>
      </c>
      <c r="D924" s="1" t="s">
        <v>4128</v>
      </c>
      <c r="E924" s="62">
        <v>18</v>
      </c>
      <c r="F924" s="1" t="s">
        <v>2551</v>
      </c>
      <c r="G924" s="1" t="s">
        <v>2555</v>
      </c>
    </row>
    <row x14ac:dyDescent="0.25" r="925" customHeight="1" ht="17.25" hidden="1">
      <c r="A925" s="112" t="s">
        <v>4129</v>
      </c>
      <c r="B925" s="1" t="s">
        <v>2549</v>
      </c>
      <c r="C925" s="1" t="s">
        <v>52</v>
      </c>
      <c r="D925" s="1" t="s">
        <v>4130</v>
      </c>
      <c r="E925" s="62">
        <v>-78</v>
      </c>
      <c r="F925" s="1" t="s">
        <v>2551</v>
      </c>
      <c r="G925" s="1" t="s">
        <v>2552</v>
      </c>
    </row>
    <row x14ac:dyDescent="0.25" r="926" customHeight="1" ht="17.25" hidden="1">
      <c r="A926" s="112" t="s">
        <v>4131</v>
      </c>
      <c r="B926" s="1" t="s">
        <v>2549</v>
      </c>
      <c r="C926" s="1" t="s">
        <v>53</v>
      </c>
      <c r="D926" s="1" t="s">
        <v>4132</v>
      </c>
      <c r="E926" s="62">
        <v>28</v>
      </c>
      <c r="F926" s="1" t="s">
        <v>2561</v>
      </c>
      <c r="G926" s="1" t="s">
        <v>2552</v>
      </c>
    </row>
    <row x14ac:dyDescent="0.25" r="927" customHeight="1" ht="17.25" hidden="1">
      <c r="A927" s="112" t="s">
        <v>4133</v>
      </c>
      <c r="B927" s="1" t="s">
        <v>2549</v>
      </c>
      <c r="C927" s="1" t="s">
        <v>53</v>
      </c>
      <c r="D927" s="1" t="s">
        <v>4134</v>
      </c>
      <c r="E927" s="62">
        <v>25</v>
      </c>
      <c r="F927" s="1" t="s">
        <v>2551</v>
      </c>
      <c r="G927" s="1" t="s">
        <v>2552</v>
      </c>
    </row>
    <row x14ac:dyDescent="0.25" r="928" customHeight="1" ht="17.25" hidden="1">
      <c r="A928" s="112" t="s">
        <v>4135</v>
      </c>
      <c r="B928" s="1" t="s">
        <v>2549</v>
      </c>
      <c r="C928" s="1" t="s">
        <v>53</v>
      </c>
      <c r="D928" s="1" t="s">
        <v>4136</v>
      </c>
      <c r="E928" s="62">
        <v>24</v>
      </c>
      <c r="F928" s="1" t="s">
        <v>2551</v>
      </c>
      <c r="G928" s="1" t="s">
        <v>2552</v>
      </c>
    </row>
    <row x14ac:dyDescent="0.25" r="929" customHeight="1" ht="17.25" hidden="1">
      <c r="A929" s="112" t="s">
        <v>4137</v>
      </c>
      <c r="B929" s="1" t="s">
        <v>2549</v>
      </c>
      <c r="C929" s="1" t="s">
        <v>53</v>
      </c>
      <c r="D929" s="1" t="s">
        <v>4138</v>
      </c>
      <c r="E929" s="62">
        <v>26</v>
      </c>
      <c r="F929" s="1" t="s">
        <v>2551</v>
      </c>
      <c r="G929" s="1" t="s">
        <v>2558</v>
      </c>
    </row>
    <row x14ac:dyDescent="0.25" r="930" customHeight="1" ht="17.25" hidden="1">
      <c r="A930" s="112" t="s">
        <v>4137</v>
      </c>
      <c r="B930" s="1" t="s">
        <v>2549</v>
      </c>
      <c r="C930" s="1" t="s">
        <v>53</v>
      </c>
      <c r="D930" s="1" t="s">
        <v>4139</v>
      </c>
      <c r="E930" s="62">
        <v>18</v>
      </c>
      <c r="F930" s="1" t="s">
        <v>2551</v>
      </c>
      <c r="G930" s="1" t="s">
        <v>2552</v>
      </c>
    </row>
    <row x14ac:dyDescent="0.25" r="931" customHeight="1" ht="17.25" hidden="1">
      <c r="A931" s="112" t="s">
        <v>4137</v>
      </c>
      <c r="B931" s="1" t="s">
        <v>2549</v>
      </c>
      <c r="C931" s="1" t="s">
        <v>53</v>
      </c>
      <c r="D931" s="1" t="s">
        <v>4140</v>
      </c>
      <c r="E931" s="62">
        <v>35</v>
      </c>
      <c r="F931" s="1" t="s">
        <v>2551</v>
      </c>
      <c r="G931" s="1" t="s">
        <v>2558</v>
      </c>
    </row>
    <row x14ac:dyDescent="0.25" r="932" customHeight="1" ht="17.25" hidden="1">
      <c r="A932" s="112" t="s">
        <v>4141</v>
      </c>
      <c r="B932" s="1" t="s">
        <v>2549</v>
      </c>
      <c r="C932" s="1" t="s">
        <v>53</v>
      </c>
      <c r="D932" s="1" t="s">
        <v>4142</v>
      </c>
      <c r="E932" s="62">
        <v>26</v>
      </c>
      <c r="F932" s="1" t="s">
        <v>2551</v>
      </c>
      <c r="G932" s="1" t="s">
        <v>2555</v>
      </c>
    </row>
    <row x14ac:dyDescent="0.25" r="933" customHeight="1" ht="17.25" hidden="1">
      <c r="A933" s="112" t="s">
        <v>4141</v>
      </c>
      <c r="B933" s="1" t="s">
        <v>2549</v>
      </c>
      <c r="C933" s="1" t="s">
        <v>53</v>
      </c>
      <c r="D933" s="1" t="s">
        <v>4143</v>
      </c>
      <c r="E933" s="62">
        <v>28</v>
      </c>
      <c r="F933" s="1" t="s">
        <v>2551</v>
      </c>
      <c r="G933" s="1" t="s">
        <v>2555</v>
      </c>
    </row>
    <row x14ac:dyDescent="0.25" r="934" customHeight="1" ht="17.25" hidden="1">
      <c r="A934" s="112" t="s">
        <v>4144</v>
      </c>
      <c r="B934" s="1" t="s">
        <v>2549</v>
      </c>
      <c r="C934" s="1" t="s">
        <v>53</v>
      </c>
      <c r="D934" s="1" t="s">
        <v>4145</v>
      </c>
      <c r="E934" s="62">
        <v>23</v>
      </c>
      <c r="F934" s="1" t="s">
        <v>2551</v>
      </c>
      <c r="G934" s="1" t="s">
        <v>2552</v>
      </c>
    </row>
    <row x14ac:dyDescent="0.25" r="935" customHeight="1" ht="17.25" hidden="1">
      <c r="A935" s="112" t="s">
        <v>4144</v>
      </c>
      <c r="B935" s="1" t="s">
        <v>2549</v>
      </c>
      <c r="C935" s="1" t="s">
        <v>53</v>
      </c>
      <c r="D935" s="1" t="s">
        <v>4146</v>
      </c>
      <c r="E935" s="62">
        <v>21</v>
      </c>
      <c r="F935" s="1" t="s">
        <v>2551</v>
      </c>
      <c r="G935" s="1" t="s">
        <v>2552</v>
      </c>
    </row>
    <row x14ac:dyDescent="0.25" r="936" customHeight="1" ht="17.25" hidden="1">
      <c r="A936" s="112" t="s">
        <v>4147</v>
      </c>
      <c r="B936" s="1" t="s">
        <v>2549</v>
      </c>
      <c r="C936" s="1" t="s">
        <v>53</v>
      </c>
      <c r="D936" s="1" t="s">
        <v>4148</v>
      </c>
      <c r="E936" s="62">
        <v>18</v>
      </c>
      <c r="F936" s="1" t="s">
        <v>2551</v>
      </c>
      <c r="G936" s="1" t="s">
        <v>2555</v>
      </c>
    </row>
    <row x14ac:dyDescent="0.25" r="937" customHeight="1" ht="17.25" hidden="1">
      <c r="A937" s="112" t="s">
        <v>4149</v>
      </c>
      <c r="B937" s="1" t="s">
        <v>2549</v>
      </c>
      <c r="C937" s="1" t="s">
        <v>53</v>
      </c>
      <c r="D937" s="1" t="s">
        <v>4150</v>
      </c>
      <c r="E937" s="62">
        <v>23</v>
      </c>
      <c r="F937" s="1" t="s">
        <v>2551</v>
      </c>
      <c r="G937" s="1" t="s">
        <v>2552</v>
      </c>
    </row>
    <row x14ac:dyDescent="0.25" r="938" customHeight="1" ht="17.25" hidden="1">
      <c r="A938" s="112" t="s">
        <v>4151</v>
      </c>
      <c r="B938" s="1" t="s">
        <v>2549</v>
      </c>
      <c r="C938" s="1" t="s">
        <v>53</v>
      </c>
      <c r="D938" s="1" t="s">
        <v>4152</v>
      </c>
      <c r="E938" s="62">
        <v>23</v>
      </c>
      <c r="F938" s="1" t="s">
        <v>2551</v>
      </c>
      <c r="G938" s="1" t="s">
        <v>2555</v>
      </c>
    </row>
    <row x14ac:dyDescent="0.25" r="939" customHeight="1" ht="17.25" hidden="1">
      <c r="A939" s="112" t="s">
        <v>4153</v>
      </c>
      <c r="B939" s="1" t="s">
        <v>2549</v>
      </c>
      <c r="C939" s="1" t="s">
        <v>53</v>
      </c>
      <c r="D939" s="1" t="s">
        <v>4154</v>
      </c>
      <c r="E939" s="62">
        <v>32</v>
      </c>
      <c r="F939" s="1" t="s">
        <v>2551</v>
      </c>
      <c r="G939" s="1" t="s">
        <v>2555</v>
      </c>
    </row>
    <row x14ac:dyDescent="0.25" r="940" customHeight="1" ht="17.25" hidden="1">
      <c r="A940" s="112" t="s">
        <v>1402</v>
      </c>
      <c r="B940" s="1" t="s">
        <v>2549</v>
      </c>
      <c r="C940" s="1" t="s">
        <v>53</v>
      </c>
      <c r="D940" s="1" t="s">
        <v>1403</v>
      </c>
      <c r="E940" s="62">
        <v>19</v>
      </c>
      <c r="F940" s="1" t="s">
        <v>2551</v>
      </c>
      <c r="G940" s="1" t="s">
        <v>2558</v>
      </c>
    </row>
    <row x14ac:dyDescent="0.25" r="941" customHeight="1" ht="17.25" hidden="1">
      <c r="A941" s="112" t="s">
        <v>4155</v>
      </c>
      <c r="B941" s="1" t="s">
        <v>2549</v>
      </c>
      <c r="C941" s="1" t="s">
        <v>53</v>
      </c>
      <c r="D941" s="1" t="s">
        <v>4156</v>
      </c>
      <c r="E941" s="62">
        <v>23</v>
      </c>
      <c r="F941" s="1" t="s">
        <v>2551</v>
      </c>
      <c r="G941" s="1" t="s">
        <v>2552</v>
      </c>
    </row>
    <row x14ac:dyDescent="0.25" r="942" customHeight="1" ht="17.25" hidden="1">
      <c r="A942" s="112" t="s">
        <v>4157</v>
      </c>
      <c r="B942" s="1" t="s">
        <v>2549</v>
      </c>
      <c r="C942" s="1" t="s">
        <v>53</v>
      </c>
      <c r="D942" s="1" t="s">
        <v>4158</v>
      </c>
      <c r="E942" s="62">
        <v>26</v>
      </c>
      <c r="F942" s="1" t="s">
        <v>2551</v>
      </c>
      <c r="G942" s="1" t="s">
        <v>2555</v>
      </c>
    </row>
    <row x14ac:dyDescent="0.25" r="943" customHeight="1" ht="17.25" hidden="1">
      <c r="A943" s="112" t="s">
        <v>4159</v>
      </c>
      <c r="B943" s="1" t="s">
        <v>2549</v>
      </c>
      <c r="C943" s="1" t="s">
        <v>53</v>
      </c>
      <c r="D943" s="1" t="s">
        <v>4160</v>
      </c>
      <c r="E943" s="62">
        <v>23</v>
      </c>
      <c r="F943" s="1" t="s">
        <v>2551</v>
      </c>
      <c r="G943" s="1" t="s">
        <v>2555</v>
      </c>
    </row>
    <row x14ac:dyDescent="0.25" r="944" customHeight="1" ht="17.25" hidden="1">
      <c r="A944" s="112" t="s">
        <v>4161</v>
      </c>
      <c r="B944" s="1" t="s">
        <v>2549</v>
      </c>
      <c r="C944" s="1" t="s">
        <v>53</v>
      </c>
      <c r="D944" s="1" t="s">
        <v>4162</v>
      </c>
      <c r="E944" s="62">
        <v>23</v>
      </c>
      <c r="F944" s="1" t="s">
        <v>2551</v>
      </c>
      <c r="G944" s="1" t="s">
        <v>2571</v>
      </c>
    </row>
    <row x14ac:dyDescent="0.25" r="945" customHeight="1" ht="17.25" hidden="1">
      <c r="A945" s="112" t="s">
        <v>4163</v>
      </c>
      <c r="B945" s="1" t="s">
        <v>2549</v>
      </c>
      <c r="C945" s="1" t="s">
        <v>53</v>
      </c>
      <c r="D945" s="1" t="s">
        <v>4164</v>
      </c>
      <c r="E945" s="62">
        <v>27</v>
      </c>
      <c r="F945" s="1" t="s">
        <v>2551</v>
      </c>
      <c r="G945" s="1" t="s">
        <v>2552</v>
      </c>
    </row>
    <row x14ac:dyDescent="0.25" r="946" customHeight="1" ht="17.25" hidden="1">
      <c r="A946" s="112" t="s">
        <v>4165</v>
      </c>
      <c r="B946" s="1" t="s">
        <v>2549</v>
      </c>
      <c r="C946" s="1" t="s">
        <v>53</v>
      </c>
      <c r="D946" s="1" t="s">
        <v>4166</v>
      </c>
      <c r="E946" s="62">
        <v>28</v>
      </c>
      <c r="F946" s="1" t="s">
        <v>2551</v>
      </c>
      <c r="G946" s="1" t="s">
        <v>2555</v>
      </c>
    </row>
    <row x14ac:dyDescent="0.25" r="947" customHeight="1" ht="17.25" hidden="1">
      <c r="A947" s="112" t="s">
        <v>4167</v>
      </c>
      <c r="B947" s="1" t="s">
        <v>2549</v>
      </c>
      <c r="C947" s="1" t="s">
        <v>53</v>
      </c>
      <c r="D947" s="1" t="s">
        <v>4168</v>
      </c>
      <c r="E947" s="62">
        <v>25</v>
      </c>
      <c r="F947" s="1" t="s">
        <v>2551</v>
      </c>
      <c r="G947" s="1" t="s">
        <v>2552</v>
      </c>
    </row>
    <row x14ac:dyDescent="0.25" r="948" customHeight="1" ht="17.25" hidden="1">
      <c r="A948" s="112" t="s">
        <v>4167</v>
      </c>
      <c r="B948" s="1" t="s">
        <v>2549</v>
      </c>
      <c r="C948" s="1" t="s">
        <v>53</v>
      </c>
      <c r="D948" s="1" t="s">
        <v>4169</v>
      </c>
      <c r="E948" s="62">
        <v>24</v>
      </c>
      <c r="F948" s="1" t="s">
        <v>2551</v>
      </c>
      <c r="G948" s="1" t="s">
        <v>2555</v>
      </c>
    </row>
    <row x14ac:dyDescent="0.25" r="949" customHeight="1" ht="17.25" hidden="1">
      <c r="A949" s="112" t="s">
        <v>4167</v>
      </c>
      <c r="B949" s="1" t="s">
        <v>2549</v>
      </c>
      <c r="C949" s="1" t="s">
        <v>53</v>
      </c>
      <c r="D949" s="1" t="s">
        <v>4170</v>
      </c>
      <c r="E949" s="62">
        <v>22</v>
      </c>
      <c r="F949" s="1" t="s">
        <v>2551</v>
      </c>
      <c r="G949" s="1" t="s">
        <v>2558</v>
      </c>
    </row>
    <row x14ac:dyDescent="0.25" r="950" customHeight="1" ht="17.25" hidden="1">
      <c r="A950" s="112" t="s">
        <v>4171</v>
      </c>
      <c r="B950" s="1" t="s">
        <v>2549</v>
      </c>
      <c r="C950" s="1" t="s">
        <v>53</v>
      </c>
      <c r="D950" s="1" t="s">
        <v>4172</v>
      </c>
      <c r="E950" s="62">
        <v>29</v>
      </c>
      <c r="F950" s="1" t="s">
        <v>2551</v>
      </c>
      <c r="G950" s="1" t="s">
        <v>2555</v>
      </c>
    </row>
    <row x14ac:dyDescent="0.25" r="951" customHeight="1" ht="17.25" hidden="1">
      <c r="A951" s="112" t="s">
        <v>4173</v>
      </c>
      <c r="B951" s="1" t="s">
        <v>2549</v>
      </c>
      <c r="C951" s="1" t="s">
        <v>53</v>
      </c>
      <c r="D951" s="1" t="s">
        <v>4174</v>
      </c>
      <c r="E951" s="62">
        <v>38</v>
      </c>
      <c r="F951" s="1" t="s">
        <v>2551</v>
      </c>
      <c r="G951" s="1" t="s">
        <v>2555</v>
      </c>
    </row>
    <row x14ac:dyDescent="0.25" r="952" customHeight="1" ht="17.25" hidden="1">
      <c r="A952" s="112" t="s">
        <v>4175</v>
      </c>
      <c r="B952" s="1" t="s">
        <v>2549</v>
      </c>
      <c r="C952" s="1" t="s">
        <v>53</v>
      </c>
      <c r="D952" s="1" t="s">
        <v>4176</v>
      </c>
      <c r="E952" s="62">
        <v>54</v>
      </c>
      <c r="F952" s="1" t="s">
        <v>2551</v>
      </c>
      <c r="G952" s="1" t="s">
        <v>2555</v>
      </c>
    </row>
    <row x14ac:dyDescent="0.25" r="953" customHeight="1" ht="17.25" hidden="1">
      <c r="A953" s="112" t="s">
        <v>1934</v>
      </c>
      <c r="B953" s="1" t="s">
        <v>2549</v>
      </c>
      <c r="C953" s="1" t="s">
        <v>53</v>
      </c>
      <c r="D953" s="1" t="s">
        <v>4177</v>
      </c>
      <c r="E953" s="62">
        <v>22</v>
      </c>
      <c r="F953" s="1" t="s">
        <v>2551</v>
      </c>
      <c r="G953" s="1" t="s">
        <v>2558</v>
      </c>
    </row>
    <row x14ac:dyDescent="0.25" r="954" customHeight="1" ht="17.25" hidden="1">
      <c r="A954" s="112" t="s">
        <v>4178</v>
      </c>
      <c r="B954" s="1" t="s">
        <v>2549</v>
      </c>
      <c r="C954" s="1" t="s">
        <v>53</v>
      </c>
      <c r="D954" s="1" t="s">
        <v>4179</v>
      </c>
      <c r="E954" s="62">
        <v>18</v>
      </c>
      <c r="F954" s="1" t="s">
        <v>2551</v>
      </c>
      <c r="G954" s="1" t="s">
        <v>2552</v>
      </c>
    </row>
    <row x14ac:dyDescent="0.25" r="955" customHeight="1" ht="17.25" hidden="1">
      <c r="A955" s="112" t="s">
        <v>4180</v>
      </c>
      <c r="B955" s="1" t="s">
        <v>2549</v>
      </c>
      <c r="C955" s="1" t="s">
        <v>53</v>
      </c>
      <c r="D955" s="1" t="s">
        <v>4181</v>
      </c>
      <c r="E955" s="62">
        <v>18</v>
      </c>
      <c r="F955" s="1" t="s">
        <v>2551</v>
      </c>
      <c r="G955" s="1" t="s">
        <v>2555</v>
      </c>
    </row>
    <row x14ac:dyDescent="0.25" r="956" customHeight="1" ht="17.25" hidden="1">
      <c r="A956" s="112" t="s">
        <v>1436</v>
      </c>
      <c r="B956" s="1" t="s">
        <v>2549</v>
      </c>
      <c r="C956" s="1" t="s">
        <v>53</v>
      </c>
      <c r="D956" s="1" t="s">
        <v>1441</v>
      </c>
      <c r="E956" s="62">
        <v>32</v>
      </c>
      <c r="F956" s="1" t="s">
        <v>2551</v>
      </c>
      <c r="G956" s="1" t="s">
        <v>2558</v>
      </c>
    </row>
    <row x14ac:dyDescent="0.25" r="957" customHeight="1" ht="17.25" hidden="1">
      <c r="A957" s="112" t="s">
        <v>1436</v>
      </c>
      <c r="B957" s="1" t="s">
        <v>2549</v>
      </c>
      <c r="C957" s="1" t="s">
        <v>53</v>
      </c>
      <c r="D957" s="1" t="s">
        <v>1443</v>
      </c>
      <c r="E957" s="62">
        <v>27</v>
      </c>
      <c r="F957" s="1" t="s">
        <v>2551</v>
      </c>
      <c r="G957" s="1" t="s">
        <v>2558</v>
      </c>
    </row>
    <row x14ac:dyDescent="0.25" r="958" customHeight="1" ht="17.25" hidden="1">
      <c r="A958" s="112" t="s">
        <v>1436</v>
      </c>
      <c r="B958" s="1" t="s">
        <v>2549</v>
      </c>
      <c r="C958" s="1" t="s">
        <v>53</v>
      </c>
      <c r="D958" s="1" t="s">
        <v>1437</v>
      </c>
      <c r="E958" s="62">
        <v>33</v>
      </c>
      <c r="F958" s="1" t="s">
        <v>2551</v>
      </c>
      <c r="G958" s="1" t="s">
        <v>2555</v>
      </c>
    </row>
    <row x14ac:dyDescent="0.25" r="959" customHeight="1" ht="17.25" hidden="1">
      <c r="A959" s="112" t="s">
        <v>4182</v>
      </c>
      <c r="B959" s="1" t="s">
        <v>2549</v>
      </c>
      <c r="C959" s="1" t="s">
        <v>53</v>
      </c>
      <c r="D959" s="1" t="s">
        <v>4183</v>
      </c>
      <c r="E959" s="62">
        <v>20</v>
      </c>
      <c r="F959" s="1" t="s">
        <v>2551</v>
      </c>
      <c r="G959" s="1" t="s">
        <v>2555</v>
      </c>
    </row>
    <row x14ac:dyDescent="0.25" r="960" customHeight="1" ht="17.25" hidden="1">
      <c r="A960" s="112" t="s">
        <v>1414</v>
      </c>
      <c r="B960" s="1" t="s">
        <v>2549</v>
      </c>
      <c r="C960" s="1" t="s">
        <v>53</v>
      </c>
      <c r="D960" s="1" t="s">
        <v>1415</v>
      </c>
      <c r="E960" s="62">
        <v>19</v>
      </c>
      <c r="F960" s="1" t="s">
        <v>2551</v>
      </c>
      <c r="G960" s="1" t="s">
        <v>2555</v>
      </c>
    </row>
    <row x14ac:dyDescent="0.25" r="961" customHeight="1" ht="17.25" hidden="1">
      <c r="A961" s="112" t="s">
        <v>1414</v>
      </c>
      <c r="B961" s="1" t="s">
        <v>2549</v>
      </c>
      <c r="C961" s="1" t="s">
        <v>53</v>
      </c>
      <c r="D961" s="1" t="s">
        <v>1418</v>
      </c>
      <c r="E961" s="62">
        <v>22</v>
      </c>
      <c r="F961" s="1" t="s">
        <v>2551</v>
      </c>
      <c r="G961" s="1" t="s">
        <v>2555</v>
      </c>
    </row>
    <row x14ac:dyDescent="0.25" r="962" customHeight="1" ht="17.25" hidden="1">
      <c r="A962" s="112" t="s">
        <v>4184</v>
      </c>
      <c r="B962" s="1" t="s">
        <v>2549</v>
      </c>
      <c r="C962" s="1" t="s">
        <v>53</v>
      </c>
      <c r="D962" s="1" t="s">
        <v>4185</v>
      </c>
      <c r="E962" s="62">
        <v>23</v>
      </c>
      <c r="F962" s="1" t="s">
        <v>2551</v>
      </c>
      <c r="G962" s="1" t="s">
        <v>2555</v>
      </c>
    </row>
    <row x14ac:dyDescent="0.25" r="963" customHeight="1" ht="17.25" hidden="1">
      <c r="A963" s="112" t="s">
        <v>4186</v>
      </c>
      <c r="B963" s="1" t="s">
        <v>2549</v>
      </c>
      <c r="C963" s="1" t="s">
        <v>53</v>
      </c>
      <c r="D963" s="1" t="s">
        <v>4187</v>
      </c>
      <c r="E963" s="62">
        <v>19</v>
      </c>
      <c r="F963" s="1" t="s">
        <v>2551</v>
      </c>
      <c r="G963" s="1" t="s">
        <v>2552</v>
      </c>
    </row>
    <row x14ac:dyDescent="0.25" r="964" customHeight="1" ht="17.25" hidden="1">
      <c r="A964" s="112" t="s">
        <v>4188</v>
      </c>
      <c r="B964" s="1" t="s">
        <v>2549</v>
      </c>
      <c r="C964" s="1" t="s">
        <v>53</v>
      </c>
      <c r="D964" s="1" t="s">
        <v>4189</v>
      </c>
      <c r="E964" s="62">
        <v>30</v>
      </c>
      <c r="F964" s="1" t="s">
        <v>2551</v>
      </c>
      <c r="G964" s="1" t="s">
        <v>2555</v>
      </c>
    </row>
    <row x14ac:dyDescent="0.25" r="965" customHeight="1" ht="17.25" hidden="1">
      <c r="A965" s="112" t="s">
        <v>1828</v>
      </c>
      <c r="B965" s="1" t="s">
        <v>2549</v>
      </c>
      <c r="C965" s="1" t="s">
        <v>53</v>
      </c>
      <c r="D965" s="1" t="s">
        <v>1829</v>
      </c>
      <c r="E965" s="62">
        <v>37</v>
      </c>
      <c r="F965" s="1" t="s">
        <v>2551</v>
      </c>
      <c r="G965" s="1" t="s">
        <v>2558</v>
      </c>
    </row>
    <row x14ac:dyDescent="0.25" r="966" customHeight="1" ht="17.25" hidden="1">
      <c r="A966" s="112" t="s">
        <v>4190</v>
      </c>
      <c r="B966" s="1" t="s">
        <v>2549</v>
      </c>
      <c r="C966" s="1" t="s">
        <v>53</v>
      </c>
      <c r="D966" s="1" t="s">
        <v>4191</v>
      </c>
      <c r="E966" s="54" t="s">
        <v>2571</v>
      </c>
      <c r="F966" s="1" t="s">
        <v>2551</v>
      </c>
      <c r="G966" s="1" t="s">
        <v>2964</v>
      </c>
    </row>
    <row x14ac:dyDescent="0.25" r="967" customHeight="1" ht="17.25" hidden="1">
      <c r="A967" s="112" t="s">
        <v>4192</v>
      </c>
      <c r="B967" s="1" t="s">
        <v>2549</v>
      </c>
      <c r="C967" s="1" t="s">
        <v>53</v>
      </c>
      <c r="D967" s="1" t="s">
        <v>4193</v>
      </c>
      <c r="E967" s="62">
        <v>29</v>
      </c>
      <c r="F967" s="1" t="s">
        <v>2551</v>
      </c>
      <c r="G967" s="1" t="s">
        <v>2555</v>
      </c>
    </row>
    <row x14ac:dyDescent="0.25" r="968" customHeight="1" ht="17.25" hidden="1">
      <c r="A968" s="112" t="s">
        <v>4194</v>
      </c>
      <c r="B968" s="1" t="s">
        <v>2549</v>
      </c>
      <c r="C968" s="1" t="s">
        <v>53</v>
      </c>
      <c r="D968" s="1" t="s">
        <v>4195</v>
      </c>
      <c r="E968" s="62">
        <v>37</v>
      </c>
      <c r="F968" s="1" t="s">
        <v>2551</v>
      </c>
      <c r="G968" s="1" t="s">
        <v>2552</v>
      </c>
    </row>
    <row x14ac:dyDescent="0.25" r="969" customHeight="1" ht="17.25" hidden="1">
      <c r="A969" s="112" t="s">
        <v>4196</v>
      </c>
      <c r="B969" s="1" t="s">
        <v>2549</v>
      </c>
      <c r="C969" s="1" t="s">
        <v>53</v>
      </c>
      <c r="D969" s="1" t="s">
        <v>4197</v>
      </c>
      <c r="E969" s="62">
        <v>43</v>
      </c>
      <c r="F969" s="1" t="s">
        <v>2551</v>
      </c>
      <c r="G969" s="1" t="s">
        <v>2552</v>
      </c>
    </row>
    <row x14ac:dyDescent="0.25" r="970" customHeight="1" ht="17.25" hidden="1">
      <c r="A970" s="112" t="s">
        <v>4198</v>
      </c>
      <c r="B970" s="1" t="s">
        <v>2549</v>
      </c>
      <c r="C970" s="1" t="s">
        <v>53</v>
      </c>
      <c r="D970" s="1" t="s">
        <v>4199</v>
      </c>
      <c r="E970" s="62">
        <v>29</v>
      </c>
      <c r="F970" s="1" t="s">
        <v>2551</v>
      </c>
      <c r="G970" s="1" t="s">
        <v>2558</v>
      </c>
    </row>
    <row x14ac:dyDescent="0.25" r="971" customHeight="1" ht="17.25" hidden="1">
      <c r="A971" s="112" t="s">
        <v>4198</v>
      </c>
      <c r="B971" s="1" t="s">
        <v>2549</v>
      </c>
      <c r="C971" s="1" t="s">
        <v>53</v>
      </c>
      <c r="D971" s="1" t="s">
        <v>4200</v>
      </c>
      <c r="E971" s="62">
        <v>33</v>
      </c>
      <c r="F971" s="1" t="s">
        <v>2551</v>
      </c>
      <c r="G971" s="1" t="s">
        <v>2558</v>
      </c>
    </row>
    <row x14ac:dyDescent="0.25" r="972" customHeight="1" ht="17.25" hidden="1">
      <c r="A972" s="112" t="s">
        <v>4198</v>
      </c>
      <c r="B972" s="1" t="s">
        <v>2549</v>
      </c>
      <c r="C972" s="1" t="s">
        <v>53</v>
      </c>
      <c r="D972" s="1" t="s">
        <v>4201</v>
      </c>
      <c r="E972" s="62">
        <v>-966</v>
      </c>
      <c r="F972" s="1" t="s">
        <v>2551</v>
      </c>
      <c r="G972" s="1" t="s">
        <v>2558</v>
      </c>
    </row>
    <row x14ac:dyDescent="0.25" r="973" customHeight="1" ht="17.25" hidden="1">
      <c r="A973" s="112" t="s">
        <v>4198</v>
      </c>
      <c r="B973" s="1" t="s">
        <v>2549</v>
      </c>
      <c r="C973" s="1" t="s">
        <v>53</v>
      </c>
      <c r="D973" s="1" t="s">
        <v>4202</v>
      </c>
      <c r="E973" s="62">
        <v>26</v>
      </c>
      <c r="F973" s="1" t="s">
        <v>2551</v>
      </c>
      <c r="G973" s="1" t="s">
        <v>2558</v>
      </c>
    </row>
    <row x14ac:dyDescent="0.25" r="974" customHeight="1" ht="17.25" hidden="1">
      <c r="A974" s="112" t="s">
        <v>1973</v>
      </c>
      <c r="B974" s="1" t="s">
        <v>2549</v>
      </c>
      <c r="C974" s="1" t="s">
        <v>53</v>
      </c>
      <c r="D974" s="1" t="s">
        <v>1974</v>
      </c>
      <c r="E974" s="62">
        <v>22</v>
      </c>
      <c r="F974" s="1" t="s">
        <v>2551</v>
      </c>
      <c r="G974" s="1" t="s">
        <v>2552</v>
      </c>
    </row>
    <row x14ac:dyDescent="0.25" r="975" customHeight="1" ht="17.25" hidden="1">
      <c r="A975" s="112" t="s">
        <v>4203</v>
      </c>
      <c r="B975" s="1" t="s">
        <v>2549</v>
      </c>
      <c r="C975" s="1" t="s">
        <v>53</v>
      </c>
      <c r="D975" s="1" t="s">
        <v>4204</v>
      </c>
      <c r="E975" s="62">
        <v>30</v>
      </c>
      <c r="F975" s="1" t="s">
        <v>2551</v>
      </c>
      <c r="G975" s="1" t="s">
        <v>2552</v>
      </c>
    </row>
    <row x14ac:dyDescent="0.25" r="976" customHeight="1" ht="17.25" hidden="1">
      <c r="A976" s="112" t="s">
        <v>4205</v>
      </c>
      <c r="B976" s="1" t="s">
        <v>2549</v>
      </c>
      <c r="C976" s="1" t="s">
        <v>53</v>
      </c>
      <c r="D976" s="1" t="s">
        <v>4206</v>
      </c>
      <c r="E976" s="62">
        <v>27</v>
      </c>
      <c r="F976" s="1" t="s">
        <v>2551</v>
      </c>
      <c r="G976" s="1" t="s">
        <v>2552</v>
      </c>
    </row>
    <row x14ac:dyDescent="0.25" r="977" customHeight="1" ht="17.25" hidden="1">
      <c r="A977" s="112" t="s">
        <v>4207</v>
      </c>
      <c r="B977" s="1" t="s">
        <v>2549</v>
      </c>
      <c r="C977" s="1" t="s">
        <v>53</v>
      </c>
      <c r="D977" s="1" t="s">
        <v>4208</v>
      </c>
      <c r="E977" s="62">
        <v>21</v>
      </c>
      <c r="F977" s="1" t="s">
        <v>2551</v>
      </c>
      <c r="G977" s="1" t="s">
        <v>2552</v>
      </c>
    </row>
    <row x14ac:dyDescent="0.25" r="978" customHeight="1" ht="17.25" hidden="1">
      <c r="A978" s="112" t="s">
        <v>4209</v>
      </c>
      <c r="B978" s="1" t="s">
        <v>2549</v>
      </c>
      <c r="C978" s="1" t="s">
        <v>53</v>
      </c>
      <c r="D978" s="1" t="s">
        <v>4210</v>
      </c>
      <c r="E978" s="62">
        <v>18</v>
      </c>
      <c r="F978" s="1" t="s">
        <v>2551</v>
      </c>
      <c r="G978" s="1" t="s">
        <v>2552</v>
      </c>
    </row>
    <row x14ac:dyDescent="0.25" r="979" customHeight="1" ht="17.25" hidden="1">
      <c r="A979" s="112" t="s">
        <v>4211</v>
      </c>
      <c r="B979" s="1" t="s">
        <v>2549</v>
      </c>
      <c r="C979" s="1" t="s">
        <v>53</v>
      </c>
      <c r="D979" s="1" t="s">
        <v>4212</v>
      </c>
      <c r="E979" s="62">
        <v>22</v>
      </c>
      <c r="F979" s="1" t="s">
        <v>2551</v>
      </c>
      <c r="G979" s="1" t="s">
        <v>2555</v>
      </c>
    </row>
    <row x14ac:dyDescent="0.25" r="980" customHeight="1" ht="17.25" hidden="1">
      <c r="A980" s="112" t="s">
        <v>4213</v>
      </c>
      <c r="B980" s="1" t="s">
        <v>2549</v>
      </c>
      <c r="C980" s="1" t="s">
        <v>53</v>
      </c>
      <c r="D980" s="1" t="s">
        <v>4214</v>
      </c>
      <c r="E980" s="62">
        <v>29</v>
      </c>
      <c r="F980" s="1" t="s">
        <v>2551</v>
      </c>
      <c r="G980" s="1" t="s">
        <v>2964</v>
      </c>
    </row>
    <row x14ac:dyDescent="0.25" r="981" customHeight="1" ht="17.25" hidden="1">
      <c r="A981" s="112" t="s">
        <v>4215</v>
      </c>
      <c r="B981" s="1" t="s">
        <v>2549</v>
      </c>
      <c r="C981" s="1" t="s">
        <v>53</v>
      </c>
      <c r="D981" s="1" t="s">
        <v>4216</v>
      </c>
      <c r="E981" s="62">
        <v>34</v>
      </c>
      <c r="F981" s="1" t="s">
        <v>2551</v>
      </c>
      <c r="G981" s="1" t="s">
        <v>2558</v>
      </c>
    </row>
    <row x14ac:dyDescent="0.25" r="982" customHeight="1" ht="17.25" hidden="1">
      <c r="A982" s="112" t="s">
        <v>4215</v>
      </c>
      <c r="B982" s="1" t="s">
        <v>2549</v>
      </c>
      <c r="C982" s="1" t="s">
        <v>53</v>
      </c>
      <c r="D982" s="1" t="s">
        <v>4217</v>
      </c>
      <c r="E982" s="62">
        <v>22</v>
      </c>
      <c r="F982" s="1" t="s">
        <v>2551</v>
      </c>
      <c r="G982" s="1" t="s">
        <v>2552</v>
      </c>
    </row>
    <row x14ac:dyDescent="0.25" r="983" customHeight="1" ht="17.25" hidden="1">
      <c r="A983" s="112" t="s">
        <v>4218</v>
      </c>
      <c r="B983" s="1" t="s">
        <v>2549</v>
      </c>
      <c r="C983" s="1" t="s">
        <v>53</v>
      </c>
      <c r="D983" s="1" t="s">
        <v>4219</v>
      </c>
      <c r="E983" s="54" t="s">
        <v>2571</v>
      </c>
      <c r="F983" s="1" t="s">
        <v>2551</v>
      </c>
      <c r="G983" s="1" t="s">
        <v>2558</v>
      </c>
    </row>
    <row x14ac:dyDescent="0.25" r="984" customHeight="1" ht="17.25" hidden="1">
      <c r="A984" s="112" t="s">
        <v>4220</v>
      </c>
      <c r="B984" s="1" t="s">
        <v>2549</v>
      </c>
      <c r="C984" s="1" t="s">
        <v>53</v>
      </c>
      <c r="D984" s="1" t="s">
        <v>4221</v>
      </c>
      <c r="E984" s="62">
        <v>35</v>
      </c>
      <c r="F984" s="1" t="s">
        <v>2551</v>
      </c>
      <c r="G984" s="1" t="s">
        <v>2555</v>
      </c>
    </row>
    <row x14ac:dyDescent="0.25" r="985" customHeight="1" ht="17.25" hidden="1">
      <c r="A985" s="112" t="s">
        <v>4220</v>
      </c>
      <c r="B985" s="1" t="s">
        <v>2549</v>
      </c>
      <c r="C985" s="1" t="s">
        <v>53</v>
      </c>
      <c r="D985" s="1" t="s">
        <v>4222</v>
      </c>
      <c r="E985" s="62">
        <v>34</v>
      </c>
      <c r="F985" s="1" t="s">
        <v>2551</v>
      </c>
      <c r="G985" s="1" t="s">
        <v>2555</v>
      </c>
    </row>
    <row x14ac:dyDescent="0.25" r="986" customHeight="1" ht="17.25" hidden="1">
      <c r="A986" s="112" t="s">
        <v>4223</v>
      </c>
      <c r="B986" s="1" t="s">
        <v>2549</v>
      </c>
      <c r="C986" s="1" t="s">
        <v>53</v>
      </c>
      <c r="D986" s="1" t="s">
        <v>4224</v>
      </c>
      <c r="E986" s="62">
        <v>50</v>
      </c>
      <c r="F986" s="1" t="s">
        <v>2551</v>
      </c>
      <c r="G986" s="1" t="s">
        <v>2555</v>
      </c>
    </row>
    <row x14ac:dyDescent="0.25" r="987" customHeight="1" ht="17.25" hidden="1">
      <c r="A987" s="112" t="s">
        <v>4223</v>
      </c>
      <c r="B987" s="1" t="s">
        <v>2549</v>
      </c>
      <c r="C987" s="1" t="s">
        <v>53</v>
      </c>
      <c r="D987" s="1" t="s">
        <v>4225</v>
      </c>
      <c r="E987" s="62">
        <v>46</v>
      </c>
      <c r="F987" s="1" t="s">
        <v>2561</v>
      </c>
      <c r="G987" s="1" t="s">
        <v>2555</v>
      </c>
    </row>
    <row x14ac:dyDescent="0.25" r="988" customHeight="1" ht="17.25" hidden="1">
      <c r="A988" s="112" t="s">
        <v>4226</v>
      </c>
      <c r="B988" s="1" t="s">
        <v>2549</v>
      </c>
      <c r="C988" s="1" t="s">
        <v>53</v>
      </c>
      <c r="D988" s="1" t="s">
        <v>4227</v>
      </c>
      <c r="E988" s="62">
        <v>18</v>
      </c>
      <c r="F988" s="1" t="s">
        <v>2551</v>
      </c>
      <c r="G988" s="1" t="s">
        <v>2555</v>
      </c>
    </row>
    <row x14ac:dyDescent="0.25" r="989" customHeight="1" ht="17.25" hidden="1">
      <c r="A989" s="112" t="s">
        <v>4228</v>
      </c>
      <c r="B989" s="1" t="s">
        <v>2549</v>
      </c>
      <c r="C989" s="1" t="s">
        <v>53</v>
      </c>
      <c r="D989" s="1" t="s">
        <v>4229</v>
      </c>
      <c r="E989" s="62">
        <v>24</v>
      </c>
      <c r="F989" s="1" t="s">
        <v>2551</v>
      </c>
      <c r="G989" s="1" t="s">
        <v>2552</v>
      </c>
    </row>
    <row x14ac:dyDescent="0.25" r="990" customHeight="1" ht="17.25" hidden="1">
      <c r="A990" s="112" t="s">
        <v>4230</v>
      </c>
      <c r="B990" s="1" t="s">
        <v>2549</v>
      </c>
      <c r="C990" s="1" t="s">
        <v>53</v>
      </c>
      <c r="D990" s="1" t="s">
        <v>4231</v>
      </c>
      <c r="E990" s="62">
        <v>19</v>
      </c>
      <c r="F990" s="1" t="s">
        <v>2551</v>
      </c>
      <c r="G990" s="1" t="s">
        <v>2555</v>
      </c>
    </row>
    <row x14ac:dyDescent="0.25" r="991" customHeight="1" ht="17.25" hidden="1">
      <c r="A991" s="112" t="s">
        <v>4232</v>
      </c>
      <c r="B991" s="1" t="s">
        <v>2549</v>
      </c>
      <c r="C991" s="1" t="s">
        <v>53</v>
      </c>
      <c r="D991" s="1" t="s">
        <v>4233</v>
      </c>
      <c r="E991" s="62">
        <v>18</v>
      </c>
      <c r="F991" s="1" t="s">
        <v>2551</v>
      </c>
      <c r="G991" s="1" t="s">
        <v>2552</v>
      </c>
    </row>
    <row x14ac:dyDescent="0.25" r="992" customHeight="1" ht="17.25" hidden="1">
      <c r="A992" s="112" t="s">
        <v>4234</v>
      </c>
      <c r="B992" s="1" t="s">
        <v>2549</v>
      </c>
      <c r="C992" s="1" t="s">
        <v>53</v>
      </c>
      <c r="D992" s="1" t="s">
        <v>4235</v>
      </c>
      <c r="E992" s="62">
        <v>22</v>
      </c>
      <c r="F992" s="1" t="s">
        <v>2551</v>
      </c>
      <c r="G992" s="1" t="s">
        <v>2552</v>
      </c>
    </row>
    <row x14ac:dyDescent="0.25" r="993" customHeight="1" ht="17.25" hidden="1">
      <c r="A993" s="112" t="s">
        <v>4236</v>
      </c>
      <c r="B993" s="1" t="s">
        <v>2549</v>
      </c>
      <c r="C993" s="1" t="s">
        <v>53</v>
      </c>
      <c r="D993" s="1" t="s">
        <v>4237</v>
      </c>
      <c r="E993" s="62">
        <v>22</v>
      </c>
      <c r="F993" s="1" t="s">
        <v>2551</v>
      </c>
      <c r="G993" s="1" t="s">
        <v>2555</v>
      </c>
    </row>
    <row x14ac:dyDescent="0.25" r="994" customHeight="1" ht="17.25" hidden="1">
      <c r="A994" s="112" t="s">
        <v>4236</v>
      </c>
      <c r="B994" s="1" t="s">
        <v>2549</v>
      </c>
      <c r="C994" s="1" t="s">
        <v>53</v>
      </c>
      <c r="D994" s="1" t="s">
        <v>4238</v>
      </c>
      <c r="E994" s="62">
        <v>23</v>
      </c>
      <c r="F994" s="1" t="s">
        <v>2551</v>
      </c>
      <c r="G994" s="1" t="s">
        <v>2552</v>
      </c>
    </row>
    <row x14ac:dyDescent="0.25" r="995" customHeight="1" ht="17.25" hidden="1">
      <c r="A995" s="112" t="s">
        <v>4239</v>
      </c>
      <c r="B995" s="1" t="s">
        <v>2549</v>
      </c>
      <c r="C995" s="1" t="s">
        <v>53</v>
      </c>
      <c r="D995" s="1" t="s">
        <v>4240</v>
      </c>
      <c r="E995" s="62">
        <v>32</v>
      </c>
      <c r="F995" s="1" t="s">
        <v>2551</v>
      </c>
      <c r="G995" s="1" t="s">
        <v>2555</v>
      </c>
    </row>
    <row x14ac:dyDescent="0.25" r="996" customHeight="1" ht="17.25" hidden="1">
      <c r="A996" s="112" t="s">
        <v>4239</v>
      </c>
      <c r="B996" s="1" t="s">
        <v>2549</v>
      </c>
      <c r="C996" s="1" t="s">
        <v>53</v>
      </c>
      <c r="D996" s="1" t="s">
        <v>4241</v>
      </c>
      <c r="E996" s="62">
        <v>28</v>
      </c>
      <c r="F996" s="1" t="s">
        <v>2551</v>
      </c>
      <c r="G996" s="1" t="s">
        <v>2555</v>
      </c>
    </row>
    <row x14ac:dyDescent="0.25" r="997" customHeight="1" ht="17.25" hidden="1">
      <c r="A997" s="112" t="s">
        <v>4242</v>
      </c>
      <c r="B997" s="1" t="s">
        <v>2549</v>
      </c>
      <c r="C997" s="1" t="s">
        <v>53</v>
      </c>
      <c r="D997" s="1" t="s">
        <v>4243</v>
      </c>
      <c r="E997" s="62">
        <v>31</v>
      </c>
      <c r="F997" s="1" t="s">
        <v>2551</v>
      </c>
      <c r="G997" s="1" t="s">
        <v>2555</v>
      </c>
    </row>
    <row x14ac:dyDescent="0.25" r="998" customHeight="1" ht="17.25" hidden="1">
      <c r="A998" s="112" t="s">
        <v>4244</v>
      </c>
      <c r="B998" s="1" t="s">
        <v>2549</v>
      </c>
      <c r="C998" s="1" t="s">
        <v>53</v>
      </c>
      <c r="D998" s="1" t="s">
        <v>4245</v>
      </c>
      <c r="E998" s="62">
        <v>18</v>
      </c>
      <c r="F998" s="1" t="s">
        <v>2551</v>
      </c>
      <c r="G998" s="1" t="s">
        <v>2558</v>
      </c>
    </row>
    <row x14ac:dyDescent="0.25" r="999" customHeight="1" ht="17.25" hidden="1">
      <c r="A999" s="112" t="s">
        <v>4246</v>
      </c>
      <c r="B999" s="1" t="s">
        <v>2549</v>
      </c>
      <c r="C999" s="1" t="s">
        <v>53</v>
      </c>
      <c r="D999" s="1" t="s">
        <v>4247</v>
      </c>
      <c r="E999" s="54" t="s">
        <v>2571</v>
      </c>
      <c r="F999" s="1" t="s">
        <v>2551</v>
      </c>
      <c r="G999" s="1" t="s">
        <v>2555</v>
      </c>
    </row>
    <row x14ac:dyDescent="0.25" r="1000" customHeight="1" ht="17.25" hidden="1">
      <c r="A1000" s="112" t="s">
        <v>4248</v>
      </c>
      <c r="B1000" s="1" t="s">
        <v>2549</v>
      </c>
      <c r="C1000" s="1" t="s">
        <v>53</v>
      </c>
      <c r="D1000" s="1" t="s">
        <v>4249</v>
      </c>
      <c r="E1000" s="62">
        <v>27</v>
      </c>
      <c r="F1000" s="1" t="s">
        <v>2551</v>
      </c>
      <c r="G1000" s="1" t="s">
        <v>2552</v>
      </c>
    </row>
    <row x14ac:dyDescent="0.25" r="1001" customHeight="1" ht="17.25" hidden="1">
      <c r="A1001" s="112" t="s">
        <v>462</v>
      </c>
      <c r="B1001" s="1" t="s">
        <v>2549</v>
      </c>
      <c r="C1001" s="1" t="s">
        <v>53</v>
      </c>
      <c r="D1001" s="1" t="s">
        <v>463</v>
      </c>
      <c r="E1001" s="62">
        <v>47</v>
      </c>
      <c r="F1001" s="1" t="s">
        <v>2561</v>
      </c>
      <c r="G1001" s="1" t="s">
        <v>2555</v>
      </c>
    </row>
    <row x14ac:dyDescent="0.25" r="1002" customHeight="1" ht="17.25" hidden="1">
      <c r="A1002" s="112" t="s">
        <v>462</v>
      </c>
      <c r="B1002" s="1" t="s">
        <v>2549</v>
      </c>
      <c r="C1002" s="1" t="s">
        <v>53</v>
      </c>
      <c r="D1002" s="1" t="s">
        <v>2471</v>
      </c>
      <c r="E1002" s="62">
        <v>41</v>
      </c>
      <c r="F1002" s="1" t="s">
        <v>2551</v>
      </c>
      <c r="G1002" s="1" t="s">
        <v>2555</v>
      </c>
    </row>
    <row x14ac:dyDescent="0.25" r="1003" customHeight="1" ht="17.25" hidden="1">
      <c r="A1003" s="112" t="s">
        <v>4250</v>
      </c>
      <c r="B1003" s="1" t="s">
        <v>2549</v>
      </c>
      <c r="C1003" s="1" t="s">
        <v>53</v>
      </c>
      <c r="D1003" s="1" t="s">
        <v>4251</v>
      </c>
      <c r="E1003" s="62">
        <v>39</v>
      </c>
      <c r="F1003" s="1" t="s">
        <v>2551</v>
      </c>
      <c r="G1003" s="1" t="s">
        <v>2552</v>
      </c>
    </row>
    <row x14ac:dyDescent="0.25" r="1004" customHeight="1" ht="17.25" hidden="1">
      <c r="A1004" s="112" t="s">
        <v>4250</v>
      </c>
      <c r="B1004" s="1" t="s">
        <v>2549</v>
      </c>
      <c r="C1004" s="1" t="s">
        <v>53</v>
      </c>
      <c r="D1004" s="1" t="s">
        <v>4252</v>
      </c>
      <c r="E1004" s="62">
        <v>27</v>
      </c>
      <c r="F1004" s="1" t="s">
        <v>2551</v>
      </c>
      <c r="G1004" s="1" t="s">
        <v>2558</v>
      </c>
    </row>
    <row x14ac:dyDescent="0.25" r="1005" customHeight="1" ht="17.25" hidden="1">
      <c r="A1005" s="112" t="s">
        <v>4253</v>
      </c>
      <c r="B1005" s="1" t="s">
        <v>2549</v>
      </c>
      <c r="C1005" s="1" t="s">
        <v>53</v>
      </c>
      <c r="D1005" s="1" t="s">
        <v>4254</v>
      </c>
      <c r="E1005" s="62">
        <v>25</v>
      </c>
      <c r="F1005" s="1" t="s">
        <v>2551</v>
      </c>
      <c r="G1005" s="1" t="s">
        <v>2552</v>
      </c>
    </row>
    <row x14ac:dyDescent="0.25" r="1006" customHeight="1" ht="17.25" hidden="1">
      <c r="A1006" s="112" t="s">
        <v>4255</v>
      </c>
      <c r="B1006" s="1" t="s">
        <v>2549</v>
      </c>
      <c r="C1006" s="1" t="s">
        <v>53</v>
      </c>
      <c r="D1006" s="1" t="s">
        <v>4256</v>
      </c>
      <c r="E1006" s="62">
        <v>50</v>
      </c>
      <c r="F1006" s="1" t="s">
        <v>2551</v>
      </c>
      <c r="G1006" s="1" t="s">
        <v>2555</v>
      </c>
    </row>
    <row x14ac:dyDescent="0.25" r="1007" customHeight="1" ht="17.25" hidden="1">
      <c r="A1007" s="112" t="s">
        <v>4257</v>
      </c>
      <c r="B1007" s="1" t="s">
        <v>2549</v>
      </c>
      <c r="C1007" s="1" t="s">
        <v>53</v>
      </c>
      <c r="D1007" s="1" t="s">
        <v>4258</v>
      </c>
      <c r="E1007" s="62">
        <v>25</v>
      </c>
      <c r="F1007" s="1" t="s">
        <v>2551</v>
      </c>
      <c r="G1007" s="1" t="s">
        <v>2555</v>
      </c>
    </row>
    <row x14ac:dyDescent="0.25" r="1008" customHeight="1" ht="17.25" hidden="1">
      <c r="A1008" s="112" t="s">
        <v>4259</v>
      </c>
      <c r="B1008" s="1" t="s">
        <v>2549</v>
      </c>
      <c r="C1008" s="1" t="s">
        <v>53</v>
      </c>
      <c r="D1008" s="1" t="s">
        <v>4260</v>
      </c>
      <c r="E1008" s="62">
        <v>21</v>
      </c>
      <c r="F1008" s="1" t="s">
        <v>2551</v>
      </c>
      <c r="G1008" s="1" t="s">
        <v>2552</v>
      </c>
    </row>
    <row x14ac:dyDescent="0.25" r="1009" customHeight="1" ht="17.25" hidden="1">
      <c r="A1009" s="112" t="s">
        <v>4261</v>
      </c>
      <c r="B1009" s="1" t="s">
        <v>2549</v>
      </c>
      <c r="C1009" s="1" t="s">
        <v>53</v>
      </c>
      <c r="D1009" s="1" t="s">
        <v>3490</v>
      </c>
      <c r="E1009" s="62">
        <v>18</v>
      </c>
      <c r="F1009" s="1" t="s">
        <v>2551</v>
      </c>
      <c r="G1009" s="1" t="s">
        <v>2552</v>
      </c>
    </row>
    <row x14ac:dyDescent="0.25" r="1010" customHeight="1" ht="17.25" hidden="1">
      <c r="A1010" s="112" t="s">
        <v>4262</v>
      </c>
      <c r="B1010" s="1" t="s">
        <v>2549</v>
      </c>
      <c r="C1010" s="1" t="s">
        <v>53</v>
      </c>
      <c r="D1010" s="1" t="s">
        <v>4263</v>
      </c>
      <c r="E1010" s="62">
        <v>21</v>
      </c>
      <c r="F1010" s="1" t="s">
        <v>2551</v>
      </c>
      <c r="G1010" s="1" t="s">
        <v>2552</v>
      </c>
    </row>
    <row x14ac:dyDescent="0.25" r="1011" customHeight="1" ht="17.25" hidden="1">
      <c r="A1011" s="112" t="s">
        <v>4264</v>
      </c>
      <c r="B1011" s="1" t="s">
        <v>2549</v>
      </c>
      <c r="C1011" s="1" t="s">
        <v>53</v>
      </c>
      <c r="D1011" s="1" t="s">
        <v>4265</v>
      </c>
      <c r="E1011" s="62">
        <v>23</v>
      </c>
      <c r="F1011" s="1" t="s">
        <v>2551</v>
      </c>
      <c r="G1011" s="1" t="s">
        <v>2552</v>
      </c>
    </row>
    <row x14ac:dyDescent="0.25" r="1012" customHeight="1" ht="17.25" hidden="1">
      <c r="A1012" s="112" t="s">
        <v>4266</v>
      </c>
      <c r="B1012" s="1" t="s">
        <v>2549</v>
      </c>
      <c r="C1012" s="1" t="s">
        <v>53</v>
      </c>
      <c r="D1012" s="1" t="s">
        <v>4267</v>
      </c>
      <c r="E1012" s="62">
        <v>24</v>
      </c>
      <c r="F1012" s="1" t="s">
        <v>2551</v>
      </c>
      <c r="G1012" s="1" t="s">
        <v>2552</v>
      </c>
    </row>
    <row x14ac:dyDescent="0.25" r="1013" customHeight="1" ht="17.25" hidden="1">
      <c r="A1013" s="112" t="s">
        <v>4268</v>
      </c>
      <c r="B1013" s="1" t="s">
        <v>2549</v>
      </c>
      <c r="C1013" s="1" t="s">
        <v>53</v>
      </c>
      <c r="D1013" s="1" t="s">
        <v>4269</v>
      </c>
      <c r="E1013" s="62">
        <v>29</v>
      </c>
      <c r="F1013" s="1" t="s">
        <v>2551</v>
      </c>
      <c r="G1013" s="1" t="s">
        <v>2558</v>
      </c>
    </row>
    <row x14ac:dyDescent="0.25" r="1014" customHeight="1" ht="17.25" hidden="1">
      <c r="A1014" s="112" t="s">
        <v>4270</v>
      </c>
      <c r="B1014" s="1" t="s">
        <v>2549</v>
      </c>
      <c r="C1014" s="1" t="s">
        <v>53</v>
      </c>
      <c r="D1014" s="1" t="s">
        <v>4271</v>
      </c>
      <c r="E1014" s="62">
        <v>22</v>
      </c>
      <c r="F1014" s="1" t="s">
        <v>2551</v>
      </c>
      <c r="G1014" s="1" t="s">
        <v>2555</v>
      </c>
    </row>
    <row x14ac:dyDescent="0.25" r="1015" customHeight="1" ht="17.25" hidden="1">
      <c r="A1015" s="112" t="s">
        <v>4272</v>
      </c>
      <c r="B1015" s="1" t="s">
        <v>2549</v>
      </c>
      <c r="C1015" s="1" t="s">
        <v>53</v>
      </c>
      <c r="D1015" s="1" t="s">
        <v>4273</v>
      </c>
      <c r="E1015" s="62">
        <v>20</v>
      </c>
      <c r="F1015" s="1" t="s">
        <v>2551</v>
      </c>
      <c r="G1015" s="1" t="s">
        <v>2552</v>
      </c>
    </row>
    <row x14ac:dyDescent="0.25" r="1016" customHeight="1" ht="17.25" hidden="1">
      <c r="A1016" s="112" t="s">
        <v>4274</v>
      </c>
      <c r="B1016" s="1" t="s">
        <v>2549</v>
      </c>
      <c r="C1016" s="1" t="s">
        <v>53</v>
      </c>
      <c r="D1016" s="1" t="s">
        <v>4275</v>
      </c>
      <c r="E1016" s="62">
        <v>18</v>
      </c>
      <c r="F1016" s="1" t="s">
        <v>2551</v>
      </c>
      <c r="G1016" s="1" t="s">
        <v>2552</v>
      </c>
    </row>
    <row x14ac:dyDescent="0.25" r="1017" customHeight="1" ht="17.25" hidden="1">
      <c r="A1017" s="112" t="s">
        <v>4276</v>
      </c>
      <c r="B1017" s="1" t="s">
        <v>2549</v>
      </c>
      <c r="C1017" s="1" t="s">
        <v>53</v>
      </c>
      <c r="D1017" s="1" t="s">
        <v>4277</v>
      </c>
      <c r="E1017" s="62">
        <v>41</v>
      </c>
      <c r="F1017" s="1" t="s">
        <v>2551</v>
      </c>
      <c r="G1017" s="1" t="s">
        <v>2555</v>
      </c>
    </row>
    <row x14ac:dyDescent="0.25" r="1018" customHeight="1" ht="17.25" hidden="1">
      <c r="A1018" s="112" t="s">
        <v>4278</v>
      </c>
      <c r="B1018" s="1" t="s">
        <v>2549</v>
      </c>
      <c r="C1018" s="1" t="s">
        <v>53</v>
      </c>
      <c r="D1018" s="1" t="s">
        <v>4279</v>
      </c>
      <c r="E1018" s="62">
        <v>28</v>
      </c>
      <c r="F1018" s="1" t="s">
        <v>2551</v>
      </c>
      <c r="G1018" s="1" t="s">
        <v>2558</v>
      </c>
    </row>
    <row x14ac:dyDescent="0.25" r="1019" customHeight="1" ht="17.25" hidden="1">
      <c r="A1019" s="112" t="s">
        <v>4280</v>
      </c>
      <c r="B1019" s="1" t="s">
        <v>2549</v>
      </c>
      <c r="C1019" s="1" t="s">
        <v>53</v>
      </c>
      <c r="D1019" s="1" t="s">
        <v>4281</v>
      </c>
      <c r="E1019" s="62">
        <v>27</v>
      </c>
      <c r="F1019" s="1" t="s">
        <v>2551</v>
      </c>
      <c r="G1019" s="1" t="s">
        <v>2555</v>
      </c>
    </row>
    <row x14ac:dyDescent="0.25" r="1020" customHeight="1" ht="17.25" hidden="1">
      <c r="A1020" s="112" t="s">
        <v>4282</v>
      </c>
      <c r="B1020" s="1" t="s">
        <v>2549</v>
      </c>
      <c r="C1020" s="1" t="s">
        <v>53</v>
      </c>
      <c r="D1020" s="1" t="s">
        <v>4283</v>
      </c>
      <c r="E1020" s="62">
        <v>40</v>
      </c>
      <c r="F1020" s="1" t="s">
        <v>2551</v>
      </c>
      <c r="G1020" s="1" t="s">
        <v>2555</v>
      </c>
    </row>
    <row x14ac:dyDescent="0.25" r="1021" customHeight="1" ht="17.25" hidden="1">
      <c r="A1021" s="112" t="s">
        <v>4284</v>
      </c>
      <c r="B1021" s="1" t="s">
        <v>2549</v>
      </c>
      <c r="C1021" s="1" t="s">
        <v>53</v>
      </c>
      <c r="D1021" s="1" t="s">
        <v>4285</v>
      </c>
      <c r="E1021" s="62">
        <v>19</v>
      </c>
      <c r="F1021" s="1" t="s">
        <v>2551</v>
      </c>
      <c r="G1021" s="1" t="s">
        <v>2552</v>
      </c>
    </row>
    <row x14ac:dyDescent="0.25" r="1022" customHeight="1" ht="17.25" hidden="1">
      <c r="A1022" s="112" t="s">
        <v>4286</v>
      </c>
      <c r="B1022" s="1" t="s">
        <v>2549</v>
      </c>
      <c r="C1022" s="1" t="s">
        <v>53</v>
      </c>
      <c r="D1022" s="1" t="s">
        <v>4287</v>
      </c>
      <c r="E1022" s="62">
        <v>27</v>
      </c>
      <c r="F1022" s="1" t="s">
        <v>2551</v>
      </c>
      <c r="G1022" s="1" t="s">
        <v>2555</v>
      </c>
    </row>
    <row x14ac:dyDescent="0.25" r="1023" customHeight="1" ht="17.25" hidden="1">
      <c r="A1023" s="112" t="s">
        <v>4288</v>
      </c>
      <c r="B1023" s="1" t="s">
        <v>2549</v>
      </c>
      <c r="C1023" s="1" t="s">
        <v>53</v>
      </c>
      <c r="D1023" s="1" t="s">
        <v>4289</v>
      </c>
      <c r="E1023" s="62">
        <v>36</v>
      </c>
      <c r="F1023" s="1" t="s">
        <v>2551</v>
      </c>
      <c r="G1023" s="1" t="s">
        <v>2552</v>
      </c>
    </row>
    <row x14ac:dyDescent="0.25" r="1024" customHeight="1" ht="17.25" hidden="1">
      <c r="A1024" s="112" t="s">
        <v>4290</v>
      </c>
      <c r="B1024" s="1" t="s">
        <v>2549</v>
      </c>
      <c r="C1024" s="1" t="s">
        <v>53</v>
      </c>
      <c r="D1024" s="1" t="s">
        <v>4291</v>
      </c>
      <c r="E1024" s="62">
        <v>18</v>
      </c>
      <c r="F1024" s="1" t="s">
        <v>2551</v>
      </c>
      <c r="G1024" s="1" t="s">
        <v>2552</v>
      </c>
    </row>
    <row x14ac:dyDescent="0.25" r="1025" customHeight="1" ht="17.25" hidden="1">
      <c r="A1025" s="112" t="s">
        <v>1863</v>
      </c>
      <c r="B1025" s="1" t="s">
        <v>2549</v>
      </c>
      <c r="C1025" s="1" t="s">
        <v>53</v>
      </c>
      <c r="D1025" s="1" t="s">
        <v>1864</v>
      </c>
      <c r="E1025" s="62">
        <v>23</v>
      </c>
      <c r="F1025" s="1" t="s">
        <v>2551</v>
      </c>
      <c r="G1025" s="1" t="s">
        <v>2552</v>
      </c>
    </row>
    <row x14ac:dyDescent="0.25" r="1026" customHeight="1" ht="17.25" hidden="1">
      <c r="A1026" s="112" t="s">
        <v>4292</v>
      </c>
      <c r="B1026" s="1" t="s">
        <v>2549</v>
      </c>
      <c r="C1026" s="1" t="s">
        <v>53</v>
      </c>
      <c r="D1026" s="1" t="s">
        <v>4293</v>
      </c>
      <c r="E1026" s="62">
        <v>28</v>
      </c>
      <c r="F1026" s="1" t="s">
        <v>2551</v>
      </c>
      <c r="G1026" s="1" t="s">
        <v>2555</v>
      </c>
    </row>
    <row x14ac:dyDescent="0.25" r="1027" customHeight="1" ht="17.25" hidden="1">
      <c r="A1027" s="112" t="s">
        <v>4294</v>
      </c>
      <c r="B1027" s="1" t="s">
        <v>2549</v>
      </c>
      <c r="C1027" s="1" t="s">
        <v>53</v>
      </c>
      <c r="D1027" s="1" t="s">
        <v>4295</v>
      </c>
      <c r="E1027" s="62">
        <v>34</v>
      </c>
      <c r="F1027" s="1" t="s">
        <v>2561</v>
      </c>
      <c r="G1027" s="1" t="s">
        <v>2552</v>
      </c>
    </row>
    <row x14ac:dyDescent="0.25" r="1028" customHeight="1" ht="17.25" hidden="1">
      <c r="A1028" s="112" t="s">
        <v>4296</v>
      </c>
      <c r="B1028" s="1" t="s">
        <v>2549</v>
      </c>
      <c r="C1028" s="1" t="s">
        <v>53</v>
      </c>
      <c r="D1028" s="1" t="s">
        <v>4297</v>
      </c>
      <c r="E1028" s="62">
        <v>21</v>
      </c>
      <c r="F1028" s="1" t="s">
        <v>2551</v>
      </c>
      <c r="G1028" s="1" t="s">
        <v>2558</v>
      </c>
    </row>
    <row x14ac:dyDescent="0.25" r="1029" customHeight="1" ht="17.25" hidden="1">
      <c r="A1029" s="112" t="s">
        <v>4296</v>
      </c>
      <c r="B1029" s="1" t="s">
        <v>2549</v>
      </c>
      <c r="C1029" s="1" t="s">
        <v>53</v>
      </c>
      <c r="D1029" s="1" t="s">
        <v>4298</v>
      </c>
      <c r="E1029" s="62">
        <v>20</v>
      </c>
      <c r="F1029" s="1" t="s">
        <v>2551</v>
      </c>
      <c r="G1029" s="1" t="s">
        <v>2555</v>
      </c>
    </row>
    <row x14ac:dyDescent="0.25" r="1030" customHeight="1" ht="17.25" hidden="1">
      <c r="A1030" s="112" t="s">
        <v>4299</v>
      </c>
      <c r="B1030" s="1" t="s">
        <v>2549</v>
      </c>
      <c r="C1030" s="1" t="s">
        <v>53</v>
      </c>
      <c r="D1030" s="1" t="s">
        <v>4300</v>
      </c>
      <c r="E1030" s="62">
        <v>30</v>
      </c>
      <c r="F1030" s="1" t="s">
        <v>2551</v>
      </c>
      <c r="G1030" s="1" t="s">
        <v>2571</v>
      </c>
    </row>
    <row x14ac:dyDescent="0.25" r="1031" customHeight="1" ht="17.25" hidden="1">
      <c r="A1031" s="112" t="s">
        <v>4299</v>
      </c>
      <c r="B1031" s="1" t="s">
        <v>2549</v>
      </c>
      <c r="C1031" s="1" t="s">
        <v>53</v>
      </c>
      <c r="D1031" s="1" t="s">
        <v>4301</v>
      </c>
      <c r="E1031" s="62">
        <v>20</v>
      </c>
      <c r="F1031" s="1" t="s">
        <v>2551</v>
      </c>
      <c r="G1031" s="1" t="s">
        <v>2555</v>
      </c>
    </row>
    <row x14ac:dyDescent="0.25" r="1032" customHeight="1" ht="17.25" hidden="1">
      <c r="A1032" s="112" t="s">
        <v>4299</v>
      </c>
      <c r="B1032" s="1" t="s">
        <v>2549</v>
      </c>
      <c r="C1032" s="1" t="s">
        <v>53</v>
      </c>
      <c r="D1032" s="1" t="s">
        <v>4302</v>
      </c>
      <c r="E1032" s="62">
        <v>25</v>
      </c>
      <c r="F1032" s="1" t="s">
        <v>2551</v>
      </c>
      <c r="G1032" s="1" t="s">
        <v>2571</v>
      </c>
    </row>
    <row x14ac:dyDescent="0.25" r="1033" customHeight="1" ht="17.25" hidden="1">
      <c r="A1033" s="112" t="s">
        <v>4303</v>
      </c>
      <c r="B1033" s="1" t="s">
        <v>2549</v>
      </c>
      <c r="C1033" s="1" t="s">
        <v>53</v>
      </c>
      <c r="D1033" s="1" t="s">
        <v>4304</v>
      </c>
      <c r="E1033" s="54" t="s">
        <v>2571</v>
      </c>
      <c r="F1033" s="1" t="s">
        <v>2551</v>
      </c>
      <c r="G1033" s="1" t="s">
        <v>2552</v>
      </c>
    </row>
    <row x14ac:dyDescent="0.25" r="1034" customHeight="1" ht="17.25" hidden="1">
      <c r="A1034" s="112" t="s">
        <v>1537</v>
      </c>
      <c r="B1034" s="1" t="s">
        <v>2549</v>
      </c>
      <c r="C1034" s="1" t="s">
        <v>53</v>
      </c>
      <c r="D1034" s="1" t="s">
        <v>1538</v>
      </c>
      <c r="E1034" s="62">
        <v>20</v>
      </c>
      <c r="F1034" s="1" t="s">
        <v>2551</v>
      </c>
      <c r="G1034" s="1" t="s">
        <v>2552</v>
      </c>
    </row>
    <row x14ac:dyDescent="0.25" r="1035" customHeight="1" ht="17.25" hidden="1">
      <c r="A1035" s="112" t="s">
        <v>4305</v>
      </c>
      <c r="B1035" s="1" t="s">
        <v>2549</v>
      </c>
      <c r="C1035" s="1" t="s">
        <v>53</v>
      </c>
      <c r="D1035" s="1" t="s">
        <v>4306</v>
      </c>
      <c r="E1035" s="54" t="s">
        <v>2571</v>
      </c>
      <c r="F1035" s="1" t="s">
        <v>2561</v>
      </c>
      <c r="G1035" s="1" t="s">
        <v>2571</v>
      </c>
    </row>
    <row x14ac:dyDescent="0.25" r="1036" customHeight="1" ht="17.25" hidden="1">
      <c r="A1036" s="112" t="s">
        <v>4307</v>
      </c>
      <c r="B1036" s="1" t="s">
        <v>2549</v>
      </c>
      <c r="C1036" s="1" t="s">
        <v>53</v>
      </c>
      <c r="D1036" s="1" t="s">
        <v>4308</v>
      </c>
      <c r="E1036" s="62">
        <v>18</v>
      </c>
      <c r="F1036" s="1" t="s">
        <v>2551</v>
      </c>
      <c r="G1036" s="1" t="s">
        <v>2555</v>
      </c>
    </row>
    <row x14ac:dyDescent="0.25" r="1037" customHeight="1" ht="17.25" hidden="1">
      <c r="A1037" s="112" t="s">
        <v>4307</v>
      </c>
      <c r="B1037" s="1" t="s">
        <v>2549</v>
      </c>
      <c r="C1037" s="1" t="s">
        <v>53</v>
      </c>
      <c r="D1037" s="1" t="s">
        <v>4309</v>
      </c>
      <c r="E1037" s="62">
        <v>22</v>
      </c>
      <c r="F1037" s="1" t="s">
        <v>2551</v>
      </c>
      <c r="G1037" s="1" t="s">
        <v>2558</v>
      </c>
    </row>
    <row x14ac:dyDescent="0.25" r="1038" customHeight="1" ht="17.25" hidden="1">
      <c r="A1038" s="112" t="s">
        <v>4310</v>
      </c>
      <c r="B1038" s="1" t="s">
        <v>2549</v>
      </c>
      <c r="C1038" s="1" t="s">
        <v>53</v>
      </c>
      <c r="D1038" s="1" t="s">
        <v>4311</v>
      </c>
      <c r="E1038" s="62">
        <v>22</v>
      </c>
      <c r="F1038" s="1" t="s">
        <v>2551</v>
      </c>
      <c r="G1038" s="1" t="s">
        <v>2552</v>
      </c>
    </row>
    <row x14ac:dyDescent="0.25" r="1039" customHeight="1" ht="17.25" hidden="1">
      <c r="A1039" s="112" t="s">
        <v>4312</v>
      </c>
      <c r="B1039" s="1" t="s">
        <v>2549</v>
      </c>
      <c r="C1039" s="1" t="s">
        <v>53</v>
      </c>
      <c r="D1039" s="1" t="s">
        <v>4313</v>
      </c>
      <c r="E1039" s="62">
        <v>22</v>
      </c>
      <c r="F1039" s="1" t="s">
        <v>2551</v>
      </c>
      <c r="G1039" s="1" t="s">
        <v>2555</v>
      </c>
    </row>
    <row x14ac:dyDescent="0.25" r="1040" customHeight="1" ht="17.25" hidden="1">
      <c r="A1040" s="112" t="s">
        <v>4314</v>
      </c>
      <c r="B1040" s="1" t="s">
        <v>2549</v>
      </c>
      <c r="C1040" s="1" t="s">
        <v>53</v>
      </c>
      <c r="D1040" s="1" t="s">
        <v>4315</v>
      </c>
      <c r="E1040" s="62">
        <v>24</v>
      </c>
      <c r="F1040" s="1" t="s">
        <v>2551</v>
      </c>
      <c r="G1040" s="1" t="s">
        <v>2552</v>
      </c>
    </row>
    <row x14ac:dyDescent="0.25" r="1041" customHeight="1" ht="17.25" hidden="1">
      <c r="A1041" s="112" t="s">
        <v>4316</v>
      </c>
      <c r="B1041" s="1" t="s">
        <v>2549</v>
      </c>
      <c r="C1041" s="1" t="s">
        <v>53</v>
      </c>
      <c r="D1041" s="1" t="s">
        <v>4317</v>
      </c>
      <c r="E1041" s="54" t="s">
        <v>2571</v>
      </c>
      <c r="F1041" s="1" t="s">
        <v>2551</v>
      </c>
      <c r="G1041" s="1" t="s">
        <v>2555</v>
      </c>
    </row>
    <row x14ac:dyDescent="0.25" r="1042" customHeight="1" ht="17.25" hidden="1">
      <c r="A1042" s="112" t="s">
        <v>4318</v>
      </c>
      <c r="B1042" s="1" t="s">
        <v>2549</v>
      </c>
      <c r="C1042" s="1" t="s">
        <v>53</v>
      </c>
      <c r="D1042" s="1" t="s">
        <v>4319</v>
      </c>
      <c r="E1042" s="62">
        <v>37</v>
      </c>
      <c r="F1042" s="1" t="s">
        <v>2551</v>
      </c>
      <c r="G1042" s="1" t="s">
        <v>2558</v>
      </c>
    </row>
    <row x14ac:dyDescent="0.25" r="1043" customHeight="1" ht="17.25" hidden="1">
      <c r="A1043" s="112" t="s">
        <v>4320</v>
      </c>
      <c r="B1043" s="1" t="s">
        <v>2549</v>
      </c>
      <c r="C1043" s="1" t="s">
        <v>53</v>
      </c>
      <c r="D1043" s="1" t="s">
        <v>4321</v>
      </c>
      <c r="E1043" s="62">
        <v>18</v>
      </c>
      <c r="F1043" s="1" t="s">
        <v>2551</v>
      </c>
      <c r="G1043" s="1" t="s">
        <v>2555</v>
      </c>
    </row>
    <row x14ac:dyDescent="0.25" r="1044" customHeight="1" ht="17.25" hidden="1">
      <c r="A1044" s="112" t="s">
        <v>4320</v>
      </c>
      <c r="B1044" s="1" t="s">
        <v>2549</v>
      </c>
      <c r="C1044" s="1" t="s">
        <v>53</v>
      </c>
      <c r="D1044" s="1" t="s">
        <v>4322</v>
      </c>
      <c r="E1044" s="62">
        <v>18</v>
      </c>
      <c r="F1044" s="1" t="s">
        <v>2561</v>
      </c>
      <c r="G1044" s="1" t="s">
        <v>2552</v>
      </c>
    </row>
    <row x14ac:dyDescent="0.25" r="1045" customHeight="1" ht="17.25" hidden="1">
      <c r="A1045" s="112" t="s">
        <v>4323</v>
      </c>
      <c r="B1045" s="1" t="s">
        <v>2549</v>
      </c>
      <c r="C1045" s="1" t="s">
        <v>53</v>
      </c>
      <c r="D1045" s="1" t="s">
        <v>4324</v>
      </c>
      <c r="E1045" s="62">
        <v>30</v>
      </c>
      <c r="F1045" s="1" t="s">
        <v>2551</v>
      </c>
      <c r="G1045" s="1" t="s">
        <v>2571</v>
      </c>
    </row>
    <row x14ac:dyDescent="0.25" r="1046" customHeight="1" ht="17.25" hidden="1">
      <c r="A1046" s="112" t="s">
        <v>4323</v>
      </c>
      <c r="B1046" s="1" t="s">
        <v>2549</v>
      </c>
      <c r="C1046" s="1" t="s">
        <v>53</v>
      </c>
      <c r="D1046" s="1" t="s">
        <v>4325</v>
      </c>
      <c r="E1046" s="62">
        <v>20</v>
      </c>
      <c r="F1046" s="1" t="s">
        <v>2551</v>
      </c>
      <c r="G1046" s="1" t="s">
        <v>2555</v>
      </c>
    </row>
    <row x14ac:dyDescent="0.25" r="1047" customHeight="1" ht="17.25" hidden="1">
      <c r="A1047" s="112" t="s">
        <v>4323</v>
      </c>
      <c r="B1047" s="1" t="s">
        <v>2549</v>
      </c>
      <c r="C1047" s="1" t="s">
        <v>53</v>
      </c>
      <c r="D1047" s="1" t="s">
        <v>4326</v>
      </c>
      <c r="E1047" s="62">
        <v>23</v>
      </c>
      <c r="F1047" s="1" t="s">
        <v>2551</v>
      </c>
      <c r="G1047" s="1" t="s">
        <v>2552</v>
      </c>
    </row>
    <row x14ac:dyDescent="0.25" r="1048" customHeight="1" ht="17.25" hidden="1">
      <c r="A1048" s="112" t="s">
        <v>4323</v>
      </c>
      <c r="B1048" s="1" t="s">
        <v>2549</v>
      </c>
      <c r="C1048" s="1" t="s">
        <v>53</v>
      </c>
      <c r="D1048" s="1" t="s">
        <v>4327</v>
      </c>
      <c r="E1048" s="62">
        <v>19</v>
      </c>
      <c r="F1048" s="1" t="s">
        <v>2551</v>
      </c>
      <c r="G1048" s="1" t="s">
        <v>2571</v>
      </c>
    </row>
    <row x14ac:dyDescent="0.25" r="1049" customHeight="1" ht="17.25" hidden="1">
      <c r="A1049" s="112" t="s">
        <v>4323</v>
      </c>
      <c r="B1049" s="1" t="s">
        <v>2549</v>
      </c>
      <c r="C1049" s="1" t="s">
        <v>53</v>
      </c>
      <c r="D1049" s="1" t="s">
        <v>4328</v>
      </c>
      <c r="E1049" s="62">
        <v>24</v>
      </c>
      <c r="F1049" s="1" t="s">
        <v>2551</v>
      </c>
      <c r="G1049" s="1" t="s">
        <v>2571</v>
      </c>
    </row>
    <row x14ac:dyDescent="0.25" r="1050" customHeight="1" ht="17.25" hidden="1">
      <c r="A1050" s="112" t="s">
        <v>4329</v>
      </c>
      <c r="B1050" s="1" t="s">
        <v>2549</v>
      </c>
      <c r="C1050" s="1" t="s">
        <v>53</v>
      </c>
      <c r="D1050" s="1" t="s">
        <v>4330</v>
      </c>
      <c r="E1050" s="62">
        <v>41</v>
      </c>
      <c r="F1050" s="1" t="s">
        <v>2551</v>
      </c>
      <c r="G1050" s="1" t="s">
        <v>2555</v>
      </c>
    </row>
    <row x14ac:dyDescent="0.25" r="1051" customHeight="1" ht="17.25" hidden="1">
      <c r="A1051" s="112" t="s">
        <v>4329</v>
      </c>
      <c r="B1051" s="1" t="s">
        <v>2549</v>
      </c>
      <c r="C1051" s="1" t="s">
        <v>53</v>
      </c>
      <c r="D1051" s="1" t="s">
        <v>4331</v>
      </c>
      <c r="E1051" s="62">
        <v>47</v>
      </c>
      <c r="F1051" s="1" t="s">
        <v>2551</v>
      </c>
      <c r="G1051" s="1" t="s">
        <v>2555</v>
      </c>
    </row>
    <row x14ac:dyDescent="0.25" r="1052" customHeight="1" ht="17.25" hidden="1">
      <c r="A1052" s="112" t="s">
        <v>4329</v>
      </c>
      <c r="B1052" s="1" t="s">
        <v>2549</v>
      </c>
      <c r="C1052" s="1" t="s">
        <v>53</v>
      </c>
      <c r="D1052" s="1" t="s">
        <v>4332</v>
      </c>
      <c r="E1052" s="62">
        <v>46</v>
      </c>
      <c r="F1052" s="1" t="s">
        <v>2561</v>
      </c>
      <c r="G1052" s="1" t="s">
        <v>2555</v>
      </c>
    </row>
    <row x14ac:dyDescent="0.25" r="1053" customHeight="1" ht="17.25" hidden="1">
      <c r="A1053" s="112" t="s">
        <v>4329</v>
      </c>
      <c r="B1053" s="1" t="s">
        <v>2549</v>
      </c>
      <c r="C1053" s="1" t="s">
        <v>53</v>
      </c>
      <c r="D1053" s="1" t="s">
        <v>4333</v>
      </c>
      <c r="E1053" s="62">
        <v>31</v>
      </c>
      <c r="F1053" s="1" t="s">
        <v>2551</v>
      </c>
      <c r="G1053" s="1" t="s">
        <v>2555</v>
      </c>
    </row>
    <row x14ac:dyDescent="0.25" r="1054" customHeight="1" ht="17.25" hidden="1">
      <c r="A1054" s="112" t="s">
        <v>4329</v>
      </c>
      <c r="B1054" s="1" t="s">
        <v>2549</v>
      </c>
      <c r="C1054" s="1" t="s">
        <v>53</v>
      </c>
      <c r="D1054" s="1" t="s">
        <v>4334</v>
      </c>
      <c r="E1054" s="62">
        <v>29</v>
      </c>
      <c r="F1054" s="1" t="s">
        <v>2551</v>
      </c>
      <c r="G1054" s="1" t="s">
        <v>2555</v>
      </c>
    </row>
    <row x14ac:dyDescent="0.25" r="1055" customHeight="1" ht="17.25" hidden="1">
      <c r="A1055" s="112" t="s">
        <v>4335</v>
      </c>
      <c r="B1055" s="1" t="s">
        <v>2549</v>
      </c>
      <c r="C1055" s="1" t="s">
        <v>53</v>
      </c>
      <c r="D1055" s="1" t="s">
        <v>4336</v>
      </c>
      <c r="E1055" s="62">
        <v>18</v>
      </c>
      <c r="F1055" s="1" t="s">
        <v>2561</v>
      </c>
      <c r="G1055" s="1" t="s">
        <v>2558</v>
      </c>
    </row>
    <row x14ac:dyDescent="0.25" r="1056" customHeight="1" ht="17.25" hidden="1">
      <c r="A1056" s="112" t="s">
        <v>4337</v>
      </c>
      <c r="B1056" s="1" t="s">
        <v>2549</v>
      </c>
      <c r="C1056" s="1" t="s">
        <v>53</v>
      </c>
      <c r="D1056" s="1" t="s">
        <v>4338</v>
      </c>
      <c r="E1056" s="62">
        <v>20</v>
      </c>
      <c r="F1056" s="1" t="s">
        <v>2551</v>
      </c>
      <c r="G1056" s="1" t="s">
        <v>2555</v>
      </c>
    </row>
    <row x14ac:dyDescent="0.25" r="1057" customHeight="1" ht="17.25" hidden="1">
      <c r="A1057" s="112" t="s">
        <v>4339</v>
      </c>
      <c r="B1057" s="1" t="s">
        <v>2549</v>
      </c>
      <c r="C1057" s="1" t="s">
        <v>53</v>
      </c>
      <c r="D1057" s="1" t="s">
        <v>4340</v>
      </c>
      <c r="E1057" s="62">
        <v>21</v>
      </c>
      <c r="F1057" s="1" t="s">
        <v>2551</v>
      </c>
      <c r="G1057" s="1" t="s">
        <v>2552</v>
      </c>
    </row>
    <row x14ac:dyDescent="0.25" r="1058" customHeight="1" ht="17.25" hidden="1">
      <c r="A1058" s="112" t="s">
        <v>4341</v>
      </c>
      <c r="B1058" s="1" t="s">
        <v>2549</v>
      </c>
      <c r="C1058" s="1" t="s">
        <v>53</v>
      </c>
      <c r="D1058" s="1" t="s">
        <v>4342</v>
      </c>
      <c r="E1058" s="54" t="s">
        <v>2571</v>
      </c>
      <c r="F1058" s="1" t="s">
        <v>2561</v>
      </c>
      <c r="G1058" s="1" t="s">
        <v>2552</v>
      </c>
    </row>
    <row x14ac:dyDescent="0.25" r="1059" customHeight="1" ht="17.25" hidden="1">
      <c r="A1059" s="112" t="s">
        <v>4341</v>
      </c>
      <c r="B1059" s="1" t="s">
        <v>2549</v>
      </c>
      <c r="C1059" s="1" t="s">
        <v>53</v>
      </c>
      <c r="D1059" s="1" t="s">
        <v>4343</v>
      </c>
      <c r="E1059" s="54" t="s">
        <v>2571</v>
      </c>
      <c r="F1059" s="1" t="s">
        <v>2551</v>
      </c>
      <c r="G1059" s="1" t="s">
        <v>2555</v>
      </c>
    </row>
    <row x14ac:dyDescent="0.25" r="1060" customHeight="1" ht="17.25" hidden="1">
      <c r="A1060" s="112" t="s">
        <v>4341</v>
      </c>
      <c r="B1060" s="1" t="s">
        <v>2549</v>
      </c>
      <c r="C1060" s="1" t="s">
        <v>53</v>
      </c>
      <c r="D1060" s="1" t="s">
        <v>4344</v>
      </c>
      <c r="E1060" s="54" t="s">
        <v>2571</v>
      </c>
      <c r="F1060" s="1" t="s">
        <v>2551</v>
      </c>
      <c r="G1060" s="1" t="s">
        <v>2555</v>
      </c>
    </row>
    <row x14ac:dyDescent="0.25" r="1061" customHeight="1" ht="17.25" hidden="1">
      <c r="A1061" s="112" t="s">
        <v>4341</v>
      </c>
      <c r="B1061" s="1" t="s">
        <v>2549</v>
      </c>
      <c r="C1061" s="1" t="s">
        <v>53</v>
      </c>
      <c r="D1061" s="1" t="s">
        <v>4345</v>
      </c>
      <c r="E1061" s="54" t="s">
        <v>2571</v>
      </c>
      <c r="F1061" s="1" t="s">
        <v>2551</v>
      </c>
      <c r="G1061" s="1" t="s">
        <v>2552</v>
      </c>
    </row>
    <row x14ac:dyDescent="0.25" r="1062" customHeight="1" ht="17.25" hidden="1">
      <c r="A1062" s="112" t="s">
        <v>4341</v>
      </c>
      <c r="B1062" s="1" t="s">
        <v>2549</v>
      </c>
      <c r="C1062" s="1" t="s">
        <v>53</v>
      </c>
      <c r="D1062" s="1" t="s">
        <v>4346</v>
      </c>
      <c r="E1062" s="54" t="s">
        <v>2571</v>
      </c>
      <c r="F1062" s="1" t="s">
        <v>2551</v>
      </c>
      <c r="G1062" s="1" t="s">
        <v>2555</v>
      </c>
    </row>
    <row x14ac:dyDescent="0.25" r="1063" customHeight="1" ht="17.25" hidden="1">
      <c r="A1063" s="112" t="s">
        <v>4347</v>
      </c>
      <c r="B1063" s="1" t="s">
        <v>2549</v>
      </c>
      <c r="C1063" s="1" t="s">
        <v>53</v>
      </c>
      <c r="D1063" s="1" t="s">
        <v>4348</v>
      </c>
      <c r="E1063" s="62">
        <v>29</v>
      </c>
      <c r="F1063" s="1" t="s">
        <v>2551</v>
      </c>
      <c r="G1063" s="1" t="s">
        <v>2552</v>
      </c>
    </row>
    <row x14ac:dyDescent="0.25" r="1064" customHeight="1" ht="17.25" hidden="1">
      <c r="A1064" s="112" t="s">
        <v>4349</v>
      </c>
      <c r="B1064" s="1" t="s">
        <v>2549</v>
      </c>
      <c r="C1064" s="1" t="s">
        <v>53</v>
      </c>
      <c r="D1064" s="1" t="s">
        <v>4350</v>
      </c>
      <c r="E1064" s="62">
        <v>19</v>
      </c>
      <c r="F1064" s="1" t="s">
        <v>2551</v>
      </c>
      <c r="G1064" s="1" t="s">
        <v>2552</v>
      </c>
    </row>
    <row x14ac:dyDescent="0.25" r="1065" customHeight="1" ht="17.25" hidden="1">
      <c r="A1065" s="112" t="s">
        <v>4351</v>
      </c>
      <c r="B1065" s="1" t="s">
        <v>2549</v>
      </c>
      <c r="C1065" s="1" t="s">
        <v>53</v>
      </c>
      <c r="D1065" s="1" t="s">
        <v>4352</v>
      </c>
      <c r="E1065" s="62">
        <v>18</v>
      </c>
      <c r="F1065" s="1" t="s">
        <v>2551</v>
      </c>
      <c r="G1065" s="1" t="s">
        <v>2552</v>
      </c>
    </row>
    <row x14ac:dyDescent="0.25" r="1066" customHeight="1" ht="17.25" hidden="1">
      <c r="A1066" s="112" t="s">
        <v>4353</v>
      </c>
      <c r="B1066" s="1" t="s">
        <v>2549</v>
      </c>
      <c r="C1066" s="1" t="s">
        <v>53</v>
      </c>
      <c r="D1066" s="1" t="s">
        <v>4354</v>
      </c>
      <c r="E1066" s="62">
        <v>38</v>
      </c>
      <c r="F1066" s="1" t="s">
        <v>2551</v>
      </c>
      <c r="G1066" s="1" t="s">
        <v>2552</v>
      </c>
    </row>
    <row x14ac:dyDescent="0.25" r="1067" customHeight="1" ht="17.25" hidden="1">
      <c r="A1067" s="112" t="s">
        <v>4355</v>
      </c>
      <c r="B1067" s="1" t="s">
        <v>2549</v>
      </c>
      <c r="C1067" s="1" t="s">
        <v>53</v>
      </c>
      <c r="D1067" s="1" t="s">
        <v>4356</v>
      </c>
      <c r="E1067" s="62">
        <v>19</v>
      </c>
      <c r="F1067" s="1" t="s">
        <v>2551</v>
      </c>
      <c r="G1067" s="1" t="s">
        <v>2552</v>
      </c>
    </row>
    <row x14ac:dyDescent="0.25" r="1068" customHeight="1" ht="17.25" hidden="1">
      <c r="A1068" s="112" t="s">
        <v>4355</v>
      </c>
      <c r="B1068" s="1" t="s">
        <v>2549</v>
      </c>
      <c r="C1068" s="1" t="s">
        <v>53</v>
      </c>
      <c r="D1068" s="1" t="s">
        <v>4357</v>
      </c>
      <c r="E1068" s="62">
        <v>38</v>
      </c>
      <c r="F1068" s="1" t="s">
        <v>2561</v>
      </c>
      <c r="G1068" s="1" t="s">
        <v>2555</v>
      </c>
    </row>
    <row x14ac:dyDescent="0.25" r="1069" customHeight="1" ht="17.25" hidden="1">
      <c r="A1069" s="112" t="s">
        <v>4358</v>
      </c>
      <c r="B1069" s="1" t="s">
        <v>2549</v>
      </c>
      <c r="C1069" s="1" t="s">
        <v>53</v>
      </c>
      <c r="D1069" s="1" t="s">
        <v>4359</v>
      </c>
      <c r="E1069" s="62">
        <v>21</v>
      </c>
      <c r="F1069" s="1" t="s">
        <v>2551</v>
      </c>
      <c r="G1069" s="1" t="s">
        <v>2555</v>
      </c>
    </row>
    <row x14ac:dyDescent="0.25" r="1070" customHeight="1" ht="17.25" hidden="1">
      <c r="A1070" s="112" t="s">
        <v>4360</v>
      </c>
      <c r="B1070" s="1" t="s">
        <v>2549</v>
      </c>
      <c r="C1070" s="1" t="s">
        <v>53</v>
      </c>
      <c r="D1070" s="1" t="s">
        <v>4361</v>
      </c>
      <c r="E1070" s="62">
        <v>28</v>
      </c>
      <c r="F1070" s="1" t="s">
        <v>2551</v>
      </c>
      <c r="G1070" s="1" t="s">
        <v>2552</v>
      </c>
    </row>
    <row x14ac:dyDescent="0.25" r="1071" customHeight="1" ht="17.25" hidden="1">
      <c r="A1071" s="112" t="s">
        <v>4362</v>
      </c>
      <c r="B1071" s="1" t="s">
        <v>2549</v>
      </c>
      <c r="C1071" s="1" t="s">
        <v>53</v>
      </c>
      <c r="D1071" s="1" t="s">
        <v>4363</v>
      </c>
      <c r="E1071" s="62">
        <v>18</v>
      </c>
      <c r="F1071" s="1" t="s">
        <v>2551</v>
      </c>
      <c r="G1071" s="1" t="s">
        <v>2552</v>
      </c>
    </row>
    <row x14ac:dyDescent="0.25" r="1072" customHeight="1" ht="17.25" hidden="1">
      <c r="A1072" s="112" t="s">
        <v>4364</v>
      </c>
      <c r="B1072" s="1" t="s">
        <v>2549</v>
      </c>
      <c r="C1072" s="1" t="s">
        <v>53</v>
      </c>
      <c r="D1072" s="1" t="s">
        <v>4365</v>
      </c>
      <c r="E1072" s="62">
        <v>19</v>
      </c>
      <c r="F1072" s="1" t="s">
        <v>2551</v>
      </c>
      <c r="G1072" s="1" t="s">
        <v>2552</v>
      </c>
    </row>
    <row x14ac:dyDescent="0.25" r="1073" customHeight="1" ht="17.25" hidden="1">
      <c r="A1073" s="112" t="s">
        <v>4366</v>
      </c>
      <c r="B1073" s="1" t="s">
        <v>2549</v>
      </c>
      <c r="C1073" s="1" t="s">
        <v>53</v>
      </c>
      <c r="D1073" s="1" t="s">
        <v>4367</v>
      </c>
      <c r="E1073" s="62">
        <v>20</v>
      </c>
      <c r="F1073" s="1" t="s">
        <v>2551</v>
      </c>
      <c r="G1073" s="1" t="s">
        <v>2555</v>
      </c>
    </row>
    <row x14ac:dyDescent="0.25" r="1074" customHeight="1" ht="17.25" hidden="1">
      <c r="A1074" s="112" t="s">
        <v>4368</v>
      </c>
      <c r="B1074" s="1" t="s">
        <v>2549</v>
      </c>
      <c r="C1074" s="1" t="s">
        <v>53</v>
      </c>
      <c r="D1074" s="1" t="s">
        <v>4369</v>
      </c>
      <c r="E1074" s="62">
        <v>19</v>
      </c>
      <c r="F1074" s="1" t="s">
        <v>2551</v>
      </c>
      <c r="G1074" s="1" t="s">
        <v>2552</v>
      </c>
    </row>
    <row x14ac:dyDescent="0.25" r="1075" customHeight="1" ht="17.25" hidden="1">
      <c r="A1075" s="112" t="s">
        <v>4370</v>
      </c>
      <c r="B1075" s="1" t="s">
        <v>2549</v>
      </c>
      <c r="C1075" s="1" t="s">
        <v>53</v>
      </c>
      <c r="D1075" s="1" t="s">
        <v>4371</v>
      </c>
      <c r="E1075" s="62">
        <v>20</v>
      </c>
      <c r="F1075" s="1" t="s">
        <v>2561</v>
      </c>
      <c r="G1075" s="1" t="s">
        <v>2571</v>
      </c>
    </row>
    <row x14ac:dyDescent="0.25" r="1076" customHeight="1" ht="17.25" hidden="1">
      <c r="A1076" s="112" t="s">
        <v>4372</v>
      </c>
      <c r="B1076" s="1" t="s">
        <v>2549</v>
      </c>
      <c r="C1076" s="1" t="s">
        <v>53</v>
      </c>
      <c r="D1076" s="1" t="s">
        <v>4373</v>
      </c>
      <c r="E1076" s="62">
        <v>56</v>
      </c>
      <c r="F1076" s="1" t="s">
        <v>2551</v>
      </c>
      <c r="G1076" s="1" t="s">
        <v>2555</v>
      </c>
    </row>
    <row x14ac:dyDescent="0.25" r="1077" customHeight="1" ht="17.25" hidden="1">
      <c r="A1077" s="112" t="s">
        <v>4374</v>
      </c>
      <c r="B1077" s="1" t="s">
        <v>2549</v>
      </c>
      <c r="C1077" s="1" t="s">
        <v>53</v>
      </c>
      <c r="D1077" s="1" t="s">
        <v>4375</v>
      </c>
      <c r="E1077" s="54" t="s">
        <v>2571</v>
      </c>
      <c r="F1077" s="1" t="s">
        <v>2551</v>
      </c>
      <c r="G1077" s="1" t="s">
        <v>2555</v>
      </c>
    </row>
    <row x14ac:dyDescent="0.25" r="1078" customHeight="1" ht="17.25" hidden="1">
      <c r="A1078" s="112" t="s">
        <v>4376</v>
      </c>
      <c r="B1078" s="1" t="s">
        <v>2549</v>
      </c>
      <c r="C1078" s="1" t="s">
        <v>53</v>
      </c>
      <c r="D1078" s="1" t="s">
        <v>4377</v>
      </c>
      <c r="E1078" s="62">
        <v>18</v>
      </c>
      <c r="F1078" s="1" t="s">
        <v>2551</v>
      </c>
      <c r="G1078" s="1" t="s">
        <v>2552</v>
      </c>
    </row>
    <row x14ac:dyDescent="0.25" r="1079" customHeight="1" ht="17.25" hidden="1">
      <c r="A1079" s="112" t="s">
        <v>4378</v>
      </c>
      <c r="B1079" s="1" t="s">
        <v>2549</v>
      </c>
      <c r="C1079" s="1" t="s">
        <v>53</v>
      </c>
      <c r="D1079" s="1" t="s">
        <v>4379</v>
      </c>
      <c r="E1079" s="62">
        <v>18</v>
      </c>
      <c r="F1079" s="1" t="s">
        <v>2551</v>
      </c>
      <c r="G1079" s="1" t="s">
        <v>2555</v>
      </c>
    </row>
    <row x14ac:dyDescent="0.25" r="1080" customHeight="1" ht="17.25" hidden="1">
      <c r="A1080" s="112" t="s">
        <v>4380</v>
      </c>
      <c r="B1080" s="1" t="s">
        <v>2549</v>
      </c>
      <c r="C1080" s="1" t="s">
        <v>53</v>
      </c>
      <c r="D1080" s="1" t="s">
        <v>4381</v>
      </c>
      <c r="E1080" s="62">
        <v>25</v>
      </c>
      <c r="F1080" s="1" t="s">
        <v>2551</v>
      </c>
      <c r="G1080" s="1" t="s">
        <v>2552</v>
      </c>
    </row>
    <row x14ac:dyDescent="0.25" r="1081" customHeight="1" ht="17.25" hidden="1">
      <c r="A1081" s="112" t="s">
        <v>4380</v>
      </c>
      <c r="B1081" s="1" t="s">
        <v>2549</v>
      </c>
      <c r="C1081" s="1" t="s">
        <v>53</v>
      </c>
      <c r="D1081" s="1" t="s">
        <v>4382</v>
      </c>
      <c r="E1081" s="62">
        <v>22</v>
      </c>
      <c r="F1081" s="1" t="s">
        <v>2551</v>
      </c>
      <c r="G1081" s="1" t="s">
        <v>2555</v>
      </c>
    </row>
    <row x14ac:dyDescent="0.25" r="1082" customHeight="1" ht="17.25" hidden="1">
      <c r="A1082" s="112" t="s">
        <v>4380</v>
      </c>
      <c r="B1082" s="1" t="s">
        <v>2549</v>
      </c>
      <c r="C1082" s="1" t="s">
        <v>53</v>
      </c>
      <c r="D1082" s="1" t="s">
        <v>4383</v>
      </c>
      <c r="E1082" s="62">
        <v>24</v>
      </c>
      <c r="F1082" s="1" t="s">
        <v>2551</v>
      </c>
      <c r="G1082" s="1" t="s">
        <v>2555</v>
      </c>
    </row>
    <row x14ac:dyDescent="0.25" r="1083" customHeight="1" ht="17.25" hidden="1">
      <c r="A1083" s="112" t="s">
        <v>4380</v>
      </c>
      <c r="B1083" s="1" t="s">
        <v>2549</v>
      </c>
      <c r="C1083" s="1" t="s">
        <v>53</v>
      </c>
      <c r="D1083" s="1" t="s">
        <v>4384</v>
      </c>
      <c r="E1083" s="62">
        <v>26</v>
      </c>
      <c r="F1083" s="1" t="s">
        <v>2551</v>
      </c>
      <c r="G1083" s="1" t="s">
        <v>2555</v>
      </c>
    </row>
    <row x14ac:dyDescent="0.25" r="1084" customHeight="1" ht="17.25" hidden="1">
      <c r="A1084" s="112" t="s">
        <v>4385</v>
      </c>
      <c r="B1084" s="1" t="s">
        <v>2549</v>
      </c>
      <c r="C1084" s="1" t="s">
        <v>53</v>
      </c>
      <c r="D1084" s="1" t="s">
        <v>4187</v>
      </c>
      <c r="E1084" s="62">
        <v>19</v>
      </c>
      <c r="F1084" s="1" t="s">
        <v>2551</v>
      </c>
      <c r="G1084" s="1" t="s">
        <v>2552</v>
      </c>
    </row>
    <row x14ac:dyDescent="0.25" r="1085" customHeight="1" ht="17.25" hidden="1">
      <c r="A1085" s="112" t="s">
        <v>4386</v>
      </c>
      <c r="B1085" s="1" t="s">
        <v>2549</v>
      </c>
      <c r="C1085" s="1" t="s">
        <v>53</v>
      </c>
      <c r="D1085" s="1" t="s">
        <v>4387</v>
      </c>
      <c r="E1085" s="62">
        <v>29</v>
      </c>
      <c r="F1085" s="1" t="s">
        <v>2551</v>
      </c>
      <c r="G1085" s="1" t="s">
        <v>2552</v>
      </c>
    </row>
    <row x14ac:dyDescent="0.25" r="1086" customHeight="1" ht="17.25" hidden="1">
      <c r="A1086" s="112" t="s">
        <v>4388</v>
      </c>
      <c r="B1086" s="1" t="s">
        <v>2549</v>
      </c>
      <c r="C1086" s="1" t="s">
        <v>53</v>
      </c>
      <c r="D1086" s="1" t="s">
        <v>4389</v>
      </c>
      <c r="E1086" s="62">
        <v>18</v>
      </c>
      <c r="F1086" s="1" t="s">
        <v>2551</v>
      </c>
      <c r="G1086" s="1" t="s">
        <v>2552</v>
      </c>
    </row>
    <row x14ac:dyDescent="0.25" r="1087" customHeight="1" ht="17.25" hidden="1">
      <c r="A1087" s="112" t="s">
        <v>4390</v>
      </c>
      <c r="B1087" s="1" t="s">
        <v>2549</v>
      </c>
      <c r="C1087" s="1" t="s">
        <v>53</v>
      </c>
      <c r="D1087" s="1" t="s">
        <v>4391</v>
      </c>
      <c r="E1087" s="62">
        <v>19</v>
      </c>
      <c r="F1087" s="1" t="s">
        <v>2551</v>
      </c>
      <c r="G1087" s="1" t="s">
        <v>2552</v>
      </c>
    </row>
    <row x14ac:dyDescent="0.25" r="1088" customHeight="1" ht="17.25" hidden="1">
      <c r="A1088" s="112" t="s">
        <v>4392</v>
      </c>
      <c r="B1088" s="1" t="s">
        <v>2549</v>
      </c>
      <c r="C1088" s="1" t="s">
        <v>53</v>
      </c>
      <c r="D1088" s="1" t="s">
        <v>4393</v>
      </c>
      <c r="E1088" s="62">
        <v>30</v>
      </c>
      <c r="F1088" s="1" t="s">
        <v>2551</v>
      </c>
      <c r="G1088" s="1" t="s">
        <v>2555</v>
      </c>
    </row>
    <row x14ac:dyDescent="0.25" r="1089" customHeight="1" ht="17.25" hidden="1">
      <c r="A1089" s="112" t="s">
        <v>4394</v>
      </c>
      <c r="B1089" s="1" t="s">
        <v>2549</v>
      </c>
      <c r="C1089" s="1" t="s">
        <v>53</v>
      </c>
      <c r="D1089" s="1" t="s">
        <v>4395</v>
      </c>
      <c r="E1089" s="62">
        <v>44</v>
      </c>
      <c r="F1089" s="1" t="s">
        <v>2551</v>
      </c>
      <c r="G1089" s="1" t="s">
        <v>2555</v>
      </c>
    </row>
    <row x14ac:dyDescent="0.25" r="1090" customHeight="1" ht="17.25" hidden="1">
      <c r="A1090" s="112" t="s">
        <v>1375</v>
      </c>
      <c r="B1090" s="1" t="s">
        <v>2549</v>
      </c>
      <c r="C1090" s="1" t="s">
        <v>53</v>
      </c>
      <c r="D1090" s="1" t="s">
        <v>1376</v>
      </c>
      <c r="E1090" s="62">
        <v>21</v>
      </c>
      <c r="F1090" s="1" t="s">
        <v>2551</v>
      </c>
      <c r="G1090" s="1" t="s">
        <v>2552</v>
      </c>
    </row>
    <row x14ac:dyDescent="0.25" r="1091" customHeight="1" ht="17.25" hidden="1">
      <c r="A1091" s="112" t="s">
        <v>4396</v>
      </c>
      <c r="B1091" s="1" t="s">
        <v>2549</v>
      </c>
      <c r="C1091" s="1" t="s">
        <v>53</v>
      </c>
      <c r="D1091" s="1" t="s">
        <v>4397</v>
      </c>
      <c r="E1091" s="62">
        <v>19</v>
      </c>
      <c r="F1091" s="1" t="s">
        <v>2551</v>
      </c>
      <c r="G1091" s="1" t="s">
        <v>2552</v>
      </c>
    </row>
    <row x14ac:dyDescent="0.25" r="1092" customHeight="1" ht="17.25" hidden="1">
      <c r="A1092" s="112" t="s">
        <v>4398</v>
      </c>
      <c r="B1092" s="1" t="s">
        <v>2549</v>
      </c>
      <c r="C1092" s="1" t="s">
        <v>53</v>
      </c>
      <c r="D1092" s="1" t="s">
        <v>4399</v>
      </c>
      <c r="E1092" s="62">
        <v>31</v>
      </c>
      <c r="F1092" s="1" t="s">
        <v>2551</v>
      </c>
      <c r="G1092" s="1" t="s">
        <v>2555</v>
      </c>
    </row>
    <row x14ac:dyDescent="0.25" r="1093" customHeight="1" ht="17.25" hidden="1">
      <c r="A1093" s="112" t="s">
        <v>4400</v>
      </c>
      <c r="B1093" s="1" t="s">
        <v>2549</v>
      </c>
      <c r="C1093" s="1" t="s">
        <v>53</v>
      </c>
      <c r="D1093" s="1" t="s">
        <v>4401</v>
      </c>
      <c r="E1093" s="62">
        <v>18</v>
      </c>
      <c r="F1093" s="1" t="s">
        <v>2551</v>
      </c>
      <c r="G1093" s="1" t="s">
        <v>2552</v>
      </c>
    </row>
    <row x14ac:dyDescent="0.25" r="1094" customHeight="1" ht="17.25" hidden="1">
      <c r="A1094" s="112" t="s">
        <v>4402</v>
      </c>
      <c r="B1094" s="1" t="s">
        <v>2549</v>
      </c>
      <c r="C1094" s="1" t="s">
        <v>53</v>
      </c>
      <c r="D1094" s="1" t="s">
        <v>4403</v>
      </c>
      <c r="E1094" s="62">
        <v>19</v>
      </c>
      <c r="F1094" s="1" t="s">
        <v>2551</v>
      </c>
      <c r="G1094" s="1" t="s">
        <v>2552</v>
      </c>
    </row>
    <row x14ac:dyDescent="0.25" r="1095" customHeight="1" ht="17.25" hidden="1">
      <c r="A1095" s="112" t="s">
        <v>4404</v>
      </c>
      <c r="B1095" s="1" t="s">
        <v>2549</v>
      </c>
      <c r="C1095" s="1" t="s">
        <v>53</v>
      </c>
      <c r="D1095" s="1" t="s">
        <v>4405</v>
      </c>
      <c r="E1095" s="62">
        <v>31</v>
      </c>
      <c r="F1095" s="1" t="s">
        <v>2551</v>
      </c>
      <c r="G1095" s="1" t="s">
        <v>2552</v>
      </c>
    </row>
    <row x14ac:dyDescent="0.25" r="1096" customHeight="1" ht="17.25" hidden="1">
      <c r="A1096" s="112" t="s">
        <v>4406</v>
      </c>
      <c r="B1096" s="1" t="s">
        <v>2549</v>
      </c>
      <c r="C1096" s="1" t="s">
        <v>53</v>
      </c>
      <c r="D1096" s="1" t="s">
        <v>4407</v>
      </c>
      <c r="E1096" s="62">
        <v>31</v>
      </c>
      <c r="F1096" s="1" t="s">
        <v>2551</v>
      </c>
      <c r="G1096" s="1" t="s">
        <v>2558</v>
      </c>
    </row>
    <row x14ac:dyDescent="0.25" r="1097" customHeight="1" ht="17.25" hidden="1">
      <c r="A1097" s="112" t="s">
        <v>4408</v>
      </c>
      <c r="B1097" s="1" t="s">
        <v>2549</v>
      </c>
      <c r="C1097" s="1" t="s">
        <v>53</v>
      </c>
      <c r="D1097" s="1" t="s">
        <v>4409</v>
      </c>
      <c r="E1097" s="62">
        <v>28</v>
      </c>
      <c r="F1097" s="1" t="s">
        <v>2551</v>
      </c>
      <c r="G1097" s="1" t="s">
        <v>2552</v>
      </c>
    </row>
    <row x14ac:dyDescent="0.25" r="1098" customHeight="1" ht="17.25" hidden="1">
      <c r="A1098" s="112" t="s">
        <v>4408</v>
      </c>
      <c r="B1098" s="1" t="s">
        <v>2549</v>
      </c>
      <c r="C1098" s="1" t="s">
        <v>53</v>
      </c>
      <c r="D1098" s="1" t="s">
        <v>4410</v>
      </c>
      <c r="E1098" s="62">
        <v>19</v>
      </c>
      <c r="F1098" s="1" t="s">
        <v>2551</v>
      </c>
      <c r="G1098" s="1" t="s">
        <v>2555</v>
      </c>
    </row>
    <row x14ac:dyDescent="0.25" r="1099" customHeight="1" ht="17.25" hidden="1">
      <c r="A1099" s="112" t="s">
        <v>4408</v>
      </c>
      <c r="B1099" s="1" t="s">
        <v>2549</v>
      </c>
      <c r="C1099" s="1" t="s">
        <v>53</v>
      </c>
      <c r="D1099" s="1" t="s">
        <v>4411</v>
      </c>
      <c r="E1099" s="62">
        <v>18</v>
      </c>
      <c r="F1099" s="1" t="s">
        <v>2551</v>
      </c>
      <c r="G1099" s="1" t="s">
        <v>2555</v>
      </c>
    </row>
    <row x14ac:dyDescent="0.25" r="1100" customHeight="1" ht="17.25" hidden="1">
      <c r="A1100" s="112" t="s">
        <v>4408</v>
      </c>
      <c r="B1100" s="1" t="s">
        <v>2549</v>
      </c>
      <c r="C1100" s="1" t="s">
        <v>53</v>
      </c>
      <c r="D1100" s="1" t="s">
        <v>4412</v>
      </c>
      <c r="E1100" s="62">
        <v>24</v>
      </c>
      <c r="F1100" s="1" t="s">
        <v>2551</v>
      </c>
      <c r="G1100" s="1" t="s">
        <v>2555</v>
      </c>
    </row>
    <row x14ac:dyDescent="0.25" r="1101" customHeight="1" ht="17.25" hidden="1">
      <c r="A1101" s="112" t="s">
        <v>4413</v>
      </c>
      <c r="B1101" s="1" t="s">
        <v>2549</v>
      </c>
      <c r="C1101" s="1" t="s">
        <v>53</v>
      </c>
      <c r="D1101" s="1" t="s">
        <v>4414</v>
      </c>
      <c r="E1101" s="62">
        <v>25</v>
      </c>
      <c r="F1101" s="1" t="s">
        <v>2551</v>
      </c>
      <c r="G1101" s="1" t="s">
        <v>2552</v>
      </c>
    </row>
    <row x14ac:dyDescent="0.25" r="1102" customHeight="1" ht="17.25" hidden="1">
      <c r="A1102" s="112" t="s">
        <v>4415</v>
      </c>
      <c r="B1102" s="1" t="s">
        <v>2549</v>
      </c>
      <c r="C1102" s="1" t="s">
        <v>53</v>
      </c>
      <c r="D1102" s="1" t="s">
        <v>4416</v>
      </c>
      <c r="E1102" s="62">
        <v>35</v>
      </c>
      <c r="F1102" s="1" t="s">
        <v>2551</v>
      </c>
      <c r="G1102" s="1" t="s">
        <v>2558</v>
      </c>
    </row>
    <row x14ac:dyDescent="0.25" r="1103" customHeight="1" ht="17.25" hidden="1">
      <c r="A1103" s="112" t="s">
        <v>4417</v>
      </c>
      <c r="B1103" s="1" t="s">
        <v>2549</v>
      </c>
      <c r="C1103" s="1" t="s">
        <v>53</v>
      </c>
      <c r="D1103" s="1" t="s">
        <v>4418</v>
      </c>
      <c r="E1103" s="62">
        <v>37</v>
      </c>
      <c r="F1103" s="1" t="s">
        <v>2551</v>
      </c>
      <c r="G1103" s="1" t="s">
        <v>2558</v>
      </c>
    </row>
    <row x14ac:dyDescent="0.25" r="1104" customHeight="1" ht="17.25" hidden="1">
      <c r="A1104" s="112" t="s">
        <v>4417</v>
      </c>
      <c r="B1104" s="1" t="s">
        <v>2549</v>
      </c>
      <c r="C1104" s="1" t="s">
        <v>53</v>
      </c>
      <c r="D1104" s="1" t="s">
        <v>4419</v>
      </c>
      <c r="E1104" s="62">
        <v>18</v>
      </c>
      <c r="F1104" s="1" t="s">
        <v>2551</v>
      </c>
      <c r="G1104" s="1" t="s">
        <v>2552</v>
      </c>
    </row>
    <row x14ac:dyDescent="0.25" r="1105" customHeight="1" ht="17.25" hidden="1">
      <c r="A1105" s="112" t="s">
        <v>4420</v>
      </c>
      <c r="B1105" s="1" t="s">
        <v>2549</v>
      </c>
      <c r="C1105" s="1" t="s">
        <v>53</v>
      </c>
      <c r="D1105" s="1" t="s">
        <v>4421</v>
      </c>
      <c r="E1105" s="62">
        <v>27</v>
      </c>
      <c r="F1105" s="1" t="s">
        <v>2551</v>
      </c>
      <c r="G1105" s="1" t="s">
        <v>2571</v>
      </c>
    </row>
    <row x14ac:dyDescent="0.25" r="1106" customHeight="1" ht="17.25" hidden="1">
      <c r="A1106" s="112" t="s">
        <v>4422</v>
      </c>
      <c r="B1106" s="1" t="s">
        <v>2549</v>
      </c>
      <c r="C1106" s="1" t="s">
        <v>53</v>
      </c>
      <c r="D1106" s="1" t="s">
        <v>4423</v>
      </c>
      <c r="E1106" s="62">
        <v>33</v>
      </c>
      <c r="F1106" s="1" t="s">
        <v>2551</v>
      </c>
      <c r="G1106" s="1" t="s">
        <v>2552</v>
      </c>
    </row>
    <row x14ac:dyDescent="0.25" r="1107" customHeight="1" ht="17.25" hidden="1">
      <c r="A1107" s="112" t="s">
        <v>4424</v>
      </c>
      <c r="B1107" s="1" t="s">
        <v>2549</v>
      </c>
      <c r="C1107" s="1" t="s">
        <v>53</v>
      </c>
      <c r="D1107" s="1" t="s">
        <v>4425</v>
      </c>
      <c r="E1107" s="62">
        <v>32</v>
      </c>
      <c r="F1107" s="1" t="s">
        <v>2551</v>
      </c>
      <c r="G1107" s="1" t="s">
        <v>2552</v>
      </c>
    </row>
    <row x14ac:dyDescent="0.25" r="1108" customHeight="1" ht="17.25" hidden="1">
      <c r="A1108" s="112" t="s">
        <v>4426</v>
      </c>
      <c r="B1108" s="1" t="s">
        <v>2549</v>
      </c>
      <c r="C1108" s="1" t="s">
        <v>53</v>
      </c>
      <c r="D1108" s="1" t="s">
        <v>4427</v>
      </c>
      <c r="E1108" s="62">
        <v>21</v>
      </c>
      <c r="F1108" s="1" t="s">
        <v>2551</v>
      </c>
      <c r="G1108" s="1" t="s">
        <v>2552</v>
      </c>
    </row>
    <row x14ac:dyDescent="0.25" r="1109" customHeight="1" ht="17.25" hidden="1">
      <c r="A1109" s="112" t="s">
        <v>4428</v>
      </c>
      <c r="B1109" s="1" t="s">
        <v>2549</v>
      </c>
      <c r="C1109" s="1" t="s">
        <v>53</v>
      </c>
      <c r="D1109" s="1" t="s">
        <v>4429</v>
      </c>
      <c r="E1109" s="62">
        <v>19</v>
      </c>
      <c r="F1109" s="1" t="s">
        <v>2551</v>
      </c>
      <c r="G1109" s="1" t="s">
        <v>2552</v>
      </c>
    </row>
    <row x14ac:dyDescent="0.25" r="1110" customHeight="1" ht="17.25" hidden="1">
      <c r="A1110" s="112" t="s">
        <v>4430</v>
      </c>
      <c r="B1110" s="1" t="s">
        <v>2549</v>
      </c>
      <c r="C1110" s="1" t="s">
        <v>53</v>
      </c>
      <c r="D1110" s="1" t="s">
        <v>4431</v>
      </c>
      <c r="E1110" s="62">
        <v>21</v>
      </c>
      <c r="F1110" s="1" t="s">
        <v>2551</v>
      </c>
      <c r="G1110" s="1" t="s">
        <v>2552</v>
      </c>
    </row>
    <row x14ac:dyDescent="0.25" r="1111" customHeight="1" ht="17.25" hidden="1">
      <c r="A1111" s="112" t="s">
        <v>4432</v>
      </c>
      <c r="B1111" s="1" t="s">
        <v>2549</v>
      </c>
      <c r="C1111" s="1" t="s">
        <v>53</v>
      </c>
      <c r="D1111" s="1" t="s">
        <v>4433</v>
      </c>
      <c r="E1111" s="62">
        <v>29</v>
      </c>
      <c r="F1111" s="1" t="s">
        <v>2551</v>
      </c>
      <c r="G1111" s="1" t="s">
        <v>2558</v>
      </c>
    </row>
    <row x14ac:dyDescent="0.25" r="1112" customHeight="1" ht="17.25" hidden="1">
      <c r="A1112" s="112" t="s">
        <v>4434</v>
      </c>
      <c r="B1112" s="1" t="s">
        <v>2549</v>
      </c>
      <c r="C1112" s="1" t="s">
        <v>53</v>
      </c>
      <c r="D1112" s="1" t="s">
        <v>4435</v>
      </c>
      <c r="E1112" s="62">
        <v>25</v>
      </c>
      <c r="F1112" s="1" t="s">
        <v>2551</v>
      </c>
      <c r="G1112" s="1" t="s">
        <v>2552</v>
      </c>
    </row>
    <row x14ac:dyDescent="0.25" r="1113" customHeight="1" ht="17.25" hidden="1">
      <c r="A1113" s="112" t="s">
        <v>4436</v>
      </c>
      <c r="B1113" s="1" t="s">
        <v>2549</v>
      </c>
      <c r="C1113" s="1" t="s">
        <v>53</v>
      </c>
      <c r="D1113" s="1" t="s">
        <v>4437</v>
      </c>
      <c r="E1113" s="62">
        <v>23</v>
      </c>
      <c r="F1113" s="1" t="s">
        <v>2551</v>
      </c>
      <c r="G1113" s="1" t="s">
        <v>2555</v>
      </c>
    </row>
    <row x14ac:dyDescent="0.25" r="1114" customHeight="1" ht="17.25" hidden="1">
      <c r="A1114" s="112" t="s">
        <v>4438</v>
      </c>
      <c r="B1114" s="1" t="s">
        <v>2549</v>
      </c>
      <c r="C1114" s="1" t="s">
        <v>53</v>
      </c>
      <c r="D1114" s="1" t="s">
        <v>4439</v>
      </c>
      <c r="E1114" s="62">
        <v>29</v>
      </c>
      <c r="F1114" s="1" t="s">
        <v>2551</v>
      </c>
      <c r="G1114" s="1" t="s">
        <v>2555</v>
      </c>
    </row>
    <row x14ac:dyDescent="0.25" r="1115" customHeight="1" ht="17.25" hidden="1">
      <c r="A1115" s="112" t="s">
        <v>4440</v>
      </c>
      <c r="B1115" s="1" t="s">
        <v>2549</v>
      </c>
      <c r="C1115" s="1" t="s">
        <v>54</v>
      </c>
      <c r="D1115" s="1" t="s">
        <v>4441</v>
      </c>
      <c r="E1115" s="62">
        <v>30</v>
      </c>
      <c r="F1115" s="1" t="s">
        <v>2551</v>
      </c>
      <c r="G1115" s="1" t="s">
        <v>2555</v>
      </c>
    </row>
    <row x14ac:dyDescent="0.25" r="1116" customHeight="1" ht="17.25" hidden="1">
      <c r="A1116" s="112" t="s">
        <v>4442</v>
      </c>
      <c r="B1116" s="1" t="s">
        <v>2549</v>
      </c>
      <c r="C1116" s="1" t="s">
        <v>54</v>
      </c>
      <c r="D1116" s="1" t="s">
        <v>4443</v>
      </c>
      <c r="E1116" s="62">
        <v>18</v>
      </c>
      <c r="F1116" s="1" t="s">
        <v>2551</v>
      </c>
      <c r="G1116" s="1" t="s">
        <v>2555</v>
      </c>
    </row>
    <row x14ac:dyDescent="0.25" r="1117" customHeight="1" ht="17.25" hidden="1">
      <c r="A1117" s="112" t="s">
        <v>1428</v>
      </c>
      <c r="B1117" s="1" t="s">
        <v>2549</v>
      </c>
      <c r="C1117" s="1" t="s">
        <v>54</v>
      </c>
      <c r="D1117" s="1" t="s">
        <v>1430</v>
      </c>
      <c r="E1117" s="62">
        <v>19</v>
      </c>
      <c r="F1117" s="1" t="s">
        <v>2551</v>
      </c>
      <c r="G1117" s="1" t="s">
        <v>2552</v>
      </c>
    </row>
    <row x14ac:dyDescent="0.25" r="1118" customHeight="1" ht="17.25" hidden="1">
      <c r="A1118" s="112" t="s">
        <v>4444</v>
      </c>
      <c r="B1118" s="1" t="s">
        <v>2549</v>
      </c>
      <c r="C1118" s="1" t="s">
        <v>54</v>
      </c>
      <c r="D1118" s="1" t="s">
        <v>4445</v>
      </c>
      <c r="E1118" s="62">
        <v>26</v>
      </c>
      <c r="F1118" s="1" t="s">
        <v>2551</v>
      </c>
      <c r="G1118" s="1" t="s">
        <v>2552</v>
      </c>
    </row>
    <row x14ac:dyDescent="0.25" r="1119" customHeight="1" ht="17.25" hidden="1">
      <c r="A1119" s="112" t="s">
        <v>4444</v>
      </c>
      <c r="B1119" s="1" t="s">
        <v>2549</v>
      </c>
      <c r="C1119" s="1" t="s">
        <v>54</v>
      </c>
      <c r="D1119" s="1" t="s">
        <v>4446</v>
      </c>
      <c r="E1119" s="62">
        <v>18</v>
      </c>
      <c r="F1119" s="1" t="s">
        <v>2551</v>
      </c>
      <c r="G1119" s="1" t="s">
        <v>2552</v>
      </c>
    </row>
    <row x14ac:dyDescent="0.25" r="1120" customHeight="1" ht="17.25" hidden="1">
      <c r="A1120" s="112" t="s">
        <v>4447</v>
      </c>
      <c r="B1120" s="1" t="s">
        <v>2549</v>
      </c>
      <c r="C1120" s="1" t="s">
        <v>54</v>
      </c>
      <c r="D1120" s="1" t="s">
        <v>4448</v>
      </c>
      <c r="E1120" s="62">
        <v>55</v>
      </c>
      <c r="F1120" s="1" t="s">
        <v>2551</v>
      </c>
      <c r="G1120" s="1" t="s">
        <v>2552</v>
      </c>
    </row>
    <row x14ac:dyDescent="0.25" r="1121" customHeight="1" ht="17.25" hidden="1">
      <c r="A1121" s="112" t="s">
        <v>4449</v>
      </c>
      <c r="B1121" s="1" t="s">
        <v>2549</v>
      </c>
      <c r="C1121" s="1" t="s">
        <v>54</v>
      </c>
      <c r="D1121" s="1" t="s">
        <v>4450</v>
      </c>
      <c r="E1121" s="62">
        <v>19</v>
      </c>
      <c r="F1121" s="1" t="s">
        <v>2551</v>
      </c>
      <c r="G1121" s="1" t="s">
        <v>2552</v>
      </c>
    </row>
    <row x14ac:dyDescent="0.25" r="1122" customHeight="1" ht="17.25" hidden="1">
      <c r="A1122" s="112" t="s">
        <v>4451</v>
      </c>
      <c r="B1122" s="1" t="s">
        <v>2549</v>
      </c>
      <c r="C1122" s="1" t="s">
        <v>54</v>
      </c>
      <c r="D1122" s="1" t="s">
        <v>3991</v>
      </c>
      <c r="E1122" s="62">
        <v>18</v>
      </c>
      <c r="F1122" s="1" t="s">
        <v>2551</v>
      </c>
      <c r="G1122" s="1" t="s">
        <v>2552</v>
      </c>
    </row>
    <row x14ac:dyDescent="0.25" r="1123" customHeight="1" ht="17.25" hidden="1">
      <c r="A1123" s="112" t="s">
        <v>4452</v>
      </c>
      <c r="B1123" s="1" t="s">
        <v>2549</v>
      </c>
      <c r="C1123" s="1" t="s">
        <v>54</v>
      </c>
      <c r="D1123" s="1" t="s">
        <v>4453</v>
      </c>
      <c r="E1123" s="62">
        <v>29</v>
      </c>
      <c r="F1123" s="1" t="s">
        <v>2551</v>
      </c>
      <c r="G1123" s="1" t="s">
        <v>2552</v>
      </c>
    </row>
    <row x14ac:dyDescent="0.25" r="1124" customHeight="1" ht="17.25" hidden="1">
      <c r="A1124" s="112" t="s">
        <v>4454</v>
      </c>
      <c r="B1124" s="1" t="s">
        <v>2549</v>
      </c>
      <c r="C1124" s="1" t="s">
        <v>54</v>
      </c>
      <c r="D1124" s="1" t="s">
        <v>4455</v>
      </c>
      <c r="E1124" s="62">
        <v>30</v>
      </c>
      <c r="F1124" s="1" t="s">
        <v>2551</v>
      </c>
      <c r="G1124" s="1" t="s">
        <v>2571</v>
      </c>
    </row>
    <row x14ac:dyDescent="0.25" r="1125" customHeight="1" ht="17.25" hidden="1">
      <c r="A1125" s="112" t="s">
        <v>4456</v>
      </c>
      <c r="B1125" s="1" t="s">
        <v>2549</v>
      </c>
      <c r="C1125" s="1" t="s">
        <v>54</v>
      </c>
      <c r="D1125" s="1" t="s">
        <v>4457</v>
      </c>
      <c r="E1125" s="62">
        <v>18</v>
      </c>
      <c r="F1125" s="1" t="s">
        <v>2551</v>
      </c>
      <c r="G1125" s="1" t="s">
        <v>2552</v>
      </c>
    </row>
    <row x14ac:dyDescent="0.25" r="1126" customHeight="1" ht="17.25" hidden="1">
      <c r="A1126" s="112" t="s">
        <v>4458</v>
      </c>
      <c r="B1126" s="1" t="s">
        <v>2549</v>
      </c>
      <c r="C1126" s="1" t="s">
        <v>54</v>
      </c>
      <c r="D1126" s="1" t="s">
        <v>4459</v>
      </c>
      <c r="E1126" s="62">
        <v>34</v>
      </c>
      <c r="F1126" s="1" t="s">
        <v>2551</v>
      </c>
      <c r="G1126" s="1" t="s">
        <v>2552</v>
      </c>
    </row>
    <row x14ac:dyDescent="0.25" r="1127" customHeight="1" ht="17.25" hidden="1">
      <c r="A1127" s="112" t="s">
        <v>4460</v>
      </c>
      <c r="B1127" s="1" t="s">
        <v>2549</v>
      </c>
      <c r="C1127" s="1" t="s">
        <v>54</v>
      </c>
      <c r="D1127" s="1" t="s">
        <v>4461</v>
      </c>
      <c r="E1127" s="62">
        <v>34</v>
      </c>
      <c r="F1127" s="1" t="s">
        <v>2551</v>
      </c>
      <c r="G1127" s="1" t="s">
        <v>2555</v>
      </c>
    </row>
    <row x14ac:dyDescent="0.25" r="1128" customHeight="1" ht="17.25" hidden="1">
      <c r="A1128" s="112" t="s">
        <v>4462</v>
      </c>
      <c r="B1128" s="1" t="s">
        <v>2549</v>
      </c>
      <c r="C1128" s="1" t="s">
        <v>54</v>
      </c>
      <c r="D1128" s="1" t="s">
        <v>4463</v>
      </c>
      <c r="E1128" s="62">
        <v>19</v>
      </c>
      <c r="F1128" s="1" t="s">
        <v>2551</v>
      </c>
      <c r="G1128" s="1" t="s">
        <v>2555</v>
      </c>
    </row>
    <row x14ac:dyDescent="0.25" r="1129" customHeight="1" ht="17.25" hidden="1">
      <c r="A1129" s="112" t="s">
        <v>4464</v>
      </c>
      <c r="B1129" s="1" t="s">
        <v>2549</v>
      </c>
      <c r="C1129" s="1" t="s">
        <v>54</v>
      </c>
      <c r="D1129" s="1" t="s">
        <v>4465</v>
      </c>
      <c r="E1129" s="62">
        <v>51</v>
      </c>
      <c r="F1129" s="1" t="s">
        <v>2551</v>
      </c>
      <c r="G1129" s="1" t="s">
        <v>2555</v>
      </c>
    </row>
    <row x14ac:dyDescent="0.25" r="1130" customHeight="1" ht="17.25" hidden="1">
      <c r="A1130" s="112" t="s">
        <v>4466</v>
      </c>
      <c r="B1130" s="1" t="s">
        <v>2549</v>
      </c>
      <c r="C1130" s="1" t="s">
        <v>54</v>
      </c>
      <c r="D1130" s="1" t="s">
        <v>4467</v>
      </c>
      <c r="E1130" s="62">
        <v>19</v>
      </c>
      <c r="F1130" s="1" t="s">
        <v>2561</v>
      </c>
      <c r="G1130" s="1" t="s">
        <v>2552</v>
      </c>
    </row>
    <row x14ac:dyDescent="0.25" r="1131" customHeight="1" ht="17.25" hidden="1">
      <c r="A1131" s="112" t="s">
        <v>4468</v>
      </c>
      <c r="B1131" s="1" t="s">
        <v>2549</v>
      </c>
      <c r="C1131" s="1" t="s">
        <v>54</v>
      </c>
      <c r="D1131" s="1" t="s">
        <v>4469</v>
      </c>
      <c r="E1131" s="62">
        <v>54</v>
      </c>
      <c r="F1131" s="1" t="s">
        <v>2551</v>
      </c>
      <c r="G1131" s="1" t="s">
        <v>2555</v>
      </c>
    </row>
    <row x14ac:dyDescent="0.25" r="1132" customHeight="1" ht="17.25" hidden="1">
      <c r="A1132" s="112" t="s">
        <v>4470</v>
      </c>
      <c r="B1132" s="1" t="s">
        <v>2549</v>
      </c>
      <c r="C1132" s="1" t="s">
        <v>54</v>
      </c>
      <c r="D1132" s="1" t="s">
        <v>4471</v>
      </c>
      <c r="E1132" s="62">
        <v>24</v>
      </c>
      <c r="F1132" s="1" t="s">
        <v>2551</v>
      </c>
      <c r="G1132" s="1" t="s">
        <v>2552</v>
      </c>
    </row>
    <row x14ac:dyDescent="0.25" r="1133" customHeight="1" ht="17.25" hidden="1">
      <c r="A1133" s="112" t="s">
        <v>4472</v>
      </c>
      <c r="B1133" s="1" t="s">
        <v>2549</v>
      </c>
      <c r="C1133" s="1" t="s">
        <v>54</v>
      </c>
      <c r="D1133" s="1" t="s">
        <v>4473</v>
      </c>
      <c r="E1133" s="62">
        <v>29</v>
      </c>
      <c r="F1133" s="1" t="s">
        <v>2551</v>
      </c>
      <c r="G1133" s="1" t="s">
        <v>2552</v>
      </c>
    </row>
    <row x14ac:dyDescent="0.25" r="1134" customHeight="1" ht="17.25" hidden="1">
      <c r="A1134" s="112" t="s">
        <v>4474</v>
      </c>
      <c r="B1134" s="1" t="s">
        <v>2549</v>
      </c>
      <c r="C1134" s="1" t="s">
        <v>54</v>
      </c>
      <c r="D1134" s="1" t="s">
        <v>4475</v>
      </c>
      <c r="E1134" s="62">
        <v>20</v>
      </c>
      <c r="F1134" s="1" t="s">
        <v>2551</v>
      </c>
      <c r="G1134" s="1" t="s">
        <v>2552</v>
      </c>
    </row>
    <row x14ac:dyDescent="0.25" r="1135" customHeight="1" ht="17.25" hidden="1">
      <c r="A1135" s="112" t="s">
        <v>1084</v>
      </c>
      <c r="B1135" s="1" t="s">
        <v>2549</v>
      </c>
      <c r="C1135" s="1" t="s">
        <v>54</v>
      </c>
      <c r="D1135" s="1" t="s">
        <v>4476</v>
      </c>
      <c r="E1135" s="62">
        <v>18</v>
      </c>
      <c r="F1135" s="1" t="s">
        <v>2551</v>
      </c>
      <c r="G1135" s="1" t="s">
        <v>2555</v>
      </c>
    </row>
    <row x14ac:dyDescent="0.25" r="1136" customHeight="1" ht="17.25" hidden="1">
      <c r="A1136" s="112" t="s">
        <v>1084</v>
      </c>
      <c r="B1136" s="1" t="s">
        <v>2549</v>
      </c>
      <c r="C1136" s="1" t="s">
        <v>54</v>
      </c>
      <c r="D1136" s="1" t="s">
        <v>1089</v>
      </c>
      <c r="E1136" s="62">
        <v>19</v>
      </c>
      <c r="F1136" s="1" t="s">
        <v>2551</v>
      </c>
      <c r="G1136" s="1" t="s">
        <v>2555</v>
      </c>
    </row>
    <row x14ac:dyDescent="0.25" r="1137" customHeight="1" ht="17.25" hidden="1">
      <c r="A1137" s="112" t="s">
        <v>4477</v>
      </c>
      <c r="B1137" s="1" t="s">
        <v>2549</v>
      </c>
      <c r="C1137" s="1" t="s">
        <v>54</v>
      </c>
      <c r="D1137" s="1" t="s">
        <v>4478</v>
      </c>
      <c r="E1137" s="54" t="s">
        <v>2571</v>
      </c>
      <c r="F1137" s="1" t="s">
        <v>2551</v>
      </c>
      <c r="G1137" s="1" t="s">
        <v>2571</v>
      </c>
    </row>
    <row x14ac:dyDescent="0.25" r="1138" customHeight="1" ht="17.25" hidden="1">
      <c r="A1138" s="112" t="s">
        <v>4479</v>
      </c>
      <c r="B1138" s="1" t="s">
        <v>2549</v>
      </c>
      <c r="C1138" s="1" t="s">
        <v>54</v>
      </c>
      <c r="D1138" s="1" t="s">
        <v>4480</v>
      </c>
      <c r="E1138" s="62">
        <v>48</v>
      </c>
      <c r="F1138" s="1" t="s">
        <v>2551</v>
      </c>
      <c r="G1138" s="1" t="s">
        <v>2558</v>
      </c>
    </row>
    <row x14ac:dyDescent="0.25" r="1139" customHeight="1" ht="17.25" hidden="1">
      <c r="A1139" s="112" t="s">
        <v>4481</v>
      </c>
      <c r="B1139" s="1" t="s">
        <v>2549</v>
      </c>
      <c r="C1139" s="1" t="s">
        <v>54</v>
      </c>
      <c r="D1139" s="1" t="s">
        <v>4482</v>
      </c>
      <c r="E1139" s="62">
        <v>20</v>
      </c>
      <c r="F1139" s="1" t="s">
        <v>2551</v>
      </c>
      <c r="G1139" s="1" t="s">
        <v>2552</v>
      </c>
    </row>
    <row x14ac:dyDescent="0.25" r="1140" customHeight="1" ht="17.25" hidden="1">
      <c r="A1140" s="112" t="s">
        <v>4483</v>
      </c>
      <c r="B1140" s="1" t="s">
        <v>2549</v>
      </c>
      <c r="C1140" s="1" t="s">
        <v>54</v>
      </c>
      <c r="D1140" s="1" t="s">
        <v>4484</v>
      </c>
      <c r="E1140" s="62">
        <v>26</v>
      </c>
      <c r="F1140" s="1" t="s">
        <v>2551</v>
      </c>
      <c r="G1140" s="1" t="s">
        <v>2558</v>
      </c>
    </row>
    <row x14ac:dyDescent="0.25" r="1141" customHeight="1" ht="17.25" hidden="1">
      <c r="A1141" s="112" t="s">
        <v>4485</v>
      </c>
      <c r="B1141" s="1" t="s">
        <v>2549</v>
      </c>
      <c r="C1141" s="1" t="s">
        <v>54</v>
      </c>
      <c r="D1141" s="1" t="s">
        <v>4486</v>
      </c>
      <c r="E1141" s="62">
        <v>26</v>
      </c>
      <c r="F1141" s="1" t="s">
        <v>2551</v>
      </c>
      <c r="G1141" s="1" t="s">
        <v>2558</v>
      </c>
    </row>
    <row x14ac:dyDescent="0.25" r="1142" customHeight="1" ht="17.25" hidden="1">
      <c r="A1142" s="112" t="s">
        <v>4487</v>
      </c>
      <c r="B1142" s="1" t="s">
        <v>2549</v>
      </c>
      <c r="C1142" s="1" t="s">
        <v>54</v>
      </c>
      <c r="D1142" s="1" t="s">
        <v>4488</v>
      </c>
      <c r="E1142" s="62">
        <v>25</v>
      </c>
      <c r="F1142" s="1" t="s">
        <v>2551</v>
      </c>
      <c r="G1142" s="1" t="s">
        <v>2552</v>
      </c>
    </row>
    <row x14ac:dyDescent="0.25" r="1143" customHeight="1" ht="17.25" hidden="1">
      <c r="A1143" s="112" t="s">
        <v>4487</v>
      </c>
      <c r="B1143" s="1" t="s">
        <v>2549</v>
      </c>
      <c r="C1143" s="1" t="s">
        <v>54</v>
      </c>
      <c r="D1143" s="1" t="s">
        <v>4489</v>
      </c>
      <c r="E1143" s="62">
        <v>19</v>
      </c>
      <c r="F1143" s="1" t="s">
        <v>2551</v>
      </c>
      <c r="G1143" s="1" t="s">
        <v>2558</v>
      </c>
    </row>
    <row x14ac:dyDescent="0.25" r="1144" customHeight="1" ht="17.25" hidden="1">
      <c r="A1144" s="112" t="s">
        <v>4490</v>
      </c>
      <c r="B1144" s="1" t="s">
        <v>2549</v>
      </c>
      <c r="C1144" s="1" t="s">
        <v>54</v>
      </c>
      <c r="D1144" s="1" t="s">
        <v>4491</v>
      </c>
      <c r="E1144" s="62">
        <v>21</v>
      </c>
      <c r="F1144" s="1" t="s">
        <v>2551</v>
      </c>
      <c r="G1144" s="1" t="s">
        <v>2555</v>
      </c>
    </row>
    <row x14ac:dyDescent="0.25" r="1145" customHeight="1" ht="17.25" hidden="1">
      <c r="A1145" s="112" t="s">
        <v>4492</v>
      </c>
      <c r="B1145" s="1" t="s">
        <v>2549</v>
      </c>
      <c r="C1145" s="1" t="s">
        <v>54</v>
      </c>
      <c r="D1145" s="1" t="s">
        <v>4493</v>
      </c>
      <c r="E1145" s="62">
        <v>23</v>
      </c>
      <c r="F1145" s="1" t="s">
        <v>2551</v>
      </c>
      <c r="G1145" s="1" t="s">
        <v>2555</v>
      </c>
    </row>
    <row x14ac:dyDescent="0.25" r="1146" customHeight="1" ht="17.25" hidden="1">
      <c r="A1146" s="112" t="s">
        <v>4492</v>
      </c>
      <c r="B1146" s="1" t="s">
        <v>2549</v>
      </c>
      <c r="C1146" s="1" t="s">
        <v>54</v>
      </c>
      <c r="D1146" s="1" t="s">
        <v>4494</v>
      </c>
      <c r="E1146" s="62">
        <v>30</v>
      </c>
      <c r="F1146" s="1" t="s">
        <v>2551</v>
      </c>
      <c r="G1146" s="1" t="s">
        <v>2552</v>
      </c>
    </row>
    <row x14ac:dyDescent="0.25" r="1147" customHeight="1" ht="17.25" hidden="1">
      <c r="A1147" s="112" t="s">
        <v>4495</v>
      </c>
      <c r="B1147" s="1" t="s">
        <v>2549</v>
      </c>
      <c r="C1147" s="1" t="s">
        <v>54</v>
      </c>
      <c r="D1147" s="1" t="s">
        <v>4496</v>
      </c>
      <c r="E1147" s="62">
        <v>38</v>
      </c>
      <c r="F1147" s="1" t="s">
        <v>2551</v>
      </c>
      <c r="G1147" s="1" t="s">
        <v>2558</v>
      </c>
    </row>
    <row x14ac:dyDescent="0.25" r="1148" customHeight="1" ht="17.25" hidden="1">
      <c r="A1148" s="112" t="s">
        <v>4497</v>
      </c>
      <c r="B1148" s="1" t="s">
        <v>2549</v>
      </c>
      <c r="C1148" s="1" t="s">
        <v>54</v>
      </c>
      <c r="D1148" s="1" t="s">
        <v>2674</v>
      </c>
      <c r="E1148" s="62">
        <v>19</v>
      </c>
      <c r="F1148" s="1" t="s">
        <v>2551</v>
      </c>
      <c r="G1148" s="1" t="s">
        <v>2552</v>
      </c>
    </row>
    <row x14ac:dyDescent="0.25" r="1149" customHeight="1" ht="17.25" hidden="1">
      <c r="A1149" s="112" t="s">
        <v>4498</v>
      </c>
      <c r="B1149" s="1" t="s">
        <v>2549</v>
      </c>
      <c r="C1149" s="1" t="s">
        <v>54</v>
      </c>
      <c r="D1149" s="1" t="s">
        <v>4499</v>
      </c>
      <c r="E1149" s="62">
        <v>26</v>
      </c>
      <c r="F1149" s="1" t="s">
        <v>2561</v>
      </c>
      <c r="G1149" s="1" t="s">
        <v>2555</v>
      </c>
    </row>
    <row x14ac:dyDescent="0.25" r="1150" customHeight="1" ht="17.25" hidden="1">
      <c r="A1150" s="112" t="s">
        <v>4500</v>
      </c>
      <c r="B1150" s="1" t="s">
        <v>2549</v>
      </c>
      <c r="C1150" s="1" t="s">
        <v>54</v>
      </c>
      <c r="D1150" s="1" t="s">
        <v>4501</v>
      </c>
      <c r="E1150" s="62">
        <v>22</v>
      </c>
      <c r="F1150" s="1" t="s">
        <v>2551</v>
      </c>
      <c r="G1150" s="1" t="s">
        <v>2558</v>
      </c>
    </row>
    <row x14ac:dyDescent="0.25" r="1151" customHeight="1" ht="17.25" hidden="1">
      <c r="A1151" s="112" t="s">
        <v>4502</v>
      </c>
      <c r="B1151" s="1" t="s">
        <v>2549</v>
      </c>
      <c r="C1151" s="1" t="s">
        <v>54</v>
      </c>
      <c r="D1151" s="1" t="s">
        <v>4503</v>
      </c>
      <c r="E1151" s="62">
        <v>40</v>
      </c>
      <c r="F1151" s="1" t="s">
        <v>2551</v>
      </c>
      <c r="G1151" s="1" t="s">
        <v>2552</v>
      </c>
    </row>
    <row x14ac:dyDescent="0.25" r="1152" customHeight="1" ht="17.25" hidden="1">
      <c r="A1152" s="112" t="s">
        <v>4502</v>
      </c>
      <c r="B1152" s="1" t="s">
        <v>2549</v>
      </c>
      <c r="C1152" s="1" t="s">
        <v>54</v>
      </c>
      <c r="D1152" s="1" t="s">
        <v>4504</v>
      </c>
      <c r="E1152" s="62">
        <v>32</v>
      </c>
      <c r="F1152" s="1" t="s">
        <v>2551</v>
      </c>
      <c r="G1152" s="1" t="s">
        <v>2555</v>
      </c>
    </row>
    <row x14ac:dyDescent="0.25" r="1153" customHeight="1" ht="17.25" hidden="1">
      <c r="A1153" s="112" t="s">
        <v>4505</v>
      </c>
      <c r="B1153" s="1" t="s">
        <v>2549</v>
      </c>
      <c r="C1153" s="1" t="s">
        <v>54</v>
      </c>
      <c r="D1153" s="1" t="s">
        <v>4506</v>
      </c>
      <c r="E1153" s="62">
        <v>19</v>
      </c>
      <c r="F1153" s="1" t="s">
        <v>2551</v>
      </c>
      <c r="G1153" s="1" t="s">
        <v>2552</v>
      </c>
    </row>
    <row x14ac:dyDescent="0.25" r="1154" customHeight="1" ht="17.25" hidden="1">
      <c r="A1154" s="112" t="s">
        <v>4507</v>
      </c>
      <c r="B1154" s="1" t="s">
        <v>2549</v>
      </c>
      <c r="C1154" s="1" t="s">
        <v>54</v>
      </c>
      <c r="D1154" s="1" t="s">
        <v>4508</v>
      </c>
      <c r="E1154" s="62">
        <v>31</v>
      </c>
      <c r="F1154" s="1" t="s">
        <v>2551</v>
      </c>
      <c r="G1154" s="1" t="s">
        <v>2555</v>
      </c>
    </row>
    <row x14ac:dyDescent="0.25" r="1155" customHeight="1" ht="17.25" hidden="1">
      <c r="A1155" s="112" t="s">
        <v>4509</v>
      </c>
      <c r="B1155" s="1" t="s">
        <v>2549</v>
      </c>
      <c r="C1155" s="1" t="s">
        <v>54</v>
      </c>
      <c r="D1155" s="1" t="s">
        <v>4510</v>
      </c>
      <c r="E1155" s="62">
        <v>26</v>
      </c>
      <c r="F1155" s="1" t="s">
        <v>2551</v>
      </c>
      <c r="G1155" s="1" t="s">
        <v>2552</v>
      </c>
    </row>
    <row x14ac:dyDescent="0.25" r="1156" customHeight="1" ht="17.25" hidden="1">
      <c r="A1156" s="112" t="s">
        <v>4509</v>
      </c>
      <c r="B1156" s="1" t="s">
        <v>2549</v>
      </c>
      <c r="C1156" s="1" t="s">
        <v>54</v>
      </c>
      <c r="D1156" s="1" t="s">
        <v>4511</v>
      </c>
      <c r="E1156" s="62">
        <v>19</v>
      </c>
      <c r="F1156" s="1" t="s">
        <v>2551</v>
      </c>
      <c r="G1156" s="1" t="s">
        <v>2555</v>
      </c>
    </row>
    <row x14ac:dyDescent="0.25" r="1157" customHeight="1" ht="17.25" hidden="1">
      <c r="A1157" s="112" t="s">
        <v>4512</v>
      </c>
      <c r="B1157" s="1" t="s">
        <v>2549</v>
      </c>
      <c r="C1157" s="1" t="s">
        <v>54</v>
      </c>
      <c r="D1157" s="1" t="s">
        <v>4513</v>
      </c>
      <c r="E1157" s="62">
        <v>26</v>
      </c>
      <c r="F1157" s="1" t="s">
        <v>2551</v>
      </c>
      <c r="G1157" s="1" t="s">
        <v>2558</v>
      </c>
    </row>
    <row x14ac:dyDescent="0.25" r="1158" customHeight="1" ht="17.25" hidden="1">
      <c r="A1158" s="112" t="s">
        <v>4514</v>
      </c>
      <c r="B1158" s="1" t="s">
        <v>2549</v>
      </c>
      <c r="C1158" s="1" t="s">
        <v>54</v>
      </c>
      <c r="D1158" s="1" t="s">
        <v>4515</v>
      </c>
      <c r="E1158" s="62">
        <v>32</v>
      </c>
      <c r="F1158" s="1" t="s">
        <v>2551</v>
      </c>
      <c r="G1158" s="1" t="s">
        <v>2555</v>
      </c>
    </row>
    <row x14ac:dyDescent="0.25" r="1159" customHeight="1" ht="17.25" hidden="1">
      <c r="A1159" s="112" t="s">
        <v>4516</v>
      </c>
      <c r="B1159" s="1" t="s">
        <v>2549</v>
      </c>
      <c r="C1159" s="1" t="s">
        <v>54</v>
      </c>
      <c r="D1159" s="1" t="s">
        <v>4517</v>
      </c>
      <c r="E1159" s="62">
        <v>27</v>
      </c>
      <c r="F1159" s="1" t="s">
        <v>2551</v>
      </c>
      <c r="G1159" s="1" t="s">
        <v>2555</v>
      </c>
    </row>
    <row x14ac:dyDescent="0.25" r="1160" customHeight="1" ht="17.25" hidden="1">
      <c r="A1160" s="112" t="s">
        <v>4518</v>
      </c>
      <c r="B1160" s="1" t="s">
        <v>2549</v>
      </c>
      <c r="C1160" s="1" t="s">
        <v>54</v>
      </c>
      <c r="D1160" s="1" t="s">
        <v>4519</v>
      </c>
      <c r="E1160" s="62">
        <v>22</v>
      </c>
      <c r="F1160" s="1" t="s">
        <v>2551</v>
      </c>
      <c r="G1160" s="1" t="s">
        <v>2552</v>
      </c>
    </row>
    <row x14ac:dyDescent="0.25" r="1161" customHeight="1" ht="17.25" hidden="1">
      <c r="A1161" s="112" t="s">
        <v>4520</v>
      </c>
      <c r="B1161" s="1" t="s">
        <v>2549</v>
      </c>
      <c r="C1161" s="1" t="s">
        <v>54</v>
      </c>
      <c r="D1161" s="1" t="s">
        <v>4521</v>
      </c>
      <c r="E1161" s="62">
        <v>26</v>
      </c>
      <c r="F1161" s="1" t="s">
        <v>2551</v>
      </c>
      <c r="G1161" s="1" t="s">
        <v>2552</v>
      </c>
    </row>
    <row x14ac:dyDescent="0.25" r="1162" customHeight="1" ht="17.25" hidden="1">
      <c r="A1162" s="112" t="s">
        <v>4522</v>
      </c>
      <c r="B1162" s="1" t="s">
        <v>2549</v>
      </c>
      <c r="C1162" s="1" t="s">
        <v>54</v>
      </c>
      <c r="D1162" s="1" t="s">
        <v>4523</v>
      </c>
      <c r="E1162" s="62">
        <v>29</v>
      </c>
      <c r="F1162" s="1" t="s">
        <v>2551</v>
      </c>
      <c r="G1162" s="1" t="s">
        <v>2552</v>
      </c>
    </row>
    <row x14ac:dyDescent="0.25" r="1163" customHeight="1" ht="17.25" hidden="1">
      <c r="A1163" s="112" t="s">
        <v>4524</v>
      </c>
      <c r="B1163" s="1" t="s">
        <v>2549</v>
      </c>
      <c r="C1163" s="1" t="s">
        <v>54</v>
      </c>
      <c r="D1163" s="1" t="s">
        <v>4525</v>
      </c>
      <c r="E1163" s="62">
        <v>24</v>
      </c>
      <c r="F1163" s="1" t="s">
        <v>2551</v>
      </c>
      <c r="G1163" s="1" t="s">
        <v>2552</v>
      </c>
    </row>
    <row x14ac:dyDescent="0.25" r="1164" customHeight="1" ht="17.25" hidden="1">
      <c r="A1164" s="112" t="s">
        <v>4526</v>
      </c>
      <c r="B1164" s="1" t="s">
        <v>2549</v>
      </c>
      <c r="C1164" s="1" t="s">
        <v>54</v>
      </c>
      <c r="D1164" s="1" t="s">
        <v>4527</v>
      </c>
      <c r="E1164" s="62">
        <v>25</v>
      </c>
      <c r="F1164" s="1" t="s">
        <v>2551</v>
      </c>
      <c r="G1164" s="1" t="s">
        <v>2552</v>
      </c>
    </row>
    <row x14ac:dyDescent="0.25" r="1165" customHeight="1" ht="17.25" hidden="1">
      <c r="A1165" s="112" t="s">
        <v>4526</v>
      </c>
      <c r="B1165" s="1" t="s">
        <v>2549</v>
      </c>
      <c r="C1165" s="1" t="s">
        <v>54</v>
      </c>
      <c r="D1165" s="1" t="s">
        <v>4528</v>
      </c>
      <c r="E1165" s="62">
        <v>27</v>
      </c>
      <c r="F1165" s="1" t="s">
        <v>2551</v>
      </c>
      <c r="G1165" s="1" t="s">
        <v>2552</v>
      </c>
    </row>
    <row x14ac:dyDescent="0.25" r="1166" customHeight="1" ht="17.25" hidden="1">
      <c r="A1166" s="112" t="s">
        <v>4529</v>
      </c>
      <c r="B1166" s="1" t="s">
        <v>2549</v>
      </c>
      <c r="C1166" s="1" t="s">
        <v>54</v>
      </c>
      <c r="D1166" s="1" t="s">
        <v>4530</v>
      </c>
      <c r="E1166" s="62">
        <v>22</v>
      </c>
      <c r="F1166" s="1" t="s">
        <v>2551</v>
      </c>
      <c r="G1166" s="1" t="s">
        <v>2552</v>
      </c>
    </row>
    <row x14ac:dyDescent="0.25" r="1167" customHeight="1" ht="17.25" hidden="1">
      <c r="A1167" s="112" t="s">
        <v>4531</v>
      </c>
      <c r="B1167" s="1" t="s">
        <v>2549</v>
      </c>
      <c r="C1167" s="1" t="s">
        <v>54</v>
      </c>
      <c r="D1167" s="1" t="s">
        <v>4532</v>
      </c>
      <c r="E1167" s="62">
        <v>23</v>
      </c>
      <c r="F1167" s="1" t="s">
        <v>2551</v>
      </c>
      <c r="G1167" s="1" t="s">
        <v>2555</v>
      </c>
    </row>
    <row x14ac:dyDescent="0.25" r="1168" customHeight="1" ht="17.25" hidden="1">
      <c r="A1168" s="112" t="s">
        <v>4533</v>
      </c>
      <c r="B1168" s="1" t="s">
        <v>2549</v>
      </c>
      <c r="C1168" s="1" t="s">
        <v>54</v>
      </c>
      <c r="D1168" s="1" t="s">
        <v>4534</v>
      </c>
      <c r="E1168" s="62">
        <v>19</v>
      </c>
      <c r="F1168" s="1" t="s">
        <v>2551</v>
      </c>
      <c r="G1168" s="1" t="s">
        <v>2552</v>
      </c>
    </row>
    <row x14ac:dyDescent="0.25" r="1169" customHeight="1" ht="17.25" hidden="1">
      <c r="A1169" s="112" t="s">
        <v>4533</v>
      </c>
      <c r="B1169" s="1" t="s">
        <v>2549</v>
      </c>
      <c r="C1169" s="1" t="s">
        <v>54</v>
      </c>
      <c r="D1169" s="1" t="s">
        <v>4535</v>
      </c>
      <c r="E1169" s="62">
        <v>18</v>
      </c>
      <c r="F1169" s="1" t="s">
        <v>2551</v>
      </c>
      <c r="G1169" s="1" t="s">
        <v>2552</v>
      </c>
    </row>
    <row x14ac:dyDescent="0.25" r="1170" customHeight="1" ht="17.25" hidden="1">
      <c r="A1170" s="112" t="s">
        <v>4536</v>
      </c>
      <c r="B1170" s="1" t="s">
        <v>2549</v>
      </c>
      <c r="C1170" s="1" t="s">
        <v>54</v>
      </c>
      <c r="D1170" s="1" t="s">
        <v>4537</v>
      </c>
      <c r="E1170" s="62">
        <v>18</v>
      </c>
      <c r="F1170" s="1" t="s">
        <v>2551</v>
      </c>
      <c r="G1170" s="1" t="s">
        <v>2555</v>
      </c>
    </row>
    <row x14ac:dyDescent="0.25" r="1171" customHeight="1" ht="17.25" hidden="1">
      <c r="A1171" s="112" t="s">
        <v>4538</v>
      </c>
      <c r="B1171" s="1" t="s">
        <v>2549</v>
      </c>
      <c r="C1171" s="1" t="s">
        <v>54</v>
      </c>
      <c r="D1171" s="1" t="s">
        <v>4539</v>
      </c>
      <c r="E1171" s="62">
        <v>26</v>
      </c>
      <c r="F1171" s="1" t="s">
        <v>2551</v>
      </c>
      <c r="G1171" s="1" t="s">
        <v>2552</v>
      </c>
    </row>
    <row x14ac:dyDescent="0.25" r="1172" customHeight="1" ht="17.25" hidden="1">
      <c r="A1172" s="112" t="s">
        <v>4540</v>
      </c>
      <c r="B1172" s="1" t="s">
        <v>2549</v>
      </c>
      <c r="C1172" s="1" t="s">
        <v>54</v>
      </c>
      <c r="D1172" s="1" t="s">
        <v>4541</v>
      </c>
      <c r="E1172" s="62">
        <v>20</v>
      </c>
      <c r="F1172" s="1" t="s">
        <v>2551</v>
      </c>
      <c r="G1172" s="1" t="s">
        <v>2552</v>
      </c>
    </row>
    <row x14ac:dyDescent="0.25" r="1173" customHeight="1" ht="17.25" hidden="1">
      <c r="A1173" s="112" t="s">
        <v>4542</v>
      </c>
      <c r="B1173" s="1" t="s">
        <v>2549</v>
      </c>
      <c r="C1173" s="1" t="s">
        <v>54</v>
      </c>
      <c r="D1173" s="1" t="s">
        <v>4543</v>
      </c>
      <c r="E1173" s="62">
        <v>35</v>
      </c>
      <c r="F1173" s="1" t="s">
        <v>2561</v>
      </c>
      <c r="G1173" s="1" t="s">
        <v>2552</v>
      </c>
    </row>
    <row x14ac:dyDescent="0.25" r="1174" customHeight="1" ht="17.25" hidden="1">
      <c r="A1174" s="112" t="s">
        <v>4544</v>
      </c>
      <c r="B1174" s="1" t="s">
        <v>2549</v>
      </c>
      <c r="C1174" s="1" t="s">
        <v>54</v>
      </c>
      <c r="D1174" s="1" t="s">
        <v>4545</v>
      </c>
      <c r="E1174" s="62">
        <v>26</v>
      </c>
      <c r="F1174" s="1" t="s">
        <v>2551</v>
      </c>
      <c r="G1174" s="1" t="s">
        <v>2555</v>
      </c>
    </row>
    <row x14ac:dyDescent="0.25" r="1175" customHeight="1" ht="17.25" hidden="1">
      <c r="A1175" s="112" t="s">
        <v>4546</v>
      </c>
      <c r="B1175" s="1" t="s">
        <v>2549</v>
      </c>
      <c r="C1175" s="1" t="s">
        <v>54</v>
      </c>
      <c r="D1175" s="1" t="s">
        <v>4547</v>
      </c>
      <c r="E1175" s="62">
        <v>23</v>
      </c>
      <c r="F1175" s="1" t="s">
        <v>2551</v>
      </c>
      <c r="G1175" s="1" t="s">
        <v>2552</v>
      </c>
    </row>
    <row x14ac:dyDescent="0.25" r="1176" customHeight="1" ht="17.25" hidden="1">
      <c r="A1176" s="112" t="s">
        <v>4548</v>
      </c>
      <c r="B1176" s="1" t="s">
        <v>2549</v>
      </c>
      <c r="C1176" s="1" t="s">
        <v>54</v>
      </c>
      <c r="D1176" s="1" t="s">
        <v>4549</v>
      </c>
      <c r="E1176" s="62">
        <v>30</v>
      </c>
      <c r="F1176" s="1" t="s">
        <v>2551</v>
      </c>
      <c r="G1176" s="1" t="s">
        <v>2552</v>
      </c>
    </row>
    <row x14ac:dyDescent="0.25" r="1177" customHeight="1" ht="17.25" hidden="1">
      <c r="A1177" s="112" t="s">
        <v>4550</v>
      </c>
      <c r="B1177" s="1" t="s">
        <v>2549</v>
      </c>
      <c r="C1177" s="1" t="s">
        <v>54</v>
      </c>
      <c r="D1177" s="1" t="s">
        <v>4551</v>
      </c>
      <c r="E1177" s="62">
        <v>29</v>
      </c>
      <c r="F1177" s="1" t="s">
        <v>2551</v>
      </c>
      <c r="G1177" s="1" t="s">
        <v>2555</v>
      </c>
    </row>
    <row x14ac:dyDescent="0.25" r="1178" customHeight="1" ht="17.25" hidden="1">
      <c r="A1178" s="112" t="s">
        <v>4552</v>
      </c>
      <c r="B1178" s="1" t="s">
        <v>2549</v>
      </c>
      <c r="C1178" s="1" t="s">
        <v>54</v>
      </c>
      <c r="D1178" s="1" t="s">
        <v>4553</v>
      </c>
      <c r="E1178" s="62">
        <v>23</v>
      </c>
      <c r="F1178" s="1" t="s">
        <v>2561</v>
      </c>
      <c r="G1178" s="1" t="s">
        <v>2555</v>
      </c>
    </row>
    <row x14ac:dyDescent="0.25" r="1179" customHeight="1" ht="17.25" hidden="1">
      <c r="A1179" s="112" t="s">
        <v>4554</v>
      </c>
      <c r="B1179" s="1" t="s">
        <v>2549</v>
      </c>
      <c r="C1179" s="1" t="s">
        <v>54</v>
      </c>
      <c r="D1179" s="1" t="s">
        <v>4555</v>
      </c>
      <c r="E1179" s="62">
        <v>20</v>
      </c>
      <c r="F1179" s="1" t="s">
        <v>2551</v>
      </c>
      <c r="G1179" s="1" t="s">
        <v>2552</v>
      </c>
    </row>
    <row x14ac:dyDescent="0.25" r="1180" customHeight="1" ht="17.25" hidden="1">
      <c r="A1180" s="112" t="s">
        <v>1126</v>
      </c>
      <c r="B1180" s="1" t="s">
        <v>2549</v>
      </c>
      <c r="C1180" s="1" t="s">
        <v>54</v>
      </c>
      <c r="D1180" s="1" t="s">
        <v>1127</v>
      </c>
      <c r="E1180" s="62">
        <v>28</v>
      </c>
      <c r="F1180" s="1" t="s">
        <v>2551</v>
      </c>
      <c r="G1180" s="1" t="s">
        <v>2555</v>
      </c>
    </row>
    <row x14ac:dyDescent="0.25" r="1181" customHeight="1" ht="17.25" hidden="1">
      <c r="A1181" s="112" t="s">
        <v>1508</v>
      </c>
      <c r="B1181" s="1" t="s">
        <v>2549</v>
      </c>
      <c r="C1181" s="1" t="s">
        <v>54</v>
      </c>
      <c r="D1181" s="1" t="s">
        <v>1509</v>
      </c>
      <c r="E1181" s="62">
        <v>21</v>
      </c>
      <c r="F1181" s="1" t="s">
        <v>2551</v>
      </c>
      <c r="G1181" s="1" t="s">
        <v>2558</v>
      </c>
    </row>
    <row x14ac:dyDescent="0.25" r="1182" customHeight="1" ht="17.25" hidden="1">
      <c r="A1182" s="112" t="s">
        <v>4556</v>
      </c>
      <c r="B1182" s="1" t="s">
        <v>2549</v>
      </c>
      <c r="C1182" s="1" t="s">
        <v>54</v>
      </c>
      <c r="D1182" s="1" t="s">
        <v>4557</v>
      </c>
      <c r="E1182" s="62">
        <v>18</v>
      </c>
      <c r="F1182" s="1" t="s">
        <v>2551</v>
      </c>
      <c r="G1182" s="1" t="s">
        <v>2552</v>
      </c>
    </row>
    <row x14ac:dyDescent="0.25" r="1183" customHeight="1" ht="17.25" hidden="1">
      <c r="A1183" s="112" t="s">
        <v>4558</v>
      </c>
      <c r="B1183" s="1" t="s">
        <v>2549</v>
      </c>
      <c r="C1183" s="1" t="s">
        <v>54</v>
      </c>
      <c r="D1183" s="1" t="s">
        <v>4559</v>
      </c>
      <c r="E1183" s="62">
        <v>29</v>
      </c>
      <c r="F1183" s="1" t="s">
        <v>2551</v>
      </c>
      <c r="G1183" s="1" t="s">
        <v>2552</v>
      </c>
    </row>
    <row x14ac:dyDescent="0.25" r="1184" customHeight="1" ht="17.25" hidden="1">
      <c r="A1184" s="112" t="s">
        <v>4560</v>
      </c>
      <c r="B1184" s="1" t="s">
        <v>2549</v>
      </c>
      <c r="C1184" s="1" t="s">
        <v>54</v>
      </c>
      <c r="D1184" s="1" t="s">
        <v>4561</v>
      </c>
      <c r="E1184" s="62">
        <v>19</v>
      </c>
      <c r="F1184" s="1" t="s">
        <v>2551</v>
      </c>
      <c r="G1184" s="1" t="s">
        <v>2555</v>
      </c>
    </row>
    <row x14ac:dyDescent="0.25" r="1185" customHeight="1" ht="17.25" hidden="1">
      <c r="A1185" s="112" t="s">
        <v>4560</v>
      </c>
      <c r="B1185" s="1" t="s">
        <v>2549</v>
      </c>
      <c r="C1185" s="1" t="s">
        <v>54</v>
      </c>
      <c r="D1185" s="1" t="s">
        <v>4562</v>
      </c>
      <c r="E1185" s="62">
        <v>18</v>
      </c>
      <c r="F1185" s="1" t="s">
        <v>2551</v>
      </c>
      <c r="G1185" s="1" t="s">
        <v>2555</v>
      </c>
    </row>
    <row x14ac:dyDescent="0.25" r="1186" customHeight="1" ht="17.25" hidden="1">
      <c r="A1186" s="112" t="s">
        <v>4563</v>
      </c>
      <c r="B1186" s="1" t="s">
        <v>2549</v>
      </c>
      <c r="C1186" s="1" t="s">
        <v>54</v>
      </c>
      <c r="D1186" s="1" t="s">
        <v>4564</v>
      </c>
      <c r="E1186" s="54" t="s">
        <v>2571</v>
      </c>
      <c r="F1186" s="1" t="s">
        <v>2551</v>
      </c>
      <c r="G1186" s="1" t="s">
        <v>2555</v>
      </c>
    </row>
    <row x14ac:dyDescent="0.25" r="1187" customHeight="1" ht="17.25" hidden="1">
      <c r="A1187" s="112" t="s">
        <v>4565</v>
      </c>
      <c r="B1187" s="1" t="s">
        <v>2549</v>
      </c>
      <c r="C1187" s="1" t="s">
        <v>54</v>
      </c>
      <c r="D1187" s="1" t="s">
        <v>4566</v>
      </c>
      <c r="E1187" s="62">
        <v>18</v>
      </c>
      <c r="F1187" s="1" t="s">
        <v>2551</v>
      </c>
      <c r="G1187" s="1" t="s">
        <v>2555</v>
      </c>
    </row>
    <row x14ac:dyDescent="0.25" r="1188" customHeight="1" ht="17.25" hidden="1">
      <c r="A1188" s="112" t="s">
        <v>4567</v>
      </c>
      <c r="B1188" s="1" t="s">
        <v>2549</v>
      </c>
      <c r="C1188" s="1" t="s">
        <v>54</v>
      </c>
      <c r="D1188" s="1" t="s">
        <v>4568</v>
      </c>
      <c r="E1188" s="62">
        <v>18</v>
      </c>
      <c r="F1188" s="1" t="s">
        <v>2551</v>
      </c>
      <c r="G1188" s="1" t="s">
        <v>2558</v>
      </c>
    </row>
    <row x14ac:dyDescent="0.25" r="1189" customHeight="1" ht="17.25" hidden="1">
      <c r="A1189" s="112" t="s">
        <v>4569</v>
      </c>
      <c r="B1189" s="1" t="s">
        <v>2549</v>
      </c>
      <c r="C1189" s="1" t="s">
        <v>54</v>
      </c>
      <c r="D1189" s="1" t="s">
        <v>4570</v>
      </c>
      <c r="E1189" s="62">
        <v>28</v>
      </c>
      <c r="F1189" s="1" t="s">
        <v>2551</v>
      </c>
      <c r="G1189" s="1" t="s">
        <v>2558</v>
      </c>
    </row>
    <row x14ac:dyDescent="0.25" r="1190" customHeight="1" ht="17.25" hidden="1">
      <c r="A1190" s="112" t="s">
        <v>4569</v>
      </c>
      <c r="B1190" s="1" t="s">
        <v>2549</v>
      </c>
      <c r="C1190" s="1" t="s">
        <v>54</v>
      </c>
      <c r="D1190" s="1" t="s">
        <v>4571</v>
      </c>
      <c r="E1190" s="62">
        <v>19</v>
      </c>
      <c r="F1190" s="1" t="s">
        <v>2551</v>
      </c>
      <c r="G1190" s="1" t="s">
        <v>2555</v>
      </c>
    </row>
    <row x14ac:dyDescent="0.25" r="1191" customHeight="1" ht="17.25" hidden="1">
      <c r="A1191" s="112" t="s">
        <v>4572</v>
      </c>
      <c r="B1191" s="1" t="s">
        <v>2549</v>
      </c>
      <c r="C1191" s="1" t="s">
        <v>54</v>
      </c>
      <c r="D1191" s="1" t="s">
        <v>4573</v>
      </c>
      <c r="E1191" s="62">
        <v>20</v>
      </c>
      <c r="F1191" s="1" t="s">
        <v>2551</v>
      </c>
      <c r="G1191" s="1" t="s">
        <v>2555</v>
      </c>
    </row>
    <row x14ac:dyDescent="0.25" r="1192" customHeight="1" ht="17.25" hidden="1">
      <c r="A1192" s="112" t="s">
        <v>1732</v>
      </c>
      <c r="B1192" s="1" t="s">
        <v>2549</v>
      </c>
      <c r="C1192" s="1" t="s">
        <v>54</v>
      </c>
      <c r="D1192" s="1" t="s">
        <v>1733</v>
      </c>
      <c r="E1192" s="62">
        <v>35</v>
      </c>
      <c r="F1192" s="1" t="s">
        <v>2551</v>
      </c>
      <c r="G1192" s="1" t="s">
        <v>2555</v>
      </c>
    </row>
    <row x14ac:dyDescent="0.25" r="1193" customHeight="1" ht="17.25" hidden="1">
      <c r="A1193" s="112" t="s">
        <v>4574</v>
      </c>
      <c r="B1193" s="1" t="s">
        <v>2549</v>
      </c>
      <c r="C1193" s="1" t="s">
        <v>54</v>
      </c>
      <c r="D1193" s="1" t="s">
        <v>4575</v>
      </c>
      <c r="E1193" s="62">
        <v>23</v>
      </c>
      <c r="F1193" s="1" t="s">
        <v>2551</v>
      </c>
      <c r="G1193" s="1" t="s">
        <v>2552</v>
      </c>
    </row>
    <row x14ac:dyDescent="0.25" r="1194" customHeight="1" ht="17.25" hidden="1">
      <c r="A1194" s="112" t="s">
        <v>1661</v>
      </c>
      <c r="B1194" s="1" t="s">
        <v>2549</v>
      </c>
      <c r="C1194" s="1" t="s">
        <v>54</v>
      </c>
      <c r="D1194" s="1" t="s">
        <v>1663</v>
      </c>
      <c r="E1194" s="62">
        <v>23</v>
      </c>
      <c r="F1194" s="1" t="s">
        <v>2551</v>
      </c>
      <c r="G1194" s="1" t="s">
        <v>2552</v>
      </c>
    </row>
    <row x14ac:dyDescent="0.25" r="1195" customHeight="1" ht="17.25" hidden="1">
      <c r="A1195" s="112" t="s">
        <v>4576</v>
      </c>
      <c r="B1195" s="1" t="s">
        <v>2549</v>
      </c>
      <c r="C1195" s="1" t="s">
        <v>54</v>
      </c>
      <c r="D1195" s="1" t="s">
        <v>4577</v>
      </c>
      <c r="E1195" s="54" t="s">
        <v>2571</v>
      </c>
      <c r="F1195" s="1" t="s">
        <v>2551</v>
      </c>
      <c r="G1195" s="1" t="s">
        <v>2555</v>
      </c>
    </row>
    <row x14ac:dyDescent="0.25" r="1196" customHeight="1" ht="17.25" hidden="1">
      <c r="A1196" s="112" t="s">
        <v>920</v>
      </c>
      <c r="B1196" s="1" t="s">
        <v>2549</v>
      </c>
      <c r="C1196" s="1" t="s">
        <v>54</v>
      </c>
      <c r="D1196" s="1" t="s">
        <v>922</v>
      </c>
      <c r="E1196" s="62">
        <v>19</v>
      </c>
      <c r="F1196" s="1" t="s">
        <v>2551</v>
      </c>
      <c r="G1196" s="1" t="s">
        <v>4578</v>
      </c>
    </row>
    <row x14ac:dyDescent="0.25" r="1197" customHeight="1" ht="17.25" hidden="1">
      <c r="A1197" s="112" t="s">
        <v>4579</v>
      </c>
      <c r="B1197" s="1" t="s">
        <v>2549</v>
      </c>
      <c r="C1197" s="1" t="s">
        <v>54</v>
      </c>
      <c r="D1197" s="1" t="s">
        <v>4580</v>
      </c>
      <c r="E1197" s="54" t="s">
        <v>2571</v>
      </c>
      <c r="F1197" s="1" t="s">
        <v>2551</v>
      </c>
      <c r="G1197" s="1" t="s">
        <v>2552</v>
      </c>
    </row>
    <row x14ac:dyDescent="0.25" r="1198" customHeight="1" ht="17.25" hidden="1">
      <c r="A1198" s="112" t="s">
        <v>4579</v>
      </c>
      <c r="B1198" s="1" t="s">
        <v>2549</v>
      </c>
      <c r="C1198" s="1" t="s">
        <v>54</v>
      </c>
      <c r="D1198" s="1" t="s">
        <v>4581</v>
      </c>
      <c r="E1198" s="54" t="s">
        <v>2571</v>
      </c>
      <c r="F1198" s="1" t="s">
        <v>2551</v>
      </c>
      <c r="G1198" s="1" t="s">
        <v>2555</v>
      </c>
    </row>
    <row x14ac:dyDescent="0.25" r="1199" customHeight="1" ht="17.25" hidden="1">
      <c r="A1199" s="112" t="s">
        <v>4582</v>
      </c>
      <c r="B1199" s="1" t="s">
        <v>2549</v>
      </c>
      <c r="C1199" s="1" t="s">
        <v>54</v>
      </c>
      <c r="D1199" s="1" t="s">
        <v>4583</v>
      </c>
      <c r="E1199" s="62">
        <v>26</v>
      </c>
      <c r="F1199" s="1" t="s">
        <v>2551</v>
      </c>
      <c r="G1199" s="1" t="s">
        <v>2555</v>
      </c>
    </row>
    <row x14ac:dyDescent="0.25" r="1200" customHeight="1" ht="17.25" hidden="1">
      <c r="A1200" s="112" t="s">
        <v>4582</v>
      </c>
      <c r="B1200" s="1" t="s">
        <v>2549</v>
      </c>
      <c r="C1200" s="1" t="s">
        <v>54</v>
      </c>
      <c r="D1200" s="1" t="s">
        <v>4584</v>
      </c>
      <c r="E1200" s="62">
        <v>24</v>
      </c>
      <c r="F1200" s="1" t="s">
        <v>2551</v>
      </c>
      <c r="G1200" s="1" t="s">
        <v>2552</v>
      </c>
    </row>
    <row x14ac:dyDescent="0.25" r="1201" customHeight="1" ht="17.25" hidden="1">
      <c r="A1201" s="112" t="s">
        <v>4585</v>
      </c>
      <c r="B1201" s="1" t="s">
        <v>2549</v>
      </c>
      <c r="C1201" s="1" t="s">
        <v>54</v>
      </c>
      <c r="D1201" s="1" t="s">
        <v>4586</v>
      </c>
      <c r="E1201" s="62">
        <v>27</v>
      </c>
      <c r="F1201" s="1" t="s">
        <v>2551</v>
      </c>
      <c r="G1201" s="1" t="s">
        <v>2555</v>
      </c>
    </row>
    <row x14ac:dyDescent="0.25" r="1202" customHeight="1" ht="17.25" hidden="1">
      <c r="A1202" s="112" t="s">
        <v>4587</v>
      </c>
      <c r="B1202" s="1" t="s">
        <v>2549</v>
      </c>
      <c r="C1202" s="1" t="s">
        <v>54</v>
      </c>
      <c r="D1202" s="1" t="s">
        <v>4588</v>
      </c>
      <c r="E1202" s="62">
        <v>27</v>
      </c>
      <c r="F1202" s="1" t="s">
        <v>2551</v>
      </c>
      <c r="G1202" s="1" t="s">
        <v>2552</v>
      </c>
    </row>
    <row x14ac:dyDescent="0.25" r="1203" customHeight="1" ht="17.25" hidden="1">
      <c r="A1203" s="112" t="s">
        <v>4589</v>
      </c>
      <c r="B1203" s="1" t="s">
        <v>2549</v>
      </c>
      <c r="C1203" s="1" t="s">
        <v>54</v>
      </c>
      <c r="D1203" s="1" t="s">
        <v>4590</v>
      </c>
      <c r="E1203" s="62">
        <v>37</v>
      </c>
      <c r="F1203" s="1" t="s">
        <v>2551</v>
      </c>
      <c r="G1203" s="1" t="s">
        <v>2552</v>
      </c>
    </row>
    <row x14ac:dyDescent="0.25" r="1204" customHeight="1" ht="17.25" hidden="1">
      <c r="A1204" s="112" t="s">
        <v>2150</v>
      </c>
      <c r="B1204" s="1" t="s">
        <v>2549</v>
      </c>
      <c r="C1204" s="1" t="s">
        <v>54</v>
      </c>
      <c r="D1204" s="1" t="s">
        <v>2151</v>
      </c>
      <c r="E1204" s="62">
        <v>29</v>
      </c>
      <c r="F1204" s="1" t="s">
        <v>2551</v>
      </c>
      <c r="G1204" s="1" t="s">
        <v>2558</v>
      </c>
    </row>
    <row x14ac:dyDescent="0.25" r="1205" customHeight="1" ht="17.25" hidden="1">
      <c r="A1205" s="112" t="s">
        <v>4591</v>
      </c>
      <c r="B1205" s="1" t="s">
        <v>2549</v>
      </c>
      <c r="C1205" s="1" t="s">
        <v>54</v>
      </c>
      <c r="D1205" s="1" t="s">
        <v>4592</v>
      </c>
      <c r="E1205" s="62">
        <v>19</v>
      </c>
      <c r="F1205" s="1" t="s">
        <v>2551</v>
      </c>
      <c r="G1205" s="1" t="s">
        <v>2552</v>
      </c>
    </row>
    <row x14ac:dyDescent="0.25" r="1206" customHeight="1" ht="17.25" hidden="1">
      <c r="A1206" s="112" t="s">
        <v>4593</v>
      </c>
      <c r="B1206" s="1" t="s">
        <v>2549</v>
      </c>
      <c r="C1206" s="1" t="s">
        <v>54</v>
      </c>
      <c r="D1206" s="1" t="s">
        <v>4594</v>
      </c>
      <c r="E1206" s="62">
        <v>19</v>
      </c>
      <c r="F1206" s="1" t="s">
        <v>2551</v>
      </c>
      <c r="G1206" s="1" t="s">
        <v>2558</v>
      </c>
    </row>
    <row x14ac:dyDescent="0.25" r="1207" customHeight="1" ht="17.25" hidden="1">
      <c r="A1207" s="112" t="s">
        <v>4595</v>
      </c>
      <c r="B1207" s="1" t="s">
        <v>2549</v>
      </c>
      <c r="C1207" s="1" t="s">
        <v>54</v>
      </c>
      <c r="D1207" s="1" t="s">
        <v>4596</v>
      </c>
      <c r="E1207" s="62">
        <v>25</v>
      </c>
      <c r="F1207" s="1" t="s">
        <v>2551</v>
      </c>
      <c r="G1207" s="1" t="s">
        <v>2552</v>
      </c>
    </row>
    <row x14ac:dyDescent="0.25" r="1208" customHeight="1" ht="17.25" hidden="1">
      <c r="A1208" s="112" t="s">
        <v>4597</v>
      </c>
      <c r="B1208" s="1" t="s">
        <v>2549</v>
      </c>
      <c r="C1208" s="1" t="s">
        <v>54</v>
      </c>
      <c r="D1208" s="1" t="s">
        <v>4598</v>
      </c>
      <c r="E1208" s="62">
        <v>30</v>
      </c>
      <c r="F1208" s="1" t="s">
        <v>2551</v>
      </c>
      <c r="G1208" s="1" t="s">
        <v>2555</v>
      </c>
    </row>
    <row x14ac:dyDescent="0.25" r="1209" customHeight="1" ht="17.25" hidden="1">
      <c r="A1209" s="112" t="s">
        <v>4599</v>
      </c>
      <c r="B1209" s="1" t="s">
        <v>2549</v>
      </c>
      <c r="C1209" s="1" t="s">
        <v>54</v>
      </c>
      <c r="D1209" s="1" t="s">
        <v>4600</v>
      </c>
      <c r="E1209" s="62">
        <v>28</v>
      </c>
      <c r="F1209" s="1" t="s">
        <v>2551</v>
      </c>
      <c r="G1209" s="1" t="s">
        <v>2555</v>
      </c>
    </row>
    <row x14ac:dyDescent="0.25" r="1210" customHeight="1" ht="17.25" hidden="1">
      <c r="A1210" s="112" t="s">
        <v>4601</v>
      </c>
      <c r="B1210" s="1" t="s">
        <v>2549</v>
      </c>
      <c r="C1210" s="1" t="s">
        <v>54</v>
      </c>
      <c r="D1210" s="1" t="s">
        <v>4602</v>
      </c>
      <c r="E1210" s="62">
        <v>21</v>
      </c>
      <c r="F1210" s="1" t="s">
        <v>2551</v>
      </c>
      <c r="G1210" s="1" t="s">
        <v>2552</v>
      </c>
    </row>
    <row x14ac:dyDescent="0.25" r="1211" customHeight="1" ht="17.25" hidden="1">
      <c r="A1211" s="112" t="s">
        <v>4603</v>
      </c>
      <c r="B1211" s="1" t="s">
        <v>2549</v>
      </c>
      <c r="C1211" s="1" t="s">
        <v>54</v>
      </c>
      <c r="D1211" s="1" t="s">
        <v>4604</v>
      </c>
      <c r="E1211" s="62">
        <v>19</v>
      </c>
      <c r="F1211" s="1" t="s">
        <v>2551</v>
      </c>
      <c r="G1211" s="1" t="s">
        <v>2552</v>
      </c>
    </row>
    <row x14ac:dyDescent="0.25" r="1212" customHeight="1" ht="17.25" hidden="1">
      <c r="A1212" s="112" t="s">
        <v>4605</v>
      </c>
      <c r="B1212" s="1" t="s">
        <v>2549</v>
      </c>
      <c r="C1212" s="1" t="s">
        <v>54</v>
      </c>
      <c r="D1212" s="1" t="s">
        <v>4606</v>
      </c>
      <c r="E1212" s="62">
        <v>46</v>
      </c>
      <c r="F1212" s="1" t="s">
        <v>2551</v>
      </c>
      <c r="G1212" s="1" t="s">
        <v>2555</v>
      </c>
    </row>
    <row x14ac:dyDescent="0.25" r="1213" customHeight="1" ht="17.25" hidden="1">
      <c r="A1213" s="112" t="s">
        <v>4607</v>
      </c>
      <c r="B1213" s="1" t="s">
        <v>2549</v>
      </c>
      <c r="C1213" s="1" t="s">
        <v>54</v>
      </c>
      <c r="D1213" s="1" t="s">
        <v>4608</v>
      </c>
      <c r="E1213" s="62">
        <v>30</v>
      </c>
      <c r="F1213" s="1" t="s">
        <v>2551</v>
      </c>
      <c r="G1213" s="1" t="s">
        <v>2552</v>
      </c>
    </row>
    <row x14ac:dyDescent="0.25" r="1214" customHeight="1" ht="17.25" hidden="1">
      <c r="A1214" s="112" t="s">
        <v>4609</v>
      </c>
      <c r="B1214" s="1" t="s">
        <v>2549</v>
      </c>
      <c r="C1214" s="1" t="s">
        <v>54</v>
      </c>
      <c r="D1214" s="1" t="s">
        <v>4610</v>
      </c>
      <c r="E1214" s="62">
        <v>18</v>
      </c>
      <c r="F1214" s="1" t="s">
        <v>2551</v>
      </c>
      <c r="G1214" s="1" t="s">
        <v>2558</v>
      </c>
    </row>
    <row x14ac:dyDescent="0.25" r="1215" customHeight="1" ht="17.25" hidden="1">
      <c r="A1215" s="112" t="s">
        <v>4611</v>
      </c>
      <c r="B1215" s="1" t="s">
        <v>2549</v>
      </c>
      <c r="C1215" s="1" t="s">
        <v>54</v>
      </c>
      <c r="D1215" s="1" t="s">
        <v>4612</v>
      </c>
      <c r="E1215" s="62">
        <v>25</v>
      </c>
      <c r="F1215" s="1" t="s">
        <v>2551</v>
      </c>
      <c r="G1215" s="1" t="s">
        <v>2552</v>
      </c>
    </row>
    <row x14ac:dyDescent="0.25" r="1216" customHeight="1" ht="17.25" hidden="1">
      <c r="A1216" s="112" t="s">
        <v>4613</v>
      </c>
      <c r="B1216" s="1" t="s">
        <v>2549</v>
      </c>
      <c r="C1216" s="1" t="s">
        <v>54</v>
      </c>
      <c r="D1216" s="1" t="s">
        <v>4614</v>
      </c>
      <c r="E1216" s="62">
        <v>22</v>
      </c>
      <c r="F1216" s="1" t="s">
        <v>2551</v>
      </c>
      <c r="G1216" s="1" t="s">
        <v>2555</v>
      </c>
    </row>
    <row x14ac:dyDescent="0.25" r="1217" customHeight="1" ht="17.25" hidden="1">
      <c r="A1217" s="112" t="s">
        <v>4615</v>
      </c>
      <c r="B1217" s="1" t="s">
        <v>2549</v>
      </c>
      <c r="C1217" s="1" t="s">
        <v>54</v>
      </c>
      <c r="D1217" s="1" t="s">
        <v>4616</v>
      </c>
      <c r="E1217" s="62">
        <v>19</v>
      </c>
      <c r="F1217" s="1" t="s">
        <v>2551</v>
      </c>
      <c r="G1217" s="1" t="s">
        <v>2552</v>
      </c>
    </row>
    <row x14ac:dyDescent="0.25" r="1218" customHeight="1" ht="17.25" hidden="1">
      <c r="A1218" s="112" t="s">
        <v>4617</v>
      </c>
      <c r="B1218" s="1" t="s">
        <v>2549</v>
      </c>
      <c r="C1218" s="1" t="s">
        <v>54</v>
      </c>
      <c r="D1218" s="1" t="s">
        <v>4618</v>
      </c>
      <c r="E1218" s="62">
        <v>32</v>
      </c>
      <c r="F1218" s="1" t="s">
        <v>2551</v>
      </c>
      <c r="G1218" s="1" t="s">
        <v>2555</v>
      </c>
    </row>
    <row x14ac:dyDescent="0.25" r="1219" customHeight="1" ht="17.25" hidden="1">
      <c r="A1219" s="112" t="s">
        <v>4619</v>
      </c>
      <c r="B1219" s="1" t="s">
        <v>2549</v>
      </c>
      <c r="C1219" s="1" t="s">
        <v>54</v>
      </c>
      <c r="D1219" s="1" t="s">
        <v>4620</v>
      </c>
      <c r="E1219" s="54" t="s">
        <v>2571</v>
      </c>
      <c r="F1219" s="1" t="s">
        <v>2551</v>
      </c>
      <c r="G1219" s="1" t="s">
        <v>2555</v>
      </c>
    </row>
    <row x14ac:dyDescent="0.25" r="1220" customHeight="1" ht="17.25" hidden="1">
      <c r="A1220" s="112" t="s">
        <v>4621</v>
      </c>
      <c r="B1220" s="1" t="s">
        <v>2549</v>
      </c>
      <c r="C1220" s="1" t="s">
        <v>54</v>
      </c>
      <c r="D1220" s="1" t="s">
        <v>4622</v>
      </c>
      <c r="E1220" s="62">
        <v>28</v>
      </c>
      <c r="F1220" s="1" t="s">
        <v>2551</v>
      </c>
      <c r="G1220" s="1" t="s">
        <v>2558</v>
      </c>
    </row>
    <row x14ac:dyDescent="0.25" r="1221" customHeight="1" ht="17.25" hidden="1">
      <c r="A1221" s="112" t="s">
        <v>4621</v>
      </c>
      <c r="B1221" s="1" t="s">
        <v>2549</v>
      </c>
      <c r="C1221" s="1" t="s">
        <v>54</v>
      </c>
      <c r="D1221" s="1" t="s">
        <v>4623</v>
      </c>
      <c r="E1221" s="62">
        <v>25</v>
      </c>
      <c r="F1221" s="1" t="s">
        <v>2551</v>
      </c>
      <c r="G1221" s="1" t="s">
        <v>2552</v>
      </c>
    </row>
    <row x14ac:dyDescent="0.25" r="1222" customHeight="1" ht="17.25" hidden="1">
      <c r="A1222" s="112" t="s">
        <v>4624</v>
      </c>
      <c r="B1222" s="1" t="s">
        <v>2549</v>
      </c>
      <c r="C1222" s="1" t="s">
        <v>54</v>
      </c>
      <c r="D1222" s="1" t="s">
        <v>4625</v>
      </c>
      <c r="E1222" s="62">
        <v>28</v>
      </c>
      <c r="F1222" s="1" t="s">
        <v>2561</v>
      </c>
      <c r="G1222" s="1" t="s">
        <v>2552</v>
      </c>
    </row>
    <row x14ac:dyDescent="0.25" r="1223" customHeight="1" ht="17.25" hidden="1">
      <c r="A1223" s="112" t="s">
        <v>4626</v>
      </c>
      <c r="B1223" s="1" t="s">
        <v>2549</v>
      </c>
      <c r="C1223" s="1" t="s">
        <v>54</v>
      </c>
      <c r="D1223" s="1" t="s">
        <v>4627</v>
      </c>
      <c r="E1223" s="62">
        <v>26</v>
      </c>
      <c r="F1223" s="1" t="s">
        <v>2551</v>
      </c>
      <c r="G1223" s="1" t="s">
        <v>2552</v>
      </c>
    </row>
    <row x14ac:dyDescent="0.25" r="1224" customHeight="1" ht="17.25" hidden="1">
      <c r="A1224" s="112" t="s">
        <v>4628</v>
      </c>
      <c r="B1224" s="1" t="s">
        <v>2549</v>
      </c>
      <c r="C1224" s="1" t="s">
        <v>54</v>
      </c>
      <c r="D1224" s="1" t="s">
        <v>4629</v>
      </c>
      <c r="E1224" s="62">
        <v>32</v>
      </c>
      <c r="F1224" s="1" t="s">
        <v>2561</v>
      </c>
      <c r="G1224" s="1" t="s">
        <v>2552</v>
      </c>
    </row>
    <row x14ac:dyDescent="0.25" r="1225" customHeight="1" ht="17.25" hidden="1">
      <c r="A1225" s="112" t="s">
        <v>4630</v>
      </c>
      <c r="B1225" s="1" t="s">
        <v>2549</v>
      </c>
      <c r="C1225" s="1" t="s">
        <v>54</v>
      </c>
      <c r="D1225" s="1" t="s">
        <v>4631</v>
      </c>
      <c r="E1225" s="62">
        <v>23</v>
      </c>
      <c r="F1225" s="1" t="s">
        <v>2551</v>
      </c>
      <c r="G1225" s="1" t="s">
        <v>2552</v>
      </c>
    </row>
    <row x14ac:dyDescent="0.25" r="1226" customHeight="1" ht="17.25" hidden="1">
      <c r="A1226" s="112" t="s">
        <v>4632</v>
      </c>
      <c r="B1226" s="1" t="s">
        <v>2549</v>
      </c>
      <c r="C1226" s="1" t="s">
        <v>54</v>
      </c>
      <c r="D1226" s="1" t="s">
        <v>4633</v>
      </c>
      <c r="E1226" s="62">
        <v>22</v>
      </c>
      <c r="F1226" s="1" t="s">
        <v>2561</v>
      </c>
      <c r="G1226" s="1" t="s">
        <v>2552</v>
      </c>
    </row>
    <row x14ac:dyDescent="0.25" r="1227" customHeight="1" ht="17.25" hidden="1">
      <c r="A1227" s="112" t="s">
        <v>4632</v>
      </c>
      <c r="B1227" s="1" t="s">
        <v>2549</v>
      </c>
      <c r="C1227" s="1" t="s">
        <v>54</v>
      </c>
      <c r="D1227" s="1" t="s">
        <v>4634</v>
      </c>
      <c r="E1227" s="62">
        <v>36</v>
      </c>
      <c r="F1227" s="1" t="s">
        <v>2561</v>
      </c>
      <c r="G1227" s="1" t="s">
        <v>2552</v>
      </c>
    </row>
    <row x14ac:dyDescent="0.25" r="1228" customHeight="1" ht="17.25" hidden="1">
      <c r="A1228" s="112" t="s">
        <v>4635</v>
      </c>
      <c r="B1228" s="1" t="s">
        <v>2549</v>
      </c>
      <c r="C1228" s="1" t="s">
        <v>54</v>
      </c>
      <c r="D1228" s="1" t="s">
        <v>4636</v>
      </c>
      <c r="E1228" s="62">
        <v>22</v>
      </c>
      <c r="F1228" s="1" t="s">
        <v>2551</v>
      </c>
      <c r="G1228" s="1" t="s">
        <v>2558</v>
      </c>
    </row>
    <row x14ac:dyDescent="0.25" r="1229" customHeight="1" ht="17.25" hidden="1">
      <c r="A1229" s="112" t="s">
        <v>4635</v>
      </c>
      <c r="B1229" s="1" t="s">
        <v>2549</v>
      </c>
      <c r="C1229" s="1" t="s">
        <v>54</v>
      </c>
      <c r="D1229" s="1" t="s">
        <v>4637</v>
      </c>
      <c r="E1229" s="62">
        <v>35</v>
      </c>
      <c r="F1229" s="1" t="s">
        <v>2551</v>
      </c>
      <c r="G1229" s="1" t="s">
        <v>2552</v>
      </c>
    </row>
    <row x14ac:dyDescent="0.25" r="1230" customHeight="1" ht="17.25" hidden="1">
      <c r="A1230" s="112" t="s">
        <v>4638</v>
      </c>
      <c r="B1230" s="1" t="s">
        <v>2549</v>
      </c>
      <c r="C1230" s="1" t="s">
        <v>54</v>
      </c>
      <c r="D1230" s="1" t="s">
        <v>4639</v>
      </c>
      <c r="E1230" s="62">
        <v>26</v>
      </c>
      <c r="F1230" s="1" t="s">
        <v>2551</v>
      </c>
      <c r="G1230" s="1" t="s">
        <v>2552</v>
      </c>
    </row>
    <row x14ac:dyDescent="0.25" r="1231" customHeight="1" ht="17.25" hidden="1">
      <c r="A1231" s="112" t="s">
        <v>4640</v>
      </c>
      <c r="B1231" s="1" t="s">
        <v>2549</v>
      </c>
      <c r="C1231" s="1" t="s">
        <v>54</v>
      </c>
      <c r="D1231" s="1" t="s">
        <v>4641</v>
      </c>
      <c r="E1231" s="62">
        <v>19</v>
      </c>
      <c r="F1231" s="1" t="s">
        <v>2551</v>
      </c>
      <c r="G1231" s="1" t="s">
        <v>2552</v>
      </c>
    </row>
    <row x14ac:dyDescent="0.25" r="1232" customHeight="1" ht="17.25" hidden="1">
      <c r="A1232" s="112" t="s">
        <v>4642</v>
      </c>
      <c r="B1232" s="1" t="s">
        <v>2549</v>
      </c>
      <c r="C1232" s="1" t="s">
        <v>54</v>
      </c>
      <c r="D1232" s="1" t="s">
        <v>4643</v>
      </c>
      <c r="E1232" s="54" t="s">
        <v>2571</v>
      </c>
      <c r="F1232" s="1" t="s">
        <v>2551</v>
      </c>
      <c r="G1232" s="1" t="s">
        <v>2552</v>
      </c>
    </row>
    <row x14ac:dyDescent="0.25" r="1233" customHeight="1" ht="17.25" hidden="1">
      <c r="A1233" s="112" t="s">
        <v>4644</v>
      </c>
      <c r="B1233" s="1" t="s">
        <v>2549</v>
      </c>
      <c r="C1233" s="1" t="s">
        <v>54</v>
      </c>
      <c r="D1233" s="1" t="s">
        <v>4645</v>
      </c>
      <c r="E1233" s="62">
        <v>23</v>
      </c>
      <c r="F1233" s="1" t="s">
        <v>2551</v>
      </c>
      <c r="G1233" s="1" t="s">
        <v>2555</v>
      </c>
    </row>
    <row x14ac:dyDescent="0.25" r="1234" customHeight="1" ht="17.25" hidden="1">
      <c r="A1234" s="112" t="s">
        <v>4646</v>
      </c>
      <c r="B1234" s="1" t="s">
        <v>2549</v>
      </c>
      <c r="C1234" s="1" t="s">
        <v>54</v>
      </c>
      <c r="D1234" s="1" t="s">
        <v>4647</v>
      </c>
      <c r="E1234" s="62">
        <v>40</v>
      </c>
      <c r="F1234" s="1" t="s">
        <v>2551</v>
      </c>
      <c r="G1234" s="1" t="s">
        <v>2558</v>
      </c>
    </row>
    <row x14ac:dyDescent="0.25" r="1235" customHeight="1" ht="17.25" hidden="1">
      <c r="A1235" s="112" t="s">
        <v>4648</v>
      </c>
      <c r="B1235" s="1" t="s">
        <v>2549</v>
      </c>
      <c r="C1235" s="1" t="s">
        <v>54</v>
      </c>
      <c r="D1235" s="1" t="s">
        <v>4649</v>
      </c>
      <c r="E1235" s="62">
        <v>25</v>
      </c>
      <c r="F1235" s="1" t="s">
        <v>2551</v>
      </c>
      <c r="G1235" s="1" t="s">
        <v>2555</v>
      </c>
    </row>
    <row x14ac:dyDescent="0.25" r="1236" customHeight="1" ht="17.25" hidden="1">
      <c r="A1236" s="112" t="s">
        <v>4650</v>
      </c>
      <c r="B1236" s="1" t="s">
        <v>2549</v>
      </c>
      <c r="C1236" s="1" t="s">
        <v>54</v>
      </c>
      <c r="D1236" s="1" t="s">
        <v>4651</v>
      </c>
      <c r="E1236" s="62">
        <v>45</v>
      </c>
      <c r="F1236" s="1" t="s">
        <v>2551</v>
      </c>
      <c r="G1236" s="1" t="s">
        <v>2555</v>
      </c>
    </row>
    <row x14ac:dyDescent="0.25" r="1237" customHeight="1" ht="17.25" hidden="1">
      <c r="A1237" s="112" t="s">
        <v>4652</v>
      </c>
      <c r="B1237" s="1" t="s">
        <v>2549</v>
      </c>
      <c r="C1237" s="1" t="s">
        <v>54</v>
      </c>
      <c r="D1237" s="1" t="s">
        <v>4653</v>
      </c>
      <c r="E1237" s="62">
        <v>42</v>
      </c>
      <c r="F1237" s="1" t="s">
        <v>2551</v>
      </c>
      <c r="G1237" s="1" t="s">
        <v>2571</v>
      </c>
    </row>
    <row x14ac:dyDescent="0.25" r="1238" customHeight="1" ht="17.25" hidden="1">
      <c r="A1238" s="112" t="s">
        <v>4654</v>
      </c>
      <c r="B1238" s="1" t="s">
        <v>2549</v>
      </c>
      <c r="C1238" s="1" t="s">
        <v>54</v>
      </c>
      <c r="D1238" s="1" t="s">
        <v>4655</v>
      </c>
      <c r="E1238" s="62">
        <v>31</v>
      </c>
      <c r="F1238" s="1" t="s">
        <v>2551</v>
      </c>
      <c r="G1238" s="1" t="s">
        <v>2552</v>
      </c>
    </row>
    <row x14ac:dyDescent="0.25" r="1239" customHeight="1" ht="17.25" hidden="1">
      <c r="A1239" s="112" t="s">
        <v>4656</v>
      </c>
      <c r="B1239" s="1" t="s">
        <v>2549</v>
      </c>
      <c r="C1239" s="1" t="s">
        <v>54</v>
      </c>
      <c r="D1239" s="1" t="s">
        <v>4657</v>
      </c>
      <c r="E1239" s="62">
        <v>22</v>
      </c>
      <c r="F1239" s="1" t="s">
        <v>2551</v>
      </c>
      <c r="G1239" s="1" t="s">
        <v>2552</v>
      </c>
    </row>
    <row x14ac:dyDescent="0.25" r="1240" customHeight="1" ht="17.25" hidden="1">
      <c r="A1240" s="112" t="s">
        <v>4658</v>
      </c>
      <c r="B1240" s="1" t="s">
        <v>2549</v>
      </c>
      <c r="C1240" s="1" t="s">
        <v>54</v>
      </c>
      <c r="D1240" s="1" t="s">
        <v>4659</v>
      </c>
      <c r="E1240" s="62">
        <v>26</v>
      </c>
      <c r="F1240" s="1" t="s">
        <v>2551</v>
      </c>
      <c r="G1240" s="1" t="s">
        <v>2555</v>
      </c>
    </row>
    <row x14ac:dyDescent="0.25" r="1241" customHeight="1" ht="17.25" hidden="1">
      <c r="A1241" s="112" t="s">
        <v>4658</v>
      </c>
      <c r="B1241" s="1" t="s">
        <v>2549</v>
      </c>
      <c r="C1241" s="1" t="s">
        <v>54</v>
      </c>
      <c r="D1241" s="1" t="s">
        <v>4660</v>
      </c>
      <c r="E1241" s="62">
        <v>58</v>
      </c>
      <c r="F1241" s="1" t="s">
        <v>2551</v>
      </c>
      <c r="G1241" s="1" t="s">
        <v>2552</v>
      </c>
    </row>
    <row x14ac:dyDescent="0.25" r="1242" customHeight="1" ht="17.25" hidden="1">
      <c r="A1242" s="112" t="s">
        <v>4661</v>
      </c>
      <c r="B1242" s="1" t="s">
        <v>2549</v>
      </c>
      <c r="C1242" s="1" t="s">
        <v>54</v>
      </c>
      <c r="D1242" s="1" t="s">
        <v>4662</v>
      </c>
      <c r="E1242" s="62">
        <v>22</v>
      </c>
      <c r="F1242" s="1" t="s">
        <v>2551</v>
      </c>
      <c r="G1242" s="1" t="s">
        <v>2552</v>
      </c>
    </row>
    <row x14ac:dyDescent="0.25" r="1243" customHeight="1" ht="17.25" hidden="1">
      <c r="A1243" s="112" t="s">
        <v>4663</v>
      </c>
      <c r="B1243" s="1" t="s">
        <v>2549</v>
      </c>
      <c r="C1243" s="1" t="s">
        <v>54</v>
      </c>
      <c r="D1243" s="1" t="s">
        <v>4664</v>
      </c>
      <c r="E1243" s="62">
        <v>21</v>
      </c>
      <c r="F1243" s="1" t="s">
        <v>2551</v>
      </c>
      <c r="G1243" s="1" t="s">
        <v>2555</v>
      </c>
    </row>
    <row x14ac:dyDescent="0.25" r="1244" customHeight="1" ht="17.25" hidden="1">
      <c r="A1244" s="112" t="s">
        <v>4665</v>
      </c>
      <c r="B1244" s="1" t="s">
        <v>2549</v>
      </c>
      <c r="C1244" s="1" t="s">
        <v>54</v>
      </c>
      <c r="D1244" s="1" t="s">
        <v>4666</v>
      </c>
      <c r="E1244" s="62">
        <v>20</v>
      </c>
      <c r="F1244" s="1" t="s">
        <v>2551</v>
      </c>
      <c r="G1244" s="1" t="s">
        <v>2555</v>
      </c>
    </row>
    <row x14ac:dyDescent="0.25" r="1245" customHeight="1" ht="17.25" hidden="1">
      <c r="A1245" s="112" t="s">
        <v>2088</v>
      </c>
      <c r="B1245" s="1" t="s">
        <v>2549</v>
      </c>
      <c r="C1245" s="1" t="s">
        <v>54</v>
      </c>
      <c r="D1245" s="1" t="s">
        <v>2090</v>
      </c>
      <c r="E1245" s="62">
        <v>26</v>
      </c>
      <c r="F1245" s="1" t="s">
        <v>2551</v>
      </c>
      <c r="G1245" s="1" t="s">
        <v>2558</v>
      </c>
    </row>
    <row x14ac:dyDescent="0.25" r="1246" customHeight="1" ht="17.25" hidden="1">
      <c r="A1246" s="112" t="s">
        <v>4667</v>
      </c>
      <c r="B1246" s="1" t="s">
        <v>2549</v>
      </c>
      <c r="C1246" s="1" t="s">
        <v>54</v>
      </c>
      <c r="D1246" s="1" t="s">
        <v>4668</v>
      </c>
      <c r="E1246" s="62">
        <v>29</v>
      </c>
      <c r="F1246" s="1" t="s">
        <v>2551</v>
      </c>
      <c r="G1246" s="1" t="s">
        <v>2552</v>
      </c>
    </row>
    <row x14ac:dyDescent="0.25" r="1247" customHeight="1" ht="17.25" hidden="1">
      <c r="A1247" s="112" t="s">
        <v>4667</v>
      </c>
      <c r="B1247" s="1" t="s">
        <v>2549</v>
      </c>
      <c r="C1247" s="1" t="s">
        <v>54</v>
      </c>
      <c r="D1247" s="1" t="s">
        <v>4669</v>
      </c>
      <c r="E1247" s="62">
        <v>27</v>
      </c>
      <c r="F1247" s="1" t="s">
        <v>2551</v>
      </c>
      <c r="G1247" s="1" t="s">
        <v>2552</v>
      </c>
    </row>
    <row x14ac:dyDescent="0.25" r="1248" customHeight="1" ht="17.25" hidden="1">
      <c r="A1248" s="112" t="s">
        <v>4667</v>
      </c>
      <c r="B1248" s="1" t="s">
        <v>2549</v>
      </c>
      <c r="C1248" s="1" t="s">
        <v>54</v>
      </c>
      <c r="D1248" s="1" t="s">
        <v>4670</v>
      </c>
      <c r="E1248" s="62">
        <v>19</v>
      </c>
      <c r="F1248" s="1" t="s">
        <v>2551</v>
      </c>
      <c r="G1248" s="1" t="s">
        <v>2552</v>
      </c>
    </row>
    <row x14ac:dyDescent="0.25" r="1249" customHeight="1" ht="17.25" hidden="1">
      <c r="A1249" s="112" t="s">
        <v>4667</v>
      </c>
      <c r="B1249" s="1" t="s">
        <v>2549</v>
      </c>
      <c r="C1249" s="1" t="s">
        <v>54</v>
      </c>
      <c r="D1249" s="1" t="s">
        <v>4671</v>
      </c>
      <c r="E1249" s="62">
        <v>29</v>
      </c>
      <c r="F1249" s="1" t="s">
        <v>2551</v>
      </c>
      <c r="G1249" s="1" t="s">
        <v>2552</v>
      </c>
    </row>
    <row x14ac:dyDescent="0.25" r="1250" customHeight="1" ht="17.25" hidden="1">
      <c r="A1250" s="112" t="s">
        <v>493</v>
      </c>
      <c r="B1250" s="1" t="s">
        <v>2549</v>
      </c>
      <c r="C1250" s="1" t="s">
        <v>54</v>
      </c>
      <c r="D1250" s="1" t="s">
        <v>4672</v>
      </c>
      <c r="E1250" s="62">
        <v>18</v>
      </c>
      <c r="F1250" s="1" t="s">
        <v>2551</v>
      </c>
      <c r="G1250" s="1" t="s">
        <v>2552</v>
      </c>
    </row>
    <row x14ac:dyDescent="0.25" r="1251" customHeight="1" ht="17.25" hidden="1">
      <c r="A1251" s="112" t="s">
        <v>493</v>
      </c>
      <c r="B1251" s="1" t="s">
        <v>2549</v>
      </c>
      <c r="C1251" s="1" t="s">
        <v>54</v>
      </c>
      <c r="D1251" s="1" t="s">
        <v>495</v>
      </c>
      <c r="E1251" s="62">
        <v>18</v>
      </c>
      <c r="F1251" s="1" t="s">
        <v>2551</v>
      </c>
      <c r="G1251" s="1" t="s">
        <v>2555</v>
      </c>
    </row>
    <row x14ac:dyDescent="0.25" r="1252" customHeight="1" ht="17.25" hidden="1">
      <c r="A1252" s="112" t="s">
        <v>4673</v>
      </c>
      <c r="B1252" s="1" t="s">
        <v>2549</v>
      </c>
      <c r="C1252" s="1" t="s">
        <v>54</v>
      </c>
      <c r="D1252" s="1" t="s">
        <v>4674</v>
      </c>
      <c r="E1252" s="62">
        <v>19</v>
      </c>
      <c r="F1252" s="1" t="s">
        <v>2551</v>
      </c>
      <c r="G1252" s="1" t="s">
        <v>2552</v>
      </c>
    </row>
    <row x14ac:dyDescent="0.25" r="1253" customHeight="1" ht="17.25" hidden="1">
      <c r="A1253" s="112" t="s">
        <v>4675</v>
      </c>
      <c r="B1253" s="1" t="s">
        <v>2549</v>
      </c>
      <c r="C1253" s="1" t="s">
        <v>54</v>
      </c>
      <c r="D1253" s="1" t="s">
        <v>4676</v>
      </c>
      <c r="E1253" s="62">
        <v>18</v>
      </c>
      <c r="F1253" s="1" t="s">
        <v>2551</v>
      </c>
      <c r="G1253" s="1" t="s">
        <v>2552</v>
      </c>
    </row>
    <row x14ac:dyDescent="0.25" r="1254" customHeight="1" ht="17.25" hidden="1">
      <c r="A1254" s="112" t="s">
        <v>4677</v>
      </c>
      <c r="B1254" s="1" t="s">
        <v>2549</v>
      </c>
      <c r="C1254" s="1" t="s">
        <v>54</v>
      </c>
      <c r="D1254" s="1" t="s">
        <v>4678</v>
      </c>
      <c r="E1254" s="62">
        <v>18</v>
      </c>
      <c r="F1254" s="1" t="s">
        <v>2551</v>
      </c>
      <c r="G1254" s="1" t="s">
        <v>2555</v>
      </c>
    </row>
    <row x14ac:dyDescent="0.25" r="1255" customHeight="1" ht="17.25" hidden="1">
      <c r="A1255" s="112" t="s">
        <v>4679</v>
      </c>
      <c r="B1255" s="1" t="s">
        <v>2549</v>
      </c>
      <c r="C1255" s="1" t="s">
        <v>54</v>
      </c>
      <c r="D1255" s="1" t="s">
        <v>4680</v>
      </c>
      <c r="E1255" s="62">
        <v>22</v>
      </c>
      <c r="F1255" s="1" t="s">
        <v>2551</v>
      </c>
      <c r="G1255" s="1" t="s">
        <v>2552</v>
      </c>
    </row>
    <row x14ac:dyDescent="0.25" r="1256" customHeight="1" ht="17.25" hidden="1">
      <c r="A1256" s="112" t="s">
        <v>4681</v>
      </c>
      <c r="B1256" s="1" t="s">
        <v>2549</v>
      </c>
      <c r="C1256" s="1" t="s">
        <v>54</v>
      </c>
      <c r="D1256" s="1" t="s">
        <v>4682</v>
      </c>
      <c r="E1256" s="62">
        <v>31</v>
      </c>
      <c r="F1256" s="1" t="s">
        <v>2561</v>
      </c>
      <c r="G1256" s="1" t="s">
        <v>2552</v>
      </c>
    </row>
    <row x14ac:dyDescent="0.25" r="1257" customHeight="1" ht="17.25" hidden="1">
      <c r="A1257" s="112" t="s">
        <v>4683</v>
      </c>
      <c r="B1257" s="1" t="s">
        <v>2549</v>
      </c>
      <c r="C1257" s="1" t="s">
        <v>54</v>
      </c>
      <c r="D1257" s="1" t="s">
        <v>4684</v>
      </c>
      <c r="E1257" s="62">
        <v>23</v>
      </c>
      <c r="F1257" s="1" t="s">
        <v>2551</v>
      </c>
      <c r="G1257" s="1" t="s">
        <v>2558</v>
      </c>
    </row>
    <row x14ac:dyDescent="0.25" r="1258" customHeight="1" ht="17.25" hidden="1">
      <c r="A1258" s="112" t="s">
        <v>4685</v>
      </c>
      <c r="B1258" s="1" t="s">
        <v>2549</v>
      </c>
      <c r="C1258" s="1" t="s">
        <v>54</v>
      </c>
      <c r="D1258" s="1" t="s">
        <v>4686</v>
      </c>
      <c r="E1258" s="62">
        <v>38</v>
      </c>
      <c r="F1258" s="1" t="s">
        <v>2551</v>
      </c>
      <c r="G1258" s="1" t="s">
        <v>2558</v>
      </c>
    </row>
    <row x14ac:dyDescent="0.25" r="1259" customHeight="1" ht="17.25" hidden="1">
      <c r="A1259" s="112" t="s">
        <v>4687</v>
      </c>
      <c r="B1259" s="1" t="s">
        <v>2549</v>
      </c>
      <c r="C1259" s="1" t="s">
        <v>54</v>
      </c>
      <c r="D1259" s="1" t="s">
        <v>4038</v>
      </c>
      <c r="E1259" s="62">
        <v>27</v>
      </c>
      <c r="F1259" s="1" t="s">
        <v>2551</v>
      </c>
      <c r="G1259" s="1" t="s">
        <v>2552</v>
      </c>
    </row>
    <row x14ac:dyDescent="0.25" r="1260" customHeight="1" ht="17.25" hidden="1">
      <c r="A1260" s="112" t="s">
        <v>4688</v>
      </c>
      <c r="B1260" s="1" t="s">
        <v>2549</v>
      </c>
      <c r="C1260" s="1" t="s">
        <v>54</v>
      </c>
      <c r="D1260" s="1" t="s">
        <v>4689</v>
      </c>
      <c r="E1260" s="62">
        <v>30</v>
      </c>
      <c r="F1260" s="1" t="s">
        <v>2551</v>
      </c>
      <c r="G1260" s="1" t="s">
        <v>2552</v>
      </c>
    </row>
    <row x14ac:dyDescent="0.25" r="1261" customHeight="1" ht="17.25" hidden="1">
      <c r="A1261" s="112" t="s">
        <v>4690</v>
      </c>
      <c r="B1261" s="1" t="s">
        <v>2549</v>
      </c>
      <c r="C1261" s="1" t="s">
        <v>54</v>
      </c>
      <c r="D1261" s="1" t="s">
        <v>4691</v>
      </c>
      <c r="E1261" s="62">
        <v>20</v>
      </c>
      <c r="F1261" s="1" t="s">
        <v>2551</v>
      </c>
      <c r="G1261" s="1" t="s">
        <v>2558</v>
      </c>
    </row>
    <row x14ac:dyDescent="0.25" r="1262" customHeight="1" ht="17.25" hidden="1">
      <c r="A1262" s="112" t="s">
        <v>4692</v>
      </c>
      <c r="B1262" s="1" t="s">
        <v>2549</v>
      </c>
      <c r="C1262" s="1" t="s">
        <v>54</v>
      </c>
      <c r="D1262" s="1" t="s">
        <v>4693</v>
      </c>
      <c r="E1262" s="62">
        <v>26</v>
      </c>
      <c r="F1262" s="1" t="s">
        <v>2551</v>
      </c>
      <c r="G1262" s="1" t="s">
        <v>2555</v>
      </c>
    </row>
    <row x14ac:dyDescent="0.25" r="1263" customHeight="1" ht="17.25" hidden="1">
      <c r="A1263" s="112" t="s">
        <v>4692</v>
      </c>
      <c r="B1263" s="1" t="s">
        <v>2549</v>
      </c>
      <c r="C1263" s="1" t="s">
        <v>54</v>
      </c>
      <c r="D1263" s="1" t="s">
        <v>4694</v>
      </c>
      <c r="E1263" s="62">
        <v>19</v>
      </c>
      <c r="F1263" s="1" t="s">
        <v>2551</v>
      </c>
      <c r="G1263" s="1" t="s">
        <v>2552</v>
      </c>
    </row>
    <row x14ac:dyDescent="0.25" r="1264" customHeight="1" ht="17.25" hidden="1">
      <c r="A1264" s="112" t="s">
        <v>4695</v>
      </c>
      <c r="B1264" s="1" t="s">
        <v>2549</v>
      </c>
      <c r="C1264" s="1" t="s">
        <v>54</v>
      </c>
      <c r="D1264" s="1" t="s">
        <v>4696</v>
      </c>
      <c r="E1264" s="62">
        <v>24</v>
      </c>
      <c r="F1264" s="1" t="s">
        <v>2551</v>
      </c>
      <c r="G1264" s="1" t="s">
        <v>2552</v>
      </c>
    </row>
    <row x14ac:dyDescent="0.25" r="1265" customHeight="1" ht="17.25" hidden="1">
      <c r="A1265" s="112" t="s">
        <v>1616</v>
      </c>
      <c r="B1265" s="1" t="s">
        <v>2549</v>
      </c>
      <c r="C1265" s="1" t="s">
        <v>54</v>
      </c>
      <c r="D1265" s="1" t="s">
        <v>1618</v>
      </c>
      <c r="E1265" s="62">
        <v>35</v>
      </c>
      <c r="F1265" s="1" t="s">
        <v>2561</v>
      </c>
      <c r="G1265" s="1" t="s">
        <v>2555</v>
      </c>
    </row>
    <row x14ac:dyDescent="0.25" r="1266" customHeight="1" ht="17.25" hidden="1">
      <c r="A1266" s="112" t="s">
        <v>1616</v>
      </c>
      <c r="B1266" s="1" t="s">
        <v>2549</v>
      </c>
      <c r="C1266" s="1" t="s">
        <v>54</v>
      </c>
      <c r="D1266" s="1" t="s">
        <v>4697</v>
      </c>
      <c r="E1266" s="62">
        <v>18</v>
      </c>
      <c r="F1266" s="1" t="s">
        <v>2551</v>
      </c>
      <c r="G1266" s="1" t="s">
        <v>2552</v>
      </c>
    </row>
    <row x14ac:dyDescent="0.25" r="1267" customHeight="1" ht="17.25" hidden="1">
      <c r="A1267" s="112" t="s">
        <v>4698</v>
      </c>
      <c r="B1267" s="1" t="s">
        <v>2549</v>
      </c>
      <c r="C1267" s="1" t="s">
        <v>54</v>
      </c>
      <c r="D1267" s="1" t="s">
        <v>4699</v>
      </c>
      <c r="E1267" s="62">
        <v>18</v>
      </c>
      <c r="F1267" s="1" t="s">
        <v>2551</v>
      </c>
      <c r="G1267" s="1" t="s">
        <v>2552</v>
      </c>
    </row>
    <row x14ac:dyDescent="0.25" r="1268" customHeight="1" ht="17.25" hidden="1">
      <c r="A1268" s="112" t="s">
        <v>4698</v>
      </c>
      <c r="B1268" s="1" t="s">
        <v>2549</v>
      </c>
      <c r="C1268" s="1" t="s">
        <v>54</v>
      </c>
      <c r="D1268" s="1" t="s">
        <v>4700</v>
      </c>
      <c r="E1268" s="62">
        <v>19</v>
      </c>
      <c r="F1268" s="1" t="s">
        <v>2551</v>
      </c>
      <c r="G1268" s="1" t="s">
        <v>2552</v>
      </c>
    </row>
    <row x14ac:dyDescent="0.25" r="1269" customHeight="1" ht="17.25" hidden="1">
      <c r="A1269" s="112" t="s">
        <v>4701</v>
      </c>
      <c r="B1269" s="1" t="s">
        <v>2549</v>
      </c>
      <c r="C1269" s="1" t="s">
        <v>54</v>
      </c>
      <c r="D1269" s="1" t="s">
        <v>4702</v>
      </c>
      <c r="E1269" s="62">
        <v>37</v>
      </c>
      <c r="F1269" s="1" t="s">
        <v>2551</v>
      </c>
      <c r="G1269" s="1" t="s">
        <v>2555</v>
      </c>
    </row>
    <row x14ac:dyDescent="0.25" r="1270" customHeight="1" ht="17.25" hidden="1">
      <c r="A1270" s="112" t="s">
        <v>4703</v>
      </c>
      <c r="B1270" s="1" t="s">
        <v>2549</v>
      </c>
      <c r="C1270" s="1" t="s">
        <v>54</v>
      </c>
      <c r="D1270" s="1" t="s">
        <v>4704</v>
      </c>
      <c r="E1270" s="62">
        <v>26</v>
      </c>
      <c r="F1270" s="1" t="s">
        <v>2551</v>
      </c>
      <c r="G1270" s="1" t="s">
        <v>2555</v>
      </c>
    </row>
    <row x14ac:dyDescent="0.25" r="1271" customHeight="1" ht="17.25" hidden="1">
      <c r="A1271" s="112" t="s">
        <v>4705</v>
      </c>
      <c r="B1271" s="1" t="s">
        <v>2549</v>
      </c>
      <c r="C1271" s="1" t="s">
        <v>54</v>
      </c>
      <c r="D1271" s="1" t="s">
        <v>4706</v>
      </c>
      <c r="E1271" s="62">
        <v>26</v>
      </c>
      <c r="F1271" s="1" t="s">
        <v>2551</v>
      </c>
      <c r="G1271" s="1" t="s">
        <v>2552</v>
      </c>
    </row>
    <row x14ac:dyDescent="0.25" r="1272" customHeight="1" ht="17.25" hidden="1">
      <c r="A1272" s="112" t="s">
        <v>4707</v>
      </c>
      <c r="B1272" s="1" t="s">
        <v>2549</v>
      </c>
      <c r="C1272" s="1" t="s">
        <v>54</v>
      </c>
      <c r="D1272" s="1" t="s">
        <v>4708</v>
      </c>
      <c r="E1272" s="62">
        <v>53</v>
      </c>
      <c r="F1272" s="1" t="s">
        <v>2551</v>
      </c>
      <c r="G1272" s="1" t="s">
        <v>2571</v>
      </c>
    </row>
    <row x14ac:dyDescent="0.25" r="1273" customHeight="1" ht="17.25" hidden="1">
      <c r="A1273" s="112" t="s">
        <v>4709</v>
      </c>
      <c r="B1273" s="1" t="s">
        <v>2549</v>
      </c>
      <c r="C1273" s="1" t="s">
        <v>54</v>
      </c>
      <c r="D1273" s="1" t="s">
        <v>4710</v>
      </c>
      <c r="E1273" s="62">
        <v>28</v>
      </c>
      <c r="F1273" s="1" t="s">
        <v>2551</v>
      </c>
      <c r="G1273" s="1" t="s">
        <v>2552</v>
      </c>
    </row>
    <row x14ac:dyDescent="0.25" r="1274" customHeight="1" ht="17.25" hidden="1">
      <c r="A1274" s="112" t="s">
        <v>4711</v>
      </c>
      <c r="B1274" s="1" t="s">
        <v>2549</v>
      </c>
      <c r="C1274" s="1" t="s">
        <v>54</v>
      </c>
      <c r="D1274" s="1" t="s">
        <v>4712</v>
      </c>
      <c r="E1274" s="62">
        <v>19</v>
      </c>
      <c r="F1274" s="1" t="s">
        <v>2551</v>
      </c>
      <c r="G1274" s="1" t="s">
        <v>2552</v>
      </c>
    </row>
    <row x14ac:dyDescent="0.25" r="1275" customHeight="1" ht="17.25" hidden="1">
      <c r="A1275" s="112" t="s">
        <v>4713</v>
      </c>
      <c r="B1275" s="1" t="s">
        <v>2549</v>
      </c>
      <c r="C1275" s="1" t="s">
        <v>54</v>
      </c>
      <c r="D1275" s="1" t="s">
        <v>4714</v>
      </c>
      <c r="E1275" s="62">
        <v>23</v>
      </c>
      <c r="F1275" s="1" t="s">
        <v>2551</v>
      </c>
      <c r="G1275" s="1" t="s">
        <v>2555</v>
      </c>
    </row>
    <row x14ac:dyDescent="0.25" r="1276" customHeight="1" ht="17.25" hidden="1">
      <c r="A1276" s="112" t="s">
        <v>4715</v>
      </c>
      <c r="B1276" s="1" t="s">
        <v>2549</v>
      </c>
      <c r="C1276" s="1" t="s">
        <v>54</v>
      </c>
      <c r="D1276" s="1" t="s">
        <v>4716</v>
      </c>
      <c r="E1276" s="62">
        <v>31</v>
      </c>
      <c r="F1276" s="1" t="s">
        <v>2551</v>
      </c>
      <c r="G1276" s="1" t="s">
        <v>2552</v>
      </c>
    </row>
    <row x14ac:dyDescent="0.25" r="1277" customHeight="1" ht="17.25" hidden="1">
      <c r="A1277" s="112" t="s">
        <v>4717</v>
      </c>
      <c r="B1277" s="1" t="s">
        <v>2549</v>
      </c>
      <c r="C1277" s="1" t="s">
        <v>54</v>
      </c>
      <c r="D1277" s="1" t="s">
        <v>4718</v>
      </c>
      <c r="E1277" s="62">
        <v>21</v>
      </c>
      <c r="F1277" s="1" t="s">
        <v>2551</v>
      </c>
      <c r="G1277" s="1" t="s">
        <v>2558</v>
      </c>
    </row>
    <row x14ac:dyDescent="0.25" r="1278" customHeight="1" ht="17.25" hidden="1">
      <c r="A1278" s="112" t="s">
        <v>4719</v>
      </c>
      <c r="B1278" s="1" t="s">
        <v>2549</v>
      </c>
      <c r="C1278" s="1" t="s">
        <v>54</v>
      </c>
      <c r="D1278" s="1" t="s">
        <v>4720</v>
      </c>
      <c r="E1278" s="62">
        <v>35</v>
      </c>
      <c r="F1278" s="1" t="s">
        <v>2551</v>
      </c>
      <c r="G1278" s="1" t="s">
        <v>2558</v>
      </c>
    </row>
    <row x14ac:dyDescent="0.25" r="1279" customHeight="1" ht="17.25" hidden="1">
      <c r="A1279" s="112" t="s">
        <v>4721</v>
      </c>
      <c r="B1279" s="1" t="s">
        <v>2549</v>
      </c>
      <c r="C1279" s="1" t="s">
        <v>54</v>
      </c>
      <c r="D1279" s="1" t="s">
        <v>4722</v>
      </c>
      <c r="E1279" s="62">
        <v>22</v>
      </c>
      <c r="F1279" s="1" t="s">
        <v>2551</v>
      </c>
      <c r="G1279" s="1" t="s">
        <v>2552</v>
      </c>
    </row>
    <row x14ac:dyDescent="0.25" r="1280" customHeight="1" ht="17.25" hidden="1">
      <c r="A1280" s="112" t="s">
        <v>4723</v>
      </c>
      <c r="B1280" s="1" t="s">
        <v>2549</v>
      </c>
      <c r="C1280" s="1" t="s">
        <v>54</v>
      </c>
      <c r="D1280" s="1" t="s">
        <v>4724</v>
      </c>
      <c r="E1280" s="62">
        <v>25</v>
      </c>
      <c r="F1280" s="1" t="s">
        <v>2561</v>
      </c>
      <c r="G1280" s="1" t="s">
        <v>2555</v>
      </c>
    </row>
    <row x14ac:dyDescent="0.25" r="1281" customHeight="1" ht="17.25" hidden="1">
      <c r="A1281" s="112" t="s">
        <v>4725</v>
      </c>
      <c r="B1281" s="1" t="s">
        <v>2549</v>
      </c>
      <c r="C1281" s="1" t="s">
        <v>54</v>
      </c>
      <c r="D1281" s="1" t="s">
        <v>4726</v>
      </c>
      <c r="E1281" s="62">
        <v>35</v>
      </c>
      <c r="F1281" s="1" t="s">
        <v>2551</v>
      </c>
      <c r="G1281" s="1" t="s">
        <v>2552</v>
      </c>
    </row>
    <row x14ac:dyDescent="0.25" r="1282" customHeight="1" ht="17.25" hidden="1">
      <c r="A1282" s="112" t="s">
        <v>4727</v>
      </c>
      <c r="B1282" s="1" t="s">
        <v>2549</v>
      </c>
      <c r="C1282" s="1" t="s">
        <v>54</v>
      </c>
      <c r="D1282" s="1" t="s">
        <v>4728</v>
      </c>
      <c r="E1282" s="62">
        <v>28</v>
      </c>
      <c r="F1282" s="1" t="s">
        <v>2551</v>
      </c>
      <c r="G1282" s="1" t="s">
        <v>2571</v>
      </c>
    </row>
    <row x14ac:dyDescent="0.25" r="1283" customHeight="1" ht="17.25" hidden="1">
      <c r="A1283" s="112" t="s">
        <v>4729</v>
      </c>
      <c r="B1283" s="1" t="s">
        <v>2549</v>
      </c>
      <c r="C1283" s="1" t="s">
        <v>54</v>
      </c>
      <c r="D1283" s="1" t="s">
        <v>4730</v>
      </c>
      <c r="E1283" s="62">
        <v>21</v>
      </c>
      <c r="F1283" s="1" t="s">
        <v>2551</v>
      </c>
      <c r="G1283" s="1" t="s">
        <v>2555</v>
      </c>
    </row>
    <row x14ac:dyDescent="0.25" r="1284" customHeight="1" ht="17.25" hidden="1">
      <c r="A1284" s="112" t="s">
        <v>4729</v>
      </c>
      <c r="B1284" s="1" t="s">
        <v>2549</v>
      </c>
      <c r="C1284" s="1" t="s">
        <v>54</v>
      </c>
      <c r="D1284" s="1" t="s">
        <v>4731</v>
      </c>
      <c r="E1284" s="62">
        <v>50</v>
      </c>
      <c r="F1284" s="1" t="s">
        <v>2551</v>
      </c>
      <c r="G1284" s="1" t="s">
        <v>2555</v>
      </c>
    </row>
    <row x14ac:dyDescent="0.25" r="1285" customHeight="1" ht="17.25" hidden="1">
      <c r="A1285" s="112" t="s">
        <v>4732</v>
      </c>
      <c r="B1285" s="1" t="s">
        <v>2549</v>
      </c>
      <c r="C1285" s="1" t="s">
        <v>54</v>
      </c>
      <c r="D1285" s="1" t="s">
        <v>4733</v>
      </c>
      <c r="E1285" s="62">
        <v>21</v>
      </c>
      <c r="F1285" s="1" t="s">
        <v>2551</v>
      </c>
      <c r="G1285" s="1" t="s">
        <v>2558</v>
      </c>
    </row>
    <row x14ac:dyDescent="0.25" r="1286" customHeight="1" ht="17.25" hidden="1">
      <c r="A1286" s="112" t="s">
        <v>4734</v>
      </c>
      <c r="B1286" s="1" t="s">
        <v>2549</v>
      </c>
      <c r="C1286" s="1" t="s">
        <v>54</v>
      </c>
      <c r="D1286" s="1" t="s">
        <v>4735</v>
      </c>
      <c r="E1286" s="62">
        <v>18</v>
      </c>
      <c r="F1286" s="1" t="s">
        <v>2551</v>
      </c>
      <c r="G1286" s="1" t="s">
        <v>2552</v>
      </c>
    </row>
    <row x14ac:dyDescent="0.25" r="1287" customHeight="1" ht="17.25" hidden="1">
      <c r="A1287" s="112" t="s">
        <v>4736</v>
      </c>
      <c r="B1287" s="1" t="s">
        <v>2549</v>
      </c>
      <c r="C1287" s="1" t="s">
        <v>54</v>
      </c>
      <c r="D1287" s="1" t="s">
        <v>4737</v>
      </c>
      <c r="E1287" s="62">
        <v>29</v>
      </c>
      <c r="F1287" s="1" t="s">
        <v>2551</v>
      </c>
      <c r="G1287" s="1" t="s">
        <v>2552</v>
      </c>
    </row>
    <row x14ac:dyDescent="0.25" r="1288" customHeight="1" ht="17.25" hidden="1">
      <c r="A1288" s="112" t="s">
        <v>4738</v>
      </c>
      <c r="B1288" s="1" t="s">
        <v>2549</v>
      </c>
      <c r="C1288" s="1" t="s">
        <v>54</v>
      </c>
      <c r="D1288" s="1" t="s">
        <v>4739</v>
      </c>
      <c r="E1288" s="62">
        <v>18</v>
      </c>
      <c r="F1288" s="1" t="s">
        <v>2551</v>
      </c>
      <c r="G1288" s="1" t="s">
        <v>2555</v>
      </c>
    </row>
    <row x14ac:dyDescent="0.25" r="1289" customHeight="1" ht="17.25" hidden="1">
      <c r="A1289" s="112" t="s">
        <v>4740</v>
      </c>
      <c r="B1289" s="1" t="s">
        <v>2549</v>
      </c>
      <c r="C1289" s="1" t="s">
        <v>54</v>
      </c>
      <c r="D1289" s="1" t="s">
        <v>4741</v>
      </c>
      <c r="E1289" s="62">
        <v>33</v>
      </c>
      <c r="F1289" s="1" t="s">
        <v>2551</v>
      </c>
      <c r="G1289" s="1" t="s">
        <v>2555</v>
      </c>
    </row>
    <row x14ac:dyDescent="0.25" r="1290" customHeight="1" ht="17.25" hidden="1">
      <c r="A1290" s="112" t="s">
        <v>4742</v>
      </c>
      <c r="B1290" s="1" t="s">
        <v>2549</v>
      </c>
      <c r="C1290" s="1" t="s">
        <v>54</v>
      </c>
      <c r="D1290" s="1" t="s">
        <v>4743</v>
      </c>
      <c r="E1290" s="62">
        <v>20</v>
      </c>
      <c r="F1290" s="1" t="s">
        <v>2551</v>
      </c>
      <c r="G1290" s="1" t="s">
        <v>2552</v>
      </c>
    </row>
    <row x14ac:dyDescent="0.25" r="1291" customHeight="1" ht="17.25" hidden="1">
      <c r="A1291" s="112" t="s">
        <v>4744</v>
      </c>
      <c r="B1291" s="1" t="s">
        <v>2549</v>
      </c>
      <c r="C1291" s="1" t="s">
        <v>54</v>
      </c>
      <c r="D1291" s="1" t="s">
        <v>4745</v>
      </c>
      <c r="E1291" s="62">
        <v>25</v>
      </c>
      <c r="F1291" s="1" t="s">
        <v>2551</v>
      </c>
      <c r="G1291" s="1" t="s">
        <v>2552</v>
      </c>
    </row>
    <row x14ac:dyDescent="0.25" r="1292" customHeight="1" ht="17.25" hidden="1">
      <c r="A1292" s="112" t="s">
        <v>4746</v>
      </c>
      <c r="B1292" s="1" t="s">
        <v>2549</v>
      </c>
      <c r="C1292" s="1" t="s">
        <v>54</v>
      </c>
      <c r="D1292" s="1" t="s">
        <v>2732</v>
      </c>
      <c r="E1292" s="62">
        <v>32</v>
      </c>
      <c r="F1292" s="1" t="s">
        <v>2551</v>
      </c>
      <c r="G1292" s="1" t="s">
        <v>2552</v>
      </c>
    </row>
    <row x14ac:dyDescent="0.25" r="1293" customHeight="1" ht="17.25" hidden="1">
      <c r="A1293" s="112" t="s">
        <v>4747</v>
      </c>
      <c r="B1293" s="1" t="s">
        <v>2549</v>
      </c>
      <c r="C1293" s="1" t="s">
        <v>54</v>
      </c>
      <c r="D1293" s="1" t="s">
        <v>4748</v>
      </c>
      <c r="E1293" s="62">
        <v>21</v>
      </c>
      <c r="F1293" s="1" t="s">
        <v>2551</v>
      </c>
      <c r="G1293" s="1" t="s">
        <v>2555</v>
      </c>
    </row>
    <row x14ac:dyDescent="0.25" r="1294" customHeight="1" ht="17.25" hidden="1">
      <c r="A1294" s="112" t="s">
        <v>1070</v>
      </c>
      <c r="B1294" s="1" t="s">
        <v>2549</v>
      </c>
      <c r="C1294" s="1" t="s">
        <v>54</v>
      </c>
      <c r="D1294" s="1" t="s">
        <v>1071</v>
      </c>
      <c r="E1294" s="62">
        <v>18</v>
      </c>
      <c r="F1294" s="1" t="s">
        <v>2551</v>
      </c>
      <c r="G1294" s="1" t="s">
        <v>2552</v>
      </c>
    </row>
    <row x14ac:dyDescent="0.25" r="1295" customHeight="1" ht="17.25" hidden="1">
      <c r="A1295" s="112" t="s">
        <v>4749</v>
      </c>
      <c r="B1295" s="1" t="s">
        <v>2549</v>
      </c>
      <c r="C1295" s="1" t="s">
        <v>54</v>
      </c>
      <c r="D1295" s="1" t="s">
        <v>4750</v>
      </c>
      <c r="E1295" s="62">
        <v>21</v>
      </c>
      <c r="F1295" s="1" t="s">
        <v>2551</v>
      </c>
      <c r="G1295" s="1" t="s">
        <v>2558</v>
      </c>
    </row>
    <row x14ac:dyDescent="0.25" r="1296" customHeight="1" ht="17.25" hidden="1">
      <c r="A1296" s="112" t="s">
        <v>4751</v>
      </c>
      <c r="B1296" s="1" t="s">
        <v>2549</v>
      </c>
      <c r="C1296" s="1" t="s">
        <v>54</v>
      </c>
      <c r="D1296" s="1" t="s">
        <v>4752</v>
      </c>
      <c r="E1296" s="62">
        <v>22</v>
      </c>
      <c r="F1296" s="1" t="s">
        <v>2551</v>
      </c>
      <c r="G1296" s="1" t="s">
        <v>2555</v>
      </c>
    </row>
    <row x14ac:dyDescent="0.25" r="1297" customHeight="1" ht="17.25" hidden="1">
      <c r="A1297" s="112" t="s">
        <v>4753</v>
      </c>
      <c r="B1297" s="1" t="s">
        <v>2549</v>
      </c>
      <c r="C1297" s="1" t="s">
        <v>54</v>
      </c>
      <c r="D1297" s="1" t="s">
        <v>4754</v>
      </c>
      <c r="E1297" s="62">
        <v>32</v>
      </c>
      <c r="F1297" s="1" t="s">
        <v>2551</v>
      </c>
      <c r="G1297" s="1" t="s">
        <v>2552</v>
      </c>
    </row>
    <row x14ac:dyDescent="0.25" r="1298" customHeight="1" ht="17.25" hidden="1">
      <c r="A1298" s="112" t="s">
        <v>4755</v>
      </c>
      <c r="B1298" s="1" t="s">
        <v>2549</v>
      </c>
      <c r="C1298" s="1" t="s">
        <v>55</v>
      </c>
      <c r="D1298" s="1" t="s">
        <v>4756</v>
      </c>
      <c r="E1298" s="62">
        <v>21</v>
      </c>
      <c r="F1298" s="1" t="s">
        <v>2551</v>
      </c>
      <c r="G1298" s="1" t="s">
        <v>2558</v>
      </c>
    </row>
    <row x14ac:dyDescent="0.25" r="1299" customHeight="1" ht="17.25" hidden="1">
      <c r="A1299" s="112" t="s">
        <v>4757</v>
      </c>
      <c r="B1299" s="1" t="s">
        <v>2549</v>
      </c>
      <c r="C1299" s="1" t="s">
        <v>55</v>
      </c>
      <c r="D1299" s="1" t="s">
        <v>4758</v>
      </c>
      <c r="E1299" s="62">
        <v>23</v>
      </c>
      <c r="F1299" s="1" t="s">
        <v>2551</v>
      </c>
      <c r="G1299" s="1" t="s">
        <v>2552</v>
      </c>
    </row>
    <row x14ac:dyDescent="0.25" r="1300" customHeight="1" ht="17.25" hidden="1">
      <c r="A1300" s="112" t="s">
        <v>4759</v>
      </c>
      <c r="B1300" s="1" t="s">
        <v>2549</v>
      </c>
      <c r="C1300" s="1" t="s">
        <v>55</v>
      </c>
      <c r="D1300" s="1" t="s">
        <v>4760</v>
      </c>
      <c r="E1300" s="62">
        <v>18</v>
      </c>
      <c r="F1300" s="1" t="s">
        <v>2551</v>
      </c>
      <c r="G1300" s="1" t="s">
        <v>2552</v>
      </c>
    </row>
    <row x14ac:dyDescent="0.25" r="1301" customHeight="1" ht="17.25" hidden="1">
      <c r="A1301" s="112" t="s">
        <v>4761</v>
      </c>
      <c r="B1301" s="1" t="s">
        <v>2549</v>
      </c>
      <c r="C1301" s="1" t="s">
        <v>55</v>
      </c>
      <c r="D1301" s="1" t="s">
        <v>4762</v>
      </c>
      <c r="E1301" s="62">
        <v>18</v>
      </c>
      <c r="F1301" s="1" t="s">
        <v>2551</v>
      </c>
      <c r="G1301" s="1" t="s">
        <v>2552</v>
      </c>
    </row>
    <row x14ac:dyDescent="0.25" r="1302" customHeight="1" ht="17.25" hidden="1">
      <c r="A1302" s="112" t="s">
        <v>4763</v>
      </c>
      <c r="B1302" s="1" t="s">
        <v>2549</v>
      </c>
      <c r="C1302" s="1" t="s">
        <v>55</v>
      </c>
      <c r="D1302" s="1" t="s">
        <v>4764</v>
      </c>
      <c r="E1302" s="62">
        <v>21</v>
      </c>
      <c r="F1302" s="1" t="s">
        <v>2551</v>
      </c>
      <c r="G1302" s="1" t="s">
        <v>2555</v>
      </c>
    </row>
    <row x14ac:dyDescent="0.25" r="1303" customHeight="1" ht="17.25" hidden="1">
      <c r="A1303" s="112" t="s">
        <v>4765</v>
      </c>
      <c r="B1303" s="1" t="s">
        <v>2549</v>
      </c>
      <c r="C1303" s="1" t="s">
        <v>55</v>
      </c>
      <c r="D1303" s="1" t="s">
        <v>4766</v>
      </c>
      <c r="E1303" s="62">
        <v>35</v>
      </c>
      <c r="F1303" s="1" t="s">
        <v>2551</v>
      </c>
      <c r="G1303" s="1" t="s">
        <v>2558</v>
      </c>
    </row>
    <row x14ac:dyDescent="0.25" r="1304" customHeight="1" ht="17.25" hidden="1">
      <c r="A1304" s="112" t="s">
        <v>4767</v>
      </c>
      <c r="B1304" s="1" t="s">
        <v>2549</v>
      </c>
      <c r="C1304" s="1" t="s">
        <v>55</v>
      </c>
      <c r="D1304" s="1" t="s">
        <v>4768</v>
      </c>
      <c r="E1304" s="62">
        <v>18</v>
      </c>
      <c r="F1304" s="1" t="s">
        <v>2551</v>
      </c>
      <c r="G1304" s="1" t="s">
        <v>2552</v>
      </c>
    </row>
    <row x14ac:dyDescent="0.25" r="1305" customHeight="1" ht="17.25" hidden="1">
      <c r="A1305" s="112" t="s">
        <v>4769</v>
      </c>
      <c r="B1305" s="1" t="s">
        <v>2549</v>
      </c>
      <c r="C1305" s="1" t="s">
        <v>55</v>
      </c>
      <c r="D1305" s="1" t="s">
        <v>4770</v>
      </c>
      <c r="E1305" s="62">
        <v>23</v>
      </c>
      <c r="F1305" s="1" t="s">
        <v>2551</v>
      </c>
      <c r="G1305" s="1" t="s">
        <v>2552</v>
      </c>
    </row>
    <row x14ac:dyDescent="0.25" r="1306" customHeight="1" ht="17.25" hidden="1">
      <c r="A1306" s="112" t="s">
        <v>4771</v>
      </c>
      <c r="B1306" s="1" t="s">
        <v>2549</v>
      </c>
      <c r="C1306" s="1" t="s">
        <v>55</v>
      </c>
      <c r="D1306" s="1" t="s">
        <v>4772</v>
      </c>
      <c r="E1306" s="62">
        <v>19</v>
      </c>
      <c r="F1306" s="1" t="s">
        <v>2551</v>
      </c>
      <c r="G1306" s="1" t="s">
        <v>2558</v>
      </c>
    </row>
    <row x14ac:dyDescent="0.25" r="1307" customHeight="1" ht="17.25" hidden="1">
      <c r="A1307" s="112" t="s">
        <v>4773</v>
      </c>
      <c r="B1307" s="1" t="s">
        <v>2549</v>
      </c>
      <c r="C1307" s="1" t="s">
        <v>55</v>
      </c>
      <c r="D1307" s="1" t="s">
        <v>4774</v>
      </c>
      <c r="E1307" s="62">
        <v>21</v>
      </c>
      <c r="F1307" s="1" t="s">
        <v>2551</v>
      </c>
      <c r="G1307" s="1" t="s">
        <v>2552</v>
      </c>
    </row>
    <row x14ac:dyDescent="0.25" r="1308" customHeight="1" ht="17.25" hidden="1">
      <c r="A1308" s="112" t="s">
        <v>4775</v>
      </c>
      <c r="B1308" s="1" t="s">
        <v>2549</v>
      </c>
      <c r="C1308" s="1" t="s">
        <v>55</v>
      </c>
      <c r="D1308" s="1" t="s">
        <v>4776</v>
      </c>
      <c r="E1308" s="62">
        <v>22</v>
      </c>
      <c r="F1308" s="1" t="s">
        <v>2551</v>
      </c>
      <c r="G1308" s="1" t="s">
        <v>2552</v>
      </c>
    </row>
    <row x14ac:dyDescent="0.25" r="1309" customHeight="1" ht="17.25" hidden="1">
      <c r="A1309" s="112" t="s">
        <v>4777</v>
      </c>
      <c r="B1309" s="1" t="s">
        <v>2549</v>
      </c>
      <c r="C1309" s="1" t="s">
        <v>55</v>
      </c>
      <c r="D1309" s="1" t="s">
        <v>4778</v>
      </c>
      <c r="E1309" s="62">
        <v>30</v>
      </c>
      <c r="F1309" s="1" t="s">
        <v>2551</v>
      </c>
      <c r="G1309" s="1" t="s">
        <v>2552</v>
      </c>
    </row>
    <row x14ac:dyDescent="0.25" r="1310" customHeight="1" ht="17.25" hidden="1">
      <c r="A1310" s="112" t="s">
        <v>4777</v>
      </c>
      <c r="B1310" s="1" t="s">
        <v>2549</v>
      </c>
      <c r="C1310" s="1" t="s">
        <v>55</v>
      </c>
      <c r="D1310" s="1" t="s">
        <v>4779</v>
      </c>
      <c r="E1310" s="62">
        <v>28</v>
      </c>
      <c r="F1310" s="1" t="s">
        <v>2551</v>
      </c>
      <c r="G1310" s="1" t="s">
        <v>2552</v>
      </c>
    </row>
    <row x14ac:dyDescent="0.25" r="1311" customHeight="1" ht="17.25" hidden="1">
      <c r="A1311" s="112" t="s">
        <v>4777</v>
      </c>
      <c r="B1311" s="1" t="s">
        <v>2549</v>
      </c>
      <c r="C1311" s="1" t="s">
        <v>55</v>
      </c>
      <c r="D1311" s="1" t="s">
        <v>4780</v>
      </c>
      <c r="E1311" s="62">
        <v>18</v>
      </c>
      <c r="F1311" s="1" t="s">
        <v>2551</v>
      </c>
      <c r="G1311" s="1" t="s">
        <v>2552</v>
      </c>
    </row>
    <row x14ac:dyDescent="0.25" r="1312" customHeight="1" ht="17.25" hidden="1">
      <c r="A1312" s="112" t="s">
        <v>4781</v>
      </c>
      <c r="B1312" s="1" t="s">
        <v>2549</v>
      </c>
      <c r="C1312" s="1" t="s">
        <v>55</v>
      </c>
      <c r="D1312" s="1" t="s">
        <v>4782</v>
      </c>
      <c r="E1312" s="62">
        <v>40</v>
      </c>
      <c r="F1312" s="1" t="s">
        <v>2561</v>
      </c>
      <c r="G1312" s="1" t="s">
        <v>2571</v>
      </c>
    </row>
    <row x14ac:dyDescent="0.25" r="1313" customHeight="1" ht="17.25" hidden="1">
      <c r="A1313" s="112" t="s">
        <v>4783</v>
      </c>
      <c r="B1313" s="1" t="s">
        <v>2549</v>
      </c>
      <c r="C1313" s="1" t="s">
        <v>55</v>
      </c>
      <c r="D1313" s="1" t="s">
        <v>4784</v>
      </c>
      <c r="E1313" s="62">
        <v>26</v>
      </c>
      <c r="F1313" s="1" t="s">
        <v>2551</v>
      </c>
      <c r="G1313" s="1" t="s">
        <v>2552</v>
      </c>
    </row>
    <row x14ac:dyDescent="0.25" r="1314" customHeight="1" ht="17.25" hidden="1">
      <c r="A1314" s="112" t="s">
        <v>4783</v>
      </c>
      <c r="B1314" s="1" t="s">
        <v>2549</v>
      </c>
      <c r="C1314" s="1" t="s">
        <v>55</v>
      </c>
      <c r="D1314" s="1" t="s">
        <v>4785</v>
      </c>
      <c r="E1314" s="62">
        <v>23</v>
      </c>
      <c r="F1314" s="1" t="s">
        <v>2561</v>
      </c>
      <c r="G1314" s="1" t="s">
        <v>2555</v>
      </c>
    </row>
    <row x14ac:dyDescent="0.25" r="1315" customHeight="1" ht="17.25" hidden="1">
      <c r="A1315" s="112" t="s">
        <v>4786</v>
      </c>
      <c r="B1315" s="1" t="s">
        <v>2549</v>
      </c>
      <c r="C1315" s="1" t="s">
        <v>55</v>
      </c>
      <c r="D1315" s="1" t="s">
        <v>4787</v>
      </c>
      <c r="E1315" s="62">
        <v>26</v>
      </c>
      <c r="F1315" s="1" t="s">
        <v>2551</v>
      </c>
      <c r="G1315" s="1" t="s">
        <v>2552</v>
      </c>
    </row>
    <row x14ac:dyDescent="0.25" r="1316" customHeight="1" ht="17.25" hidden="1">
      <c r="A1316" s="112" t="s">
        <v>4788</v>
      </c>
      <c r="B1316" s="1" t="s">
        <v>2549</v>
      </c>
      <c r="C1316" s="1" t="s">
        <v>55</v>
      </c>
      <c r="D1316" s="1" t="s">
        <v>4789</v>
      </c>
      <c r="E1316" s="62">
        <v>18</v>
      </c>
      <c r="F1316" s="1" t="s">
        <v>2551</v>
      </c>
      <c r="G1316" s="1" t="s">
        <v>2558</v>
      </c>
    </row>
    <row x14ac:dyDescent="0.25" r="1317" customHeight="1" ht="17.25" hidden="1">
      <c r="A1317" s="112" t="s">
        <v>1346</v>
      </c>
      <c r="B1317" s="1" t="s">
        <v>2549</v>
      </c>
      <c r="C1317" s="1" t="s">
        <v>55</v>
      </c>
      <c r="D1317" s="1" t="s">
        <v>4790</v>
      </c>
      <c r="E1317" s="62">
        <v>20</v>
      </c>
      <c r="F1317" s="1" t="s">
        <v>2551</v>
      </c>
      <c r="G1317" s="1" t="s">
        <v>2552</v>
      </c>
    </row>
    <row x14ac:dyDescent="0.25" r="1318" customHeight="1" ht="17.25" hidden="1">
      <c r="A1318" s="112" t="s">
        <v>4791</v>
      </c>
      <c r="B1318" s="1" t="s">
        <v>2549</v>
      </c>
      <c r="C1318" s="1" t="s">
        <v>55</v>
      </c>
      <c r="D1318" s="1" t="s">
        <v>4792</v>
      </c>
      <c r="E1318" s="62">
        <v>21</v>
      </c>
      <c r="F1318" s="1" t="s">
        <v>2551</v>
      </c>
      <c r="G1318" s="1" t="s">
        <v>2552</v>
      </c>
    </row>
    <row x14ac:dyDescent="0.25" r="1319" customHeight="1" ht="17.25" hidden="1">
      <c r="A1319" s="112" t="s">
        <v>4793</v>
      </c>
      <c r="B1319" s="1" t="s">
        <v>2549</v>
      </c>
      <c r="C1319" s="1" t="s">
        <v>55</v>
      </c>
      <c r="D1319" s="1" t="s">
        <v>4794</v>
      </c>
      <c r="E1319" s="62">
        <v>18</v>
      </c>
      <c r="F1319" s="1" t="s">
        <v>2551</v>
      </c>
      <c r="G1319" s="1" t="s">
        <v>2552</v>
      </c>
    </row>
    <row x14ac:dyDescent="0.25" r="1320" customHeight="1" ht="17.25" hidden="1">
      <c r="A1320" s="112" t="s">
        <v>4795</v>
      </c>
      <c r="B1320" s="1" t="s">
        <v>2549</v>
      </c>
      <c r="C1320" s="1" t="s">
        <v>55</v>
      </c>
      <c r="D1320" s="1" t="s">
        <v>4796</v>
      </c>
      <c r="E1320" s="62">
        <v>34</v>
      </c>
      <c r="F1320" s="1" t="s">
        <v>2561</v>
      </c>
      <c r="G1320" s="1" t="s">
        <v>2571</v>
      </c>
    </row>
    <row x14ac:dyDescent="0.25" r="1321" customHeight="1" ht="17.25" hidden="1">
      <c r="A1321" s="112" t="s">
        <v>4797</v>
      </c>
      <c r="B1321" s="1" t="s">
        <v>2549</v>
      </c>
      <c r="C1321" s="1" t="s">
        <v>55</v>
      </c>
      <c r="D1321" s="1" t="s">
        <v>4798</v>
      </c>
      <c r="E1321" s="62">
        <v>25</v>
      </c>
      <c r="F1321" s="1" t="s">
        <v>2551</v>
      </c>
      <c r="G1321" s="1" t="s">
        <v>2558</v>
      </c>
    </row>
    <row x14ac:dyDescent="0.25" r="1322" customHeight="1" ht="17.25" hidden="1">
      <c r="A1322" s="112" t="s">
        <v>4799</v>
      </c>
      <c r="B1322" s="1" t="s">
        <v>2549</v>
      </c>
      <c r="C1322" s="1" t="s">
        <v>55</v>
      </c>
      <c r="D1322" s="1" t="s">
        <v>4800</v>
      </c>
      <c r="E1322" s="62">
        <v>22</v>
      </c>
      <c r="F1322" s="1" t="s">
        <v>2551</v>
      </c>
      <c r="G1322" s="1" t="s">
        <v>2558</v>
      </c>
    </row>
    <row x14ac:dyDescent="0.25" r="1323" customHeight="1" ht="17.25" hidden="1">
      <c r="A1323" s="112" t="s">
        <v>4801</v>
      </c>
      <c r="B1323" s="1" t="s">
        <v>2549</v>
      </c>
      <c r="C1323" s="1" t="s">
        <v>55</v>
      </c>
      <c r="D1323" s="1" t="s">
        <v>4802</v>
      </c>
      <c r="E1323" s="62">
        <v>31</v>
      </c>
      <c r="F1323" s="1" t="s">
        <v>2551</v>
      </c>
      <c r="G1323" s="1" t="s">
        <v>2552</v>
      </c>
    </row>
    <row x14ac:dyDescent="0.25" r="1324" customHeight="1" ht="17.25" hidden="1">
      <c r="A1324" s="112" t="s">
        <v>4801</v>
      </c>
      <c r="B1324" s="1" t="s">
        <v>2549</v>
      </c>
      <c r="C1324" s="1" t="s">
        <v>55</v>
      </c>
      <c r="D1324" s="1" t="s">
        <v>4803</v>
      </c>
      <c r="E1324" s="62">
        <v>22</v>
      </c>
      <c r="F1324" s="1" t="s">
        <v>2561</v>
      </c>
      <c r="G1324" s="1" t="s">
        <v>2552</v>
      </c>
    </row>
    <row x14ac:dyDescent="0.25" r="1325" customHeight="1" ht="17.25" hidden="1">
      <c r="A1325" s="112" t="s">
        <v>4804</v>
      </c>
      <c r="B1325" s="1" t="s">
        <v>2549</v>
      </c>
      <c r="C1325" s="1" t="s">
        <v>55</v>
      </c>
      <c r="D1325" s="1" t="s">
        <v>4805</v>
      </c>
      <c r="E1325" s="62">
        <v>24</v>
      </c>
      <c r="F1325" s="1" t="s">
        <v>2551</v>
      </c>
      <c r="G1325" s="1" t="s">
        <v>2571</v>
      </c>
    </row>
    <row x14ac:dyDescent="0.25" r="1326" customHeight="1" ht="17.25" hidden="1">
      <c r="A1326" s="112" t="s">
        <v>4806</v>
      </c>
      <c r="B1326" s="1" t="s">
        <v>2549</v>
      </c>
      <c r="C1326" s="1" t="s">
        <v>55</v>
      </c>
      <c r="D1326" s="1" t="s">
        <v>4807</v>
      </c>
      <c r="E1326" s="62">
        <v>27</v>
      </c>
      <c r="F1326" s="1" t="s">
        <v>2551</v>
      </c>
      <c r="G1326" s="1" t="s">
        <v>2555</v>
      </c>
    </row>
    <row x14ac:dyDescent="0.25" r="1327" customHeight="1" ht="17.25" hidden="1">
      <c r="A1327" s="112" t="s">
        <v>4808</v>
      </c>
      <c r="B1327" s="1" t="s">
        <v>2549</v>
      </c>
      <c r="C1327" s="1" t="s">
        <v>55</v>
      </c>
      <c r="D1327" s="1" t="s">
        <v>4809</v>
      </c>
      <c r="E1327" s="62">
        <v>25</v>
      </c>
      <c r="F1327" s="1" t="s">
        <v>2551</v>
      </c>
      <c r="G1327" s="1" t="s">
        <v>2552</v>
      </c>
    </row>
    <row x14ac:dyDescent="0.25" r="1328" customHeight="1" ht="17.25" hidden="1">
      <c r="A1328" s="112" t="s">
        <v>4810</v>
      </c>
      <c r="B1328" s="1" t="s">
        <v>2549</v>
      </c>
      <c r="C1328" s="1" t="s">
        <v>55</v>
      </c>
      <c r="D1328" s="1" t="s">
        <v>4811</v>
      </c>
      <c r="E1328" s="62">
        <v>53</v>
      </c>
      <c r="F1328" s="1" t="s">
        <v>2551</v>
      </c>
      <c r="G1328" s="1" t="s">
        <v>2552</v>
      </c>
    </row>
    <row x14ac:dyDescent="0.25" r="1329" customHeight="1" ht="17.25" hidden="1">
      <c r="A1329" s="112" t="s">
        <v>4810</v>
      </c>
      <c r="B1329" s="1" t="s">
        <v>2549</v>
      </c>
      <c r="C1329" s="1" t="s">
        <v>55</v>
      </c>
      <c r="D1329" s="1" t="s">
        <v>4812</v>
      </c>
      <c r="E1329" s="62">
        <v>24</v>
      </c>
      <c r="F1329" s="1" t="s">
        <v>2551</v>
      </c>
      <c r="G1329" s="1" t="s">
        <v>2552</v>
      </c>
    </row>
    <row x14ac:dyDescent="0.25" r="1330" customHeight="1" ht="17.25" hidden="1">
      <c r="A1330" s="112" t="s">
        <v>4813</v>
      </c>
      <c r="B1330" s="1" t="s">
        <v>2549</v>
      </c>
      <c r="C1330" s="1" t="s">
        <v>55</v>
      </c>
      <c r="D1330" s="1" t="s">
        <v>4814</v>
      </c>
      <c r="E1330" s="62">
        <v>25</v>
      </c>
      <c r="F1330" s="1" t="s">
        <v>2551</v>
      </c>
      <c r="G1330" s="1" t="s">
        <v>2555</v>
      </c>
    </row>
    <row x14ac:dyDescent="0.25" r="1331" customHeight="1" ht="17.25" hidden="1">
      <c r="A1331" s="112" t="s">
        <v>1628</v>
      </c>
      <c r="B1331" s="1" t="s">
        <v>2549</v>
      </c>
      <c r="C1331" s="1" t="s">
        <v>55</v>
      </c>
      <c r="D1331" s="1" t="s">
        <v>1629</v>
      </c>
      <c r="E1331" s="62">
        <v>25</v>
      </c>
      <c r="F1331" s="1" t="s">
        <v>2551</v>
      </c>
      <c r="G1331" s="1" t="s">
        <v>2558</v>
      </c>
    </row>
    <row x14ac:dyDescent="0.25" r="1332" customHeight="1" ht="17.25" hidden="1">
      <c r="A1332" s="112" t="s">
        <v>4815</v>
      </c>
      <c r="B1332" s="1" t="s">
        <v>2549</v>
      </c>
      <c r="C1332" s="1" t="s">
        <v>55</v>
      </c>
      <c r="D1332" s="1" t="s">
        <v>4816</v>
      </c>
      <c r="E1332" s="62">
        <v>24</v>
      </c>
      <c r="F1332" s="1" t="s">
        <v>2551</v>
      </c>
      <c r="G1332" s="1" t="s">
        <v>2552</v>
      </c>
    </row>
    <row x14ac:dyDescent="0.25" r="1333" customHeight="1" ht="17.25" hidden="1">
      <c r="A1333" s="112" t="s">
        <v>4817</v>
      </c>
      <c r="B1333" s="1" t="s">
        <v>2549</v>
      </c>
      <c r="C1333" s="1" t="s">
        <v>55</v>
      </c>
      <c r="D1333" s="1" t="s">
        <v>4818</v>
      </c>
      <c r="E1333" s="62">
        <v>18</v>
      </c>
      <c r="F1333" s="1" t="s">
        <v>2551</v>
      </c>
      <c r="G1333" s="1" t="s">
        <v>2555</v>
      </c>
    </row>
    <row x14ac:dyDescent="0.25" r="1334" customHeight="1" ht="17.25" hidden="1">
      <c r="A1334" s="112" t="s">
        <v>4819</v>
      </c>
      <c r="B1334" s="1" t="s">
        <v>2549</v>
      </c>
      <c r="C1334" s="1" t="s">
        <v>55</v>
      </c>
      <c r="D1334" s="1" t="s">
        <v>4820</v>
      </c>
      <c r="E1334" s="62">
        <v>23</v>
      </c>
      <c r="F1334" s="1" t="s">
        <v>2551</v>
      </c>
      <c r="G1334" s="1" t="s">
        <v>2552</v>
      </c>
    </row>
    <row x14ac:dyDescent="0.25" r="1335" customHeight="1" ht="17.25" hidden="1">
      <c r="A1335" s="112" t="s">
        <v>4821</v>
      </c>
      <c r="B1335" s="1" t="s">
        <v>2549</v>
      </c>
      <c r="C1335" s="1" t="s">
        <v>55</v>
      </c>
      <c r="D1335" s="1" t="s">
        <v>4822</v>
      </c>
      <c r="E1335" s="62">
        <v>29</v>
      </c>
      <c r="F1335" s="1" t="s">
        <v>2551</v>
      </c>
      <c r="G1335" s="1" t="s">
        <v>2555</v>
      </c>
    </row>
    <row x14ac:dyDescent="0.25" r="1336" customHeight="1" ht="17.25" hidden="1">
      <c r="A1336" s="112" t="s">
        <v>1924</v>
      </c>
      <c r="B1336" s="1" t="s">
        <v>2549</v>
      </c>
      <c r="C1336" s="1" t="s">
        <v>55</v>
      </c>
      <c r="D1336" s="1" t="s">
        <v>1926</v>
      </c>
      <c r="E1336" s="62">
        <v>24</v>
      </c>
      <c r="F1336" s="1" t="s">
        <v>2551</v>
      </c>
      <c r="G1336" s="1" t="s">
        <v>2552</v>
      </c>
    </row>
    <row x14ac:dyDescent="0.25" r="1337" customHeight="1" ht="17.25" hidden="1">
      <c r="A1337" s="112" t="s">
        <v>4823</v>
      </c>
      <c r="B1337" s="1" t="s">
        <v>2549</v>
      </c>
      <c r="C1337" s="1" t="s">
        <v>55</v>
      </c>
      <c r="D1337" s="1" t="s">
        <v>4824</v>
      </c>
      <c r="E1337" s="62">
        <v>23</v>
      </c>
      <c r="F1337" s="1" t="s">
        <v>2551</v>
      </c>
      <c r="G1337" s="1" t="s">
        <v>2571</v>
      </c>
    </row>
    <row x14ac:dyDescent="0.25" r="1338" customHeight="1" ht="17.25" hidden="1">
      <c r="A1338" s="112" t="s">
        <v>4823</v>
      </c>
      <c r="B1338" s="1" t="s">
        <v>2549</v>
      </c>
      <c r="C1338" s="1" t="s">
        <v>55</v>
      </c>
      <c r="D1338" s="1" t="s">
        <v>4825</v>
      </c>
      <c r="E1338" s="62">
        <v>26</v>
      </c>
      <c r="F1338" s="1" t="s">
        <v>2551</v>
      </c>
      <c r="G1338" s="1" t="s">
        <v>2555</v>
      </c>
    </row>
    <row x14ac:dyDescent="0.25" r="1339" customHeight="1" ht="17.25" hidden="1">
      <c r="A1339" s="112" t="s">
        <v>4823</v>
      </c>
      <c r="B1339" s="1" t="s">
        <v>2549</v>
      </c>
      <c r="C1339" s="1" t="s">
        <v>55</v>
      </c>
      <c r="D1339" s="1" t="s">
        <v>4826</v>
      </c>
      <c r="E1339" s="62">
        <v>19</v>
      </c>
      <c r="F1339" s="1" t="s">
        <v>2551</v>
      </c>
      <c r="G1339" s="1" t="s">
        <v>2571</v>
      </c>
    </row>
    <row x14ac:dyDescent="0.25" r="1340" customHeight="1" ht="17.25" hidden="1">
      <c r="A1340" s="112" t="s">
        <v>4827</v>
      </c>
      <c r="B1340" s="1" t="s">
        <v>2549</v>
      </c>
      <c r="C1340" s="1" t="s">
        <v>55</v>
      </c>
      <c r="D1340" s="1" t="s">
        <v>4828</v>
      </c>
      <c r="E1340" s="62">
        <v>17</v>
      </c>
      <c r="F1340" s="1" t="s">
        <v>2551</v>
      </c>
      <c r="G1340" s="1" t="s">
        <v>2555</v>
      </c>
    </row>
    <row x14ac:dyDescent="0.25" r="1341" customHeight="1" ht="17.25" hidden="1">
      <c r="A1341" s="112" t="s">
        <v>4829</v>
      </c>
      <c r="B1341" s="1" t="s">
        <v>2549</v>
      </c>
      <c r="C1341" s="1" t="s">
        <v>55</v>
      </c>
      <c r="D1341" s="1" t="s">
        <v>4830</v>
      </c>
      <c r="E1341" s="62">
        <v>21</v>
      </c>
      <c r="F1341" s="1" t="s">
        <v>2551</v>
      </c>
      <c r="G1341" s="1" t="s">
        <v>2555</v>
      </c>
    </row>
    <row x14ac:dyDescent="0.25" r="1342" customHeight="1" ht="17.25" hidden="1">
      <c r="A1342" s="112" t="s">
        <v>4831</v>
      </c>
      <c r="B1342" s="1" t="s">
        <v>2549</v>
      </c>
      <c r="C1342" s="1" t="s">
        <v>55</v>
      </c>
      <c r="D1342" s="1" t="s">
        <v>4832</v>
      </c>
      <c r="E1342" s="62">
        <v>23</v>
      </c>
      <c r="F1342" s="1" t="s">
        <v>2551</v>
      </c>
      <c r="G1342" s="1" t="s">
        <v>2558</v>
      </c>
    </row>
    <row x14ac:dyDescent="0.25" r="1343" customHeight="1" ht="17.25" hidden="1">
      <c r="A1343" s="112" t="s">
        <v>4833</v>
      </c>
      <c r="B1343" s="1" t="s">
        <v>2549</v>
      </c>
      <c r="C1343" s="1" t="s">
        <v>55</v>
      </c>
      <c r="D1343" s="1" t="s">
        <v>4834</v>
      </c>
      <c r="E1343" s="62">
        <v>19</v>
      </c>
      <c r="F1343" s="1" t="s">
        <v>2561</v>
      </c>
      <c r="G1343" s="1" t="s">
        <v>2552</v>
      </c>
    </row>
    <row x14ac:dyDescent="0.25" r="1344" customHeight="1" ht="17.25" hidden="1">
      <c r="A1344" s="112" t="s">
        <v>4835</v>
      </c>
      <c r="B1344" s="1" t="s">
        <v>2549</v>
      </c>
      <c r="C1344" s="1" t="s">
        <v>55</v>
      </c>
      <c r="D1344" s="1" t="s">
        <v>4836</v>
      </c>
      <c r="E1344" s="62">
        <v>45</v>
      </c>
      <c r="F1344" s="1" t="s">
        <v>2551</v>
      </c>
      <c r="G1344" s="1" t="s">
        <v>2552</v>
      </c>
    </row>
    <row x14ac:dyDescent="0.25" r="1345" customHeight="1" ht="17.25" hidden="1">
      <c r="A1345" s="112" t="s">
        <v>4837</v>
      </c>
      <c r="B1345" s="1" t="s">
        <v>2549</v>
      </c>
      <c r="C1345" s="1" t="s">
        <v>55</v>
      </c>
      <c r="D1345" s="1" t="s">
        <v>4838</v>
      </c>
      <c r="E1345" s="62">
        <v>28</v>
      </c>
      <c r="F1345" s="1" t="s">
        <v>2551</v>
      </c>
      <c r="G1345" s="1" t="s">
        <v>2555</v>
      </c>
    </row>
    <row x14ac:dyDescent="0.25" r="1346" customHeight="1" ht="17.25" hidden="1">
      <c r="A1346" s="112" t="s">
        <v>4839</v>
      </c>
      <c r="B1346" s="1" t="s">
        <v>2549</v>
      </c>
      <c r="C1346" s="1" t="s">
        <v>55</v>
      </c>
      <c r="D1346" s="1" t="s">
        <v>4840</v>
      </c>
      <c r="E1346" s="62">
        <v>41</v>
      </c>
      <c r="F1346" s="1" t="s">
        <v>2551</v>
      </c>
      <c r="G1346" s="1" t="s">
        <v>2555</v>
      </c>
    </row>
    <row x14ac:dyDescent="0.25" r="1347" customHeight="1" ht="17.25" hidden="1">
      <c r="A1347" s="112" t="s">
        <v>4839</v>
      </c>
      <c r="B1347" s="1" t="s">
        <v>2549</v>
      </c>
      <c r="C1347" s="1" t="s">
        <v>55</v>
      </c>
      <c r="D1347" s="1" t="s">
        <v>4841</v>
      </c>
      <c r="E1347" s="62">
        <v>22</v>
      </c>
      <c r="F1347" s="1" t="s">
        <v>2551</v>
      </c>
      <c r="G1347" s="1" t="s">
        <v>2555</v>
      </c>
    </row>
    <row x14ac:dyDescent="0.25" r="1348" customHeight="1" ht="17.25" hidden="1">
      <c r="A1348" s="112" t="s">
        <v>4842</v>
      </c>
      <c r="B1348" s="1" t="s">
        <v>2549</v>
      </c>
      <c r="C1348" s="1" t="s">
        <v>55</v>
      </c>
      <c r="D1348" s="1" t="s">
        <v>4843</v>
      </c>
      <c r="E1348" s="62">
        <v>31</v>
      </c>
      <c r="F1348" s="1" t="s">
        <v>2551</v>
      </c>
      <c r="G1348" s="1" t="s">
        <v>2555</v>
      </c>
    </row>
    <row x14ac:dyDescent="0.25" r="1349" customHeight="1" ht="17.25" hidden="1">
      <c r="A1349" s="112" t="s">
        <v>4844</v>
      </c>
      <c r="B1349" s="1" t="s">
        <v>2549</v>
      </c>
      <c r="C1349" s="1" t="s">
        <v>55</v>
      </c>
      <c r="D1349" s="1" t="s">
        <v>4845</v>
      </c>
      <c r="E1349" s="62">
        <v>19</v>
      </c>
      <c r="F1349" s="1" t="s">
        <v>2551</v>
      </c>
      <c r="G1349" s="1" t="s">
        <v>2558</v>
      </c>
    </row>
    <row x14ac:dyDescent="0.25" r="1350" customHeight="1" ht="17.25" hidden="1">
      <c r="A1350" s="112" t="s">
        <v>4846</v>
      </c>
      <c r="B1350" s="1" t="s">
        <v>2549</v>
      </c>
      <c r="C1350" s="1" t="s">
        <v>55</v>
      </c>
      <c r="D1350" s="1" t="s">
        <v>4847</v>
      </c>
      <c r="E1350" s="62">
        <v>24</v>
      </c>
      <c r="F1350" s="1" t="s">
        <v>2551</v>
      </c>
      <c r="G1350" s="1" t="s">
        <v>2552</v>
      </c>
    </row>
    <row x14ac:dyDescent="0.25" r="1351" customHeight="1" ht="17.25" hidden="1">
      <c r="A1351" s="112" t="s">
        <v>4848</v>
      </c>
      <c r="B1351" s="1" t="s">
        <v>2549</v>
      </c>
      <c r="C1351" s="1" t="s">
        <v>55</v>
      </c>
      <c r="D1351" s="1" t="s">
        <v>4849</v>
      </c>
      <c r="E1351" s="62">
        <v>25</v>
      </c>
      <c r="F1351" s="1" t="s">
        <v>2561</v>
      </c>
      <c r="G1351" s="1" t="s">
        <v>2552</v>
      </c>
    </row>
    <row x14ac:dyDescent="0.25" r="1352" customHeight="1" ht="17.25" hidden="1">
      <c r="A1352" s="112" t="s">
        <v>4850</v>
      </c>
      <c r="B1352" s="1" t="s">
        <v>2549</v>
      </c>
      <c r="C1352" s="1" t="s">
        <v>55</v>
      </c>
      <c r="D1352" s="1" t="s">
        <v>4851</v>
      </c>
      <c r="E1352" s="62">
        <v>55</v>
      </c>
      <c r="F1352" s="1" t="s">
        <v>2551</v>
      </c>
      <c r="G1352" s="1" t="s">
        <v>2555</v>
      </c>
    </row>
    <row x14ac:dyDescent="0.25" r="1353" customHeight="1" ht="17.25" hidden="1">
      <c r="A1353" s="112" t="s">
        <v>1005</v>
      </c>
      <c r="B1353" s="1" t="s">
        <v>2549</v>
      </c>
      <c r="C1353" s="1" t="s">
        <v>55</v>
      </c>
      <c r="D1353" s="1" t="s">
        <v>1007</v>
      </c>
      <c r="E1353" s="62">
        <v>19</v>
      </c>
      <c r="F1353" s="1" t="s">
        <v>2551</v>
      </c>
      <c r="G1353" s="1" t="s">
        <v>2552</v>
      </c>
    </row>
    <row x14ac:dyDescent="0.25" r="1354" customHeight="1" ht="17.25" hidden="1">
      <c r="A1354" s="112" t="s">
        <v>4852</v>
      </c>
      <c r="B1354" s="1" t="s">
        <v>2549</v>
      </c>
      <c r="C1354" s="1" t="s">
        <v>55</v>
      </c>
      <c r="D1354" s="1" t="s">
        <v>4853</v>
      </c>
      <c r="E1354" s="62">
        <v>30</v>
      </c>
      <c r="F1354" s="1" t="s">
        <v>2551</v>
      </c>
      <c r="G1354" s="1" t="s">
        <v>2555</v>
      </c>
    </row>
    <row x14ac:dyDescent="0.25" r="1355" customHeight="1" ht="17.25" hidden="1">
      <c r="A1355" s="112" t="s">
        <v>4854</v>
      </c>
      <c r="B1355" s="1" t="s">
        <v>2549</v>
      </c>
      <c r="C1355" s="1" t="s">
        <v>55</v>
      </c>
      <c r="D1355" s="1" t="s">
        <v>4855</v>
      </c>
      <c r="E1355" s="62">
        <v>32</v>
      </c>
      <c r="F1355" s="1" t="s">
        <v>2551</v>
      </c>
      <c r="G1355" s="1" t="s">
        <v>2555</v>
      </c>
    </row>
    <row x14ac:dyDescent="0.25" r="1356" customHeight="1" ht="17.25" hidden="1">
      <c r="A1356" s="112" t="s">
        <v>4856</v>
      </c>
      <c r="B1356" s="1" t="s">
        <v>2549</v>
      </c>
      <c r="C1356" s="1" t="s">
        <v>55</v>
      </c>
      <c r="D1356" s="1" t="s">
        <v>4857</v>
      </c>
      <c r="E1356" s="62">
        <v>28</v>
      </c>
      <c r="F1356" s="1" t="s">
        <v>2551</v>
      </c>
      <c r="G1356" s="1" t="s">
        <v>2552</v>
      </c>
    </row>
    <row x14ac:dyDescent="0.25" r="1357" customHeight="1" ht="17.25" hidden="1">
      <c r="A1357" s="112" t="s">
        <v>4858</v>
      </c>
      <c r="B1357" s="1" t="s">
        <v>2549</v>
      </c>
      <c r="C1357" s="1" t="s">
        <v>55</v>
      </c>
      <c r="D1357" s="1" t="s">
        <v>4859</v>
      </c>
      <c r="E1357" s="62">
        <v>20</v>
      </c>
      <c r="F1357" s="1" t="s">
        <v>2551</v>
      </c>
      <c r="G1357" s="1" t="s">
        <v>2555</v>
      </c>
    </row>
    <row x14ac:dyDescent="0.25" r="1358" customHeight="1" ht="17.25" hidden="1">
      <c r="A1358" s="112" t="s">
        <v>4858</v>
      </c>
      <c r="B1358" s="1" t="s">
        <v>2549</v>
      </c>
      <c r="C1358" s="1" t="s">
        <v>55</v>
      </c>
      <c r="D1358" s="1" t="s">
        <v>4860</v>
      </c>
      <c r="E1358" s="62">
        <v>27</v>
      </c>
      <c r="F1358" s="1" t="s">
        <v>2551</v>
      </c>
      <c r="G1358" s="1" t="s">
        <v>2552</v>
      </c>
    </row>
    <row x14ac:dyDescent="0.25" r="1359" customHeight="1" ht="17.25" hidden="1">
      <c r="A1359" s="112" t="s">
        <v>4858</v>
      </c>
      <c r="B1359" s="1" t="s">
        <v>2549</v>
      </c>
      <c r="C1359" s="1" t="s">
        <v>55</v>
      </c>
      <c r="D1359" s="1" t="s">
        <v>4861</v>
      </c>
      <c r="E1359" s="62">
        <v>27</v>
      </c>
      <c r="F1359" s="1" t="s">
        <v>2561</v>
      </c>
      <c r="G1359" s="1" t="s">
        <v>2552</v>
      </c>
    </row>
    <row x14ac:dyDescent="0.25" r="1360" customHeight="1" ht="17.25" hidden="1">
      <c r="A1360" s="112" t="s">
        <v>4862</v>
      </c>
      <c r="B1360" s="1" t="s">
        <v>2549</v>
      </c>
      <c r="C1360" s="1" t="s">
        <v>55</v>
      </c>
      <c r="D1360" s="1" t="s">
        <v>4863</v>
      </c>
      <c r="E1360" s="62">
        <v>37</v>
      </c>
      <c r="F1360" s="1" t="s">
        <v>2551</v>
      </c>
      <c r="G1360" s="1" t="s">
        <v>2552</v>
      </c>
    </row>
    <row x14ac:dyDescent="0.25" r="1361" customHeight="1" ht="17.25" hidden="1">
      <c r="A1361" s="112" t="s">
        <v>2336</v>
      </c>
      <c r="B1361" s="1" t="s">
        <v>2549</v>
      </c>
      <c r="C1361" s="1" t="s">
        <v>55</v>
      </c>
      <c r="D1361" s="1" t="s">
        <v>4864</v>
      </c>
      <c r="E1361" s="62">
        <v>35</v>
      </c>
      <c r="F1361" s="1" t="s">
        <v>2551</v>
      </c>
      <c r="G1361" s="1" t="s">
        <v>2555</v>
      </c>
    </row>
    <row x14ac:dyDescent="0.25" r="1362" customHeight="1" ht="17.25" hidden="1">
      <c r="A1362" s="112" t="s">
        <v>4865</v>
      </c>
      <c r="B1362" s="1" t="s">
        <v>2549</v>
      </c>
      <c r="C1362" s="1" t="s">
        <v>55</v>
      </c>
      <c r="D1362" s="1" t="s">
        <v>4866</v>
      </c>
      <c r="E1362" s="62">
        <v>36</v>
      </c>
      <c r="F1362" s="1" t="s">
        <v>2551</v>
      </c>
      <c r="G1362" s="1" t="s">
        <v>2555</v>
      </c>
    </row>
    <row x14ac:dyDescent="0.25" r="1363" customHeight="1" ht="17.25" hidden="1">
      <c r="A1363" s="112" t="s">
        <v>4865</v>
      </c>
      <c r="B1363" s="1" t="s">
        <v>2549</v>
      </c>
      <c r="C1363" s="1" t="s">
        <v>55</v>
      </c>
      <c r="D1363" s="1" t="s">
        <v>4867</v>
      </c>
      <c r="E1363" s="62">
        <v>23</v>
      </c>
      <c r="F1363" s="1" t="s">
        <v>2551</v>
      </c>
      <c r="G1363" s="1" t="s">
        <v>2555</v>
      </c>
    </row>
    <row x14ac:dyDescent="0.25" r="1364" customHeight="1" ht="17.25" hidden="1">
      <c r="A1364" s="112" t="s">
        <v>4868</v>
      </c>
      <c r="B1364" s="1" t="s">
        <v>2549</v>
      </c>
      <c r="C1364" s="1" t="s">
        <v>55</v>
      </c>
      <c r="D1364" s="1" t="s">
        <v>4869</v>
      </c>
      <c r="E1364" s="62">
        <v>20</v>
      </c>
      <c r="F1364" s="1" t="s">
        <v>2551</v>
      </c>
      <c r="G1364" s="1" t="s">
        <v>2555</v>
      </c>
    </row>
    <row x14ac:dyDescent="0.25" r="1365" customHeight="1" ht="17.25" hidden="1">
      <c r="A1365" s="112" t="s">
        <v>1010</v>
      </c>
      <c r="B1365" s="1" t="s">
        <v>2549</v>
      </c>
      <c r="C1365" s="1" t="s">
        <v>55</v>
      </c>
      <c r="D1365" s="1" t="s">
        <v>4870</v>
      </c>
      <c r="E1365" s="62">
        <v>31</v>
      </c>
      <c r="F1365" s="1" t="s">
        <v>2551</v>
      </c>
      <c r="G1365" s="1" t="s">
        <v>2552</v>
      </c>
    </row>
    <row x14ac:dyDescent="0.25" r="1366" customHeight="1" ht="17.25" hidden="1">
      <c r="A1366" s="112" t="s">
        <v>1010</v>
      </c>
      <c r="B1366" s="1" t="s">
        <v>2549</v>
      </c>
      <c r="C1366" s="1" t="s">
        <v>55</v>
      </c>
      <c r="D1366" s="1" t="s">
        <v>4871</v>
      </c>
      <c r="E1366" s="62">
        <v>37</v>
      </c>
      <c r="F1366" s="1" t="s">
        <v>2551</v>
      </c>
      <c r="G1366" s="1" t="s">
        <v>2552</v>
      </c>
    </row>
    <row x14ac:dyDescent="0.25" r="1367" customHeight="1" ht="17.25" hidden="1">
      <c r="A1367" s="112" t="s">
        <v>4872</v>
      </c>
      <c r="B1367" s="1" t="s">
        <v>2549</v>
      </c>
      <c r="C1367" s="1" t="s">
        <v>55</v>
      </c>
      <c r="D1367" s="1" t="s">
        <v>4873</v>
      </c>
      <c r="E1367" s="62">
        <v>33</v>
      </c>
      <c r="F1367" s="1" t="s">
        <v>2551</v>
      </c>
      <c r="G1367" s="1" t="s">
        <v>2555</v>
      </c>
    </row>
    <row x14ac:dyDescent="0.25" r="1368" customHeight="1" ht="17.25" hidden="1">
      <c r="A1368" s="112" t="s">
        <v>4874</v>
      </c>
      <c r="B1368" s="1" t="s">
        <v>2549</v>
      </c>
      <c r="C1368" s="1" t="s">
        <v>55</v>
      </c>
      <c r="D1368" s="1" t="s">
        <v>4875</v>
      </c>
      <c r="E1368" s="62">
        <v>32</v>
      </c>
      <c r="F1368" s="1" t="s">
        <v>2551</v>
      </c>
      <c r="G1368" s="1" t="s">
        <v>2552</v>
      </c>
    </row>
    <row x14ac:dyDescent="0.25" r="1369" customHeight="1" ht="17.25" hidden="1">
      <c r="A1369" s="112" t="s">
        <v>570</v>
      </c>
      <c r="B1369" s="1" t="s">
        <v>2549</v>
      </c>
      <c r="C1369" s="1" t="s">
        <v>55</v>
      </c>
      <c r="D1369" s="1" t="s">
        <v>572</v>
      </c>
      <c r="E1369" s="62">
        <v>22</v>
      </c>
      <c r="F1369" s="1" t="s">
        <v>2551</v>
      </c>
      <c r="G1369" s="1" t="s">
        <v>2552</v>
      </c>
    </row>
    <row x14ac:dyDescent="0.25" r="1370" customHeight="1" ht="17.25" hidden="1">
      <c r="A1370" s="112" t="s">
        <v>4876</v>
      </c>
      <c r="B1370" s="1" t="s">
        <v>2549</v>
      </c>
      <c r="C1370" s="1" t="s">
        <v>55</v>
      </c>
      <c r="D1370" s="1" t="s">
        <v>4877</v>
      </c>
      <c r="E1370" s="62">
        <v>25</v>
      </c>
      <c r="F1370" s="1" t="s">
        <v>2551</v>
      </c>
      <c r="G1370" s="1" t="s">
        <v>2552</v>
      </c>
    </row>
    <row x14ac:dyDescent="0.25" r="1371" customHeight="1" ht="17.25" hidden="1">
      <c r="A1371" s="112" t="s">
        <v>4878</v>
      </c>
      <c r="B1371" s="1" t="s">
        <v>2549</v>
      </c>
      <c r="C1371" s="1" t="s">
        <v>55</v>
      </c>
      <c r="D1371" s="1" t="s">
        <v>4879</v>
      </c>
      <c r="E1371" s="62">
        <v>21</v>
      </c>
      <c r="F1371" s="1" t="s">
        <v>2551</v>
      </c>
      <c r="G1371" s="1" t="s">
        <v>2552</v>
      </c>
    </row>
    <row x14ac:dyDescent="0.25" r="1372" customHeight="1" ht="17.25" hidden="1">
      <c r="A1372" s="112" t="s">
        <v>4880</v>
      </c>
      <c r="B1372" s="1" t="s">
        <v>2549</v>
      </c>
      <c r="C1372" s="1" t="s">
        <v>55</v>
      </c>
      <c r="D1372" s="1" t="s">
        <v>4881</v>
      </c>
      <c r="E1372" s="62">
        <v>18</v>
      </c>
      <c r="F1372" s="1" t="s">
        <v>2551</v>
      </c>
      <c r="G1372" s="1" t="s">
        <v>2552</v>
      </c>
    </row>
    <row x14ac:dyDescent="0.25" r="1373" customHeight="1" ht="17.25" hidden="1">
      <c r="A1373" s="112" t="s">
        <v>4882</v>
      </c>
      <c r="B1373" s="1" t="s">
        <v>2549</v>
      </c>
      <c r="C1373" s="1" t="s">
        <v>55</v>
      </c>
      <c r="D1373" s="1" t="s">
        <v>4883</v>
      </c>
      <c r="E1373" s="62">
        <v>29</v>
      </c>
      <c r="F1373" s="1" t="s">
        <v>2551</v>
      </c>
      <c r="G1373" s="1" t="s">
        <v>2552</v>
      </c>
    </row>
    <row x14ac:dyDescent="0.25" r="1374" customHeight="1" ht="17.25" hidden="1">
      <c r="A1374" s="112" t="s">
        <v>4884</v>
      </c>
      <c r="B1374" s="1" t="s">
        <v>2549</v>
      </c>
      <c r="C1374" s="1" t="s">
        <v>55</v>
      </c>
      <c r="D1374" s="1" t="s">
        <v>4885</v>
      </c>
      <c r="E1374" s="62">
        <v>25</v>
      </c>
      <c r="F1374" s="1" t="s">
        <v>2551</v>
      </c>
      <c r="G1374" s="1" t="s">
        <v>2555</v>
      </c>
    </row>
    <row x14ac:dyDescent="0.25" r="1375" customHeight="1" ht="17.25" hidden="1">
      <c r="A1375" s="112" t="s">
        <v>4884</v>
      </c>
      <c r="B1375" s="1" t="s">
        <v>2549</v>
      </c>
      <c r="C1375" s="1" t="s">
        <v>55</v>
      </c>
      <c r="D1375" s="1" t="s">
        <v>4886</v>
      </c>
      <c r="E1375" s="62">
        <v>19</v>
      </c>
      <c r="F1375" s="1" t="s">
        <v>2561</v>
      </c>
      <c r="G1375" s="1" t="s">
        <v>2555</v>
      </c>
    </row>
    <row x14ac:dyDescent="0.25" r="1376" customHeight="1" ht="17.25" hidden="1">
      <c r="A1376" s="112" t="s">
        <v>4884</v>
      </c>
      <c r="B1376" s="1" t="s">
        <v>2549</v>
      </c>
      <c r="C1376" s="1" t="s">
        <v>55</v>
      </c>
      <c r="D1376" s="1" t="s">
        <v>4887</v>
      </c>
      <c r="E1376" s="62">
        <v>18</v>
      </c>
      <c r="F1376" s="1" t="s">
        <v>2551</v>
      </c>
      <c r="G1376" s="1" t="s">
        <v>2555</v>
      </c>
    </row>
    <row x14ac:dyDescent="0.25" r="1377" customHeight="1" ht="17.25" hidden="1">
      <c r="A1377" s="112" t="s">
        <v>4884</v>
      </c>
      <c r="B1377" s="1" t="s">
        <v>2549</v>
      </c>
      <c r="C1377" s="1" t="s">
        <v>55</v>
      </c>
      <c r="D1377" s="1" t="s">
        <v>4888</v>
      </c>
      <c r="E1377" s="62">
        <v>37</v>
      </c>
      <c r="F1377" s="1" t="s">
        <v>2551</v>
      </c>
      <c r="G1377" s="1" t="s">
        <v>2552</v>
      </c>
    </row>
    <row x14ac:dyDescent="0.25" r="1378" customHeight="1" ht="17.25" hidden="1">
      <c r="A1378" s="112" t="s">
        <v>4884</v>
      </c>
      <c r="B1378" s="1" t="s">
        <v>2549</v>
      </c>
      <c r="C1378" s="1" t="s">
        <v>55</v>
      </c>
      <c r="D1378" s="1" t="s">
        <v>4889</v>
      </c>
      <c r="E1378" s="62">
        <v>42</v>
      </c>
      <c r="F1378" s="1" t="s">
        <v>2551</v>
      </c>
      <c r="G1378" s="1" t="s">
        <v>2555</v>
      </c>
    </row>
    <row x14ac:dyDescent="0.25" r="1379" customHeight="1" ht="17.25" hidden="1">
      <c r="A1379" s="112" t="s">
        <v>4890</v>
      </c>
      <c r="B1379" s="1" t="s">
        <v>2549</v>
      </c>
      <c r="C1379" s="1" t="s">
        <v>55</v>
      </c>
      <c r="D1379" s="1" t="s">
        <v>4891</v>
      </c>
      <c r="E1379" s="62">
        <v>29</v>
      </c>
      <c r="F1379" s="1" t="s">
        <v>2551</v>
      </c>
      <c r="G1379" s="1" t="s">
        <v>2552</v>
      </c>
    </row>
    <row x14ac:dyDescent="0.25" r="1380" customHeight="1" ht="17.25" hidden="1">
      <c r="A1380" s="112" t="s">
        <v>4892</v>
      </c>
      <c r="B1380" s="1" t="s">
        <v>2549</v>
      </c>
      <c r="C1380" s="1" t="s">
        <v>55</v>
      </c>
      <c r="D1380" s="1" t="s">
        <v>4893</v>
      </c>
      <c r="E1380" s="62">
        <v>23</v>
      </c>
      <c r="F1380" s="1" t="s">
        <v>2551</v>
      </c>
      <c r="G1380" s="1" t="s">
        <v>2552</v>
      </c>
    </row>
    <row x14ac:dyDescent="0.25" r="1381" customHeight="1" ht="17.25" hidden="1">
      <c r="A1381" s="112" t="s">
        <v>4894</v>
      </c>
      <c r="B1381" s="1" t="s">
        <v>2549</v>
      </c>
      <c r="C1381" s="1" t="s">
        <v>55</v>
      </c>
      <c r="D1381" s="1" t="s">
        <v>4895</v>
      </c>
      <c r="E1381" s="62">
        <v>27</v>
      </c>
      <c r="F1381" s="1" t="s">
        <v>2551</v>
      </c>
      <c r="G1381" s="1" t="s">
        <v>2558</v>
      </c>
    </row>
    <row x14ac:dyDescent="0.25" r="1382" customHeight="1" ht="17.25" hidden="1">
      <c r="A1382" s="112" t="s">
        <v>4896</v>
      </c>
      <c r="B1382" s="1" t="s">
        <v>2549</v>
      </c>
      <c r="C1382" s="1" t="s">
        <v>55</v>
      </c>
      <c r="D1382" s="1" t="s">
        <v>4897</v>
      </c>
      <c r="E1382" s="62">
        <v>24</v>
      </c>
      <c r="F1382" s="1" t="s">
        <v>2551</v>
      </c>
      <c r="G1382" s="1" t="s">
        <v>2558</v>
      </c>
    </row>
    <row x14ac:dyDescent="0.25" r="1383" customHeight="1" ht="17.25" hidden="1">
      <c r="A1383" s="112" t="s">
        <v>4898</v>
      </c>
      <c r="B1383" s="1" t="s">
        <v>2549</v>
      </c>
      <c r="C1383" s="1" t="s">
        <v>55</v>
      </c>
      <c r="D1383" s="1" t="s">
        <v>4899</v>
      </c>
      <c r="E1383" s="62">
        <v>20</v>
      </c>
      <c r="F1383" s="1" t="s">
        <v>2561</v>
      </c>
      <c r="G1383" s="1" t="s">
        <v>2555</v>
      </c>
    </row>
    <row x14ac:dyDescent="0.25" r="1384" customHeight="1" ht="17.25" hidden="1">
      <c r="A1384" s="112" t="s">
        <v>4900</v>
      </c>
      <c r="B1384" s="1" t="s">
        <v>2549</v>
      </c>
      <c r="C1384" s="1" t="s">
        <v>55</v>
      </c>
      <c r="D1384" s="1" t="s">
        <v>4901</v>
      </c>
      <c r="E1384" s="62">
        <v>28</v>
      </c>
      <c r="F1384" s="1" t="s">
        <v>2551</v>
      </c>
      <c r="G1384" s="1" t="s">
        <v>2552</v>
      </c>
    </row>
    <row x14ac:dyDescent="0.25" r="1385" customHeight="1" ht="17.25" hidden="1">
      <c r="A1385" s="112" t="s">
        <v>4902</v>
      </c>
      <c r="B1385" s="1" t="s">
        <v>2549</v>
      </c>
      <c r="C1385" s="1" t="s">
        <v>55</v>
      </c>
      <c r="D1385" s="1" t="s">
        <v>4903</v>
      </c>
      <c r="E1385" s="62">
        <v>33</v>
      </c>
      <c r="F1385" s="1" t="s">
        <v>2551</v>
      </c>
      <c r="G1385" s="1" t="s">
        <v>2558</v>
      </c>
    </row>
    <row x14ac:dyDescent="0.25" r="1386" customHeight="1" ht="17.25" hidden="1">
      <c r="A1386" s="112" t="s">
        <v>4904</v>
      </c>
      <c r="B1386" s="1" t="s">
        <v>2549</v>
      </c>
      <c r="C1386" s="1" t="s">
        <v>55</v>
      </c>
      <c r="D1386" s="1" t="s">
        <v>4905</v>
      </c>
      <c r="E1386" s="62">
        <v>20</v>
      </c>
      <c r="F1386" s="1" t="s">
        <v>2551</v>
      </c>
      <c r="G1386" s="1" t="s">
        <v>2552</v>
      </c>
    </row>
    <row x14ac:dyDescent="0.25" r="1387" customHeight="1" ht="17.25" hidden="1">
      <c r="A1387" s="112" t="s">
        <v>4904</v>
      </c>
      <c r="B1387" s="1" t="s">
        <v>2549</v>
      </c>
      <c r="C1387" s="1" t="s">
        <v>55</v>
      </c>
      <c r="D1387" s="1" t="s">
        <v>4906</v>
      </c>
      <c r="E1387" s="62">
        <v>31</v>
      </c>
      <c r="F1387" s="1" t="s">
        <v>2551</v>
      </c>
      <c r="G1387" s="1" t="s">
        <v>2555</v>
      </c>
    </row>
    <row x14ac:dyDescent="0.25" r="1388" customHeight="1" ht="17.25" hidden="1">
      <c r="A1388" s="112" t="s">
        <v>4907</v>
      </c>
      <c r="B1388" s="1" t="s">
        <v>2549</v>
      </c>
      <c r="C1388" s="1" t="s">
        <v>55</v>
      </c>
      <c r="D1388" s="1" t="s">
        <v>4908</v>
      </c>
      <c r="E1388" s="62">
        <v>31</v>
      </c>
      <c r="F1388" s="1" t="s">
        <v>2561</v>
      </c>
      <c r="G1388" s="1" t="s">
        <v>2552</v>
      </c>
    </row>
    <row x14ac:dyDescent="0.25" r="1389" customHeight="1" ht="17.25" hidden="1">
      <c r="A1389" s="112" t="s">
        <v>4907</v>
      </c>
      <c r="B1389" s="1" t="s">
        <v>2549</v>
      </c>
      <c r="C1389" s="1" t="s">
        <v>55</v>
      </c>
      <c r="D1389" s="1" t="s">
        <v>4909</v>
      </c>
      <c r="E1389" s="62">
        <v>23</v>
      </c>
      <c r="F1389" s="1" t="s">
        <v>2551</v>
      </c>
      <c r="G1389" s="1" t="s">
        <v>2552</v>
      </c>
    </row>
    <row x14ac:dyDescent="0.25" r="1390" customHeight="1" ht="17.25" hidden="1">
      <c r="A1390" s="112" t="s">
        <v>4907</v>
      </c>
      <c r="B1390" s="1" t="s">
        <v>2549</v>
      </c>
      <c r="C1390" s="1" t="s">
        <v>55</v>
      </c>
      <c r="D1390" s="1" t="s">
        <v>4910</v>
      </c>
      <c r="E1390" s="62">
        <v>23</v>
      </c>
      <c r="F1390" s="1" t="s">
        <v>2551</v>
      </c>
      <c r="G1390" s="1" t="s">
        <v>2552</v>
      </c>
    </row>
    <row x14ac:dyDescent="0.25" r="1391" customHeight="1" ht="17.25" hidden="1">
      <c r="A1391" s="112" t="s">
        <v>4911</v>
      </c>
      <c r="B1391" s="1" t="s">
        <v>2549</v>
      </c>
      <c r="C1391" s="1" t="s">
        <v>55</v>
      </c>
      <c r="D1391" s="1" t="s">
        <v>4912</v>
      </c>
      <c r="E1391" s="62">
        <v>29</v>
      </c>
      <c r="F1391" s="1" t="s">
        <v>2551</v>
      </c>
      <c r="G1391" s="1" t="s">
        <v>2552</v>
      </c>
    </row>
    <row x14ac:dyDescent="0.25" r="1392" customHeight="1" ht="17.25" hidden="1">
      <c r="A1392" s="112" t="s">
        <v>4913</v>
      </c>
      <c r="B1392" s="1" t="s">
        <v>2549</v>
      </c>
      <c r="C1392" s="1" t="s">
        <v>55</v>
      </c>
      <c r="D1392" s="1" t="s">
        <v>4914</v>
      </c>
      <c r="E1392" s="62">
        <v>20</v>
      </c>
      <c r="F1392" s="1" t="s">
        <v>2551</v>
      </c>
      <c r="G1392" s="1" t="s">
        <v>2555</v>
      </c>
    </row>
    <row x14ac:dyDescent="0.25" r="1393" customHeight="1" ht="17.25" hidden="1">
      <c r="A1393" s="112" t="s">
        <v>4915</v>
      </c>
      <c r="B1393" s="1" t="s">
        <v>2549</v>
      </c>
      <c r="C1393" s="1" t="s">
        <v>55</v>
      </c>
      <c r="D1393" s="1" t="s">
        <v>4916</v>
      </c>
      <c r="E1393" s="62">
        <v>28</v>
      </c>
      <c r="F1393" s="1" t="s">
        <v>2551</v>
      </c>
      <c r="G1393" s="1" t="s">
        <v>2552</v>
      </c>
    </row>
    <row x14ac:dyDescent="0.25" r="1394" customHeight="1" ht="17.25" hidden="1">
      <c r="A1394" s="112" t="s">
        <v>4917</v>
      </c>
      <c r="B1394" s="1" t="s">
        <v>2549</v>
      </c>
      <c r="C1394" s="1" t="s">
        <v>55</v>
      </c>
      <c r="D1394" s="1" t="s">
        <v>4918</v>
      </c>
      <c r="E1394" s="62">
        <v>27</v>
      </c>
      <c r="F1394" s="1" t="s">
        <v>2551</v>
      </c>
      <c r="G1394" s="1" t="s">
        <v>2552</v>
      </c>
    </row>
    <row x14ac:dyDescent="0.25" r="1395" customHeight="1" ht="17.25" hidden="1">
      <c r="A1395" s="112" t="s">
        <v>4919</v>
      </c>
      <c r="B1395" s="1" t="s">
        <v>2549</v>
      </c>
      <c r="C1395" s="1" t="s">
        <v>55</v>
      </c>
      <c r="D1395" s="1" t="s">
        <v>4920</v>
      </c>
      <c r="E1395" s="62">
        <v>56</v>
      </c>
      <c r="F1395" s="1" t="s">
        <v>2561</v>
      </c>
      <c r="G1395" s="1" t="s">
        <v>2552</v>
      </c>
    </row>
    <row x14ac:dyDescent="0.25" r="1396" customHeight="1" ht="17.25" hidden="1">
      <c r="A1396" s="112" t="s">
        <v>4921</v>
      </c>
      <c r="B1396" s="1" t="s">
        <v>2549</v>
      </c>
      <c r="C1396" s="1" t="s">
        <v>55</v>
      </c>
      <c r="D1396" s="1" t="s">
        <v>4922</v>
      </c>
      <c r="E1396" s="62">
        <v>18</v>
      </c>
      <c r="F1396" s="1" t="s">
        <v>2551</v>
      </c>
      <c r="G1396" s="1" t="s">
        <v>2552</v>
      </c>
    </row>
    <row x14ac:dyDescent="0.25" r="1397" customHeight="1" ht="17.25" hidden="1">
      <c r="A1397" s="112" t="s">
        <v>4923</v>
      </c>
      <c r="B1397" s="1" t="s">
        <v>2549</v>
      </c>
      <c r="C1397" s="1" t="s">
        <v>55</v>
      </c>
      <c r="D1397" s="1" t="s">
        <v>4924</v>
      </c>
      <c r="E1397" s="62">
        <v>35</v>
      </c>
      <c r="F1397" s="1" t="s">
        <v>2561</v>
      </c>
      <c r="G1397" s="1" t="s">
        <v>2552</v>
      </c>
    </row>
    <row x14ac:dyDescent="0.25" r="1398" customHeight="1" ht="17.25" hidden="1">
      <c r="A1398" s="112" t="s">
        <v>4925</v>
      </c>
      <c r="B1398" s="1" t="s">
        <v>2549</v>
      </c>
      <c r="C1398" s="1" t="s">
        <v>55</v>
      </c>
      <c r="D1398" s="1" t="s">
        <v>4926</v>
      </c>
      <c r="E1398" s="62">
        <v>45</v>
      </c>
      <c r="F1398" s="1" t="s">
        <v>2551</v>
      </c>
      <c r="G1398" s="1" t="s">
        <v>2558</v>
      </c>
    </row>
    <row x14ac:dyDescent="0.25" r="1399" customHeight="1" ht="17.25" hidden="1">
      <c r="A1399" s="112" t="s">
        <v>504</v>
      </c>
      <c r="B1399" s="1" t="s">
        <v>2549</v>
      </c>
      <c r="C1399" s="1" t="s">
        <v>55</v>
      </c>
      <c r="D1399" s="1" t="s">
        <v>506</v>
      </c>
      <c r="E1399" s="62">
        <v>41</v>
      </c>
      <c r="F1399" s="1" t="s">
        <v>2551</v>
      </c>
      <c r="G1399" s="1" t="s">
        <v>2552</v>
      </c>
    </row>
    <row x14ac:dyDescent="0.25" r="1400" customHeight="1" ht="17.25" hidden="1">
      <c r="A1400" s="112" t="s">
        <v>4927</v>
      </c>
      <c r="B1400" s="1" t="s">
        <v>2549</v>
      </c>
      <c r="C1400" s="1" t="s">
        <v>55</v>
      </c>
      <c r="D1400" s="1" t="s">
        <v>4928</v>
      </c>
      <c r="E1400" s="62">
        <v>20</v>
      </c>
      <c r="F1400" s="1" t="s">
        <v>2551</v>
      </c>
      <c r="G1400" s="1" t="s">
        <v>2552</v>
      </c>
    </row>
    <row x14ac:dyDescent="0.25" r="1401" customHeight="1" ht="17.25" hidden="1">
      <c r="A1401" s="112" t="s">
        <v>4929</v>
      </c>
      <c r="B1401" s="1" t="s">
        <v>2549</v>
      </c>
      <c r="C1401" s="1" t="s">
        <v>55</v>
      </c>
      <c r="D1401" s="1" t="s">
        <v>4930</v>
      </c>
      <c r="E1401" s="62">
        <v>30</v>
      </c>
      <c r="F1401" s="1" t="s">
        <v>2551</v>
      </c>
      <c r="G1401" s="1" t="s">
        <v>2552</v>
      </c>
    </row>
    <row x14ac:dyDescent="0.25" r="1402" customHeight="1" ht="17.25" hidden="1">
      <c r="A1402" s="112" t="s">
        <v>4929</v>
      </c>
      <c r="B1402" s="1" t="s">
        <v>2549</v>
      </c>
      <c r="C1402" s="1" t="s">
        <v>55</v>
      </c>
      <c r="D1402" s="1" t="s">
        <v>4931</v>
      </c>
      <c r="E1402" s="62">
        <v>25</v>
      </c>
      <c r="F1402" s="1" t="s">
        <v>2551</v>
      </c>
      <c r="G1402" s="1" t="s">
        <v>2558</v>
      </c>
    </row>
    <row x14ac:dyDescent="0.25" r="1403" customHeight="1" ht="17.25" hidden="1">
      <c r="A1403" s="112" t="s">
        <v>4932</v>
      </c>
      <c r="B1403" s="1" t="s">
        <v>2549</v>
      </c>
      <c r="C1403" s="1" t="s">
        <v>55</v>
      </c>
      <c r="D1403" s="1" t="s">
        <v>4933</v>
      </c>
      <c r="E1403" s="62">
        <v>36</v>
      </c>
      <c r="F1403" s="1" t="s">
        <v>2551</v>
      </c>
      <c r="G1403" s="1" t="s">
        <v>2555</v>
      </c>
    </row>
    <row x14ac:dyDescent="0.25" r="1404" customHeight="1" ht="17.25" hidden="1">
      <c r="A1404" s="112" t="s">
        <v>4934</v>
      </c>
      <c r="B1404" s="1" t="s">
        <v>2549</v>
      </c>
      <c r="C1404" s="1" t="s">
        <v>55</v>
      </c>
      <c r="D1404" s="1" t="s">
        <v>4935</v>
      </c>
      <c r="E1404" s="62">
        <v>34</v>
      </c>
      <c r="F1404" s="1" t="s">
        <v>2551</v>
      </c>
      <c r="G1404" s="1" t="s">
        <v>2558</v>
      </c>
    </row>
    <row x14ac:dyDescent="0.25" r="1405" customHeight="1" ht="17.25" hidden="1">
      <c r="A1405" s="112" t="s">
        <v>4936</v>
      </c>
      <c r="B1405" s="1" t="s">
        <v>2549</v>
      </c>
      <c r="C1405" s="1" t="s">
        <v>55</v>
      </c>
      <c r="D1405" s="1" t="s">
        <v>4937</v>
      </c>
      <c r="E1405" s="62">
        <v>21</v>
      </c>
      <c r="F1405" s="1" t="s">
        <v>2551</v>
      </c>
      <c r="G1405" s="1" t="s">
        <v>2552</v>
      </c>
    </row>
    <row x14ac:dyDescent="0.25" r="1406" customHeight="1" ht="17.25" hidden="1">
      <c r="A1406" s="112" t="s">
        <v>4938</v>
      </c>
      <c r="B1406" s="1" t="s">
        <v>2549</v>
      </c>
      <c r="C1406" s="1" t="s">
        <v>55</v>
      </c>
      <c r="D1406" s="1" t="s">
        <v>4939</v>
      </c>
      <c r="E1406" s="62">
        <v>35</v>
      </c>
      <c r="F1406" s="1" t="s">
        <v>2551</v>
      </c>
      <c r="G1406" s="1" t="s">
        <v>2552</v>
      </c>
    </row>
    <row x14ac:dyDescent="0.25" r="1407" customHeight="1" ht="17.25" hidden="1">
      <c r="A1407" s="112" t="s">
        <v>4940</v>
      </c>
      <c r="B1407" s="1" t="s">
        <v>2549</v>
      </c>
      <c r="C1407" s="1" t="s">
        <v>55</v>
      </c>
      <c r="D1407" s="1" t="s">
        <v>4941</v>
      </c>
      <c r="E1407" s="62">
        <v>25</v>
      </c>
      <c r="F1407" s="1" t="s">
        <v>2551</v>
      </c>
      <c r="G1407" s="1" t="s">
        <v>2555</v>
      </c>
    </row>
    <row x14ac:dyDescent="0.25" r="1408" customHeight="1" ht="17.25" hidden="1">
      <c r="A1408" s="112" t="s">
        <v>4942</v>
      </c>
      <c r="B1408" s="1" t="s">
        <v>2549</v>
      </c>
      <c r="C1408" s="1" t="s">
        <v>55</v>
      </c>
      <c r="D1408" s="1" t="s">
        <v>4943</v>
      </c>
      <c r="E1408" s="62">
        <v>30</v>
      </c>
      <c r="F1408" s="1" t="s">
        <v>2551</v>
      </c>
      <c r="G1408" s="1" t="s">
        <v>2555</v>
      </c>
    </row>
    <row x14ac:dyDescent="0.25" r="1409" customHeight="1" ht="17.25" hidden="1">
      <c r="A1409" s="112" t="s">
        <v>4942</v>
      </c>
      <c r="B1409" s="1" t="s">
        <v>2549</v>
      </c>
      <c r="C1409" s="1" t="s">
        <v>55</v>
      </c>
      <c r="D1409" s="1" t="s">
        <v>4944</v>
      </c>
      <c r="E1409" s="62">
        <v>32</v>
      </c>
      <c r="F1409" s="1" t="s">
        <v>2551</v>
      </c>
      <c r="G1409" s="1" t="s">
        <v>2552</v>
      </c>
    </row>
    <row x14ac:dyDescent="0.25" r="1410" customHeight="1" ht="17.25" hidden="1">
      <c r="A1410" s="112" t="s">
        <v>4945</v>
      </c>
      <c r="B1410" s="1" t="s">
        <v>2549</v>
      </c>
      <c r="C1410" s="1" t="s">
        <v>55</v>
      </c>
      <c r="D1410" s="1" t="s">
        <v>4946</v>
      </c>
      <c r="E1410" s="62">
        <v>18</v>
      </c>
      <c r="F1410" s="1" t="s">
        <v>2561</v>
      </c>
      <c r="G1410" s="1" t="s">
        <v>2552</v>
      </c>
    </row>
    <row x14ac:dyDescent="0.25" r="1411" customHeight="1" ht="17.25" hidden="1">
      <c r="A1411" s="112" t="s">
        <v>4947</v>
      </c>
      <c r="B1411" s="1" t="s">
        <v>2549</v>
      </c>
      <c r="C1411" s="1" t="s">
        <v>55</v>
      </c>
      <c r="D1411" s="1" t="s">
        <v>4948</v>
      </c>
      <c r="E1411" s="62">
        <v>27</v>
      </c>
      <c r="F1411" s="1" t="s">
        <v>2551</v>
      </c>
      <c r="G1411" s="1" t="s">
        <v>2555</v>
      </c>
    </row>
    <row x14ac:dyDescent="0.25" r="1412" customHeight="1" ht="17.25" hidden="1">
      <c r="A1412" s="112" t="s">
        <v>4947</v>
      </c>
      <c r="B1412" s="1" t="s">
        <v>2549</v>
      </c>
      <c r="C1412" s="1" t="s">
        <v>55</v>
      </c>
      <c r="D1412" s="1" t="s">
        <v>4949</v>
      </c>
      <c r="E1412" s="62">
        <v>18</v>
      </c>
      <c r="F1412" s="1" t="s">
        <v>2551</v>
      </c>
      <c r="G1412" s="1" t="s">
        <v>2558</v>
      </c>
    </row>
    <row x14ac:dyDescent="0.25" r="1413" customHeight="1" ht="17.25" hidden="1">
      <c r="A1413" s="112" t="s">
        <v>4950</v>
      </c>
      <c r="B1413" s="1" t="s">
        <v>2549</v>
      </c>
      <c r="C1413" s="1" t="s">
        <v>55</v>
      </c>
      <c r="D1413" s="1" t="s">
        <v>4951</v>
      </c>
      <c r="E1413" s="62">
        <v>24</v>
      </c>
      <c r="F1413" s="1" t="s">
        <v>2561</v>
      </c>
      <c r="G1413" s="1" t="s">
        <v>2555</v>
      </c>
    </row>
    <row x14ac:dyDescent="0.25" r="1414" customHeight="1" ht="17.25" hidden="1">
      <c r="A1414" s="112" t="s">
        <v>4952</v>
      </c>
      <c r="B1414" s="1" t="s">
        <v>2549</v>
      </c>
      <c r="C1414" s="1" t="s">
        <v>55</v>
      </c>
      <c r="D1414" s="1" t="s">
        <v>4953</v>
      </c>
      <c r="E1414" s="62">
        <v>19</v>
      </c>
      <c r="F1414" s="1" t="s">
        <v>2561</v>
      </c>
      <c r="G1414" s="1" t="s">
        <v>2552</v>
      </c>
    </row>
    <row x14ac:dyDescent="0.25" r="1415" customHeight="1" ht="17.25" hidden="1">
      <c r="A1415" s="112" t="s">
        <v>4954</v>
      </c>
      <c r="B1415" s="1" t="s">
        <v>2549</v>
      </c>
      <c r="C1415" s="1" t="s">
        <v>55</v>
      </c>
      <c r="D1415" s="1" t="s">
        <v>4955</v>
      </c>
      <c r="E1415" s="62">
        <v>35</v>
      </c>
      <c r="F1415" s="1" t="s">
        <v>2551</v>
      </c>
      <c r="G1415" s="1" t="s">
        <v>2558</v>
      </c>
    </row>
    <row x14ac:dyDescent="0.25" r="1416" customHeight="1" ht="17.25" hidden="1">
      <c r="A1416" s="112" t="s">
        <v>1792</v>
      </c>
      <c r="B1416" s="1" t="s">
        <v>2549</v>
      </c>
      <c r="C1416" s="1" t="s">
        <v>55</v>
      </c>
      <c r="D1416" s="1" t="s">
        <v>1793</v>
      </c>
      <c r="E1416" s="62">
        <v>27</v>
      </c>
      <c r="F1416" s="1" t="s">
        <v>2551</v>
      </c>
      <c r="G1416" s="1" t="s">
        <v>2555</v>
      </c>
    </row>
    <row x14ac:dyDescent="0.25" r="1417" customHeight="1" ht="17.25" hidden="1">
      <c r="A1417" s="112" t="s">
        <v>4956</v>
      </c>
      <c r="B1417" s="1" t="s">
        <v>2549</v>
      </c>
      <c r="C1417" s="1" t="s">
        <v>55</v>
      </c>
      <c r="D1417" s="1" t="s">
        <v>4957</v>
      </c>
      <c r="E1417" s="62">
        <v>18</v>
      </c>
      <c r="F1417" s="1" t="s">
        <v>2551</v>
      </c>
      <c r="G1417" s="1" t="s">
        <v>2552</v>
      </c>
    </row>
    <row x14ac:dyDescent="0.25" r="1418" customHeight="1" ht="17.25" hidden="1">
      <c r="A1418" s="112" t="s">
        <v>1043</v>
      </c>
      <c r="B1418" s="1" t="s">
        <v>2549</v>
      </c>
      <c r="C1418" s="1" t="s">
        <v>55</v>
      </c>
      <c r="D1418" s="1" t="s">
        <v>1044</v>
      </c>
      <c r="E1418" s="62">
        <v>21</v>
      </c>
      <c r="F1418" s="1" t="s">
        <v>2551</v>
      </c>
      <c r="G1418" s="1" t="s">
        <v>2552</v>
      </c>
    </row>
    <row x14ac:dyDescent="0.25" r="1419" customHeight="1" ht="17.25" hidden="1">
      <c r="A1419" s="112" t="s">
        <v>4958</v>
      </c>
      <c r="B1419" s="1" t="s">
        <v>2549</v>
      </c>
      <c r="C1419" s="1" t="s">
        <v>55</v>
      </c>
      <c r="D1419" s="1" t="s">
        <v>4959</v>
      </c>
      <c r="E1419" s="62">
        <v>23</v>
      </c>
      <c r="F1419" s="1" t="s">
        <v>2551</v>
      </c>
      <c r="G1419" s="1" t="s">
        <v>2558</v>
      </c>
    </row>
    <row x14ac:dyDescent="0.25" r="1420" customHeight="1" ht="17.25" hidden="1">
      <c r="A1420" s="112" t="s">
        <v>4960</v>
      </c>
      <c r="B1420" s="1" t="s">
        <v>2549</v>
      </c>
      <c r="C1420" s="1" t="s">
        <v>55</v>
      </c>
      <c r="D1420" s="1" t="s">
        <v>4961</v>
      </c>
      <c r="E1420" s="62">
        <v>27</v>
      </c>
      <c r="F1420" s="1" t="s">
        <v>2551</v>
      </c>
      <c r="G1420" s="1" t="s">
        <v>2552</v>
      </c>
    </row>
    <row x14ac:dyDescent="0.25" r="1421" customHeight="1" ht="17.25" hidden="1">
      <c r="A1421" s="112" t="s">
        <v>4962</v>
      </c>
      <c r="B1421" s="1" t="s">
        <v>2549</v>
      </c>
      <c r="C1421" s="1" t="s">
        <v>55</v>
      </c>
      <c r="D1421" s="1" t="s">
        <v>4963</v>
      </c>
      <c r="E1421" s="62">
        <v>19</v>
      </c>
      <c r="F1421" s="1" t="s">
        <v>2551</v>
      </c>
      <c r="G1421" s="1" t="s">
        <v>2552</v>
      </c>
    </row>
    <row x14ac:dyDescent="0.25" r="1422" customHeight="1" ht="17.25" hidden="1">
      <c r="A1422" s="112" t="s">
        <v>4964</v>
      </c>
      <c r="B1422" s="1" t="s">
        <v>2549</v>
      </c>
      <c r="C1422" s="1" t="s">
        <v>55</v>
      </c>
      <c r="D1422" s="1" t="s">
        <v>4965</v>
      </c>
      <c r="E1422" s="62">
        <v>24</v>
      </c>
      <c r="F1422" s="1" t="s">
        <v>2551</v>
      </c>
      <c r="G1422" s="1" t="s">
        <v>2552</v>
      </c>
    </row>
    <row x14ac:dyDescent="0.25" r="1423" customHeight="1" ht="17.25" hidden="1">
      <c r="A1423" s="112" t="s">
        <v>4964</v>
      </c>
      <c r="B1423" s="1" t="s">
        <v>2549</v>
      </c>
      <c r="C1423" s="1" t="s">
        <v>55</v>
      </c>
      <c r="D1423" s="1" t="s">
        <v>4966</v>
      </c>
      <c r="E1423" s="62">
        <v>21</v>
      </c>
      <c r="F1423" s="1" t="s">
        <v>2551</v>
      </c>
      <c r="G1423" s="1" t="s">
        <v>2555</v>
      </c>
    </row>
    <row x14ac:dyDescent="0.25" r="1424" customHeight="1" ht="17.25" hidden="1">
      <c r="A1424" s="112" t="s">
        <v>4967</v>
      </c>
      <c r="B1424" s="1" t="s">
        <v>2549</v>
      </c>
      <c r="C1424" s="1" t="s">
        <v>55</v>
      </c>
      <c r="D1424" s="1" t="s">
        <v>4968</v>
      </c>
      <c r="E1424" s="62">
        <v>20</v>
      </c>
      <c r="F1424" s="1" t="s">
        <v>2551</v>
      </c>
      <c r="G1424" s="1" t="s">
        <v>2552</v>
      </c>
    </row>
    <row x14ac:dyDescent="0.25" r="1425" customHeight="1" ht="17.25" hidden="1">
      <c r="A1425" s="112" t="s">
        <v>4969</v>
      </c>
      <c r="B1425" s="1" t="s">
        <v>2549</v>
      </c>
      <c r="C1425" s="1" t="s">
        <v>55</v>
      </c>
      <c r="D1425" s="1" t="s">
        <v>4970</v>
      </c>
      <c r="E1425" s="62">
        <v>19</v>
      </c>
      <c r="F1425" s="1" t="s">
        <v>2551</v>
      </c>
      <c r="G1425" s="1" t="s">
        <v>2552</v>
      </c>
    </row>
    <row x14ac:dyDescent="0.25" r="1426" customHeight="1" ht="17.25" hidden="1">
      <c r="A1426" s="112" t="s">
        <v>4971</v>
      </c>
      <c r="B1426" s="1" t="s">
        <v>2549</v>
      </c>
      <c r="C1426" s="1" t="s">
        <v>55</v>
      </c>
      <c r="D1426" s="1" t="s">
        <v>4972</v>
      </c>
      <c r="E1426" s="62">
        <v>20</v>
      </c>
      <c r="F1426" s="1" t="s">
        <v>2551</v>
      </c>
      <c r="G1426" s="1" t="s">
        <v>2552</v>
      </c>
    </row>
    <row x14ac:dyDescent="0.25" r="1427" customHeight="1" ht="17.25" hidden="1">
      <c r="A1427" s="112" t="s">
        <v>4971</v>
      </c>
      <c r="B1427" s="1" t="s">
        <v>2549</v>
      </c>
      <c r="C1427" s="1" t="s">
        <v>55</v>
      </c>
      <c r="D1427" s="1" t="s">
        <v>4973</v>
      </c>
      <c r="E1427" s="62">
        <v>29</v>
      </c>
      <c r="F1427" s="1" t="s">
        <v>2551</v>
      </c>
      <c r="G1427" s="1" t="s">
        <v>2555</v>
      </c>
    </row>
    <row x14ac:dyDescent="0.25" r="1428" customHeight="1" ht="17.25" hidden="1">
      <c r="A1428" s="112" t="s">
        <v>4971</v>
      </c>
      <c r="B1428" s="1" t="s">
        <v>2549</v>
      </c>
      <c r="C1428" s="1" t="s">
        <v>55</v>
      </c>
      <c r="D1428" s="1" t="s">
        <v>4974</v>
      </c>
      <c r="E1428" s="62">
        <v>34</v>
      </c>
      <c r="F1428" s="1" t="s">
        <v>2551</v>
      </c>
      <c r="G1428" s="1" t="s">
        <v>2555</v>
      </c>
    </row>
    <row x14ac:dyDescent="0.25" r="1429" customHeight="1" ht="17.25" hidden="1">
      <c r="A1429" s="112" t="s">
        <v>4975</v>
      </c>
      <c r="B1429" s="1" t="s">
        <v>2549</v>
      </c>
      <c r="C1429" s="1" t="s">
        <v>55</v>
      </c>
      <c r="D1429" s="1" t="s">
        <v>4976</v>
      </c>
      <c r="E1429" s="62">
        <v>24</v>
      </c>
      <c r="F1429" s="1" t="s">
        <v>2551</v>
      </c>
      <c r="G1429" s="1" t="s">
        <v>2552</v>
      </c>
    </row>
    <row x14ac:dyDescent="0.25" r="1430" customHeight="1" ht="17.25" hidden="1">
      <c r="A1430" s="112" t="s">
        <v>1502</v>
      </c>
      <c r="B1430" s="1" t="s">
        <v>2549</v>
      </c>
      <c r="C1430" s="1" t="s">
        <v>55</v>
      </c>
      <c r="D1430" s="1" t="s">
        <v>1504</v>
      </c>
      <c r="E1430" s="62">
        <v>23</v>
      </c>
      <c r="F1430" s="1" t="s">
        <v>2551</v>
      </c>
      <c r="G1430" s="1" t="s">
        <v>2558</v>
      </c>
    </row>
    <row x14ac:dyDescent="0.25" r="1431" customHeight="1" ht="17.25" hidden="1">
      <c r="A1431" s="112" t="s">
        <v>4977</v>
      </c>
      <c r="B1431" s="1" t="s">
        <v>2549</v>
      </c>
      <c r="C1431" s="1" t="s">
        <v>55</v>
      </c>
      <c r="D1431" s="1" t="s">
        <v>4978</v>
      </c>
      <c r="E1431" s="62">
        <v>33</v>
      </c>
      <c r="F1431" s="1" t="s">
        <v>2551</v>
      </c>
      <c r="G1431" s="1" t="s">
        <v>2558</v>
      </c>
    </row>
    <row x14ac:dyDescent="0.25" r="1432" customHeight="1" ht="17.25" hidden="1">
      <c r="A1432" s="112" t="s">
        <v>4979</v>
      </c>
      <c r="B1432" s="1" t="s">
        <v>2549</v>
      </c>
      <c r="C1432" s="1" t="s">
        <v>55</v>
      </c>
      <c r="D1432" s="1" t="s">
        <v>4980</v>
      </c>
      <c r="E1432" s="62">
        <v>32</v>
      </c>
      <c r="F1432" s="1" t="s">
        <v>2561</v>
      </c>
      <c r="G1432" s="1" t="s">
        <v>2552</v>
      </c>
    </row>
    <row x14ac:dyDescent="0.25" r="1433" customHeight="1" ht="17.25" hidden="1">
      <c r="A1433" s="112" t="s">
        <v>4979</v>
      </c>
      <c r="B1433" s="1" t="s">
        <v>2549</v>
      </c>
      <c r="C1433" s="1" t="s">
        <v>55</v>
      </c>
      <c r="D1433" s="1" t="s">
        <v>4981</v>
      </c>
      <c r="E1433" s="62">
        <v>37</v>
      </c>
      <c r="F1433" s="1" t="s">
        <v>2551</v>
      </c>
      <c r="G1433" s="1" t="s">
        <v>2555</v>
      </c>
    </row>
    <row x14ac:dyDescent="0.25" r="1434" customHeight="1" ht="17.25" hidden="1">
      <c r="A1434" s="112" t="s">
        <v>1530</v>
      </c>
      <c r="B1434" s="1" t="s">
        <v>2549</v>
      </c>
      <c r="C1434" s="1" t="s">
        <v>55</v>
      </c>
      <c r="D1434" s="1" t="s">
        <v>1532</v>
      </c>
      <c r="E1434" s="62">
        <v>24</v>
      </c>
      <c r="F1434" s="1" t="s">
        <v>2551</v>
      </c>
      <c r="G1434" s="1" t="s">
        <v>2558</v>
      </c>
    </row>
    <row x14ac:dyDescent="0.25" r="1435" customHeight="1" ht="17.25" hidden="1">
      <c r="A1435" s="112" t="s">
        <v>4982</v>
      </c>
      <c r="B1435" s="1" t="s">
        <v>2549</v>
      </c>
      <c r="C1435" s="1" t="s">
        <v>55</v>
      </c>
      <c r="D1435" s="1" t="s">
        <v>4983</v>
      </c>
      <c r="E1435" s="62">
        <v>18</v>
      </c>
      <c r="F1435" s="1" t="s">
        <v>2551</v>
      </c>
      <c r="G1435" s="1" t="s">
        <v>2552</v>
      </c>
    </row>
    <row x14ac:dyDescent="0.25" r="1436" customHeight="1" ht="17.25" hidden="1">
      <c r="A1436" s="112" t="s">
        <v>4984</v>
      </c>
      <c r="B1436" s="1" t="s">
        <v>2549</v>
      </c>
      <c r="C1436" s="1" t="s">
        <v>55</v>
      </c>
      <c r="D1436" s="1" t="s">
        <v>4985</v>
      </c>
      <c r="E1436" s="62">
        <v>20</v>
      </c>
      <c r="F1436" s="1" t="s">
        <v>2551</v>
      </c>
      <c r="G1436" s="1" t="s">
        <v>2558</v>
      </c>
    </row>
    <row x14ac:dyDescent="0.25" r="1437" customHeight="1" ht="17.25" hidden="1">
      <c r="A1437" s="112" t="s">
        <v>4986</v>
      </c>
      <c r="B1437" s="1" t="s">
        <v>2549</v>
      </c>
      <c r="C1437" s="1" t="s">
        <v>55</v>
      </c>
      <c r="D1437" s="1" t="s">
        <v>4987</v>
      </c>
      <c r="E1437" s="62">
        <v>19</v>
      </c>
      <c r="F1437" s="1" t="s">
        <v>2551</v>
      </c>
      <c r="G1437" s="1" t="s">
        <v>2555</v>
      </c>
    </row>
    <row x14ac:dyDescent="0.25" r="1438" customHeight="1" ht="17.25" hidden="1">
      <c r="A1438" s="112" t="s">
        <v>4988</v>
      </c>
      <c r="B1438" s="1" t="s">
        <v>2549</v>
      </c>
      <c r="C1438" s="1" t="s">
        <v>55</v>
      </c>
      <c r="D1438" s="1" t="s">
        <v>4989</v>
      </c>
      <c r="E1438" s="62">
        <v>18</v>
      </c>
      <c r="F1438" s="1" t="s">
        <v>2551</v>
      </c>
      <c r="G1438" s="1" t="s">
        <v>2555</v>
      </c>
    </row>
    <row x14ac:dyDescent="0.25" r="1439" customHeight="1" ht="17.25" hidden="1">
      <c r="A1439" s="112" t="s">
        <v>4990</v>
      </c>
      <c r="B1439" s="1" t="s">
        <v>2549</v>
      </c>
      <c r="C1439" s="1" t="s">
        <v>55</v>
      </c>
      <c r="D1439" s="1" t="s">
        <v>4991</v>
      </c>
      <c r="E1439" s="62">
        <v>21</v>
      </c>
      <c r="F1439" s="1" t="s">
        <v>2561</v>
      </c>
      <c r="G1439" s="1" t="s">
        <v>2558</v>
      </c>
    </row>
    <row x14ac:dyDescent="0.25" r="1440" customHeight="1" ht="17.25" hidden="1">
      <c r="A1440" s="112" t="s">
        <v>4990</v>
      </c>
      <c r="B1440" s="1" t="s">
        <v>2549</v>
      </c>
      <c r="C1440" s="1" t="s">
        <v>55</v>
      </c>
      <c r="D1440" s="1" t="s">
        <v>4992</v>
      </c>
      <c r="E1440" s="62">
        <v>36</v>
      </c>
      <c r="F1440" s="1" t="s">
        <v>2551</v>
      </c>
      <c r="G1440" s="1" t="s">
        <v>2552</v>
      </c>
    </row>
    <row x14ac:dyDescent="0.25" r="1441" customHeight="1" ht="17.25" hidden="1">
      <c r="A1441" s="112" t="s">
        <v>4990</v>
      </c>
      <c r="B1441" s="1" t="s">
        <v>2549</v>
      </c>
      <c r="C1441" s="1" t="s">
        <v>55</v>
      </c>
      <c r="D1441" s="1" t="s">
        <v>4993</v>
      </c>
      <c r="E1441" s="62">
        <v>35</v>
      </c>
      <c r="F1441" s="1" t="s">
        <v>2551</v>
      </c>
      <c r="G1441" s="1" t="s">
        <v>2555</v>
      </c>
    </row>
    <row x14ac:dyDescent="0.25" r="1442" customHeight="1" ht="17.25" hidden="1">
      <c r="A1442" s="112" t="s">
        <v>1137</v>
      </c>
      <c r="B1442" s="1" t="s">
        <v>2549</v>
      </c>
      <c r="C1442" s="1" t="s">
        <v>55</v>
      </c>
      <c r="D1442" s="1" t="s">
        <v>4994</v>
      </c>
      <c r="E1442" s="62">
        <v>30</v>
      </c>
      <c r="F1442" s="1" t="s">
        <v>2551</v>
      </c>
      <c r="G1442" s="1" t="s">
        <v>2558</v>
      </c>
    </row>
    <row x14ac:dyDescent="0.25" r="1443" customHeight="1" ht="17.25" hidden="1">
      <c r="A1443" s="112" t="s">
        <v>1513</v>
      </c>
      <c r="B1443" s="1" t="s">
        <v>2549</v>
      </c>
      <c r="C1443" s="1" t="s">
        <v>55</v>
      </c>
      <c r="D1443" s="1" t="s">
        <v>1514</v>
      </c>
      <c r="E1443" s="62">
        <v>36</v>
      </c>
      <c r="F1443" s="1" t="s">
        <v>2551</v>
      </c>
      <c r="G1443" s="1" t="s">
        <v>2552</v>
      </c>
    </row>
    <row x14ac:dyDescent="0.25" r="1444" customHeight="1" ht="17.25" hidden="1">
      <c r="A1444" s="112" t="s">
        <v>4995</v>
      </c>
      <c r="B1444" s="1" t="s">
        <v>2549</v>
      </c>
      <c r="C1444" s="1" t="s">
        <v>55</v>
      </c>
      <c r="D1444" s="1" t="s">
        <v>4996</v>
      </c>
      <c r="E1444" s="62">
        <v>28</v>
      </c>
      <c r="F1444" s="1" t="s">
        <v>2551</v>
      </c>
      <c r="G1444" s="1" t="s">
        <v>2555</v>
      </c>
    </row>
    <row x14ac:dyDescent="0.25" r="1445" customHeight="1" ht="17.25" hidden="1">
      <c r="A1445" s="112" t="s">
        <v>4997</v>
      </c>
      <c r="B1445" s="1" t="s">
        <v>2549</v>
      </c>
      <c r="C1445" s="1" t="s">
        <v>55</v>
      </c>
      <c r="D1445" s="1" t="s">
        <v>4998</v>
      </c>
      <c r="E1445" s="62">
        <v>32</v>
      </c>
      <c r="F1445" s="1" t="s">
        <v>2551</v>
      </c>
      <c r="G1445" s="1" t="s">
        <v>2552</v>
      </c>
    </row>
    <row x14ac:dyDescent="0.25" r="1446" customHeight="1" ht="17.25" hidden="1">
      <c r="A1446" s="112" t="s">
        <v>4999</v>
      </c>
      <c r="B1446" s="1" t="s">
        <v>2549</v>
      </c>
      <c r="C1446" s="1" t="s">
        <v>55</v>
      </c>
      <c r="D1446" s="1" t="s">
        <v>5000</v>
      </c>
      <c r="E1446" s="62">
        <v>18</v>
      </c>
      <c r="F1446" s="1" t="s">
        <v>2551</v>
      </c>
      <c r="G1446" s="1" t="s">
        <v>2555</v>
      </c>
    </row>
    <row x14ac:dyDescent="0.25" r="1447" customHeight="1" ht="17.25" hidden="1">
      <c r="A1447" s="112" t="s">
        <v>4999</v>
      </c>
      <c r="B1447" s="1" t="s">
        <v>2549</v>
      </c>
      <c r="C1447" s="1" t="s">
        <v>55</v>
      </c>
      <c r="D1447" s="1" t="s">
        <v>5001</v>
      </c>
      <c r="E1447" s="62">
        <v>27</v>
      </c>
      <c r="F1447" s="1" t="s">
        <v>2551</v>
      </c>
      <c r="G1447" s="1" t="s">
        <v>2555</v>
      </c>
    </row>
    <row x14ac:dyDescent="0.25" r="1448" customHeight="1" ht="17.25" hidden="1">
      <c r="A1448" s="112" t="s">
        <v>5002</v>
      </c>
      <c r="B1448" s="1" t="s">
        <v>2549</v>
      </c>
      <c r="C1448" s="1" t="s">
        <v>55</v>
      </c>
      <c r="D1448" s="1" t="s">
        <v>5003</v>
      </c>
      <c r="E1448" s="62">
        <v>22</v>
      </c>
      <c r="F1448" s="1" t="s">
        <v>2551</v>
      </c>
      <c r="G1448" s="1" t="s">
        <v>2555</v>
      </c>
    </row>
    <row x14ac:dyDescent="0.25" r="1449" customHeight="1" ht="17.25" hidden="1">
      <c r="A1449" s="112" t="s">
        <v>5004</v>
      </c>
      <c r="B1449" s="1" t="s">
        <v>2549</v>
      </c>
      <c r="C1449" s="1" t="s">
        <v>55</v>
      </c>
      <c r="D1449" s="1" t="s">
        <v>5005</v>
      </c>
      <c r="E1449" s="62">
        <v>32</v>
      </c>
      <c r="F1449" s="1" t="s">
        <v>2551</v>
      </c>
      <c r="G1449" s="1" t="s">
        <v>2552</v>
      </c>
    </row>
    <row x14ac:dyDescent="0.25" r="1450" customHeight="1" ht="17.25" hidden="1">
      <c r="A1450" s="112" t="s">
        <v>5006</v>
      </c>
      <c r="B1450" s="1" t="s">
        <v>2549</v>
      </c>
      <c r="C1450" s="1" t="s">
        <v>55</v>
      </c>
      <c r="D1450" s="1" t="s">
        <v>5007</v>
      </c>
      <c r="E1450" s="62">
        <v>21</v>
      </c>
      <c r="F1450" s="1" t="s">
        <v>2551</v>
      </c>
      <c r="G1450" s="1" t="s">
        <v>2558</v>
      </c>
    </row>
    <row x14ac:dyDescent="0.25" r="1451" customHeight="1" ht="17.25" hidden="1">
      <c r="A1451" s="112" t="s">
        <v>5008</v>
      </c>
      <c r="B1451" s="1" t="s">
        <v>2549</v>
      </c>
      <c r="C1451" s="1" t="s">
        <v>55</v>
      </c>
      <c r="D1451" s="1" t="s">
        <v>5009</v>
      </c>
      <c r="E1451" s="62">
        <v>21</v>
      </c>
      <c r="F1451" s="1" t="s">
        <v>2551</v>
      </c>
      <c r="G1451" s="1" t="s">
        <v>2552</v>
      </c>
    </row>
    <row x14ac:dyDescent="0.25" r="1452" customHeight="1" ht="17.25" hidden="1">
      <c r="A1452" s="112" t="s">
        <v>5010</v>
      </c>
      <c r="B1452" s="1" t="s">
        <v>2549</v>
      </c>
      <c r="C1452" s="1" t="s">
        <v>55</v>
      </c>
      <c r="D1452" s="1" t="s">
        <v>5011</v>
      </c>
      <c r="E1452" s="62">
        <v>20</v>
      </c>
      <c r="F1452" s="1" t="s">
        <v>2551</v>
      </c>
      <c r="G1452" s="1" t="s">
        <v>2555</v>
      </c>
    </row>
    <row x14ac:dyDescent="0.25" r="1453" customHeight="1" ht="17.25" hidden="1">
      <c r="A1453" s="112" t="s">
        <v>5012</v>
      </c>
      <c r="B1453" s="1" t="s">
        <v>2549</v>
      </c>
      <c r="C1453" s="1" t="s">
        <v>55</v>
      </c>
      <c r="D1453" s="1" t="s">
        <v>5013</v>
      </c>
      <c r="E1453" s="62">
        <v>39</v>
      </c>
      <c r="F1453" s="1" t="s">
        <v>2561</v>
      </c>
      <c r="G1453" s="1" t="s">
        <v>2555</v>
      </c>
    </row>
    <row x14ac:dyDescent="0.25" r="1454" customHeight="1" ht="17.25" hidden="1">
      <c r="A1454" s="112" t="s">
        <v>5014</v>
      </c>
      <c r="B1454" s="1" t="s">
        <v>2549</v>
      </c>
      <c r="C1454" s="1" t="s">
        <v>55</v>
      </c>
      <c r="D1454" s="1" t="s">
        <v>5015</v>
      </c>
      <c r="E1454" s="62">
        <v>49</v>
      </c>
      <c r="F1454" s="1" t="s">
        <v>2551</v>
      </c>
      <c r="G1454" s="1" t="s">
        <v>2555</v>
      </c>
    </row>
    <row x14ac:dyDescent="0.25" r="1455" customHeight="1" ht="17.25" hidden="1">
      <c r="A1455" s="112" t="s">
        <v>5016</v>
      </c>
      <c r="B1455" s="1" t="s">
        <v>2549</v>
      </c>
      <c r="C1455" s="1" t="s">
        <v>55</v>
      </c>
      <c r="D1455" s="1" t="s">
        <v>5017</v>
      </c>
      <c r="E1455" s="62">
        <v>26</v>
      </c>
      <c r="F1455" s="1" t="s">
        <v>2551</v>
      </c>
      <c r="G1455" s="1" t="s">
        <v>2552</v>
      </c>
    </row>
    <row x14ac:dyDescent="0.25" r="1456" customHeight="1" ht="17.25" hidden="1">
      <c r="A1456" s="112" t="s">
        <v>5018</v>
      </c>
      <c r="B1456" s="1" t="s">
        <v>2549</v>
      </c>
      <c r="C1456" s="1" t="s">
        <v>55</v>
      </c>
      <c r="D1456" s="1" t="s">
        <v>5019</v>
      </c>
      <c r="E1456" s="62">
        <v>21</v>
      </c>
      <c r="F1456" s="1" t="s">
        <v>2551</v>
      </c>
      <c r="G1456" s="1" t="s">
        <v>2552</v>
      </c>
    </row>
    <row x14ac:dyDescent="0.25" r="1457" customHeight="1" ht="17.25" hidden="1">
      <c r="A1457" s="112" t="s">
        <v>5020</v>
      </c>
      <c r="B1457" s="1" t="s">
        <v>2549</v>
      </c>
      <c r="C1457" s="1" t="s">
        <v>55</v>
      </c>
      <c r="D1457" s="1" t="s">
        <v>5021</v>
      </c>
      <c r="E1457" s="62">
        <v>49</v>
      </c>
      <c r="F1457" s="1" t="s">
        <v>2551</v>
      </c>
      <c r="G1457" s="1" t="s">
        <v>2552</v>
      </c>
    </row>
    <row x14ac:dyDescent="0.25" r="1458" customHeight="1" ht="17.25" hidden="1">
      <c r="A1458" s="112" t="s">
        <v>5022</v>
      </c>
      <c r="B1458" s="1" t="s">
        <v>2549</v>
      </c>
      <c r="C1458" s="1" t="s">
        <v>55</v>
      </c>
      <c r="D1458" s="1" t="s">
        <v>5023</v>
      </c>
      <c r="E1458" s="62">
        <v>24</v>
      </c>
      <c r="F1458" s="1" t="s">
        <v>2551</v>
      </c>
      <c r="G1458" s="1" t="s">
        <v>2558</v>
      </c>
    </row>
    <row x14ac:dyDescent="0.25" r="1459" customHeight="1" ht="17.25" hidden="1">
      <c r="A1459" s="112" t="s">
        <v>5022</v>
      </c>
      <c r="B1459" s="1" t="s">
        <v>2549</v>
      </c>
      <c r="C1459" s="1" t="s">
        <v>55</v>
      </c>
      <c r="D1459" s="1" t="s">
        <v>5023</v>
      </c>
      <c r="E1459" s="62">
        <v>24</v>
      </c>
      <c r="F1459" s="1" t="s">
        <v>2551</v>
      </c>
      <c r="G1459" s="1" t="s">
        <v>2571</v>
      </c>
    </row>
    <row x14ac:dyDescent="0.25" r="1460" customHeight="1" ht="17.25" hidden="1">
      <c r="A1460" s="112" t="s">
        <v>5022</v>
      </c>
      <c r="B1460" s="1" t="s">
        <v>2549</v>
      </c>
      <c r="C1460" s="1" t="s">
        <v>55</v>
      </c>
      <c r="D1460" s="1" t="s">
        <v>5024</v>
      </c>
      <c r="E1460" s="62">
        <v>28</v>
      </c>
      <c r="F1460" s="1" t="s">
        <v>2551</v>
      </c>
      <c r="G1460" s="1" t="s">
        <v>2552</v>
      </c>
    </row>
    <row x14ac:dyDescent="0.25" r="1461" customHeight="1" ht="17.25" hidden="1">
      <c r="A1461" s="112" t="s">
        <v>5025</v>
      </c>
      <c r="B1461" s="1" t="s">
        <v>2549</v>
      </c>
      <c r="C1461" s="1" t="s">
        <v>55</v>
      </c>
      <c r="D1461" s="1" t="s">
        <v>5026</v>
      </c>
      <c r="E1461" s="62">
        <v>43</v>
      </c>
      <c r="F1461" s="1" t="s">
        <v>2551</v>
      </c>
      <c r="G1461" s="1" t="s">
        <v>2571</v>
      </c>
    </row>
    <row x14ac:dyDescent="0.25" r="1462" customHeight="1" ht="17.25" hidden="1">
      <c r="A1462" s="112" t="s">
        <v>5027</v>
      </c>
      <c r="B1462" s="1" t="s">
        <v>2549</v>
      </c>
      <c r="C1462" s="1" t="s">
        <v>55</v>
      </c>
      <c r="D1462" s="1" t="s">
        <v>5028</v>
      </c>
      <c r="E1462" s="62">
        <v>23</v>
      </c>
      <c r="F1462" s="1" t="s">
        <v>2551</v>
      </c>
      <c r="G1462" s="1" t="s">
        <v>2555</v>
      </c>
    </row>
    <row x14ac:dyDescent="0.25" r="1463" customHeight="1" ht="17.25" hidden="1">
      <c r="A1463" s="112" t="s">
        <v>5029</v>
      </c>
      <c r="B1463" s="1" t="s">
        <v>2549</v>
      </c>
      <c r="C1463" s="1" t="s">
        <v>55</v>
      </c>
      <c r="D1463" s="1" t="s">
        <v>5030</v>
      </c>
      <c r="E1463" s="62">
        <v>51</v>
      </c>
      <c r="F1463" s="1" t="s">
        <v>2551</v>
      </c>
      <c r="G1463" s="1" t="s">
        <v>2555</v>
      </c>
    </row>
    <row x14ac:dyDescent="0.25" r="1464" customHeight="1" ht="17.25" hidden="1">
      <c r="A1464" s="112" t="s">
        <v>5031</v>
      </c>
      <c r="B1464" s="1" t="s">
        <v>2549</v>
      </c>
      <c r="C1464" s="1" t="s">
        <v>55</v>
      </c>
      <c r="D1464" s="1" t="s">
        <v>5032</v>
      </c>
      <c r="E1464" s="62">
        <v>21</v>
      </c>
      <c r="F1464" s="1" t="s">
        <v>2551</v>
      </c>
      <c r="G1464" s="1" t="s">
        <v>2552</v>
      </c>
    </row>
    <row x14ac:dyDescent="0.25" r="1465" customHeight="1" ht="17.25" hidden="1">
      <c r="A1465" s="112" t="s">
        <v>5033</v>
      </c>
      <c r="B1465" s="1" t="s">
        <v>2549</v>
      </c>
      <c r="C1465" s="1" t="s">
        <v>55</v>
      </c>
      <c r="D1465" s="1" t="s">
        <v>5034</v>
      </c>
      <c r="E1465" s="62">
        <v>22</v>
      </c>
      <c r="F1465" s="1" t="s">
        <v>2551</v>
      </c>
      <c r="G1465" s="1" t="s">
        <v>2552</v>
      </c>
    </row>
    <row x14ac:dyDescent="0.25" r="1466" customHeight="1" ht="17.25" hidden="1">
      <c r="A1466" s="112" t="s">
        <v>5035</v>
      </c>
      <c r="B1466" s="1" t="s">
        <v>2549</v>
      </c>
      <c r="C1466" s="1" t="s">
        <v>55</v>
      </c>
      <c r="D1466" s="1" t="s">
        <v>5036</v>
      </c>
      <c r="E1466" s="62">
        <v>18</v>
      </c>
      <c r="F1466" s="1" t="s">
        <v>2551</v>
      </c>
      <c r="G1466" s="1" t="s">
        <v>2558</v>
      </c>
    </row>
    <row x14ac:dyDescent="0.25" r="1467" customHeight="1" ht="17.25" hidden="1">
      <c r="A1467" s="112" t="s">
        <v>5037</v>
      </c>
      <c r="B1467" s="1" t="s">
        <v>2549</v>
      </c>
      <c r="C1467" s="1" t="s">
        <v>55</v>
      </c>
      <c r="D1467" s="1" t="s">
        <v>5038</v>
      </c>
      <c r="E1467" s="62">
        <v>18</v>
      </c>
      <c r="F1467" s="1" t="s">
        <v>2551</v>
      </c>
      <c r="G1467" s="1" t="s">
        <v>2552</v>
      </c>
    </row>
    <row x14ac:dyDescent="0.25" r="1468" customHeight="1" ht="17.25" hidden="1">
      <c r="A1468" s="112" t="s">
        <v>5039</v>
      </c>
      <c r="B1468" s="1" t="s">
        <v>2549</v>
      </c>
      <c r="C1468" s="1" t="s">
        <v>55</v>
      </c>
      <c r="D1468" s="1" t="s">
        <v>5040</v>
      </c>
      <c r="E1468" s="62">
        <v>26</v>
      </c>
      <c r="F1468" s="1" t="s">
        <v>2551</v>
      </c>
      <c r="G1468" s="1" t="s">
        <v>2552</v>
      </c>
    </row>
    <row x14ac:dyDescent="0.25" r="1469" customHeight="1" ht="17.25" hidden="1">
      <c r="A1469" s="112" t="s">
        <v>5039</v>
      </c>
      <c r="B1469" s="1" t="s">
        <v>2549</v>
      </c>
      <c r="C1469" s="1" t="s">
        <v>55</v>
      </c>
      <c r="D1469" s="1" t="s">
        <v>5041</v>
      </c>
      <c r="E1469" s="62">
        <v>25</v>
      </c>
      <c r="F1469" s="1" t="s">
        <v>2551</v>
      </c>
      <c r="G1469" s="1" t="s">
        <v>2552</v>
      </c>
    </row>
    <row x14ac:dyDescent="0.25" r="1470" customHeight="1" ht="17.25" hidden="1">
      <c r="A1470" s="112" t="s">
        <v>5042</v>
      </c>
      <c r="B1470" s="1" t="s">
        <v>2549</v>
      </c>
      <c r="C1470" s="1" t="s">
        <v>55</v>
      </c>
      <c r="D1470" s="1" t="s">
        <v>5043</v>
      </c>
      <c r="E1470" s="62">
        <v>19</v>
      </c>
      <c r="F1470" s="1" t="s">
        <v>2551</v>
      </c>
      <c r="G1470" s="1" t="s">
        <v>2552</v>
      </c>
    </row>
    <row x14ac:dyDescent="0.25" r="1471" customHeight="1" ht="17.25" hidden="1">
      <c r="A1471" s="112" t="s">
        <v>771</v>
      </c>
      <c r="B1471" s="1" t="s">
        <v>2549</v>
      </c>
      <c r="C1471" s="1" t="s">
        <v>55</v>
      </c>
      <c r="D1471" s="1" t="s">
        <v>772</v>
      </c>
      <c r="E1471" s="62">
        <v>21</v>
      </c>
      <c r="F1471" s="1" t="s">
        <v>2551</v>
      </c>
      <c r="G1471" s="1" t="s">
        <v>2552</v>
      </c>
    </row>
    <row x14ac:dyDescent="0.25" r="1472" customHeight="1" ht="17.25" hidden="1">
      <c r="A1472" s="112" t="s">
        <v>5044</v>
      </c>
      <c r="B1472" s="1" t="s">
        <v>2549</v>
      </c>
      <c r="C1472" s="1" t="s">
        <v>55</v>
      </c>
      <c r="D1472" s="1" t="s">
        <v>5045</v>
      </c>
      <c r="E1472" s="62">
        <v>23</v>
      </c>
      <c r="F1472" s="1" t="s">
        <v>2551</v>
      </c>
      <c r="G1472" s="1" t="s">
        <v>2558</v>
      </c>
    </row>
    <row x14ac:dyDescent="0.25" r="1473" customHeight="1" ht="17.25" hidden="1">
      <c r="A1473" s="112" t="s">
        <v>5046</v>
      </c>
      <c r="B1473" s="1" t="s">
        <v>2549</v>
      </c>
      <c r="C1473" s="1" t="s">
        <v>55</v>
      </c>
      <c r="D1473" s="1" t="s">
        <v>5047</v>
      </c>
      <c r="E1473" s="62">
        <v>32</v>
      </c>
      <c r="F1473" s="1" t="s">
        <v>2551</v>
      </c>
      <c r="G1473" s="1" t="s">
        <v>2552</v>
      </c>
    </row>
    <row x14ac:dyDescent="0.25" r="1474" customHeight="1" ht="17.25" hidden="1">
      <c r="A1474" s="112" t="s">
        <v>5048</v>
      </c>
      <c r="B1474" s="1" t="s">
        <v>2549</v>
      </c>
      <c r="C1474" s="1" t="s">
        <v>56</v>
      </c>
      <c r="D1474" s="1" t="s">
        <v>5049</v>
      </c>
      <c r="E1474" s="62">
        <v>30</v>
      </c>
      <c r="F1474" s="1" t="s">
        <v>2551</v>
      </c>
      <c r="G1474" s="1" t="s">
        <v>2552</v>
      </c>
    </row>
    <row x14ac:dyDescent="0.25" r="1475" customHeight="1" ht="17.25" hidden="1">
      <c r="A1475" s="112" t="s">
        <v>5050</v>
      </c>
      <c r="B1475" s="1" t="s">
        <v>2549</v>
      </c>
      <c r="C1475" s="1" t="s">
        <v>56</v>
      </c>
      <c r="D1475" s="1" t="s">
        <v>5051</v>
      </c>
      <c r="E1475" s="62">
        <v>33</v>
      </c>
      <c r="F1475" s="1" t="s">
        <v>2551</v>
      </c>
      <c r="G1475" s="1" t="s">
        <v>2552</v>
      </c>
    </row>
    <row x14ac:dyDescent="0.25" r="1476" customHeight="1" ht="17.25" hidden="1">
      <c r="A1476" s="112" t="s">
        <v>5052</v>
      </c>
      <c r="B1476" s="1" t="s">
        <v>2549</v>
      </c>
      <c r="C1476" s="1" t="s">
        <v>56</v>
      </c>
      <c r="D1476" s="1" t="s">
        <v>5053</v>
      </c>
      <c r="E1476" s="62">
        <v>19</v>
      </c>
      <c r="F1476" s="1" t="s">
        <v>2551</v>
      </c>
      <c r="G1476" s="1" t="s">
        <v>2558</v>
      </c>
    </row>
    <row x14ac:dyDescent="0.25" r="1477" customHeight="1" ht="17.25" hidden="1">
      <c r="A1477" s="112" t="s">
        <v>5054</v>
      </c>
      <c r="B1477" s="1" t="s">
        <v>2549</v>
      </c>
      <c r="C1477" s="1" t="s">
        <v>56</v>
      </c>
      <c r="D1477" s="1" t="s">
        <v>5055</v>
      </c>
      <c r="E1477" s="62">
        <v>23</v>
      </c>
      <c r="F1477" s="1" t="s">
        <v>2551</v>
      </c>
      <c r="G1477" s="1" t="s">
        <v>2555</v>
      </c>
    </row>
    <row x14ac:dyDescent="0.25" r="1478" customHeight="1" ht="17.25" hidden="1">
      <c r="A1478" s="112" t="s">
        <v>5056</v>
      </c>
      <c r="B1478" s="1" t="s">
        <v>2549</v>
      </c>
      <c r="C1478" s="1" t="s">
        <v>56</v>
      </c>
      <c r="D1478" s="1" t="s">
        <v>5057</v>
      </c>
      <c r="E1478" s="62">
        <v>31</v>
      </c>
      <c r="F1478" s="1" t="s">
        <v>2551</v>
      </c>
      <c r="G1478" s="1" t="s">
        <v>2558</v>
      </c>
    </row>
    <row x14ac:dyDescent="0.25" r="1479" customHeight="1" ht="17.25" hidden="1">
      <c r="A1479" s="112" t="s">
        <v>5058</v>
      </c>
      <c r="B1479" s="1" t="s">
        <v>2549</v>
      </c>
      <c r="C1479" s="1" t="s">
        <v>56</v>
      </c>
      <c r="D1479" s="1" t="s">
        <v>5059</v>
      </c>
      <c r="E1479" s="62">
        <v>34</v>
      </c>
      <c r="F1479" s="1" t="s">
        <v>2551</v>
      </c>
      <c r="G1479" s="1" t="s">
        <v>2552</v>
      </c>
    </row>
    <row x14ac:dyDescent="0.25" r="1480" customHeight="1" ht="17.25" hidden="1">
      <c r="A1480" s="112" t="s">
        <v>5060</v>
      </c>
      <c r="B1480" s="1" t="s">
        <v>2549</v>
      </c>
      <c r="C1480" s="1" t="s">
        <v>56</v>
      </c>
      <c r="D1480" s="1" t="s">
        <v>5061</v>
      </c>
      <c r="E1480" s="62">
        <v>41</v>
      </c>
      <c r="F1480" s="1" t="s">
        <v>2551</v>
      </c>
      <c r="G1480" s="1" t="s">
        <v>2552</v>
      </c>
    </row>
    <row x14ac:dyDescent="0.25" r="1481" customHeight="1" ht="17.25" hidden="1">
      <c r="A1481" s="112" t="s">
        <v>5062</v>
      </c>
      <c r="B1481" s="1" t="s">
        <v>2549</v>
      </c>
      <c r="C1481" s="1" t="s">
        <v>56</v>
      </c>
      <c r="D1481" s="1" t="s">
        <v>5063</v>
      </c>
      <c r="E1481" s="62">
        <v>42</v>
      </c>
      <c r="F1481" s="1" t="s">
        <v>2551</v>
      </c>
      <c r="G1481" s="1" t="s">
        <v>2558</v>
      </c>
    </row>
    <row x14ac:dyDescent="0.25" r="1482" customHeight="1" ht="17.25" hidden="1">
      <c r="A1482" s="112" t="s">
        <v>5064</v>
      </c>
      <c r="B1482" s="1" t="s">
        <v>2549</v>
      </c>
      <c r="C1482" s="1" t="s">
        <v>56</v>
      </c>
      <c r="D1482" s="1" t="s">
        <v>5065</v>
      </c>
      <c r="E1482" s="62">
        <v>52</v>
      </c>
      <c r="F1482" s="1" t="s">
        <v>2551</v>
      </c>
      <c r="G1482" s="1" t="s">
        <v>2555</v>
      </c>
    </row>
    <row x14ac:dyDescent="0.25" r="1483" customHeight="1" ht="17.25" hidden="1">
      <c r="A1483" s="112" t="s">
        <v>5066</v>
      </c>
      <c r="B1483" s="1" t="s">
        <v>2549</v>
      </c>
      <c r="C1483" s="1" t="s">
        <v>56</v>
      </c>
      <c r="D1483" s="1" t="s">
        <v>5067</v>
      </c>
      <c r="E1483" s="62">
        <v>56</v>
      </c>
      <c r="F1483" s="1" t="s">
        <v>2551</v>
      </c>
      <c r="G1483" s="1" t="s">
        <v>2552</v>
      </c>
    </row>
    <row x14ac:dyDescent="0.25" r="1484" customHeight="1" ht="17.25" hidden="1">
      <c r="A1484" s="112" t="s">
        <v>5068</v>
      </c>
      <c r="B1484" s="1" t="s">
        <v>2549</v>
      </c>
      <c r="C1484" s="1" t="s">
        <v>56</v>
      </c>
      <c r="D1484" s="1" t="s">
        <v>5069</v>
      </c>
      <c r="E1484" s="62">
        <v>24</v>
      </c>
      <c r="F1484" s="1" t="s">
        <v>2551</v>
      </c>
      <c r="G1484" s="1" t="s">
        <v>2552</v>
      </c>
    </row>
    <row x14ac:dyDescent="0.25" r="1485" customHeight="1" ht="17.25" hidden="1">
      <c r="A1485" s="112" t="s">
        <v>5070</v>
      </c>
      <c r="B1485" s="1" t="s">
        <v>2549</v>
      </c>
      <c r="C1485" s="1" t="s">
        <v>56</v>
      </c>
      <c r="D1485" s="1" t="s">
        <v>5071</v>
      </c>
      <c r="E1485" s="62">
        <v>19</v>
      </c>
      <c r="F1485" s="1" t="s">
        <v>2551</v>
      </c>
      <c r="G1485" s="1" t="s">
        <v>2555</v>
      </c>
    </row>
    <row x14ac:dyDescent="0.25" r="1486" customHeight="1" ht="17.25" hidden="1">
      <c r="A1486" s="112" t="s">
        <v>5070</v>
      </c>
      <c r="B1486" s="1" t="s">
        <v>2549</v>
      </c>
      <c r="C1486" s="1" t="s">
        <v>56</v>
      </c>
      <c r="D1486" s="1" t="s">
        <v>5072</v>
      </c>
      <c r="E1486" s="62">
        <v>19</v>
      </c>
      <c r="F1486" s="1" t="s">
        <v>2551</v>
      </c>
      <c r="G1486" s="1" t="s">
        <v>2555</v>
      </c>
    </row>
    <row x14ac:dyDescent="0.25" r="1487" customHeight="1" ht="17.25" hidden="1">
      <c r="A1487" s="112" t="s">
        <v>5070</v>
      </c>
      <c r="B1487" s="1" t="s">
        <v>2549</v>
      </c>
      <c r="C1487" s="1" t="s">
        <v>56</v>
      </c>
      <c r="D1487" s="1" t="s">
        <v>5073</v>
      </c>
      <c r="E1487" s="62">
        <v>28</v>
      </c>
      <c r="F1487" s="1" t="s">
        <v>2551</v>
      </c>
      <c r="G1487" s="1" t="s">
        <v>2555</v>
      </c>
    </row>
    <row x14ac:dyDescent="0.25" r="1488" customHeight="1" ht="17.25" hidden="1">
      <c r="A1488" s="112" t="s">
        <v>5070</v>
      </c>
      <c r="B1488" s="1" t="s">
        <v>2549</v>
      </c>
      <c r="C1488" s="1" t="s">
        <v>56</v>
      </c>
      <c r="D1488" s="1" t="s">
        <v>5074</v>
      </c>
      <c r="E1488" s="62">
        <v>21</v>
      </c>
      <c r="F1488" s="1" t="s">
        <v>2551</v>
      </c>
      <c r="G1488" s="1" t="s">
        <v>2555</v>
      </c>
    </row>
    <row x14ac:dyDescent="0.25" r="1489" customHeight="1" ht="17.25" hidden="1">
      <c r="A1489" s="112" t="s">
        <v>5075</v>
      </c>
      <c r="B1489" s="1" t="s">
        <v>2549</v>
      </c>
      <c r="C1489" s="1" t="s">
        <v>56</v>
      </c>
      <c r="D1489" s="1" t="s">
        <v>5076</v>
      </c>
      <c r="E1489" s="62">
        <v>25</v>
      </c>
      <c r="F1489" s="1" t="s">
        <v>2551</v>
      </c>
      <c r="G1489" s="1" t="s">
        <v>2555</v>
      </c>
    </row>
    <row x14ac:dyDescent="0.25" r="1490" customHeight="1" ht="17.25" hidden="1">
      <c r="A1490" s="112" t="s">
        <v>5075</v>
      </c>
      <c r="B1490" s="1" t="s">
        <v>2549</v>
      </c>
      <c r="C1490" s="1" t="s">
        <v>56</v>
      </c>
      <c r="D1490" s="1" t="s">
        <v>5077</v>
      </c>
      <c r="E1490" s="62">
        <v>21</v>
      </c>
      <c r="F1490" s="1" t="s">
        <v>2551</v>
      </c>
      <c r="G1490" s="1" t="s">
        <v>2555</v>
      </c>
    </row>
    <row x14ac:dyDescent="0.25" r="1491" customHeight="1" ht="17.25" hidden="1">
      <c r="A1491" s="112" t="s">
        <v>5078</v>
      </c>
      <c r="B1491" s="1" t="s">
        <v>2549</v>
      </c>
      <c r="C1491" s="1" t="s">
        <v>56</v>
      </c>
      <c r="D1491" s="1" t="s">
        <v>5079</v>
      </c>
      <c r="E1491" s="62">
        <v>45</v>
      </c>
      <c r="F1491" s="1" t="s">
        <v>2551</v>
      </c>
      <c r="G1491" s="1" t="s">
        <v>2552</v>
      </c>
    </row>
    <row x14ac:dyDescent="0.25" r="1492" customHeight="1" ht="17.25" hidden="1">
      <c r="A1492" s="112" t="s">
        <v>5080</v>
      </c>
      <c r="B1492" s="1" t="s">
        <v>2549</v>
      </c>
      <c r="C1492" s="1" t="s">
        <v>56</v>
      </c>
      <c r="D1492" s="1" t="s">
        <v>5081</v>
      </c>
      <c r="E1492" s="62">
        <v>31</v>
      </c>
      <c r="F1492" s="1" t="s">
        <v>2551</v>
      </c>
      <c r="G1492" s="1" t="s">
        <v>2555</v>
      </c>
    </row>
    <row x14ac:dyDescent="0.25" r="1493" customHeight="1" ht="17.25" hidden="1">
      <c r="A1493" s="112" t="s">
        <v>5082</v>
      </c>
      <c r="B1493" s="1" t="s">
        <v>2549</v>
      </c>
      <c r="C1493" s="1" t="s">
        <v>56</v>
      </c>
      <c r="D1493" s="1" t="s">
        <v>5083</v>
      </c>
      <c r="E1493" s="62">
        <v>35</v>
      </c>
      <c r="F1493" s="1" t="s">
        <v>2551</v>
      </c>
      <c r="G1493" s="1" t="s">
        <v>2552</v>
      </c>
    </row>
    <row x14ac:dyDescent="0.25" r="1494" customHeight="1" ht="17.25" hidden="1">
      <c r="A1494" s="112" t="s">
        <v>5084</v>
      </c>
      <c r="B1494" s="1" t="s">
        <v>2549</v>
      </c>
      <c r="C1494" s="1" t="s">
        <v>56</v>
      </c>
      <c r="D1494" s="1" t="s">
        <v>5085</v>
      </c>
      <c r="E1494" s="62">
        <v>26</v>
      </c>
      <c r="F1494" s="1" t="s">
        <v>2551</v>
      </c>
      <c r="G1494" s="1" t="s">
        <v>2571</v>
      </c>
    </row>
    <row x14ac:dyDescent="0.25" r="1495" customHeight="1" ht="17.25" hidden="1">
      <c r="A1495" s="112" t="s">
        <v>5086</v>
      </c>
      <c r="B1495" s="1" t="s">
        <v>2549</v>
      </c>
      <c r="C1495" s="1" t="s">
        <v>56</v>
      </c>
      <c r="D1495" s="1" t="s">
        <v>5087</v>
      </c>
      <c r="E1495" s="62">
        <v>23</v>
      </c>
      <c r="F1495" s="1" t="s">
        <v>2551</v>
      </c>
      <c r="G1495" s="1" t="s">
        <v>2555</v>
      </c>
    </row>
    <row x14ac:dyDescent="0.25" r="1496" customHeight="1" ht="17.25" hidden="1">
      <c r="A1496" s="112" t="s">
        <v>1958</v>
      </c>
      <c r="B1496" s="1" t="s">
        <v>2549</v>
      </c>
      <c r="C1496" s="1" t="s">
        <v>56</v>
      </c>
      <c r="D1496" s="1" t="s">
        <v>1960</v>
      </c>
      <c r="E1496" s="62">
        <v>31</v>
      </c>
      <c r="F1496" s="1" t="s">
        <v>2551</v>
      </c>
      <c r="G1496" s="1" t="s">
        <v>2555</v>
      </c>
    </row>
    <row x14ac:dyDescent="0.25" r="1497" customHeight="1" ht="17.25" hidden="1">
      <c r="A1497" s="112" t="s">
        <v>1277</v>
      </c>
      <c r="B1497" s="1" t="s">
        <v>2549</v>
      </c>
      <c r="C1497" s="1" t="s">
        <v>56</v>
      </c>
      <c r="D1497" s="1" t="s">
        <v>5088</v>
      </c>
      <c r="E1497" s="62">
        <v>39</v>
      </c>
      <c r="F1497" s="1" t="s">
        <v>2551</v>
      </c>
      <c r="G1497" s="1" t="s">
        <v>2555</v>
      </c>
    </row>
    <row x14ac:dyDescent="0.25" r="1498" customHeight="1" ht="17.25" hidden="1">
      <c r="A1498" s="112" t="s">
        <v>1277</v>
      </c>
      <c r="B1498" s="1" t="s">
        <v>2549</v>
      </c>
      <c r="C1498" s="1" t="s">
        <v>56</v>
      </c>
      <c r="D1498" s="1" t="s">
        <v>5089</v>
      </c>
      <c r="E1498" s="62">
        <v>21</v>
      </c>
      <c r="F1498" s="1" t="s">
        <v>2551</v>
      </c>
      <c r="G1498" s="1" t="s">
        <v>2555</v>
      </c>
    </row>
    <row x14ac:dyDescent="0.25" r="1499" customHeight="1" ht="17.25" hidden="1">
      <c r="A1499" s="112" t="s">
        <v>5090</v>
      </c>
      <c r="B1499" s="1" t="s">
        <v>2549</v>
      </c>
      <c r="C1499" s="1" t="s">
        <v>56</v>
      </c>
      <c r="D1499" s="1" t="s">
        <v>5091</v>
      </c>
      <c r="E1499" s="62">
        <v>46</v>
      </c>
      <c r="F1499" s="1" t="s">
        <v>2551</v>
      </c>
      <c r="G1499" s="1" t="s">
        <v>2552</v>
      </c>
    </row>
    <row x14ac:dyDescent="0.25" r="1500" customHeight="1" ht="17.25" hidden="1">
      <c r="A1500" s="112" t="s">
        <v>5092</v>
      </c>
      <c r="B1500" s="1" t="s">
        <v>2549</v>
      </c>
      <c r="C1500" s="1" t="s">
        <v>56</v>
      </c>
      <c r="D1500" s="1" t="s">
        <v>5093</v>
      </c>
      <c r="E1500" s="54" t="s">
        <v>2571</v>
      </c>
      <c r="F1500" s="1" t="s">
        <v>2561</v>
      </c>
      <c r="G1500" s="1" t="s">
        <v>5094</v>
      </c>
    </row>
    <row x14ac:dyDescent="0.25" r="1501" customHeight="1" ht="17.25" hidden="1">
      <c r="A1501" s="112" t="s">
        <v>5092</v>
      </c>
      <c r="B1501" s="1" t="s">
        <v>2549</v>
      </c>
      <c r="C1501" s="1" t="s">
        <v>56</v>
      </c>
      <c r="D1501" s="1" t="s">
        <v>5095</v>
      </c>
      <c r="E1501" s="54" t="s">
        <v>2571</v>
      </c>
      <c r="F1501" s="1" t="s">
        <v>2551</v>
      </c>
      <c r="G1501" s="1" t="s">
        <v>2552</v>
      </c>
    </row>
    <row x14ac:dyDescent="0.25" r="1502" customHeight="1" ht="17.25" hidden="1">
      <c r="A1502" s="112" t="s">
        <v>5092</v>
      </c>
      <c r="B1502" s="1" t="s">
        <v>2549</v>
      </c>
      <c r="C1502" s="1" t="s">
        <v>56</v>
      </c>
      <c r="D1502" s="1" t="s">
        <v>5096</v>
      </c>
      <c r="E1502" s="54" t="s">
        <v>2571</v>
      </c>
      <c r="F1502" s="1" t="s">
        <v>2551</v>
      </c>
      <c r="G1502" s="1" t="s">
        <v>2555</v>
      </c>
    </row>
    <row x14ac:dyDescent="0.25" r="1503" customHeight="1" ht="17.25" hidden="1">
      <c r="A1503" s="112" t="s">
        <v>5097</v>
      </c>
      <c r="B1503" s="1" t="s">
        <v>2549</v>
      </c>
      <c r="C1503" s="1" t="s">
        <v>56</v>
      </c>
      <c r="D1503" s="1" t="s">
        <v>5098</v>
      </c>
      <c r="E1503" s="54" t="s">
        <v>2571</v>
      </c>
      <c r="F1503" s="1" t="s">
        <v>2551</v>
      </c>
      <c r="G1503" s="1" t="s">
        <v>2558</v>
      </c>
    </row>
    <row x14ac:dyDescent="0.25" r="1504" customHeight="1" ht="17.25" hidden="1">
      <c r="A1504" s="112" t="s">
        <v>5097</v>
      </c>
      <c r="B1504" s="1" t="s">
        <v>2549</v>
      </c>
      <c r="C1504" s="1" t="s">
        <v>56</v>
      </c>
      <c r="D1504" s="1" t="s">
        <v>5099</v>
      </c>
      <c r="E1504" s="62">
        <v>20</v>
      </c>
      <c r="F1504" s="1" t="s">
        <v>2551</v>
      </c>
      <c r="G1504" s="1" t="s">
        <v>2552</v>
      </c>
    </row>
    <row x14ac:dyDescent="0.25" r="1505" customHeight="1" ht="17.25" hidden="1">
      <c r="A1505" s="112" t="s">
        <v>5100</v>
      </c>
      <c r="B1505" s="1" t="s">
        <v>2549</v>
      </c>
      <c r="C1505" s="1" t="s">
        <v>56</v>
      </c>
      <c r="D1505" s="1" t="s">
        <v>5101</v>
      </c>
      <c r="E1505" s="62">
        <v>24</v>
      </c>
      <c r="F1505" s="1" t="s">
        <v>2551</v>
      </c>
      <c r="G1505" s="1" t="s">
        <v>2552</v>
      </c>
    </row>
    <row x14ac:dyDescent="0.25" r="1506" customHeight="1" ht="17.25" hidden="1">
      <c r="A1506" s="112" t="s">
        <v>5102</v>
      </c>
      <c r="B1506" s="1" t="s">
        <v>2549</v>
      </c>
      <c r="C1506" s="1" t="s">
        <v>56</v>
      </c>
      <c r="D1506" s="1" t="s">
        <v>5103</v>
      </c>
      <c r="E1506" s="54" t="s">
        <v>2571</v>
      </c>
      <c r="F1506" s="1" t="s">
        <v>2561</v>
      </c>
      <c r="G1506" s="1" t="s">
        <v>2555</v>
      </c>
    </row>
    <row x14ac:dyDescent="0.25" r="1507" customHeight="1" ht="17.25" hidden="1">
      <c r="A1507" s="112" t="s">
        <v>5104</v>
      </c>
      <c r="B1507" s="1" t="s">
        <v>2549</v>
      </c>
      <c r="C1507" s="1" t="s">
        <v>56</v>
      </c>
      <c r="D1507" s="1" t="s">
        <v>5105</v>
      </c>
      <c r="E1507" s="62">
        <v>24</v>
      </c>
      <c r="F1507" s="1" t="s">
        <v>2551</v>
      </c>
      <c r="G1507" s="1" t="s">
        <v>2552</v>
      </c>
    </row>
    <row x14ac:dyDescent="0.25" r="1508" customHeight="1" ht="17.25" hidden="1">
      <c r="A1508" s="112" t="s">
        <v>5106</v>
      </c>
      <c r="B1508" s="1" t="s">
        <v>2549</v>
      </c>
      <c r="C1508" s="1" t="s">
        <v>56</v>
      </c>
      <c r="D1508" s="1" t="s">
        <v>5107</v>
      </c>
      <c r="E1508" s="54" t="s">
        <v>2571</v>
      </c>
      <c r="F1508" s="1" t="s">
        <v>2551</v>
      </c>
      <c r="G1508" s="1" t="s">
        <v>2552</v>
      </c>
    </row>
    <row x14ac:dyDescent="0.25" r="1509" customHeight="1" ht="17.25" hidden="1">
      <c r="A1509" s="112" t="s">
        <v>5106</v>
      </c>
      <c r="B1509" s="1" t="s">
        <v>2549</v>
      </c>
      <c r="C1509" s="1" t="s">
        <v>56</v>
      </c>
      <c r="D1509" s="1" t="s">
        <v>5108</v>
      </c>
      <c r="E1509" s="54" t="s">
        <v>2571</v>
      </c>
      <c r="F1509" s="1" t="s">
        <v>2551</v>
      </c>
      <c r="G1509" s="1" t="s">
        <v>2552</v>
      </c>
    </row>
    <row x14ac:dyDescent="0.25" r="1510" customHeight="1" ht="17.25" hidden="1">
      <c r="A1510" s="112" t="s">
        <v>5106</v>
      </c>
      <c r="B1510" s="1" t="s">
        <v>2549</v>
      </c>
      <c r="C1510" s="1" t="s">
        <v>56</v>
      </c>
      <c r="D1510" s="1" t="s">
        <v>5109</v>
      </c>
      <c r="E1510" s="54" t="s">
        <v>2571</v>
      </c>
      <c r="F1510" s="1" t="s">
        <v>2551</v>
      </c>
      <c r="G1510" s="1" t="s">
        <v>2552</v>
      </c>
    </row>
    <row x14ac:dyDescent="0.25" r="1511" customHeight="1" ht="17.25" hidden="1">
      <c r="A1511" s="112" t="s">
        <v>5106</v>
      </c>
      <c r="B1511" s="1" t="s">
        <v>2549</v>
      </c>
      <c r="C1511" s="1" t="s">
        <v>56</v>
      </c>
      <c r="D1511" s="1" t="s">
        <v>5110</v>
      </c>
      <c r="E1511" s="54" t="s">
        <v>2571</v>
      </c>
      <c r="F1511" s="1" t="s">
        <v>2551</v>
      </c>
      <c r="G1511" s="1" t="s">
        <v>2552</v>
      </c>
    </row>
    <row x14ac:dyDescent="0.25" r="1512" customHeight="1" ht="17.25" hidden="1">
      <c r="A1512" s="112" t="s">
        <v>5111</v>
      </c>
      <c r="B1512" s="1" t="s">
        <v>2549</v>
      </c>
      <c r="C1512" s="1" t="s">
        <v>56</v>
      </c>
      <c r="D1512" s="1" t="s">
        <v>5112</v>
      </c>
      <c r="E1512" s="62">
        <v>26</v>
      </c>
      <c r="F1512" s="1" t="s">
        <v>2551</v>
      </c>
      <c r="G1512" s="1" t="s">
        <v>2555</v>
      </c>
    </row>
    <row x14ac:dyDescent="0.25" r="1513" customHeight="1" ht="17.25" hidden="1">
      <c r="A1513" s="112" t="s">
        <v>5111</v>
      </c>
      <c r="B1513" s="1" t="s">
        <v>2549</v>
      </c>
      <c r="C1513" s="1" t="s">
        <v>56</v>
      </c>
      <c r="D1513" s="1" t="s">
        <v>5113</v>
      </c>
      <c r="E1513" s="62">
        <v>25</v>
      </c>
      <c r="F1513" s="1" t="s">
        <v>2551</v>
      </c>
      <c r="G1513" s="1" t="s">
        <v>2555</v>
      </c>
    </row>
    <row x14ac:dyDescent="0.25" r="1514" customHeight="1" ht="17.25" hidden="1">
      <c r="A1514" s="112" t="s">
        <v>5111</v>
      </c>
      <c r="B1514" s="1" t="s">
        <v>2549</v>
      </c>
      <c r="C1514" s="1" t="s">
        <v>56</v>
      </c>
      <c r="D1514" s="1" t="s">
        <v>5114</v>
      </c>
      <c r="E1514" s="62">
        <v>30</v>
      </c>
      <c r="F1514" s="1" t="s">
        <v>2551</v>
      </c>
      <c r="G1514" s="1" t="s">
        <v>2555</v>
      </c>
    </row>
    <row x14ac:dyDescent="0.25" r="1515" customHeight="1" ht="17.25" hidden="1">
      <c r="A1515" s="112" t="s">
        <v>5115</v>
      </c>
      <c r="B1515" s="1" t="s">
        <v>2549</v>
      </c>
      <c r="C1515" s="1" t="s">
        <v>56</v>
      </c>
      <c r="D1515" s="1" t="s">
        <v>5116</v>
      </c>
      <c r="E1515" s="62">
        <v>29</v>
      </c>
      <c r="F1515" s="1" t="s">
        <v>2551</v>
      </c>
      <c r="G1515" s="1" t="s">
        <v>2555</v>
      </c>
    </row>
    <row x14ac:dyDescent="0.25" r="1516" customHeight="1" ht="17.25" hidden="1">
      <c r="A1516" s="112" t="s">
        <v>5115</v>
      </c>
      <c r="B1516" s="1" t="s">
        <v>2549</v>
      </c>
      <c r="C1516" s="1" t="s">
        <v>56</v>
      </c>
      <c r="D1516" s="1" t="s">
        <v>5117</v>
      </c>
      <c r="E1516" s="62">
        <v>26</v>
      </c>
      <c r="F1516" s="1" t="s">
        <v>2551</v>
      </c>
      <c r="G1516" s="1" t="s">
        <v>2558</v>
      </c>
    </row>
    <row x14ac:dyDescent="0.25" r="1517" customHeight="1" ht="17.25" hidden="1">
      <c r="A1517" s="112" t="s">
        <v>5118</v>
      </c>
      <c r="B1517" s="1" t="s">
        <v>2549</v>
      </c>
      <c r="C1517" s="1" t="s">
        <v>56</v>
      </c>
      <c r="D1517" s="1" t="s">
        <v>5119</v>
      </c>
      <c r="E1517" s="62">
        <v>18</v>
      </c>
      <c r="F1517" s="1" t="s">
        <v>2551</v>
      </c>
      <c r="G1517" s="1" t="s">
        <v>2555</v>
      </c>
    </row>
    <row x14ac:dyDescent="0.25" r="1518" customHeight="1" ht="17.25" hidden="1">
      <c r="A1518" s="112" t="s">
        <v>5120</v>
      </c>
      <c r="B1518" s="1" t="s">
        <v>2549</v>
      </c>
      <c r="C1518" s="1" t="s">
        <v>56</v>
      </c>
      <c r="D1518" s="1" t="s">
        <v>5121</v>
      </c>
      <c r="E1518" s="62">
        <v>31</v>
      </c>
      <c r="F1518" s="1" t="s">
        <v>2551</v>
      </c>
      <c r="G1518" s="1" t="s">
        <v>2555</v>
      </c>
    </row>
    <row x14ac:dyDescent="0.25" r="1519" customHeight="1" ht="17.25" hidden="1">
      <c r="A1519" s="112" t="s">
        <v>5122</v>
      </c>
      <c r="B1519" s="1" t="s">
        <v>2549</v>
      </c>
      <c r="C1519" s="1" t="s">
        <v>56</v>
      </c>
      <c r="D1519" s="1" t="s">
        <v>2825</v>
      </c>
      <c r="E1519" s="62">
        <v>34</v>
      </c>
      <c r="F1519" s="1" t="s">
        <v>2551</v>
      </c>
      <c r="G1519" s="1" t="s">
        <v>2552</v>
      </c>
    </row>
    <row x14ac:dyDescent="0.25" r="1520" customHeight="1" ht="17.25" hidden="1">
      <c r="A1520" s="112" t="s">
        <v>5123</v>
      </c>
      <c r="B1520" s="1" t="s">
        <v>2549</v>
      </c>
      <c r="C1520" s="1" t="s">
        <v>56</v>
      </c>
      <c r="D1520" s="1" t="s">
        <v>5124</v>
      </c>
      <c r="E1520" s="62">
        <v>39</v>
      </c>
      <c r="F1520" s="1" t="s">
        <v>2551</v>
      </c>
      <c r="G1520" s="1" t="s">
        <v>2552</v>
      </c>
    </row>
    <row x14ac:dyDescent="0.25" r="1521" customHeight="1" ht="17.25" hidden="1">
      <c r="A1521" s="112" t="s">
        <v>5123</v>
      </c>
      <c r="B1521" s="1" t="s">
        <v>2549</v>
      </c>
      <c r="C1521" s="1" t="s">
        <v>56</v>
      </c>
      <c r="D1521" s="1" t="s">
        <v>5125</v>
      </c>
      <c r="E1521" s="62">
        <v>42</v>
      </c>
      <c r="F1521" s="1" t="s">
        <v>2551</v>
      </c>
      <c r="G1521" s="1" t="s">
        <v>2558</v>
      </c>
    </row>
    <row x14ac:dyDescent="0.25" r="1522" customHeight="1" ht="17.25" hidden="1">
      <c r="A1522" s="112" t="s">
        <v>5123</v>
      </c>
      <c r="B1522" s="1" t="s">
        <v>2549</v>
      </c>
      <c r="C1522" s="1" t="s">
        <v>56</v>
      </c>
      <c r="D1522" s="1" t="s">
        <v>5126</v>
      </c>
      <c r="E1522" s="62">
        <v>44</v>
      </c>
      <c r="F1522" s="1" t="s">
        <v>2551</v>
      </c>
      <c r="G1522" s="1" t="s">
        <v>2555</v>
      </c>
    </row>
    <row x14ac:dyDescent="0.25" r="1523" customHeight="1" ht="17.25" hidden="1">
      <c r="A1523" s="112" t="s">
        <v>5127</v>
      </c>
      <c r="B1523" s="1" t="s">
        <v>2549</v>
      </c>
      <c r="C1523" s="1" t="s">
        <v>56</v>
      </c>
      <c r="D1523" s="1" t="s">
        <v>5128</v>
      </c>
      <c r="E1523" s="62">
        <v>32</v>
      </c>
      <c r="F1523" s="1" t="s">
        <v>2551</v>
      </c>
      <c r="G1523" s="1" t="s">
        <v>2552</v>
      </c>
    </row>
    <row x14ac:dyDescent="0.25" r="1524" customHeight="1" ht="17.25" hidden="1">
      <c r="A1524" s="112" t="s">
        <v>5129</v>
      </c>
      <c r="B1524" s="1" t="s">
        <v>2549</v>
      </c>
      <c r="C1524" s="1" t="s">
        <v>56</v>
      </c>
      <c r="D1524" s="1" t="s">
        <v>5130</v>
      </c>
      <c r="E1524" s="62">
        <v>26</v>
      </c>
      <c r="F1524" s="1" t="s">
        <v>2561</v>
      </c>
      <c r="G1524" s="1" t="s">
        <v>2555</v>
      </c>
    </row>
    <row x14ac:dyDescent="0.25" r="1525" customHeight="1" ht="17.25" hidden="1">
      <c r="A1525" s="112" t="s">
        <v>5129</v>
      </c>
      <c r="B1525" s="1" t="s">
        <v>2549</v>
      </c>
      <c r="C1525" s="1" t="s">
        <v>56</v>
      </c>
      <c r="D1525" s="1" t="s">
        <v>5131</v>
      </c>
      <c r="E1525" s="62">
        <v>57</v>
      </c>
      <c r="F1525" s="1" t="s">
        <v>2561</v>
      </c>
      <c r="G1525" s="1" t="s">
        <v>2555</v>
      </c>
    </row>
    <row x14ac:dyDescent="0.25" r="1526" customHeight="1" ht="17.25" hidden="1">
      <c r="A1526" s="112" t="s">
        <v>5132</v>
      </c>
      <c r="B1526" s="1" t="s">
        <v>2549</v>
      </c>
      <c r="C1526" s="1" t="s">
        <v>56</v>
      </c>
      <c r="D1526" s="1" t="s">
        <v>5133</v>
      </c>
      <c r="E1526" s="62">
        <v>27</v>
      </c>
      <c r="F1526" s="1" t="s">
        <v>2551</v>
      </c>
      <c r="G1526" s="1" t="s">
        <v>2552</v>
      </c>
    </row>
    <row x14ac:dyDescent="0.25" r="1527" customHeight="1" ht="17.25" hidden="1">
      <c r="A1527" s="112" t="s">
        <v>5134</v>
      </c>
      <c r="B1527" s="1" t="s">
        <v>2549</v>
      </c>
      <c r="C1527" s="1" t="s">
        <v>56</v>
      </c>
      <c r="D1527" s="1" t="s">
        <v>5135</v>
      </c>
      <c r="E1527" s="62">
        <v>26</v>
      </c>
      <c r="F1527" s="1" t="s">
        <v>2551</v>
      </c>
      <c r="G1527" s="1" t="s">
        <v>2552</v>
      </c>
    </row>
    <row x14ac:dyDescent="0.25" r="1528" customHeight="1" ht="17.25" hidden="1">
      <c r="A1528" s="112" t="s">
        <v>5136</v>
      </c>
      <c r="B1528" s="1" t="s">
        <v>2549</v>
      </c>
      <c r="C1528" s="1" t="s">
        <v>56</v>
      </c>
      <c r="D1528" s="1" t="s">
        <v>5137</v>
      </c>
      <c r="E1528" s="62">
        <v>36</v>
      </c>
      <c r="F1528" s="1" t="s">
        <v>2551</v>
      </c>
      <c r="G1528" s="1" t="s">
        <v>2552</v>
      </c>
    </row>
    <row x14ac:dyDescent="0.25" r="1529" customHeight="1" ht="17.25" hidden="1">
      <c r="A1529" s="112" t="s">
        <v>5138</v>
      </c>
      <c r="B1529" s="1" t="s">
        <v>2549</v>
      </c>
      <c r="C1529" s="1" t="s">
        <v>56</v>
      </c>
      <c r="D1529" s="1" t="s">
        <v>5139</v>
      </c>
      <c r="E1529" s="62">
        <v>20</v>
      </c>
      <c r="F1529" s="1" t="s">
        <v>2551</v>
      </c>
      <c r="G1529" s="1" t="s">
        <v>2558</v>
      </c>
    </row>
    <row x14ac:dyDescent="0.25" r="1530" customHeight="1" ht="17.25" hidden="1">
      <c r="A1530" s="112" t="s">
        <v>5140</v>
      </c>
      <c r="B1530" s="1" t="s">
        <v>2549</v>
      </c>
      <c r="C1530" s="1" t="s">
        <v>56</v>
      </c>
      <c r="D1530" s="1" t="s">
        <v>5141</v>
      </c>
      <c r="E1530" s="62">
        <v>38</v>
      </c>
      <c r="F1530" s="1" t="s">
        <v>2551</v>
      </c>
      <c r="G1530" s="1" t="s">
        <v>2552</v>
      </c>
    </row>
    <row x14ac:dyDescent="0.25" r="1531" customHeight="1" ht="17.25" hidden="1">
      <c r="A1531" s="112" t="s">
        <v>5142</v>
      </c>
      <c r="B1531" s="1" t="s">
        <v>2549</v>
      </c>
      <c r="C1531" s="1" t="s">
        <v>56</v>
      </c>
      <c r="D1531" s="1" t="s">
        <v>5143</v>
      </c>
      <c r="E1531" s="62">
        <v>27</v>
      </c>
      <c r="F1531" s="1" t="s">
        <v>2551</v>
      </c>
      <c r="G1531" s="1" t="s">
        <v>2552</v>
      </c>
    </row>
    <row x14ac:dyDescent="0.25" r="1532" customHeight="1" ht="17.25" hidden="1">
      <c r="A1532" s="112" t="s">
        <v>5144</v>
      </c>
      <c r="B1532" s="1" t="s">
        <v>2549</v>
      </c>
      <c r="C1532" s="1" t="s">
        <v>56</v>
      </c>
      <c r="D1532" s="1" t="s">
        <v>5145</v>
      </c>
      <c r="E1532" s="62">
        <v>22</v>
      </c>
      <c r="F1532" s="1" t="s">
        <v>2551</v>
      </c>
      <c r="G1532" s="1" t="s">
        <v>2555</v>
      </c>
    </row>
    <row x14ac:dyDescent="0.25" r="1533" customHeight="1" ht="17.25" hidden="1">
      <c r="A1533" s="112" t="s">
        <v>5144</v>
      </c>
      <c r="B1533" s="1" t="s">
        <v>2549</v>
      </c>
      <c r="C1533" s="1" t="s">
        <v>56</v>
      </c>
      <c r="D1533" s="1" t="s">
        <v>5146</v>
      </c>
      <c r="E1533" s="62">
        <v>26</v>
      </c>
      <c r="F1533" s="1" t="s">
        <v>2551</v>
      </c>
      <c r="G1533" s="1" t="s">
        <v>2558</v>
      </c>
    </row>
    <row x14ac:dyDescent="0.25" r="1534" customHeight="1" ht="17.25" hidden="1">
      <c r="A1534" s="112" t="s">
        <v>5147</v>
      </c>
      <c r="B1534" s="1" t="s">
        <v>2549</v>
      </c>
      <c r="C1534" s="1" t="s">
        <v>56</v>
      </c>
      <c r="D1534" s="1" t="s">
        <v>5148</v>
      </c>
      <c r="E1534" s="62">
        <v>38</v>
      </c>
      <c r="F1534" s="1" t="s">
        <v>2551</v>
      </c>
      <c r="G1534" s="1" t="s">
        <v>2552</v>
      </c>
    </row>
    <row x14ac:dyDescent="0.25" r="1535" customHeight="1" ht="17.25" hidden="1">
      <c r="A1535" s="112" t="s">
        <v>5149</v>
      </c>
      <c r="B1535" s="1" t="s">
        <v>2549</v>
      </c>
      <c r="C1535" s="1" t="s">
        <v>56</v>
      </c>
      <c r="D1535" s="1" t="s">
        <v>5150</v>
      </c>
      <c r="E1535" s="62">
        <v>26</v>
      </c>
      <c r="F1535" s="1" t="s">
        <v>2551</v>
      </c>
      <c r="G1535" s="1" t="s">
        <v>2552</v>
      </c>
    </row>
    <row x14ac:dyDescent="0.25" r="1536" customHeight="1" ht="17.25" hidden="1">
      <c r="A1536" s="112" t="s">
        <v>5151</v>
      </c>
      <c r="B1536" s="1" t="s">
        <v>2549</v>
      </c>
      <c r="C1536" s="1" t="s">
        <v>56</v>
      </c>
      <c r="D1536" s="1" t="s">
        <v>5152</v>
      </c>
      <c r="E1536" s="62">
        <v>36</v>
      </c>
      <c r="F1536" s="1" t="s">
        <v>2551</v>
      </c>
      <c r="G1536" s="1" t="s">
        <v>2552</v>
      </c>
    </row>
    <row x14ac:dyDescent="0.25" r="1537" customHeight="1" ht="17.25" hidden="1">
      <c r="A1537" s="112" t="s">
        <v>5153</v>
      </c>
      <c r="B1537" s="1" t="s">
        <v>2549</v>
      </c>
      <c r="C1537" s="1" t="s">
        <v>56</v>
      </c>
      <c r="D1537" s="1" t="s">
        <v>5154</v>
      </c>
      <c r="E1537" s="62">
        <v>38</v>
      </c>
      <c r="F1537" s="1" t="s">
        <v>2551</v>
      </c>
      <c r="G1537" s="1" t="s">
        <v>2558</v>
      </c>
    </row>
    <row x14ac:dyDescent="0.25" r="1538" customHeight="1" ht="17.25" hidden="1">
      <c r="A1538" s="112" t="s">
        <v>5155</v>
      </c>
      <c r="B1538" s="1" t="s">
        <v>2549</v>
      </c>
      <c r="C1538" s="1" t="s">
        <v>56</v>
      </c>
      <c r="D1538" s="1" t="s">
        <v>5156</v>
      </c>
      <c r="E1538" s="62">
        <v>21</v>
      </c>
      <c r="F1538" s="1" t="s">
        <v>2551</v>
      </c>
      <c r="G1538" s="1" t="s">
        <v>2555</v>
      </c>
    </row>
    <row x14ac:dyDescent="0.25" r="1539" customHeight="1" ht="17.25" hidden="1">
      <c r="A1539" s="112" t="s">
        <v>5155</v>
      </c>
      <c r="B1539" s="1" t="s">
        <v>2549</v>
      </c>
      <c r="C1539" s="1" t="s">
        <v>56</v>
      </c>
      <c r="D1539" s="1" t="s">
        <v>5157</v>
      </c>
      <c r="E1539" s="62">
        <v>23</v>
      </c>
      <c r="F1539" s="1" t="s">
        <v>2551</v>
      </c>
      <c r="G1539" s="1" t="s">
        <v>2552</v>
      </c>
    </row>
    <row x14ac:dyDescent="0.25" r="1540" customHeight="1" ht="17.25" hidden="1">
      <c r="A1540" s="112" t="s">
        <v>5155</v>
      </c>
      <c r="B1540" s="1" t="s">
        <v>2549</v>
      </c>
      <c r="C1540" s="1" t="s">
        <v>56</v>
      </c>
      <c r="D1540" s="1" t="s">
        <v>5158</v>
      </c>
      <c r="E1540" s="62">
        <v>27</v>
      </c>
      <c r="F1540" s="1" t="s">
        <v>2551</v>
      </c>
      <c r="G1540" s="1" t="s">
        <v>2552</v>
      </c>
    </row>
    <row x14ac:dyDescent="0.25" r="1541" customHeight="1" ht="17.25" hidden="1">
      <c r="A1541" s="112" t="s">
        <v>1622</v>
      </c>
      <c r="B1541" s="1" t="s">
        <v>2549</v>
      </c>
      <c r="C1541" s="1" t="s">
        <v>56</v>
      </c>
      <c r="D1541" s="1" t="s">
        <v>5159</v>
      </c>
      <c r="E1541" s="62">
        <v>28</v>
      </c>
      <c r="F1541" s="1" t="s">
        <v>2551</v>
      </c>
      <c r="G1541" s="1" t="s">
        <v>2555</v>
      </c>
    </row>
    <row x14ac:dyDescent="0.25" r="1542" customHeight="1" ht="17.25" hidden="1">
      <c r="A1542" s="112" t="s">
        <v>5160</v>
      </c>
      <c r="B1542" s="1" t="s">
        <v>2549</v>
      </c>
      <c r="C1542" s="1" t="s">
        <v>56</v>
      </c>
      <c r="D1542" s="1" t="s">
        <v>5161</v>
      </c>
      <c r="E1542" s="62">
        <v>30</v>
      </c>
      <c r="F1542" s="1" t="s">
        <v>2551</v>
      </c>
      <c r="G1542" s="1" t="s">
        <v>2552</v>
      </c>
    </row>
    <row x14ac:dyDescent="0.25" r="1543" customHeight="1" ht="17.25" hidden="1">
      <c r="A1543" s="112" t="s">
        <v>5162</v>
      </c>
      <c r="B1543" s="1" t="s">
        <v>2549</v>
      </c>
      <c r="C1543" s="1" t="s">
        <v>56</v>
      </c>
      <c r="D1543" s="1" t="s">
        <v>5163</v>
      </c>
      <c r="E1543" s="62">
        <v>24</v>
      </c>
      <c r="F1543" s="1" t="s">
        <v>2551</v>
      </c>
      <c r="G1543" s="1" t="s">
        <v>2552</v>
      </c>
    </row>
    <row x14ac:dyDescent="0.25" r="1544" customHeight="1" ht="17.25" hidden="1">
      <c r="A1544" s="112" t="s">
        <v>5164</v>
      </c>
      <c r="B1544" s="1" t="s">
        <v>2549</v>
      </c>
      <c r="C1544" s="1" t="s">
        <v>56</v>
      </c>
      <c r="D1544" s="1" t="s">
        <v>5165</v>
      </c>
      <c r="E1544" s="62">
        <v>19</v>
      </c>
      <c r="F1544" s="1" t="s">
        <v>2551</v>
      </c>
      <c r="G1544" s="1" t="s">
        <v>2552</v>
      </c>
    </row>
    <row x14ac:dyDescent="0.25" r="1545" customHeight="1" ht="17.25" hidden="1">
      <c r="A1545" s="112" t="s">
        <v>5166</v>
      </c>
      <c r="B1545" s="1" t="s">
        <v>2549</v>
      </c>
      <c r="C1545" s="1" t="s">
        <v>56</v>
      </c>
      <c r="D1545" s="1" t="s">
        <v>5167</v>
      </c>
      <c r="E1545" s="62">
        <v>30</v>
      </c>
      <c r="F1545" s="1" t="s">
        <v>2551</v>
      </c>
      <c r="G1545" s="1" t="s">
        <v>2555</v>
      </c>
    </row>
    <row x14ac:dyDescent="0.25" r="1546" customHeight="1" ht="17.25" hidden="1">
      <c r="A1546" s="112" t="s">
        <v>5168</v>
      </c>
      <c r="B1546" s="1" t="s">
        <v>2549</v>
      </c>
      <c r="C1546" s="1" t="s">
        <v>56</v>
      </c>
      <c r="D1546" s="1" t="s">
        <v>5169</v>
      </c>
      <c r="E1546" s="62">
        <v>43</v>
      </c>
      <c r="F1546" s="1" t="s">
        <v>2551</v>
      </c>
      <c r="G1546" s="1" t="s">
        <v>2555</v>
      </c>
    </row>
    <row x14ac:dyDescent="0.25" r="1547" customHeight="1" ht="17.25" hidden="1">
      <c r="A1547" s="112" t="s">
        <v>5170</v>
      </c>
      <c r="B1547" s="1" t="s">
        <v>2549</v>
      </c>
      <c r="C1547" s="1" t="s">
        <v>56</v>
      </c>
      <c r="D1547" s="1" t="s">
        <v>5171</v>
      </c>
      <c r="E1547" s="62">
        <v>47</v>
      </c>
      <c r="F1547" s="1" t="s">
        <v>2551</v>
      </c>
      <c r="G1547" s="1" t="s">
        <v>2558</v>
      </c>
    </row>
    <row x14ac:dyDescent="0.25" r="1548" customHeight="1" ht="17.25" hidden="1">
      <c r="A1548" s="112" t="s">
        <v>2352</v>
      </c>
      <c r="B1548" s="1" t="s">
        <v>2549</v>
      </c>
      <c r="C1548" s="1" t="s">
        <v>56</v>
      </c>
      <c r="D1548" s="1" t="s">
        <v>2353</v>
      </c>
      <c r="E1548" s="62">
        <v>27</v>
      </c>
      <c r="F1548" s="1" t="s">
        <v>2551</v>
      </c>
      <c r="G1548" s="1" t="s">
        <v>2552</v>
      </c>
    </row>
    <row x14ac:dyDescent="0.25" r="1549" customHeight="1" ht="17.25" hidden="1">
      <c r="A1549" s="112" t="s">
        <v>5172</v>
      </c>
      <c r="B1549" s="1" t="s">
        <v>2549</v>
      </c>
      <c r="C1549" s="1" t="s">
        <v>56</v>
      </c>
      <c r="D1549" s="1" t="s">
        <v>5173</v>
      </c>
      <c r="E1549" s="54" t="s">
        <v>2571</v>
      </c>
      <c r="F1549" s="1" t="s">
        <v>2551</v>
      </c>
      <c r="G1549" s="1" t="s">
        <v>2555</v>
      </c>
    </row>
    <row x14ac:dyDescent="0.25" r="1550" customHeight="1" ht="17.25" hidden="1">
      <c r="A1550" s="112" t="s">
        <v>5174</v>
      </c>
      <c r="B1550" s="1" t="s">
        <v>2549</v>
      </c>
      <c r="C1550" s="1" t="s">
        <v>39</v>
      </c>
      <c r="D1550" s="1" t="s">
        <v>5175</v>
      </c>
      <c r="E1550" s="62">
        <v>20</v>
      </c>
      <c r="F1550" s="1" t="s">
        <v>2551</v>
      </c>
      <c r="G1550" s="1" t="s">
        <v>2552</v>
      </c>
    </row>
    <row x14ac:dyDescent="0.25" r="1551" customHeight="1" ht="17.25" hidden="1">
      <c r="A1551" s="112" t="s">
        <v>5174</v>
      </c>
      <c r="B1551" s="1" t="s">
        <v>2549</v>
      </c>
      <c r="C1551" s="1" t="s">
        <v>39</v>
      </c>
      <c r="D1551" s="1" t="s">
        <v>5176</v>
      </c>
      <c r="E1551" s="62">
        <v>19</v>
      </c>
      <c r="F1551" s="1" t="s">
        <v>2551</v>
      </c>
      <c r="G1551" s="1" t="s">
        <v>2552</v>
      </c>
    </row>
    <row x14ac:dyDescent="0.25" r="1552" customHeight="1" ht="17.25" hidden="1">
      <c r="A1552" s="112" t="s">
        <v>5177</v>
      </c>
      <c r="B1552" s="1" t="s">
        <v>2549</v>
      </c>
      <c r="C1552" s="1" t="s">
        <v>39</v>
      </c>
      <c r="D1552" s="1" t="s">
        <v>5178</v>
      </c>
      <c r="E1552" s="62">
        <v>24</v>
      </c>
      <c r="F1552" s="1" t="s">
        <v>2551</v>
      </c>
      <c r="G1552" s="1" t="s">
        <v>2552</v>
      </c>
    </row>
    <row x14ac:dyDescent="0.25" r="1553" customHeight="1" ht="17.25" hidden="1">
      <c r="A1553" s="112" t="s">
        <v>5179</v>
      </c>
      <c r="B1553" s="1" t="s">
        <v>2549</v>
      </c>
      <c r="C1553" s="1" t="s">
        <v>39</v>
      </c>
      <c r="D1553" s="1" t="s">
        <v>5180</v>
      </c>
      <c r="E1553" s="62">
        <v>19</v>
      </c>
      <c r="F1553" s="1" t="s">
        <v>2551</v>
      </c>
      <c r="G1553" s="1" t="s">
        <v>2558</v>
      </c>
    </row>
    <row x14ac:dyDescent="0.25" r="1554" customHeight="1" ht="17.25" hidden="1">
      <c r="A1554" s="112" t="s">
        <v>5181</v>
      </c>
      <c r="B1554" s="1" t="s">
        <v>2549</v>
      </c>
      <c r="C1554" s="1" t="s">
        <v>39</v>
      </c>
      <c r="D1554" s="1" t="s">
        <v>5182</v>
      </c>
      <c r="E1554" s="62">
        <v>32</v>
      </c>
      <c r="F1554" s="1" t="s">
        <v>2551</v>
      </c>
      <c r="G1554" s="1" t="s">
        <v>2552</v>
      </c>
    </row>
    <row x14ac:dyDescent="0.25" r="1555" customHeight="1" ht="17.25" hidden="1">
      <c r="A1555" s="112" t="s">
        <v>5183</v>
      </c>
      <c r="B1555" s="1" t="s">
        <v>2549</v>
      </c>
      <c r="C1555" s="1" t="s">
        <v>39</v>
      </c>
      <c r="D1555" s="1" t="s">
        <v>5184</v>
      </c>
      <c r="E1555" s="62">
        <v>31</v>
      </c>
      <c r="F1555" s="1" t="s">
        <v>2551</v>
      </c>
      <c r="G1555" s="1" t="s">
        <v>2555</v>
      </c>
    </row>
    <row x14ac:dyDescent="0.25" r="1556" customHeight="1" ht="17.25" hidden="1">
      <c r="A1556" s="112" t="s">
        <v>5185</v>
      </c>
      <c r="B1556" s="1" t="s">
        <v>2549</v>
      </c>
      <c r="C1556" s="1" t="s">
        <v>39</v>
      </c>
      <c r="D1556" s="1" t="s">
        <v>5186</v>
      </c>
      <c r="E1556" s="62">
        <v>22</v>
      </c>
      <c r="F1556" s="1" t="s">
        <v>2551</v>
      </c>
      <c r="G1556" s="1" t="s">
        <v>2555</v>
      </c>
    </row>
    <row x14ac:dyDescent="0.25" r="1557" customHeight="1" ht="17.25" hidden="1">
      <c r="A1557" s="112" t="s">
        <v>5187</v>
      </c>
      <c r="B1557" s="1" t="s">
        <v>2549</v>
      </c>
      <c r="C1557" s="1" t="s">
        <v>39</v>
      </c>
      <c r="D1557" s="1" t="s">
        <v>5188</v>
      </c>
      <c r="E1557" s="62">
        <v>21</v>
      </c>
      <c r="F1557" s="1" t="s">
        <v>2551</v>
      </c>
      <c r="G1557" s="1" t="s">
        <v>2571</v>
      </c>
    </row>
    <row x14ac:dyDescent="0.25" r="1558" customHeight="1" ht="17.25" hidden="1">
      <c r="A1558" s="112" t="s">
        <v>5189</v>
      </c>
      <c r="B1558" s="1" t="s">
        <v>2549</v>
      </c>
      <c r="C1558" s="1" t="s">
        <v>39</v>
      </c>
      <c r="D1558" s="1" t="s">
        <v>5190</v>
      </c>
      <c r="E1558" s="62">
        <v>25</v>
      </c>
      <c r="F1558" s="1" t="s">
        <v>2551</v>
      </c>
      <c r="G1558" s="1" t="s">
        <v>2555</v>
      </c>
    </row>
    <row x14ac:dyDescent="0.25" r="1559" customHeight="1" ht="17.25" hidden="1">
      <c r="A1559" s="112" t="s">
        <v>5191</v>
      </c>
      <c r="B1559" s="1" t="s">
        <v>2549</v>
      </c>
      <c r="C1559" s="1" t="s">
        <v>39</v>
      </c>
      <c r="D1559" s="1" t="s">
        <v>5192</v>
      </c>
      <c r="E1559" s="62">
        <v>40</v>
      </c>
      <c r="F1559" s="1" t="s">
        <v>2551</v>
      </c>
      <c r="G1559" s="1" t="s">
        <v>2555</v>
      </c>
    </row>
    <row x14ac:dyDescent="0.25" r="1560" customHeight="1" ht="17.25" hidden="1">
      <c r="A1560" s="112" t="s">
        <v>5193</v>
      </c>
      <c r="B1560" s="1" t="s">
        <v>2549</v>
      </c>
      <c r="C1560" s="1" t="s">
        <v>39</v>
      </c>
      <c r="D1560" s="1" t="s">
        <v>5194</v>
      </c>
      <c r="E1560" s="62">
        <v>62</v>
      </c>
      <c r="F1560" s="1" t="s">
        <v>2551</v>
      </c>
      <c r="G1560" s="1" t="s">
        <v>2552</v>
      </c>
    </row>
    <row x14ac:dyDescent="0.25" r="1561" customHeight="1" ht="17.25" hidden="1">
      <c r="A1561" s="112" t="s">
        <v>5195</v>
      </c>
      <c r="B1561" s="1" t="s">
        <v>2549</v>
      </c>
      <c r="C1561" s="1" t="s">
        <v>39</v>
      </c>
      <c r="D1561" s="1" t="s">
        <v>5196</v>
      </c>
      <c r="E1561" s="62">
        <v>27</v>
      </c>
      <c r="F1561" s="1" t="s">
        <v>2551</v>
      </c>
      <c r="G1561" s="1" t="s">
        <v>2552</v>
      </c>
    </row>
    <row x14ac:dyDescent="0.25" r="1562" customHeight="1" ht="17.25" hidden="1">
      <c r="A1562" s="112" t="s">
        <v>5197</v>
      </c>
      <c r="B1562" s="1" t="s">
        <v>2549</v>
      </c>
      <c r="C1562" s="1" t="s">
        <v>39</v>
      </c>
      <c r="D1562" s="1" t="s">
        <v>5198</v>
      </c>
      <c r="E1562" s="62">
        <v>20</v>
      </c>
      <c r="F1562" s="1" t="s">
        <v>2551</v>
      </c>
      <c r="G1562" s="1" t="s">
        <v>2555</v>
      </c>
    </row>
    <row x14ac:dyDescent="0.25" r="1563" customHeight="1" ht="17.25" hidden="1">
      <c r="A1563" s="112" t="s">
        <v>5199</v>
      </c>
      <c r="B1563" s="1" t="s">
        <v>2549</v>
      </c>
      <c r="C1563" s="1" t="s">
        <v>39</v>
      </c>
      <c r="D1563" s="1" t="s">
        <v>5200</v>
      </c>
      <c r="E1563" s="62">
        <v>22</v>
      </c>
      <c r="F1563" s="1" t="s">
        <v>2551</v>
      </c>
      <c r="G1563" s="1" t="s">
        <v>2552</v>
      </c>
    </row>
    <row x14ac:dyDescent="0.25" r="1564" customHeight="1" ht="17.25" hidden="1">
      <c r="A1564" s="112" t="s">
        <v>5201</v>
      </c>
      <c r="B1564" s="1" t="s">
        <v>2549</v>
      </c>
      <c r="C1564" s="1" t="s">
        <v>39</v>
      </c>
      <c r="D1564" s="1" t="s">
        <v>5202</v>
      </c>
      <c r="E1564" s="62">
        <v>26</v>
      </c>
      <c r="F1564" s="1" t="s">
        <v>2551</v>
      </c>
      <c r="G1564" s="1" t="s">
        <v>2555</v>
      </c>
    </row>
    <row x14ac:dyDescent="0.25" r="1565" customHeight="1" ht="17.25" hidden="1">
      <c r="A1565" s="112" t="s">
        <v>5203</v>
      </c>
      <c r="B1565" s="1" t="s">
        <v>2549</v>
      </c>
      <c r="C1565" s="1" t="s">
        <v>39</v>
      </c>
      <c r="D1565" s="1" t="s">
        <v>5204</v>
      </c>
      <c r="E1565" s="62">
        <v>31</v>
      </c>
      <c r="F1565" s="1" t="s">
        <v>2551</v>
      </c>
      <c r="G1565" s="1" t="s">
        <v>2558</v>
      </c>
    </row>
    <row x14ac:dyDescent="0.25" r="1566" customHeight="1" ht="17.25" hidden="1">
      <c r="A1566" s="112" t="s">
        <v>536</v>
      </c>
      <c r="B1566" s="1" t="s">
        <v>2549</v>
      </c>
      <c r="C1566" s="1" t="s">
        <v>39</v>
      </c>
      <c r="D1566" s="1" t="s">
        <v>537</v>
      </c>
      <c r="E1566" s="62">
        <v>34</v>
      </c>
      <c r="F1566" s="1" t="s">
        <v>2551</v>
      </c>
      <c r="G1566" s="1" t="s">
        <v>2558</v>
      </c>
    </row>
    <row x14ac:dyDescent="0.25" r="1567" customHeight="1" ht="17.25" hidden="1">
      <c r="A1567" s="112" t="s">
        <v>5205</v>
      </c>
      <c r="B1567" s="1" t="s">
        <v>2549</v>
      </c>
      <c r="C1567" s="1" t="s">
        <v>39</v>
      </c>
      <c r="D1567" s="1" t="s">
        <v>5206</v>
      </c>
      <c r="E1567" s="62">
        <v>25</v>
      </c>
      <c r="F1567" s="1" t="s">
        <v>2561</v>
      </c>
      <c r="G1567" s="1" t="s">
        <v>2552</v>
      </c>
    </row>
    <row x14ac:dyDescent="0.25" r="1568" customHeight="1" ht="17.25" hidden="1">
      <c r="A1568" s="112" t="s">
        <v>5207</v>
      </c>
      <c r="B1568" s="1" t="s">
        <v>2549</v>
      </c>
      <c r="C1568" s="1" t="s">
        <v>39</v>
      </c>
      <c r="D1568" s="1" t="s">
        <v>5208</v>
      </c>
      <c r="E1568" s="62">
        <v>19</v>
      </c>
      <c r="F1568" s="1" t="s">
        <v>2551</v>
      </c>
      <c r="G1568" s="1" t="s">
        <v>2555</v>
      </c>
    </row>
    <row x14ac:dyDescent="0.25" r="1569" customHeight="1" ht="17.25" hidden="1">
      <c r="A1569" s="112" t="s">
        <v>5209</v>
      </c>
      <c r="B1569" s="1" t="s">
        <v>2549</v>
      </c>
      <c r="C1569" s="1" t="s">
        <v>39</v>
      </c>
      <c r="D1569" s="1" t="s">
        <v>5210</v>
      </c>
      <c r="E1569" s="62">
        <v>23</v>
      </c>
      <c r="F1569" s="1" t="s">
        <v>2551</v>
      </c>
      <c r="G1569" s="1" t="s">
        <v>2552</v>
      </c>
    </row>
    <row x14ac:dyDescent="0.25" r="1570" customHeight="1" ht="17.25" hidden="1">
      <c r="A1570" s="112" t="s">
        <v>5211</v>
      </c>
      <c r="B1570" s="1" t="s">
        <v>2549</v>
      </c>
      <c r="C1570" s="1" t="s">
        <v>39</v>
      </c>
      <c r="D1570" s="1" t="s">
        <v>5212</v>
      </c>
      <c r="E1570" s="62">
        <v>24</v>
      </c>
      <c r="F1570" s="1" t="s">
        <v>2551</v>
      </c>
      <c r="G1570" s="1" t="s">
        <v>2552</v>
      </c>
    </row>
    <row x14ac:dyDescent="0.25" r="1571" customHeight="1" ht="17.25" hidden="1">
      <c r="A1571" s="112" t="s">
        <v>5213</v>
      </c>
      <c r="B1571" s="1" t="s">
        <v>2549</v>
      </c>
      <c r="C1571" s="1" t="s">
        <v>39</v>
      </c>
      <c r="D1571" s="1" t="s">
        <v>5214</v>
      </c>
      <c r="E1571" s="62">
        <v>24</v>
      </c>
      <c r="F1571" s="1" t="s">
        <v>2551</v>
      </c>
      <c r="G1571" s="1" t="s">
        <v>2552</v>
      </c>
    </row>
    <row x14ac:dyDescent="0.25" r="1572" customHeight="1" ht="17.25" hidden="1">
      <c r="A1572" s="112" t="s">
        <v>883</v>
      </c>
      <c r="B1572" s="1" t="s">
        <v>2549</v>
      </c>
      <c r="C1572" s="1" t="s">
        <v>39</v>
      </c>
      <c r="D1572" s="1" t="s">
        <v>884</v>
      </c>
      <c r="E1572" s="62">
        <v>19</v>
      </c>
      <c r="F1572" s="1" t="s">
        <v>2551</v>
      </c>
      <c r="G1572" s="1" t="s">
        <v>2552</v>
      </c>
    </row>
    <row x14ac:dyDescent="0.25" r="1573" customHeight="1" ht="17.25" hidden="1">
      <c r="A1573" s="112" t="s">
        <v>763</v>
      </c>
      <c r="B1573" s="1" t="s">
        <v>2549</v>
      </c>
      <c r="C1573" s="1" t="s">
        <v>39</v>
      </c>
      <c r="D1573" s="1" t="s">
        <v>765</v>
      </c>
      <c r="E1573" s="62">
        <v>21</v>
      </c>
      <c r="F1573" s="1" t="s">
        <v>2551</v>
      </c>
      <c r="G1573" s="1" t="s">
        <v>2552</v>
      </c>
    </row>
    <row x14ac:dyDescent="0.25" r="1574" customHeight="1" ht="17.25" hidden="1">
      <c r="A1574" s="112" t="s">
        <v>5215</v>
      </c>
      <c r="B1574" s="1" t="s">
        <v>2549</v>
      </c>
      <c r="C1574" s="1" t="s">
        <v>39</v>
      </c>
      <c r="D1574" s="1" t="s">
        <v>4327</v>
      </c>
      <c r="E1574" s="62">
        <v>18</v>
      </c>
      <c r="F1574" s="1" t="s">
        <v>2551</v>
      </c>
      <c r="G1574" s="1" t="s">
        <v>2552</v>
      </c>
    </row>
    <row x14ac:dyDescent="0.25" r="1575" customHeight="1" ht="17.25" hidden="1">
      <c r="A1575" s="112" t="s">
        <v>2534</v>
      </c>
      <c r="B1575" s="1" t="s">
        <v>2549</v>
      </c>
      <c r="C1575" s="1" t="s">
        <v>39</v>
      </c>
      <c r="D1575" s="1" t="s">
        <v>2536</v>
      </c>
      <c r="E1575" s="62">
        <v>27</v>
      </c>
      <c r="F1575" s="1" t="s">
        <v>2551</v>
      </c>
      <c r="G1575" s="1" t="s">
        <v>2558</v>
      </c>
    </row>
    <row x14ac:dyDescent="0.25" r="1576" customHeight="1" ht="17.25" hidden="1">
      <c r="A1576" s="112" t="s">
        <v>5216</v>
      </c>
      <c r="B1576" s="1" t="s">
        <v>2549</v>
      </c>
      <c r="C1576" s="1" t="s">
        <v>39</v>
      </c>
      <c r="D1576" s="1" t="s">
        <v>5217</v>
      </c>
      <c r="E1576" s="62">
        <v>26</v>
      </c>
      <c r="F1576" s="1" t="s">
        <v>2551</v>
      </c>
      <c r="G1576" s="1" t="s">
        <v>2552</v>
      </c>
    </row>
    <row x14ac:dyDescent="0.25" r="1577" customHeight="1" ht="17.25" hidden="1">
      <c r="A1577" s="112" t="s">
        <v>2016</v>
      </c>
      <c r="B1577" s="1" t="s">
        <v>2549</v>
      </c>
      <c r="C1577" s="1" t="s">
        <v>39</v>
      </c>
      <c r="D1577" s="1" t="s">
        <v>2017</v>
      </c>
      <c r="E1577" s="62">
        <v>22</v>
      </c>
      <c r="F1577" s="1" t="s">
        <v>2551</v>
      </c>
      <c r="G1577" s="1" t="s">
        <v>2552</v>
      </c>
    </row>
    <row x14ac:dyDescent="0.25" r="1578" customHeight="1" ht="17.25" hidden="1">
      <c r="A1578" s="112" t="s">
        <v>5218</v>
      </c>
      <c r="B1578" s="1" t="s">
        <v>2549</v>
      </c>
      <c r="C1578" s="1" t="s">
        <v>39</v>
      </c>
      <c r="D1578" s="1" t="s">
        <v>5219</v>
      </c>
      <c r="E1578" s="62">
        <v>20</v>
      </c>
      <c r="F1578" s="1" t="s">
        <v>2551</v>
      </c>
      <c r="G1578" s="1" t="s">
        <v>2552</v>
      </c>
    </row>
    <row x14ac:dyDescent="0.25" r="1579" customHeight="1" ht="17.25" hidden="1">
      <c r="A1579" s="112" t="s">
        <v>5220</v>
      </c>
      <c r="B1579" s="1" t="s">
        <v>2549</v>
      </c>
      <c r="C1579" s="1" t="s">
        <v>39</v>
      </c>
      <c r="D1579" s="1" t="s">
        <v>5221</v>
      </c>
      <c r="E1579" s="62">
        <v>25</v>
      </c>
      <c r="F1579" s="1" t="s">
        <v>2551</v>
      </c>
      <c r="G1579" s="1" t="s">
        <v>2552</v>
      </c>
    </row>
    <row x14ac:dyDescent="0.25" r="1580" customHeight="1" ht="17.25" hidden="1">
      <c r="A1580" s="112" t="s">
        <v>5222</v>
      </c>
      <c r="B1580" s="1" t="s">
        <v>2549</v>
      </c>
      <c r="C1580" s="1" t="s">
        <v>39</v>
      </c>
      <c r="D1580" s="1" t="s">
        <v>5223</v>
      </c>
      <c r="E1580" s="62">
        <v>22</v>
      </c>
      <c r="F1580" s="1" t="s">
        <v>2551</v>
      </c>
      <c r="G1580" s="1" t="s">
        <v>2555</v>
      </c>
    </row>
    <row x14ac:dyDescent="0.25" r="1581" customHeight="1" ht="17.25" hidden="1">
      <c r="A1581" s="112" t="s">
        <v>5224</v>
      </c>
      <c r="B1581" s="1" t="s">
        <v>2549</v>
      </c>
      <c r="C1581" s="1" t="s">
        <v>39</v>
      </c>
      <c r="D1581" s="1" t="s">
        <v>5225</v>
      </c>
      <c r="E1581" s="62">
        <v>22</v>
      </c>
      <c r="F1581" s="1" t="s">
        <v>2551</v>
      </c>
      <c r="G1581" s="1" t="s">
        <v>2552</v>
      </c>
    </row>
    <row x14ac:dyDescent="0.25" r="1582" customHeight="1" ht="17.25" hidden="1">
      <c r="A1582" s="112" t="s">
        <v>5226</v>
      </c>
      <c r="B1582" s="1" t="s">
        <v>2549</v>
      </c>
      <c r="C1582" s="1" t="s">
        <v>39</v>
      </c>
      <c r="D1582" s="1" t="s">
        <v>5227</v>
      </c>
      <c r="E1582" s="62">
        <v>20</v>
      </c>
      <c r="F1582" s="1" t="s">
        <v>2551</v>
      </c>
      <c r="G1582" s="1" t="s">
        <v>2552</v>
      </c>
    </row>
    <row x14ac:dyDescent="0.25" r="1583" customHeight="1" ht="17.25" hidden="1">
      <c r="A1583" s="112" t="s">
        <v>1015</v>
      </c>
      <c r="B1583" s="1" t="s">
        <v>2549</v>
      </c>
      <c r="C1583" s="1" t="s">
        <v>39</v>
      </c>
      <c r="D1583" s="1" t="s">
        <v>1017</v>
      </c>
      <c r="E1583" s="62">
        <v>32</v>
      </c>
      <c r="F1583" s="1" t="s">
        <v>2551</v>
      </c>
      <c r="G1583" s="1" t="s">
        <v>2555</v>
      </c>
    </row>
    <row x14ac:dyDescent="0.25" r="1584" customHeight="1" ht="17.25" hidden="1">
      <c r="A1584" s="112" t="s">
        <v>5228</v>
      </c>
      <c r="B1584" s="1" t="s">
        <v>2549</v>
      </c>
      <c r="C1584" s="1" t="s">
        <v>39</v>
      </c>
      <c r="D1584" s="1" t="s">
        <v>5229</v>
      </c>
      <c r="E1584" s="62">
        <v>20</v>
      </c>
      <c r="F1584" s="1" t="s">
        <v>2551</v>
      </c>
      <c r="G1584" s="1" t="s">
        <v>2552</v>
      </c>
    </row>
    <row x14ac:dyDescent="0.25" r="1585" customHeight="1" ht="17.25" hidden="1">
      <c r="A1585" s="112" t="s">
        <v>655</v>
      </c>
      <c r="B1585" s="1" t="s">
        <v>2549</v>
      </c>
      <c r="C1585" s="1" t="s">
        <v>39</v>
      </c>
      <c r="D1585" s="1" t="s">
        <v>5230</v>
      </c>
      <c r="E1585" s="62">
        <v>20</v>
      </c>
      <c r="F1585" s="1" t="s">
        <v>2551</v>
      </c>
      <c r="G1585" s="1" t="s">
        <v>2558</v>
      </c>
    </row>
    <row x14ac:dyDescent="0.25" r="1586" customHeight="1" ht="17.25" hidden="1">
      <c r="A1586" s="112" t="s">
        <v>655</v>
      </c>
      <c r="B1586" s="1" t="s">
        <v>2549</v>
      </c>
      <c r="C1586" s="1" t="s">
        <v>39</v>
      </c>
      <c r="D1586" s="1" t="s">
        <v>660</v>
      </c>
      <c r="E1586" s="62">
        <v>25</v>
      </c>
      <c r="F1586" s="1" t="s">
        <v>2551</v>
      </c>
      <c r="G1586" s="1" t="s">
        <v>2555</v>
      </c>
    </row>
    <row x14ac:dyDescent="0.25" r="1587" customHeight="1" ht="17.25" hidden="1">
      <c r="A1587" s="112" t="s">
        <v>5231</v>
      </c>
      <c r="B1587" s="1" t="s">
        <v>2549</v>
      </c>
      <c r="C1587" s="1" t="s">
        <v>39</v>
      </c>
      <c r="D1587" s="1" t="s">
        <v>5232</v>
      </c>
      <c r="E1587" s="62">
        <v>19</v>
      </c>
      <c r="F1587" s="1" t="s">
        <v>2551</v>
      </c>
      <c r="G1587" s="1" t="s">
        <v>2555</v>
      </c>
    </row>
    <row x14ac:dyDescent="0.25" r="1588" customHeight="1" ht="17.25" hidden="1">
      <c r="A1588" s="112" t="s">
        <v>5233</v>
      </c>
      <c r="B1588" s="1" t="s">
        <v>2549</v>
      </c>
      <c r="C1588" s="1" t="s">
        <v>39</v>
      </c>
      <c r="D1588" s="1" t="s">
        <v>5234</v>
      </c>
      <c r="E1588" s="62">
        <v>38</v>
      </c>
      <c r="F1588" s="1" t="s">
        <v>2551</v>
      </c>
      <c r="G1588" s="1" t="s">
        <v>2555</v>
      </c>
    </row>
    <row x14ac:dyDescent="0.25" r="1589" customHeight="1" ht="17.25" hidden="1">
      <c r="A1589" s="112" t="s">
        <v>5235</v>
      </c>
      <c r="B1589" s="1" t="s">
        <v>2549</v>
      </c>
      <c r="C1589" s="1" t="s">
        <v>39</v>
      </c>
      <c r="D1589" s="1" t="s">
        <v>5236</v>
      </c>
      <c r="E1589" s="62">
        <v>26</v>
      </c>
      <c r="F1589" s="1" t="s">
        <v>2551</v>
      </c>
      <c r="G1589" s="1" t="s">
        <v>2552</v>
      </c>
    </row>
    <row x14ac:dyDescent="0.25" r="1590" customHeight="1" ht="17.25" hidden="1">
      <c r="A1590" s="112" t="s">
        <v>5237</v>
      </c>
      <c r="B1590" s="1" t="s">
        <v>2549</v>
      </c>
      <c r="C1590" s="1" t="s">
        <v>39</v>
      </c>
      <c r="D1590" s="1" t="s">
        <v>5238</v>
      </c>
      <c r="E1590" s="62">
        <v>21</v>
      </c>
      <c r="F1590" s="1" t="s">
        <v>2551</v>
      </c>
      <c r="G1590" s="1" t="s">
        <v>2552</v>
      </c>
    </row>
    <row x14ac:dyDescent="0.25" r="1591" customHeight="1" ht="17.25" hidden="1">
      <c r="A1591" s="112" t="s">
        <v>5239</v>
      </c>
      <c r="B1591" s="1" t="s">
        <v>2549</v>
      </c>
      <c r="C1591" s="1" t="s">
        <v>39</v>
      </c>
      <c r="D1591" s="1" t="s">
        <v>5240</v>
      </c>
      <c r="E1591" s="62">
        <v>36</v>
      </c>
      <c r="F1591" s="1" t="s">
        <v>2551</v>
      </c>
      <c r="G1591" s="1" t="s">
        <v>2555</v>
      </c>
    </row>
    <row x14ac:dyDescent="0.25" r="1592" customHeight="1" ht="17.25" hidden="1">
      <c r="A1592" s="112" t="s">
        <v>5239</v>
      </c>
      <c r="B1592" s="1" t="s">
        <v>2549</v>
      </c>
      <c r="C1592" s="1" t="s">
        <v>39</v>
      </c>
      <c r="D1592" s="1" t="s">
        <v>5241</v>
      </c>
      <c r="E1592" s="62">
        <v>39</v>
      </c>
      <c r="F1592" s="1" t="s">
        <v>2551</v>
      </c>
      <c r="G1592" s="1" t="s">
        <v>2555</v>
      </c>
    </row>
    <row x14ac:dyDescent="0.25" r="1593" customHeight="1" ht="17.25" hidden="1">
      <c r="A1593" s="112" t="s">
        <v>5242</v>
      </c>
      <c r="B1593" s="1" t="s">
        <v>2549</v>
      </c>
      <c r="C1593" s="1" t="s">
        <v>39</v>
      </c>
      <c r="D1593" s="1" t="s">
        <v>5243</v>
      </c>
      <c r="E1593" s="62">
        <v>18</v>
      </c>
      <c r="F1593" s="1" t="s">
        <v>2551</v>
      </c>
      <c r="G1593" s="1" t="s">
        <v>2552</v>
      </c>
    </row>
    <row x14ac:dyDescent="0.25" r="1594" customHeight="1" ht="17.25" hidden="1">
      <c r="A1594" s="112" t="s">
        <v>5244</v>
      </c>
      <c r="B1594" s="1" t="s">
        <v>2549</v>
      </c>
      <c r="C1594" s="1" t="s">
        <v>39</v>
      </c>
      <c r="D1594" s="1" t="s">
        <v>5245</v>
      </c>
      <c r="E1594" s="62">
        <v>32</v>
      </c>
      <c r="F1594" s="1" t="s">
        <v>2561</v>
      </c>
      <c r="G1594" s="1" t="s">
        <v>2555</v>
      </c>
    </row>
    <row x14ac:dyDescent="0.25" r="1595" customHeight="1" ht="17.25" hidden="1">
      <c r="A1595" s="112" t="s">
        <v>2010</v>
      </c>
      <c r="B1595" s="1" t="s">
        <v>2549</v>
      </c>
      <c r="C1595" s="1" t="s">
        <v>39</v>
      </c>
      <c r="D1595" s="1" t="s">
        <v>5246</v>
      </c>
      <c r="E1595" s="62">
        <v>21</v>
      </c>
      <c r="F1595" s="1" t="s">
        <v>2551</v>
      </c>
      <c r="G1595" s="1" t="s">
        <v>2552</v>
      </c>
    </row>
    <row x14ac:dyDescent="0.25" r="1596" customHeight="1" ht="17.25" hidden="1">
      <c r="A1596" s="112" t="s">
        <v>5247</v>
      </c>
      <c r="B1596" s="1" t="s">
        <v>2549</v>
      </c>
      <c r="C1596" s="1" t="s">
        <v>39</v>
      </c>
      <c r="D1596" s="1" t="s">
        <v>5248</v>
      </c>
      <c r="E1596" s="62">
        <v>20</v>
      </c>
      <c r="F1596" s="1" t="s">
        <v>2561</v>
      </c>
      <c r="G1596" s="1" t="s">
        <v>2555</v>
      </c>
    </row>
    <row x14ac:dyDescent="0.25" r="1597" customHeight="1" ht="17.25" hidden="1">
      <c r="A1597" s="112" t="s">
        <v>5249</v>
      </c>
      <c r="B1597" s="1" t="s">
        <v>2549</v>
      </c>
      <c r="C1597" s="1" t="s">
        <v>39</v>
      </c>
      <c r="D1597" s="1" t="s">
        <v>5250</v>
      </c>
      <c r="E1597" s="62">
        <v>33</v>
      </c>
      <c r="F1597" s="1" t="s">
        <v>2551</v>
      </c>
      <c r="G1597" s="1" t="s">
        <v>2555</v>
      </c>
    </row>
    <row x14ac:dyDescent="0.25" r="1598" customHeight="1" ht="17.25" hidden="1">
      <c r="A1598" s="112" t="s">
        <v>5251</v>
      </c>
      <c r="B1598" s="1" t="s">
        <v>2549</v>
      </c>
      <c r="C1598" s="1" t="s">
        <v>39</v>
      </c>
      <c r="D1598" s="1" t="s">
        <v>5252</v>
      </c>
      <c r="E1598" s="62">
        <v>22</v>
      </c>
      <c r="F1598" s="1" t="s">
        <v>2551</v>
      </c>
      <c r="G1598" s="1" t="s">
        <v>2552</v>
      </c>
    </row>
    <row x14ac:dyDescent="0.25" r="1599" customHeight="1" ht="17.25" hidden="1">
      <c r="A1599" s="112" t="s">
        <v>5253</v>
      </c>
      <c r="B1599" s="1" t="s">
        <v>2549</v>
      </c>
      <c r="C1599" s="1" t="s">
        <v>39</v>
      </c>
      <c r="D1599" s="1" t="s">
        <v>5254</v>
      </c>
      <c r="E1599" s="62">
        <v>20</v>
      </c>
      <c r="F1599" s="1" t="s">
        <v>2551</v>
      </c>
      <c r="G1599" s="1" t="s">
        <v>2552</v>
      </c>
    </row>
    <row x14ac:dyDescent="0.25" r="1600" customHeight="1" ht="17.25" hidden="1">
      <c r="A1600" s="112" t="s">
        <v>5255</v>
      </c>
      <c r="B1600" s="1" t="s">
        <v>2549</v>
      </c>
      <c r="C1600" s="1" t="s">
        <v>39</v>
      </c>
      <c r="D1600" s="1" t="s">
        <v>5256</v>
      </c>
      <c r="E1600" s="62">
        <v>29</v>
      </c>
      <c r="F1600" s="1" t="s">
        <v>2551</v>
      </c>
      <c r="G1600" s="1" t="s">
        <v>2555</v>
      </c>
    </row>
    <row x14ac:dyDescent="0.25" r="1601" customHeight="1" ht="17.25" hidden="1">
      <c r="A1601" s="112" t="s">
        <v>5257</v>
      </c>
      <c r="B1601" s="1" t="s">
        <v>2549</v>
      </c>
      <c r="C1601" s="1" t="s">
        <v>39</v>
      </c>
      <c r="D1601" s="1" t="s">
        <v>5258</v>
      </c>
      <c r="E1601" s="62">
        <v>23</v>
      </c>
      <c r="F1601" s="1" t="s">
        <v>2551</v>
      </c>
      <c r="G1601" s="1" t="s">
        <v>2552</v>
      </c>
    </row>
    <row x14ac:dyDescent="0.25" r="1602" customHeight="1" ht="17.25" hidden="1">
      <c r="A1602" s="112" t="s">
        <v>5259</v>
      </c>
      <c r="B1602" s="1" t="s">
        <v>2549</v>
      </c>
      <c r="C1602" s="1" t="s">
        <v>39</v>
      </c>
      <c r="D1602" s="1" t="s">
        <v>5260</v>
      </c>
      <c r="E1602" s="54" t="s">
        <v>2571</v>
      </c>
      <c r="F1602" s="1" t="s">
        <v>2551</v>
      </c>
      <c r="G1602" s="1" t="s">
        <v>2571</v>
      </c>
    </row>
    <row x14ac:dyDescent="0.25" r="1603" customHeight="1" ht="17.25" hidden="1">
      <c r="A1603" s="112" t="s">
        <v>5261</v>
      </c>
      <c r="B1603" s="1" t="s">
        <v>2549</v>
      </c>
      <c r="C1603" s="1" t="s">
        <v>39</v>
      </c>
      <c r="D1603" s="1" t="s">
        <v>5262</v>
      </c>
      <c r="E1603" s="62">
        <v>19</v>
      </c>
      <c r="F1603" s="1" t="s">
        <v>2551</v>
      </c>
      <c r="G1603" s="1" t="s">
        <v>2552</v>
      </c>
    </row>
    <row x14ac:dyDescent="0.25" r="1604" customHeight="1" ht="17.25" hidden="1">
      <c r="A1604" s="112" t="s">
        <v>5263</v>
      </c>
      <c r="B1604" s="1" t="s">
        <v>2549</v>
      </c>
      <c r="C1604" s="1" t="s">
        <v>39</v>
      </c>
      <c r="D1604" s="1" t="s">
        <v>5264</v>
      </c>
      <c r="E1604" s="62">
        <v>38</v>
      </c>
      <c r="F1604" s="1" t="s">
        <v>2561</v>
      </c>
      <c r="G1604" s="1" t="s">
        <v>2555</v>
      </c>
    </row>
    <row x14ac:dyDescent="0.25" r="1605" customHeight="1" ht="17.25" hidden="1">
      <c r="A1605" s="112" t="s">
        <v>5265</v>
      </c>
      <c r="B1605" s="1" t="s">
        <v>2549</v>
      </c>
      <c r="C1605" s="1" t="s">
        <v>39</v>
      </c>
      <c r="D1605" s="1" t="s">
        <v>5266</v>
      </c>
      <c r="E1605" s="62">
        <v>26</v>
      </c>
      <c r="F1605" s="1" t="s">
        <v>2551</v>
      </c>
      <c r="G1605" s="1" t="s">
        <v>2555</v>
      </c>
    </row>
    <row x14ac:dyDescent="0.25" r="1606" customHeight="1" ht="17.25" hidden="1">
      <c r="A1606" s="112" t="s">
        <v>5267</v>
      </c>
      <c r="B1606" s="1" t="s">
        <v>2549</v>
      </c>
      <c r="C1606" s="1" t="s">
        <v>39</v>
      </c>
      <c r="D1606" s="1" t="s">
        <v>5268</v>
      </c>
      <c r="E1606" s="62">
        <v>40</v>
      </c>
      <c r="F1606" s="1" t="s">
        <v>2551</v>
      </c>
      <c r="G1606" s="1" t="s">
        <v>2552</v>
      </c>
    </row>
    <row x14ac:dyDescent="0.25" r="1607" customHeight="1" ht="17.25" hidden="1">
      <c r="A1607" s="112" t="s">
        <v>5269</v>
      </c>
      <c r="B1607" s="1" t="s">
        <v>2549</v>
      </c>
      <c r="C1607" s="1" t="s">
        <v>39</v>
      </c>
      <c r="D1607" s="1" t="s">
        <v>5270</v>
      </c>
      <c r="E1607" s="62">
        <v>18</v>
      </c>
      <c r="F1607" s="1" t="s">
        <v>2551</v>
      </c>
      <c r="G1607" s="1" t="s">
        <v>2552</v>
      </c>
    </row>
    <row x14ac:dyDescent="0.25" r="1608" customHeight="1" ht="17.25" hidden="1">
      <c r="A1608" s="112" t="s">
        <v>5271</v>
      </c>
      <c r="B1608" s="1" t="s">
        <v>2549</v>
      </c>
      <c r="C1608" s="1" t="s">
        <v>39</v>
      </c>
      <c r="D1608" s="1" t="s">
        <v>5272</v>
      </c>
      <c r="E1608" s="62">
        <v>29</v>
      </c>
      <c r="F1608" s="1" t="s">
        <v>2551</v>
      </c>
      <c r="G1608" s="1" t="s">
        <v>2555</v>
      </c>
    </row>
    <row x14ac:dyDescent="0.25" r="1609" customHeight="1" ht="17.25" hidden="1">
      <c r="A1609" s="112" t="s">
        <v>5273</v>
      </c>
      <c r="B1609" s="1" t="s">
        <v>2549</v>
      </c>
      <c r="C1609" s="1" t="s">
        <v>39</v>
      </c>
      <c r="D1609" s="1" t="s">
        <v>5274</v>
      </c>
      <c r="E1609" s="62">
        <v>19</v>
      </c>
      <c r="F1609" s="1" t="s">
        <v>2551</v>
      </c>
      <c r="G1609" s="1" t="s">
        <v>2558</v>
      </c>
    </row>
    <row x14ac:dyDescent="0.25" r="1610" customHeight="1" ht="17.25" hidden="1">
      <c r="A1610" s="112" t="s">
        <v>824</v>
      </c>
      <c r="B1610" s="1" t="s">
        <v>2549</v>
      </c>
      <c r="C1610" s="1" t="s">
        <v>39</v>
      </c>
      <c r="D1610" s="1" t="s">
        <v>5275</v>
      </c>
      <c r="E1610" s="62">
        <v>19</v>
      </c>
      <c r="F1610" s="1" t="s">
        <v>2551</v>
      </c>
      <c r="G1610" s="1" t="s">
        <v>2555</v>
      </c>
    </row>
    <row x14ac:dyDescent="0.25" r="1611" customHeight="1" ht="17.25" hidden="1">
      <c r="A1611" s="112" t="s">
        <v>5276</v>
      </c>
      <c r="B1611" s="1" t="s">
        <v>2549</v>
      </c>
      <c r="C1611" s="1" t="s">
        <v>39</v>
      </c>
      <c r="D1611" s="1" t="s">
        <v>5277</v>
      </c>
      <c r="E1611" s="62">
        <v>36</v>
      </c>
      <c r="F1611" s="1" t="s">
        <v>2551</v>
      </c>
      <c r="G1611" s="1" t="s">
        <v>2552</v>
      </c>
    </row>
    <row x14ac:dyDescent="0.25" r="1612" customHeight="1" ht="17.25" hidden="1">
      <c r="A1612" s="112" t="s">
        <v>5278</v>
      </c>
      <c r="B1612" s="1" t="s">
        <v>2549</v>
      </c>
      <c r="C1612" s="1" t="s">
        <v>39</v>
      </c>
      <c r="D1612" s="1" t="s">
        <v>5279</v>
      </c>
      <c r="E1612" s="62">
        <v>22</v>
      </c>
      <c r="F1612" s="1" t="s">
        <v>2551</v>
      </c>
      <c r="G1612" s="1" t="s">
        <v>2552</v>
      </c>
    </row>
    <row x14ac:dyDescent="0.25" r="1613" customHeight="1" ht="17.25" hidden="1">
      <c r="A1613" s="112" t="s">
        <v>5280</v>
      </c>
      <c r="B1613" s="1" t="s">
        <v>2549</v>
      </c>
      <c r="C1613" s="1" t="s">
        <v>39</v>
      </c>
      <c r="D1613" s="1" t="s">
        <v>5281</v>
      </c>
      <c r="E1613" s="62">
        <v>18</v>
      </c>
      <c r="F1613" s="1" t="s">
        <v>2551</v>
      </c>
      <c r="G1613" s="1" t="s">
        <v>2558</v>
      </c>
    </row>
    <row x14ac:dyDescent="0.25" r="1614" customHeight="1" ht="17.25" hidden="1">
      <c r="A1614" s="112" t="s">
        <v>5280</v>
      </c>
      <c r="B1614" s="1" t="s">
        <v>2549</v>
      </c>
      <c r="C1614" s="1" t="s">
        <v>39</v>
      </c>
      <c r="D1614" s="1" t="s">
        <v>5282</v>
      </c>
      <c r="E1614" s="62">
        <v>23</v>
      </c>
      <c r="F1614" s="1" t="s">
        <v>2551</v>
      </c>
      <c r="G1614" s="1" t="s">
        <v>2558</v>
      </c>
    </row>
    <row x14ac:dyDescent="0.25" r="1615" customHeight="1" ht="17.25" hidden="1">
      <c r="A1615" s="112" t="s">
        <v>5283</v>
      </c>
      <c r="B1615" s="1" t="s">
        <v>2549</v>
      </c>
      <c r="C1615" s="1" t="s">
        <v>39</v>
      </c>
      <c r="D1615" s="1" t="s">
        <v>5284</v>
      </c>
      <c r="E1615" s="62">
        <v>26</v>
      </c>
      <c r="F1615" s="1" t="s">
        <v>2551</v>
      </c>
      <c r="G1615" s="1" t="s">
        <v>2555</v>
      </c>
    </row>
    <row x14ac:dyDescent="0.25" r="1616" customHeight="1" ht="17.25" hidden="1">
      <c r="A1616" s="112" t="s">
        <v>5285</v>
      </c>
      <c r="B1616" s="1" t="s">
        <v>2549</v>
      </c>
      <c r="C1616" s="1" t="s">
        <v>39</v>
      </c>
      <c r="D1616" s="1" t="s">
        <v>5286</v>
      </c>
      <c r="E1616" s="62">
        <v>25</v>
      </c>
      <c r="F1616" s="1" t="s">
        <v>2551</v>
      </c>
      <c r="G1616" s="1" t="s">
        <v>2552</v>
      </c>
    </row>
    <row x14ac:dyDescent="0.25" r="1617" customHeight="1" ht="17.25" hidden="1">
      <c r="A1617" s="112" t="s">
        <v>5287</v>
      </c>
      <c r="B1617" s="1" t="s">
        <v>2549</v>
      </c>
      <c r="C1617" s="1" t="s">
        <v>39</v>
      </c>
      <c r="D1617" s="1" t="s">
        <v>5288</v>
      </c>
      <c r="E1617" s="62">
        <v>20</v>
      </c>
      <c r="F1617" s="1" t="s">
        <v>2551</v>
      </c>
      <c r="G1617" s="1" t="s">
        <v>2552</v>
      </c>
    </row>
    <row x14ac:dyDescent="0.25" r="1618" customHeight="1" ht="17.25" hidden="1">
      <c r="A1618" s="112" t="s">
        <v>5289</v>
      </c>
      <c r="B1618" s="1" t="s">
        <v>2549</v>
      </c>
      <c r="C1618" s="1" t="s">
        <v>39</v>
      </c>
      <c r="D1618" s="1" t="s">
        <v>5290</v>
      </c>
      <c r="E1618" s="62">
        <v>28</v>
      </c>
      <c r="F1618" s="1" t="s">
        <v>2551</v>
      </c>
      <c r="G1618" s="1" t="s">
        <v>2552</v>
      </c>
    </row>
    <row x14ac:dyDescent="0.25" r="1619" customHeight="1" ht="17.25" hidden="1">
      <c r="A1619" s="112" t="s">
        <v>5291</v>
      </c>
      <c r="B1619" s="1" t="s">
        <v>2549</v>
      </c>
      <c r="C1619" s="1" t="s">
        <v>39</v>
      </c>
      <c r="D1619" s="1" t="s">
        <v>5292</v>
      </c>
      <c r="E1619" s="62">
        <v>20</v>
      </c>
      <c r="F1619" s="1" t="s">
        <v>2551</v>
      </c>
      <c r="G1619" s="1" t="s">
        <v>2552</v>
      </c>
    </row>
    <row x14ac:dyDescent="0.25" r="1620" customHeight="1" ht="17.25" hidden="1">
      <c r="A1620" s="112" t="s">
        <v>5291</v>
      </c>
      <c r="B1620" s="1" t="s">
        <v>2549</v>
      </c>
      <c r="C1620" s="1" t="s">
        <v>39</v>
      </c>
      <c r="D1620" s="1" t="s">
        <v>5293</v>
      </c>
      <c r="E1620" s="62">
        <v>19</v>
      </c>
      <c r="F1620" s="1" t="s">
        <v>2551</v>
      </c>
      <c r="G1620" s="1" t="s">
        <v>2555</v>
      </c>
    </row>
    <row x14ac:dyDescent="0.25" r="1621" customHeight="1" ht="17.25" hidden="1">
      <c r="A1621" s="112" t="s">
        <v>5291</v>
      </c>
      <c r="B1621" s="1" t="s">
        <v>2549</v>
      </c>
      <c r="C1621" s="1" t="s">
        <v>39</v>
      </c>
      <c r="D1621" s="1" t="s">
        <v>5294</v>
      </c>
      <c r="E1621" s="62">
        <v>26</v>
      </c>
      <c r="F1621" s="1" t="s">
        <v>2551</v>
      </c>
      <c r="G1621" s="1" t="s">
        <v>2558</v>
      </c>
    </row>
    <row x14ac:dyDescent="0.25" r="1622" customHeight="1" ht="17.25" hidden="1">
      <c r="A1622" s="112" t="s">
        <v>5295</v>
      </c>
      <c r="B1622" s="1" t="s">
        <v>2549</v>
      </c>
      <c r="C1622" s="1" t="s">
        <v>39</v>
      </c>
      <c r="D1622" s="1" t="s">
        <v>5296</v>
      </c>
      <c r="E1622" s="62">
        <v>32</v>
      </c>
      <c r="F1622" s="1" t="s">
        <v>2551</v>
      </c>
      <c r="G1622" s="1" t="s">
        <v>2552</v>
      </c>
    </row>
    <row x14ac:dyDescent="0.25" r="1623" customHeight="1" ht="17.25" hidden="1">
      <c r="A1623" s="112" t="s">
        <v>5297</v>
      </c>
      <c r="B1623" s="1" t="s">
        <v>2549</v>
      </c>
      <c r="C1623" s="1" t="s">
        <v>39</v>
      </c>
      <c r="D1623" s="1" t="s">
        <v>4660</v>
      </c>
      <c r="E1623" s="62">
        <v>57</v>
      </c>
      <c r="F1623" s="1" t="s">
        <v>2551</v>
      </c>
      <c r="G1623" s="1" t="s">
        <v>2552</v>
      </c>
    </row>
    <row x14ac:dyDescent="0.25" r="1624" customHeight="1" ht="17.25" hidden="1">
      <c r="A1624" s="112" t="s">
        <v>5298</v>
      </c>
      <c r="B1624" s="1" t="s">
        <v>2549</v>
      </c>
      <c r="C1624" s="1" t="s">
        <v>39</v>
      </c>
      <c r="D1624" s="1" t="s">
        <v>5299</v>
      </c>
      <c r="E1624" s="62">
        <v>38</v>
      </c>
      <c r="F1624" s="1" t="s">
        <v>2551</v>
      </c>
      <c r="G1624" s="1" t="s">
        <v>2552</v>
      </c>
    </row>
    <row x14ac:dyDescent="0.25" r="1625" customHeight="1" ht="17.25" hidden="1">
      <c r="A1625" s="112" t="s">
        <v>5300</v>
      </c>
      <c r="B1625" s="1" t="s">
        <v>2549</v>
      </c>
      <c r="C1625" s="1" t="s">
        <v>39</v>
      </c>
      <c r="D1625" s="1" t="s">
        <v>5301</v>
      </c>
      <c r="E1625" s="62">
        <v>28</v>
      </c>
      <c r="F1625" s="1" t="s">
        <v>2551</v>
      </c>
      <c r="G1625" s="1" t="s">
        <v>2571</v>
      </c>
    </row>
    <row x14ac:dyDescent="0.25" r="1626" customHeight="1" ht="17.25" hidden="1">
      <c r="A1626" s="112" t="s">
        <v>5302</v>
      </c>
      <c r="B1626" s="1" t="s">
        <v>2549</v>
      </c>
      <c r="C1626" s="1" t="s">
        <v>39</v>
      </c>
      <c r="D1626" s="1" t="s">
        <v>5303</v>
      </c>
      <c r="E1626" s="62">
        <v>32</v>
      </c>
      <c r="F1626" s="1" t="s">
        <v>2551</v>
      </c>
      <c r="G1626" s="1" t="s">
        <v>2552</v>
      </c>
    </row>
    <row x14ac:dyDescent="0.25" r="1627" customHeight="1" ht="17.25" hidden="1">
      <c r="A1627" s="112" t="s">
        <v>5302</v>
      </c>
      <c r="B1627" s="1" t="s">
        <v>2549</v>
      </c>
      <c r="C1627" s="1" t="s">
        <v>39</v>
      </c>
      <c r="D1627" s="1" t="s">
        <v>5304</v>
      </c>
      <c r="E1627" s="62">
        <v>23</v>
      </c>
      <c r="F1627" s="1" t="s">
        <v>2551</v>
      </c>
      <c r="G1627" s="1" t="s">
        <v>2552</v>
      </c>
    </row>
    <row x14ac:dyDescent="0.25" r="1628" customHeight="1" ht="17.25" hidden="1">
      <c r="A1628" s="112" t="s">
        <v>5305</v>
      </c>
      <c r="B1628" s="1" t="s">
        <v>2549</v>
      </c>
      <c r="C1628" s="1" t="s">
        <v>39</v>
      </c>
      <c r="D1628" s="1" t="s">
        <v>5306</v>
      </c>
      <c r="E1628" s="62">
        <v>21</v>
      </c>
      <c r="F1628" s="1" t="s">
        <v>2551</v>
      </c>
      <c r="G1628" s="1" t="s">
        <v>2552</v>
      </c>
    </row>
    <row x14ac:dyDescent="0.25" r="1629" customHeight="1" ht="17.25" hidden="1">
      <c r="A1629" s="112" t="s">
        <v>5307</v>
      </c>
      <c r="B1629" s="1" t="s">
        <v>2549</v>
      </c>
      <c r="C1629" s="1" t="s">
        <v>39</v>
      </c>
      <c r="D1629" s="1" t="s">
        <v>5308</v>
      </c>
      <c r="E1629" s="62">
        <v>27</v>
      </c>
      <c r="F1629" s="1" t="s">
        <v>2551</v>
      </c>
      <c r="G1629" s="1" t="s">
        <v>2552</v>
      </c>
    </row>
    <row x14ac:dyDescent="0.25" r="1630" customHeight="1" ht="17.25" hidden="1">
      <c r="A1630" s="112" t="s">
        <v>5309</v>
      </c>
      <c r="B1630" s="1" t="s">
        <v>2549</v>
      </c>
      <c r="C1630" s="1" t="s">
        <v>39</v>
      </c>
      <c r="D1630" s="1" t="s">
        <v>5310</v>
      </c>
      <c r="E1630" s="62">
        <v>33</v>
      </c>
      <c r="F1630" s="1" t="s">
        <v>2551</v>
      </c>
      <c r="G1630" s="1" t="s">
        <v>2555</v>
      </c>
    </row>
    <row x14ac:dyDescent="0.25" r="1631" customHeight="1" ht="17.25" hidden="1">
      <c r="A1631" s="112" t="s">
        <v>5309</v>
      </c>
      <c r="B1631" s="1" t="s">
        <v>2549</v>
      </c>
      <c r="C1631" s="1" t="s">
        <v>39</v>
      </c>
      <c r="D1631" s="1" t="s">
        <v>5311</v>
      </c>
      <c r="E1631" s="62">
        <v>26</v>
      </c>
      <c r="F1631" s="1" t="s">
        <v>2551</v>
      </c>
      <c r="G1631" s="1" t="s">
        <v>2555</v>
      </c>
    </row>
    <row x14ac:dyDescent="0.25" r="1632" customHeight="1" ht="17.25" hidden="1">
      <c r="A1632" s="112" t="s">
        <v>5309</v>
      </c>
      <c r="B1632" s="1" t="s">
        <v>2549</v>
      </c>
      <c r="C1632" s="1" t="s">
        <v>39</v>
      </c>
      <c r="D1632" s="1" t="s">
        <v>5312</v>
      </c>
      <c r="E1632" s="62">
        <v>31</v>
      </c>
      <c r="F1632" s="1" t="s">
        <v>2551</v>
      </c>
      <c r="G1632" s="1" t="s">
        <v>2555</v>
      </c>
    </row>
    <row x14ac:dyDescent="0.25" r="1633" customHeight="1" ht="17.25" hidden="1">
      <c r="A1633" s="112" t="s">
        <v>5309</v>
      </c>
      <c r="B1633" s="1" t="s">
        <v>2549</v>
      </c>
      <c r="C1633" s="1" t="s">
        <v>39</v>
      </c>
      <c r="D1633" s="1" t="s">
        <v>5313</v>
      </c>
      <c r="E1633" s="62">
        <v>46</v>
      </c>
      <c r="F1633" s="1" t="s">
        <v>2551</v>
      </c>
      <c r="G1633" s="1" t="s">
        <v>2555</v>
      </c>
    </row>
    <row x14ac:dyDescent="0.25" r="1634" customHeight="1" ht="17.25" hidden="1">
      <c r="A1634" s="112" t="s">
        <v>5309</v>
      </c>
      <c r="B1634" s="1" t="s">
        <v>2549</v>
      </c>
      <c r="C1634" s="1" t="s">
        <v>39</v>
      </c>
      <c r="D1634" s="1" t="s">
        <v>5314</v>
      </c>
      <c r="E1634" s="62">
        <v>22</v>
      </c>
      <c r="F1634" s="1" t="s">
        <v>2551</v>
      </c>
      <c r="G1634" s="1" t="s">
        <v>2555</v>
      </c>
    </row>
    <row x14ac:dyDescent="0.25" r="1635" customHeight="1" ht="17.25" hidden="1">
      <c r="A1635" s="112" t="s">
        <v>5315</v>
      </c>
      <c r="B1635" s="1" t="s">
        <v>2549</v>
      </c>
      <c r="C1635" s="1" t="s">
        <v>39</v>
      </c>
      <c r="D1635" s="1" t="s">
        <v>5316</v>
      </c>
      <c r="E1635" s="54" t="s">
        <v>2571</v>
      </c>
      <c r="F1635" s="1" t="s">
        <v>2561</v>
      </c>
      <c r="G1635" s="1" t="s">
        <v>2552</v>
      </c>
    </row>
    <row x14ac:dyDescent="0.25" r="1636" customHeight="1" ht="17.25" hidden="1">
      <c r="A1636" s="112" t="s">
        <v>5317</v>
      </c>
      <c r="B1636" s="1" t="s">
        <v>2549</v>
      </c>
      <c r="C1636" s="1" t="s">
        <v>39</v>
      </c>
      <c r="D1636" s="1" t="s">
        <v>5318</v>
      </c>
      <c r="E1636" s="62">
        <v>18</v>
      </c>
      <c r="F1636" s="1" t="s">
        <v>2551</v>
      </c>
      <c r="G1636" s="1" t="s">
        <v>2555</v>
      </c>
    </row>
    <row x14ac:dyDescent="0.25" r="1637" customHeight="1" ht="17.25" hidden="1">
      <c r="A1637" s="112" t="s">
        <v>5319</v>
      </c>
      <c r="B1637" s="1" t="s">
        <v>2549</v>
      </c>
      <c r="C1637" s="1" t="s">
        <v>39</v>
      </c>
      <c r="D1637" s="1" t="s">
        <v>5320</v>
      </c>
      <c r="E1637" s="62">
        <v>18</v>
      </c>
      <c r="F1637" s="1" t="s">
        <v>2551</v>
      </c>
      <c r="G1637" s="1" t="s">
        <v>2552</v>
      </c>
    </row>
    <row x14ac:dyDescent="0.25" r="1638" customHeight="1" ht="17.25" hidden="1">
      <c r="A1638" s="112" t="s">
        <v>5321</v>
      </c>
      <c r="B1638" s="1" t="s">
        <v>2549</v>
      </c>
      <c r="C1638" s="1" t="s">
        <v>39</v>
      </c>
      <c r="D1638" s="1" t="s">
        <v>5322</v>
      </c>
      <c r="E1638" s="62">
        <v>25</v>
      </c>
      <c r="F1638" s="1" t="s">
        <v>2551</v>
      </c>
      <c r="G1638" s="1" t="s">
        <v>2555</v>
      </c>
    </row>
    <row x14ac:dyDescent="0.25" r="1639" customHeight="1" ht="17.25" hidden="1">
      <c r="A1639" s="112" t="s">
        <v>5321</v>
      </c>
      <c r="B1639" s="1" t="s">
        <v>2549</v>
      </c>
      <c r="C1639" s="1" t="s">
        <v>39</v>
      </c>
      <c r="D1639" s="1" t="s">
        <v>5323</v>
      </c>
      <c r="E1639" s="62">
        <v>50</v>
      </c>
      <c r="F1639" s="1" t="s">
        <v>2551</v>
      </c>
      <c r="G1639" s="1" t="s">
        <v>2555</v>
      </c>
    </row>
    <row x14ac:dyDescent="0.25" r="1640" customHeight="1" ht="17.25" hidden="1">
      <c r="A1640" s="112" t="s">
        <v>5321</v>
      </c>
      <c r="B1640" s="1" t="s">
        <v>2549</v>
      </c>
      <c r="C1640" s="1" t="s">
        <v>39</v>
      </c>
      <c r="D1640" s="1" t="s">
        <v>5324</v>
      </c>
      <c r="E1640" s="62">
        <v>25</v>
      </c>
      <c r="F1640" s="1" t="s">
        <v>2551</v>
      </c>
      <c r="G1640" s="1" t="s">
        <v>2555</v>
      </c>
    </row>
    <row x14ac:dyDescent="0.25" r="1641" customHeight="1" ht="17.25" hidden="1">
      <c r="A1641" s="112" t="s">
        <v>5325</v>
      </c>
      <c r="B1641" s="1" t="s">
        <v>2549</v>
      </c>
      <c r="C1641" s="1" t="s">
        <v>39</v>
      </c>
      <c r="D1641" s="1" t="s">
        <v>5326</v>
      </c>
      <c r="E1641" s="62">
        <v>23</v>
      </c>
      <c r="F1641" s="1" t="s">
        <v>2551</v>
      </c>
      <c r="G1641" s="1" t="s">
        <v>2552</v>
      </c>
    </row>
    <row x14ac:dyDescent="0.25" r="1642" customHeight="1" ht="17.25" hidden="1">
      <c r="A1642" s="112" t="s">
        <v>5325</v>
      </c>
      <c r="B1642" s="1" t="s">
        <v>2549</v>
      </c>
      <c r="C1642" s="1" t="s">
        <v>39</v>
      </c>
      <c r="D1642" s="1" t="s">
        <v>5327</v>
      </c>
      <c r="E1642" s="62">
        <v>36</v>
      </c>
      <c r="F1642" s="1" t="s">
        <v>2551</v>
      </c>
      <c r="G1642" s="1" t="s">
        <v>2552</v>
      </c>
    </row>
    <row x14ac:dyDescent="0.25" r="1643" customHeight="1" ht="17.25" hidden="1">
      <c r="A1643" s="112" t="s">
        <v>5328</v>
      </c>
      <c r="B1643" s="1" t="s">
        <v>2549</v>
      </c>
      <c r="C1643" s="1" t="s">
        <v>39</v>
      </c>
      <c r="D1643" s="1" t="s">
        <v>5329</v>
      </c>
      <c r="E1643" s="62">
        <v>27</v>
      </c>
      <c r="F1643" s="1" t="s">
        <v>2551</v>
      </c>
      <c r="G1643" s="1" t="s">
        <v>2555</v>
      </c>
    </row>
    <row x14ac:dyDescent="0.25" r="1644" customHeight="1" ht="17.25" hidden="1">
      <c r="A1644" s="112" t="s">
        <v>5330</v>
      </c>
      <c r="B1644" s="1" t="s">
        <v>2549</v>
      </c>
      <c r="C1644" s="1" t="s">
        <v>39</v>
      </c>
      <c r="D1644" s="1" t="s">
        <v>5331</v>
      </c>
      <c r="E1644" s="62">
        <v>27</v>
      </c>
      <c r="F1644" s="1" t="s">
        <v>2551</v>
      </c>
      <c r="G1644" s="1" t="s">
        <v>2555</v>
      </c>
    </row>
    <row x14ac:dyDescent="0.25" r="1645" customHeight="1" ht="17.25" hidden="1">
      <c r="A1645" s="112" t="s">
        <v>5332</v>
      </c>
      <c r="B1645" s="1" t="s">
        <v>2549</v>
      </c>
      <c r="C1645" s="1" t="s">
        <v>39</v>
      </c>
      <c r="D1645" s="1" t="s">
        <v>5333</v>
      </c>
      <c r="E1645" s="62">
        <v>21</v>
      </c>
      <c r="F1645" s="1" t="s">
        <v>2551</v>
      </c>
      <c r="G1645" s="1" t="s">
        <v>2552</v>
      </c>
    </row>
    <row x14ac:dyDescent="0.25" r="1646" customHeight="1" ht="17.25" hidden="1">
      <c r="A1646" s="112" t="s">
        <v>5334</v>
      </c>
      <c r="B1646" s="1" t="s">
        <v>2549</v>
      </c>
      <c r="C1646" s="1" t="s">
        <v>39</v>
      </c>
      <c r="D1646" s="1" t="s">
        <v>5335</v>
      </c>
      <c r="E1646" s="62">
        <v>20</v>
      </c>
      <c r="F1646" s="1" t="s">
        <v>2551</v>
      </c>
      <c r="G1646" s="1" t="s">
        <v>2552</v>
      </c>
    </row>
    <row x14ac:dyDescent="0.25" r="1647" customHeight="1" ht="17.25" hidden="1">
      <c r="A1647" s="112" t="s">
        <v>5336</v>
      </c>
      <c r="B1647" s="1" t="s">
        <v>2549</v>
      </c>
      <c r="C1647" s="1" t="s">
        <v>39</v>
      </c>
      <c r="D1647" s="1" t="s">
        <v>5337</v>
      </c>
      <c r="E1647" s="62">
        <v>26</v>
      </c>
      <c r="F1647" s="1" t="s">
        <v>2551</v>
      </c>
      <c r="G1647" s="1" t="s">
        <v>2552</v>
      </c>
    </row>
    <row x14ac:dyDescent="0.25" r="1648" customHeight="1" ht="17.25" hidden="1">
      <c r="A1648" s="112" t="s">
        <v>5336</v>
      </c>
      <c r="B1648" s="1" t="s">
        <v>2549</v>
      </c>
      <c r="C1648" s="1" t="s">
        <v>39</v>
      </c>
      <c r="D1648" s="1" t="s">
        <v>5338</v>
      </c>
      <c r="E1648" s="62">
        <v>27</v>
      </c>
      <c r="F1648" s="1" t="s">
        <v>2551</v>
      </c>
      <c r="G1648" s="1" t="s">
        <v>2552</v>
      </c>
    </row>
    <row x14ac:dyDescent="0.25" r="1649" customHeight="1" ht="17.25" hidden="1">
      <c r="A1649" s="112" t="s">
        <v>5339</v>
      </c>
      <c r="B1649" s="1" t="s">
        <v>2549</v>
      </c>
      <c r="C1649" s="1" t="s">
        <v>39</v>
      </c>
      <c r="D1649" s="1" t="s">
        <v>5340</v>
      </c>
      <c r="E1649" s="62">
        <v>22</v>
      </c>
      <c r="F1649" s="1" t="s">
        <v>2551</v>
      </c>
      <c r="G1649" s="1" t="s">
        <v>2555</v>
      </c>
    </row>
    <row x14ac:dyDescent="0.25" r="1650" customHeight="1" ht="17.25" hidden="1">
      <c r="A1650" s="112" t="s">
        <v>5341</v>
      </c>
      <c r="B1650" s="1" t="s">
        <v>2549</v>
      </c>
      <c r="C1650" s="1" t="s">
        <v>39</v>
      </c>
      <c r="D1650" s="1" t="s">
        <v>5342</v>
      </c>
      <c r="E1650" s="62">
        <v>34</v>
      </c>
      <c r="F1650" s="1" t="s">
        <v>2551</v>
      </c>
      <c r="G1650" s="1" t="s">
        <v>2555</v>
      </c>
    </row>
    <row x14ac:dyDescent="0.25" r="1651" customHeight="1" ht="17.25" hidden="1">
      <c r="A1651" s="112" t="s">
        <v>5343</v>
      </c>
      <c r="B1651" s="1" t="s">
        <v>2549</v>
      </c>
      <c r="C1651" s="1" t="s">
        <v>39</v>
      </c>
      <c r="D1651" s="1" t="s">
        <v>5344</v>
      </c>
      <c r="E1651" s="62">
        <v>39</v>
      </c>
      <c r="F1651" s="1" t="s">
        <v>2551</v>
      </c>
      <c r="G1651" s="1" t="s">
        <v>2552</v>
      </c>
    </row>
    <row x14ac:dyDescent="0.25" r="1652" customHeight="1" ht="17.25" hidden="1">
      <c r="A1652" s="112" t="s">
        <v>5345</v>
      </c>
      <c r="B1652" s="1" t="s">
        <v>2549</v>
      </c>
      <c r="C1652" s="1" t="s">
        <v>39</v>
      </c>
      <c r="D1652" s="1" t="s">
        <v>5346</v>
      </c>
      <c r="E1652" s="62">
        <v>24</v>
      </c>
      <c r="F1652" s="1" t="s">
        <v>2551</v>
      </c>
      <c r="G1652" s="1" t="s">
        <v>2552</v>
      </c>
    </row>
    <row x14ac:dyDescent="0.25" r="1653" customHeight="1" ht="17.25" hidden="1">
      <c r="A1653" s="112" t="s">
        <v>5347</v>
      </c>
      <c r="B1653" s="1" t="s">
        <v>2549</v>
      </c>
      <c r="C1653" s="1" t="s">
        <v>39</v>
      </c>
      <c r="D1653" s="1" t="s">
        <v>5348</v>
      </c>
      <c r="E1653" s="62">
        <v>30</v>
      </c>
      <c r="F1653" s="1" t="s">
        <v>2551</v>
      </c>
      <c r="G1653" s="1" t="s">
        <v>2555</v>
      </c>
    </row>
    <row x14ac:dyDescent="0.25" r="1654" customHeight="1" ht="17.25" hidden="1">
      <c r="A1654" s="112" t="s">
        <v>5349</v>
      </c>
      <c r="B1654" s="1" t="s">
        <v>2549</v>
      </c>
      <c r="C1654" s="1" t="s">
        <v>39</v>
      </c>
      <c r="D1654" s="1" t="s">
        <v>5350</v>
      </c>
      <c r="E1654" s="54" t="s">
        <v>2571</v>
      </c>
      <c r="F1654" s="1" t="s">
        <v>2551</v>
      </c>
      <c r="G1654" s="1" t="s">
        <v>2552</v>
      </c>
    </row>
    <row x14ac:dyDescent="0.25" r="1655" customHeight="1" ht="17.25" hidden="1">
      <c r="A1655" s="112" t="s">
        <v>5351</v>
      </c>
      <c r="B1655" s="1" t="s">
        <v>2549</v>
      </c>
      <c r="C1655" s="1" t="s">
        <v>39</v>
      </c>
      <c r="D1655" s="1" t="s">
        <v>5352</v>
      </c>
      <c r="E1655" s="62">
        <v>36</v>
      </c>
      <c r="F1655" s="1" t="s">
        <v>2551</v>
      </c>
      <c r="G1655" s="1" t="s">
        <v>2552</v>
      </c>
    </row>
    <row x14ac:dyDescent="0.25" r="1656" customHeight="1" ht="17.25" hidden="1">
      <c r="A1656" s="112" t="s">
        <v>5353</v>
      </c>
      <c r="B1656" s="1" t="s">
        <v>2549</v>
      </c>
      <c r="C1656" s="1" t="s">
        <v>39</v>
      </c>
      <c r="D1656" s="1" t="s">
        <v>5354</v>
      </c>
      <c r="E1656" s="62">
        <v>21</v>
      </c>
      <c r="F1656" s="1" t="s">
        <v>2551</v>
      </c>
      <c r="G1656" s="1" t="s">
        <v>2555</v>
      </c>
    </row>
    <row x14ac:dyDescent="0.25" r="1657" customHeight="1" ht="17.25" hidden="1">
      <c r="A1657" s="112" t="s">
        <v>5355</v>
      </c>
      <c r="B1657" s="1" t="s">
        <v>2549</v>
      </c>
      <c r="C1657" s="1" t="s">
        <v>39</v>
      </c>
      <c r="D1657" s="1" t="s">
        <v>5356</v>
      </c>
      <c r="E1657" s="62">
        <v>18</v>
      </c>
      <c r="F1657" s="1" t="s">
        <v>2551</v>
      </c>
      <c r="G1657" s="1" t="s">
        <v>2555</v>
      </c>
    </row>
    <row x14ac:dyDescent="0.25" r="1658" customHeight="1" ht="17.25" hidden="1">
      <c r="A1658" s="112" t="s">
        <v>5357</v>
      </c>
      <c r="B1658" s="1" t="s">
        <v>2549</v>
      </c>
      <c r="C1658" s="1" t="s">
        <v>39</v>
      </c>
      <c r="D1658" s="1" t="s">
        <v>5358</v>
      </c>
      <c r="E1658" s="62">
        <v>28</v>
      </c>
      <c r="F1658" s="1" t="s">
        <v>2551</v>
      </c>
      <c r="G1658" s="1" t="s">
        <v>2552</v>
      </c>
    </row>
    <row x14ac:dyDescent="0.25" r="1659" customHeight="1" ht="17.25" hidden="1">
      <c r="A1659" s="112" t="s">
        <v>5359</v>
      </c>
      <c r="B1659" s="1" t="s">
        <v>2549</v>
      </c>
      <c r="C1659" s="1" t="s">
        <v>39</v>
      </c>
      <c r="D1659" s="1" t="s">
        <v>5360</v>
      </c>
      <c r="E1659" s="62">
        <v>0</v>
      </c>
      <c r="F1659" s="1" t="s">
        <v>2551</v>
      </c>
      <c r="G1659" s="1" t="s">
        <v>2571</v>
      </c>
    </row>
    <row x14ac:dyDescent="0.25" r="1660" customHeight="1" ht="17.25" hidden="1">
      <c r="A1660" s="112" t="s">
        <v>5361</v>
      </c>
      <c r="B1660" s="1" t="s">
        <v>2549</v>
      </c>
      <c r="C1660" s="1" t="s">
        <v>39</v>
      </c>
      <c r="D1660" s="1" t="s">
        <v>5362</v>
      </c>
      <c r="E1660" s="62">
        <v>20</v>
      </c>
      <c r="F1660" s="1" t="s">
        <v>2561</v>
      </c>
      <c r="G1660" s="1" t="s">
        <v>2552</v>
      </c>
    </row>
    <row x14ac:dyDescent="0.25" r="1661" customHeight="1" ht="17.25" hidden="1">
      <c r="A1661" s="112" t="s">
        <v>5361</v>
      </c>
      <c r="B1661" s="1" t="s">
        <v>2549</v>
      </c>
      <c r="C1661" s="1" t="s">
        <v>39</v>
      </c>
      <c r="D1661" s="1" t="s">
        <v>5363</v>
      </c>
      <c r="E1661" s="62">
        <v>26</v>
      </c>
      <c r="F1661" s="1" t="s">
        <v>2561</v>
      </c>
      <c r="G1661" s="1" t="s">
        <v>2552</v>
      </c>
    </row>
    <row x14ac:dyDescent="0.25" r="1662" customHeight="1" ht="17.25" hidden="1">
      <c r="A1662" s="112" t="s">
        <v>5364</v>
      </c>
      <c r="B1662" s="1" t="s">
        <v>2549</v>
      </c>
      <c r="C1662" s="1" t="s">
        <v>39</v>
      </c>
      <c r="D1662" s="1" t="s">
        <v>5365</v>
      </c>
      <c r="E1662" s="62">
        <v>19</v>
      </c>
      <c r="F1662" s="1" t="s">
        <v>2551</v>
      </c>
      <c r="G1662" s="1" t="s">
        <v>2555</v>
      </c>
    </row>
    <row x14ac:dyDescent="0.25" r="1663" customHeight="1" ht="17.25" hidden="1">
      <c r="A1663" s="112" t="s">
        <v>5366</v>
      </c>
      <c r="B1663" s="1" t="s">
        <v>2549</v>
      </c>
      <c r="C1663" s="1" t="s">
        <v>39</v>
      </c>
      <c r="D1663" s="1" t="s">
        <v>5367</v>
      </c>
      <c r="E1663" s="62">
        <v>18</v>
      </c>
      <c r="F1663" s="1" t="s">
        <v>2551</v>
      </c>
      <c r="G1663" s="1" t="s">
        <v>2558</v>
      </c>
    </row>
    <row x14ac:dyDescent="0.25" r="1664" customHeight="1" ht="17.25" hidden="1">
      <c r="A1664" s="112" t="s">
        <v>5368</v>
      </c>
      <c r="B1664" s="1" t="s">
        <v>2549</v>
      </c>
      <c r="C1664" s="1" t="s">
        <v>39</v>
      </c>
      <c r="D1664" s="1" t="s">
        <v>5369</v>
      </c>
      <c r="E1664" s="62">
        <v>20</v>
      </c>
      <c r="F1664" s="1" t="s">
        <v>2561</v>
      </c>
      <c r="G1664" s="1" t="s">
        <v>2555</v>
      </c>
    </row>
    <row x14ac:dyDescent="0.25" r="1665" customHeight="1" ht="17.25" hidden="1">
      <c r="A1665" s="112" t="s">
        <v>5370</v>
      </c>
      <c r="B1665" s="1" t="s">
        <v>2549</v>
      </c>
      <c r="C1665" s="1" t="s">
        <v>39</v>
      </c>
      <c r="D1665" s="1" t="s">
        <v>5371</v>
      </c>
      <c r="E1665" s="62">
        <v>28</v>
      </c>
      <c r="F1665" s="1" t="s">
        <v>2551</v>
      </c>
      <c r="G1665" s="1" t="s">
        <v>2555</v>
      </c>
    </row>
    <row x14ac:dyDescent="0.25" r="1666" customHeight="1" ht="17.25" hidden="1">
      <c r="A1666" s="112" t="s">
        <v>927</v>
      </c>
      <c r="B1666" s="1" t="s">
        <v>2549</v>
      </c>
      <c r="C1666" s="1" t="s">
        <v>39</v>
      </c>
      <c r="D1666" s="1" t="s">
        <v>929</v>
      </c>
      <c r="E1666" s="62">
        <v>21</v>
      </c>
      <c r="F1666" s="1" t="s">
        <v>2551</v>
      </c>
      <c r="G1666" s="1" t="s">
        <v>2555</v>
      </c>
    </row>
    <row x14ac:dyDescent="0.25" r="1667" customHeight="1" ht="17.25" hidden="1">
      <c r="A1667" s="112" t="s">
        <v>5372</v>
      </c>
      <c r="B1667" s="1" t="s">
        <v>2549</v>
      </c>
      <c r="C1667" s="1" t="s">
        <v>39</v>
      </c>
      <c r="D1667" s="1" t="s">
        <v>5373</v>
      </c>
      <c r="E1667" s="62">
        <v>32</v>
      </c>
      <c r="F1667" s="1" t="s">
        <v>2551</v>
      </c>
      <c r="G1667" s="1" t="s">
        <v>2555</v>
      </c>
    </row>
    <row x14ac:dyDescent="0.25" r="1668" customHeight="1" ht="17.25" hidden="1">
      <c r="A1668" s="112" t="s">
        <v>5374</v>
      </c>
      <c r="B1668" s="1" t="s">
        <v>2549</v>
      </c>
      <c r="C1668" s="1" t="s">
        <v>39</v>
      </c>
      <c r="D1668" s="1" t="s">
        <v>5375</v>
      </c>
      <c r="E1668" s="62">
        <v>39</v>
      </c>
      <c r="F1668" s="1" t="s">
        <v>2551</v>
      </c>
      <c r="G1668" s="1" t="s">
        <v>2558</v>
      </c>
    </row>
    <row x14ac:dyDescent="0.25" r="1669" customHeight="1" ht="17.25" hidden="1">
      <c r="A1669" s="112" t="s">
        <v>5374</v>
      </c>
      <c r="B1669" s="1" t="s">
        <v>2549</v>
      </c>
      <c r="C1669" s="1" t="s">
        <v>39</v>
      </c>
      <c r="D1669" s="1" t="s">
        <v>5376</v>
      </c>
      <c r="E1669" s="62">
        <v>41</v>
      </c>
      <c r="F1669" s="1" t="s">
        <v>2561</v>
      </c>
      <c r="G1669" s="1" t="s">
        <v>2558</v>
      </c>
    </row>
    <row x14ac:dyDescent="0.25" r="1670" customHeight="1" ht="17.25" hidden="1">
      <c r="A1670" s="112" t="s">
        <v>5377</v>
      </c>
      <c r="B1670" s="1" t="s">
        <v>2549</v>
      </c>
      <c r="C1670" s="1" t="s">
        <v>39</v>
      </c>
      <c r="D1670" s="1" t="s">
        <v>5378</v>
      </c>
      <c r="E1670" s="62">
        <v>39</v>
      </c>
      <c r="F1670" s="1" t="s">
        <v>2561</v>
      </c>
      <c r="G1670" s="1" t="s">
        <v>2552</v>
      </c>
    </row>
    <row x14ac:dyDescent="0.25" r="1671" customHeight="1" ht="17.25" hidden="1">
      <c r="A1671" s="112" t="s">
        <v>5379</v>
      </c>
      <c r="B1671" s="1" t="s">
        <v>2549</v>
      </c>
      <c r="C1671" s="1" t="s">
        <v>39</v>
      </c>
      <c r="D1671" s="1" t="s">
        <v>5380</v>
      </c>
      <c r="E1671" s="62">
        <v>27</v>
      </c>
      <c r="F1671" s="1" t="s">
        <v>2551</v>
      </c>
      <c r="G1671" s="1" t="s">
        <v>2558</v>
      </c>
    </row>
    <row x14ac:dyDescent="0.25" r="1672" customHeight="1" ht="17.25" hidden="1">
      <c r="A1672" s="112" t="s">
        <v>5381</v>
      </c>
      <c r="B1672" s="1" t="s">
        <v>2549</v>
      </c>
      <c r="C1672" s="1" t="s">
        <v>39</v>
      </c>
      <c r="D1672" s="1" t="s">
        <v>5382</v>
      </c>
      <c r="E1672" s="62">
        <v>42</v>
      </c>
      <c r="F1672" s="1" t="s">
        <v>2551</v>
      </c>
      <c r="G1672" s="1" t="s">
        <v>2555</v>
      </c>
    </row>
    <row x14ac:dyDescent="0.25" r="1673" customHeight="1" ht="17.25" hidden="1">
      <c r="A1673" s="112" t="s">
        <v>5381</v>
      </c>
      <c r="B1673" s="1" t="s">
        <v>2549</v>
      </c>
      <c r="C1673" s="1" t="s">
        <v>39</v>
      </c>
      <c r="D1673" s="1" t="s">
        <v>5383</v>
      </c>
      <c r="E1673" s="62">
        <v>29</v>
      </c>
      <c r="F1673" s="1" t="s">
        <v>2561</v>
      </c>
      <c r="G1673" s="1" t="s">
        <v>2555</v>
      </c>
    </row>
    <row x14ac:dyDescent="0.25" r="1674" customHeight="1" ht="17.25" hidden="1">
      <c r="A1674" s="112" t="s">
        <v>5384</v>
      </c>
      <c r="B1674" s="1" t="s">
        <v>2549</v>
      </c>
      <c r="C1674" s="1" t="s">
        <v>39</v>
      </c>
      <c r="D1674" s="1" t="s">
        <v>5385</v>
      </c>
      <c r="E1674" s="62">
        <v>35</v>
      </c>
      <c r="F1674" s="1" t="s">
        <v>2551</v>
      </c>
      <c r="G1674" s="1" t="s">
        <v>2552</v>
      </c>
    </row>
    <row x14ac:dyDescent="0.25" r="1675" customHeight="1" ht="17.25" hidden="1">
      <c r="A1675" s="112" t="s">
        <v>5384</v>
      </c>
      <c r="B1675" s="1" t="s">
        <v>2549</v>
      </c>
      <c r="C1675" s="1" t="s">
        <v>39</v>
      </c>
      <c r="D1675" s="1" t="s">
        <v>5386</v>
      </c>
      <c r="E1675" s="62">
        <v>25</v>
      </c>
      <c r="F1675" s="1" t="s">
        <v>2551</v>
      </c>
      <c r="G1675" s="1" t="s">
        <v>2571</v>
      </c>
    </row>
    <row x14ac:dyDescent="0.25" r="1676" customHeight="1" ht="17.25" hidden="1">
      <c r="A1676" s="112" t="s">
        <v>5387</v>
      </c>
      <c r="B1676" s="1" t="s">
        <v>2549</v>
      </c>
      <c r="C1676" s="1" t="s">
        <v>39</v>
      </c>
      <c r="D1676" s="1" t="s">
        <v>5388</v>
      </c>
      <c r="E1676" s="62">
        <v>18</v>
      </c>
      <c r="F1676" s="1" t="s">
        <v>2551</v>
      </c>
      <c r="G1676" s="1" t="s">
        <v>2552</v>
      </c>
    </row>
    <row x14ac:dyDescent="0.25" r="1677" customHeight="1" ht="17.25" hidden="1">
      <c r="A1677" s="112" t="s">
        <v>5389</v>
      </c>
      <c r="B1677" s="1" t="s">
        <v>2549</v>
      </c>
      <c r="C1677" s="1" t="s">
        <v>39</v>
      </c>
      <c r="D1677" s="1" t="s">
        <v>5390</v>
      </c>
      <c r="E1677" s="62">
        <v>22</v>
      </c>
      <c r="F1677" s="1" t="s">
        <v>2551</v>
      </c>
      <c r="G1677" s="1" t="s">
        <v>2555</v>
      </c>
    </row>
    <row x14ac:dyDescent="0.25" r="1678" customHeight="1" ht="17.25" hidden="1">
      <c r="A1678" s="112" t="s">
        <v>5389</v>
      </c>
      <c r="B1678" s="1" t="s">
        <v>2549</v>
      </c>
      <c r="C1678" s="1" t="s">
        <v>39</v>
      </c>
      <c r="D1678" s="1" t="s">
        <v>5391</v>
      </c>
      <c r="E1678" s="62">
        <v>29</v>
      </c>
      <c r="F1678" s="1" t="s">
        <v>2551</v>
      </c>
      <c r="G1678" s="1" t="s">
        <v>2555</v>
      </c>
    </row>
    <row x14ac:dyDescent="0.25" r="1679" customHeight="1" ht="17.25" hidden="1">
      <c r="A1679" s="112" t="s">
        <v>5392</v>
      </c>
      <c r="B1679" s="1" t="s">
        <v>2549</v>
      </c>
      <c r="C1679" s="1" t="s">
        <v>39</v>
      </c>
      <c r="D1679" s="1" t="s">
        <v>3000</v>
      </c>
      <c r="E1679" s="62">
        <v>30</v>
      </c>
      <c r="F1679" s="1" t="s">
        <v>2551</v>
      </c>
      <c r="G1679" s="1" t="s">
        <v>2555</v>
      </c>
    </row>
    <row x14ac:dyDescent="0.25" r="1680" customHeight="1" ht="17.25" hidden="1">
      <c r="A1680" s="112" t="s">
        <v>5393</v>
      </c>
      <c r="B1680" s="1" t="s">
        <v>2549</v>
      </c>
      <c r="C1680" s="1" t="s">
        <v>39</v>
      </c>
      <c r="D1680" s="1" t="s">
        <v>5394</v>
      </c>
      <c r="E1680" s="62">
        <v>26</v>
      </c>
      <c r="F1680" s="1" t="s">
        <v>2551</v>
      </c>
      <c r="G1680" s="1" t="s">
        <v>2552</v>
      </c>
    </row>
    <row x14ac:dyDescent="0.25" r="1681" customHeight="1" ht="17.25" hidden="1">
      <c r="A1681" s="112" t="s">
        <v>5395</v>
      </c>
      <c r="B1681" s="1" t="s">
        <v>2549</v>
      </c>
      <c r="C1681" s="1" t="s">
        <v>57</v>
      </c>
      <c r="D1681" s="1" t="s">
        <v>5396</v>
      </c>
      <c r="E1681" s="62">
        <v>-73</v>
      </c>
      <c r="F1681" s="1" t="s">
        <v>2551</v>
      </c>
      <c r="G1681" s="1" t="s">
        <v>2552</v>
      </c>
    </row>
    <row x14ac:dyDescent="0.25" r="1682" customHeight="1" ht="17.25" hidden="1">
      <c r="A1682" s="112" t="s">
        <v>5397</v>
      </c>
      <c r="B1682" s="1" t="s">
        <v>2549</v>
      </c>
      <c r="C1682" s="1" t="s">
        <v>57</v>
      </c>
      <c r="D1682" s="1" t="s">
        <v>5398</v>
      </c>
      <c r="E1682" s="62">
        <v>19</v>
      </c>
      <c r="F1682" s="1" t="s">
        <v>2551</v>
      </c>
      <c r="G1682" s="1" t="s">
        <v>2552</v>
      </c>
    </row>
    <row x14ac:dyDescent="0.25" r="1683" customHeight="1" ht="17.25" hidden="1">
      <c r="A1683" s="112" t="s">
        <v>5399</v>
      </c>
      <c r="B1683" s="1" t="s">
        <v>2549</v>
      </c>
      <c r="C1683" s="1" t="s">
        <v>57</v>
      </c>
      <c r="D1683" s="1" t="s">
        <v>5400</v>
      </c>
      <c r="E1683" s="62">
        <v>24</v>
      </c>
      <c r="F1683" s="1" t="s">
        <v>2551</v>
      </c>
      <c r="G1683" s="1" t="s">
        <v>2558</v>
      </c>
    </row>
    <row x14ac:dyDescent="0.25" r="1684" customHeight="1" ht="17.25" hidden="1">
      <c r="A1684" s="112" t="s">
        <v>5401</v>
      </c>
      <c r="B1684" s="1" t="s">
        <v>2549</v>
      </c>
      <c r="C1684" s="1" t="s">
        <v>57</v>
      </c>
      <c r="D1684" s="1" t="s">
        <v>5402</v>
      </c>
      <c r="E1684" s="62">
        <v>21</v>
      </c>
      <c r="F1684" s="1" t="s">
        <v>2551</v>
      </c>
      <c r="G1684" s="1" t="s">
        <v>2555</v>
      </c>
    </row>
    <row x14ac:dyDescent="0.25" r="1685" customHeight="1" ht="17.25" hidden="1">
      <c r="A1685" s="112" t="s">
        <v>5403</v>
      </c>
      <c r="B1685" s="1" t="s">
        <v>2549</v>
      </c>
      <c r="C1685" s="1" t="s">
        <v>57</v>
      </c>
      <c r="D1685" s="1" t="s">
        <v>5404</v>
      </c>
      <c r="E1685" s="62">
        <v>21</v>
      </c>
      <c r="F1685" s="1" t="s">
        <v>2551</v>
      </c>
      <c r="G1685" s="1" t="s">
        <v>2552</v>
      </c>
    </row>
    <row x14ac:dyDescent="0.25" r="1686" customHeight="1" ht="17.25" hidden="1">
      <c r="A1686" s="112" t="s">
        <v>5405</v>
      </c>
      <c r="B1686" s="1" t="s">
        <v>2549</v>
      </c>
      <c r="C1686" s="1" t="s">
        <v>57</v>
      </c>
      <c r="D1686" s="1" t="s">
        <v>2376</v>
      </c>
      <c r="E1686" s="62">
        <v>19</v>
      </c>
      <c r="F1686" s="1" t="s">
        <v>2551</v>
      </c>
      <c r="G1686" s="1" t="s">
        <v>2552</v>
      </c>
    </row>
    <row x14ac:dyDescent="0.25" r="1687" customHeight="1" ht="17.25" hidden="1">
      <c r="A1687" s="112" t="s">
        <v>5406</v>
      </c>
      <c r="B1687" s="1" t="s">
        <v>2549</v>
      </c>
      <c r="C1687" s="1" t="s">
        <v>57</v>
      </c>
      <c r="D1687" s="1" t="s">
        <v>5407</v>
      </c>
      <c r="E1687" s="62">
        <v>43</v>
      </c>
      <c r="F1687" s="1" t="s">
        <v>2551</v>
      </c>
      <c r="G1687" s="1" t="s">
        <v>2555</v>
      </c>
    </row>
    <row x14ac:dyDescent="0.25" r="1688" customHeight="1" ht="17.25" hidden="1">
      <c r="A1688" s="112" t="s">
        <v>5408</v>
      </c>
      <c r="B1688" s="1" t="s">
        <v>2549</v>
      </c>
      <c r="C1688" s="1" t="s">
        <v>57</v>
      </c>
      <c r="D1688" s="1" t="s">
        <v>5409</v>
      </c>
      <c r="E1688" s="62">
        <v>31</v>
      </c>
      <c r="F1688" s="1" t="s">
        <v>2561</v>
      </c>
      <c r="G1688" s="1" t="s">
        <v>2552</v>
      </c>
    </row>
    <row x14ac:dyDescent="0.25" r="1689" customHeight="1" ht="17.25" hidden="1">
      <c r="A1689" s="112" t="s">
        <v>5408</v>
      </c>
      <c r="B1689" s="1" t="s">
        <v>2549</v>
      </c>
      <c r="C1689" s="1" t="s">
        <v>57</v>
      </c>
      <c r="D1689" s="1" t="s">
        <v>5410</v>
      </c>
      <c r="E1689" s="62">
        <v>21</v>
      </c>
      <c r="F1689" s="1" t="s">
        <v>2561</v>
      </c>
      <c r="G1689" s="1" t="s">
        <v>2555</v>
      </c>
    </row>
    <row x14ac:dyDescent="0.25" r="1690" customHeight="1" ht="17.25" hidden="1">
      <c r="A1690" s="112" t="s">
        <v>5408</v>
      </c>
      <c r="B1690" s="1" t="s">
        <v>2549</v>
      </c>
      <c r="C1690" s="1" t="s">
        <v>57</v>
      </c>
      <c r="D1690" s="1" t="s">
        <v>5411</v>
      </c>
      <c r="E1690" s="62">
        <v>25</v>
      </c>
      <c r="F1690" s="1" t="s">
        <v>2551</v>
      </c>
      <c r="G1690" s="1" t="s">
        <v>2552</v>
      </c>
    </row>
    <row x14ac:dyDescent="0.25" r="1691" customHeight="1" ht="17.25" hidden="1">
      <c r="A1691" s="112" t="s">
        <v>5408</v>
      </c>
      <c r="B1691" s="1" t="s">
        <v>2549</v>
      </c>
      <c r="C1691" s="1" t="s">
        <v>57</v>
      </c>
      <c r="D1691" s="1" t="s">
        <v>5412</v>
      </c>
      <c r="E1691" s="62">
        <v>25</v>
      </c>
      <c r="F1691" s="1" t="s">
        <v>2551</v>
      </c>
      <c r="G1691" s="1" t="s">
        <v>2558</v>
      </c>
    </row>
    <row x14ac:dyDescent="0.25" r="1692" customHeight="1" ht="17.25" hidden="1">
      <c r="A1692" s="112" t="s">
        <v>5413</v>
      </c>
      <c r="B1692" s="1" t="s">
        <v>2549</v>
      </c>
      <c r="C1692" s="1" t="s">
        <v>57</v>
      </c>
      <c r="D1692" s="1" t="s">
        <v>5414</v>
      </c>
      <c r="E1692" s="62">
        <v>34</v>
      </c>
      <c r="F1692" s="1" t="s">
        <v>2551</v>
      </c>
      <c r="G1692" s="1" t="s">
        <v>2555</v>
      </c>
    </row>
    <row x14ac:dyDescent="0.25" r="1693" customHeight="1" ht="17.25" hidden="1">
      <c r="A1693" s="112" t="s">
        <v>5415</v>
      </c>
      <c r="B1693" s="1" t="s">
        <v>2549</v>
      </c>
      <c r="C1693" s="1" t="s">
        <v>57</v>
      </c>
      <c r="D1693" s="1" t="s">
        <v>5416</v>
      </c>
      <c r="E1693" s="62">
        <v>31</v>
      </c>
      <c r="F1693" s="1" t="s">
        <v>2551</v>
      </c>
      <c r="G1693" s="1" t="s">
        <v>2555</v>
      </c>
    </row>
    <row x14ac:dyDescent="0.25" r="1694" customHeight="1" ht="17.25" hidden="1">
      <c r="A1694" s="112" t="s">
        <v>5417</v>
      </c>
      <c r="B1694" s="1" t="s">
        <v>2549</v>
      </c>
      <c r="C1694" s="1" t="s">
        <v>57</v>
      </c>
      <c r="D1694" s="1" t="s">
        <v>5418</v>
      </c>
      <c r="E1694" s="62">
        <v>21</v>
      </c>
      <c r="F1694" s="1" t="s">
        <v>2551</v>
      </c>
      <c r="G1694" s="1" t="s">
        <v>2555</v>
      </c>
    </row>
    <row x14ac:dyDescent="0.25" r="1695" customHeight="1" ht="17.25" hidden="1">
      <c r="A1695" s="112" t="s">
        <v>576</v>
      </c>
      <c r="B1695" s="1" t="s">
        <v>2549</v>
      </c>
      <c r="C1695" s="1" t="s">
        <v>57</v>
      </c>
      <c r="D1695" s="1" t="s">
        <v>578</v>
      </c>
      <c r="E1695" s="62">
        <v>26</v>
      </c>
      <c r="F1695" s="1" t="s">
        <v>2551</v>
      </c>
      <c r="G1695" s="1" t="s">
        <v>2558</v>
      </c>
    </row>
    <row x14ac:dyDescent="0.25" r="1696" customHeight="1" ht="17.25" hidden="1">
      <c r="A1696" s="112" t="s">
        <v>5419</v>
      </c>
      <c r="B1696" s="1" t="s">
        <v>2549</v>
      </c>
      <c r="C1696" s="1" t="s">
        <v>57</v>
      </c>
      <c r="D1696" s="1" t="s">
        <v>5420</v>
      </c>
      <c r="E1696" s="62">
        <v>18</v>
      </c>
      <c r="F1696" s="1" t="s">
        <v>2551</v>
      </c>
      <c r="G1696" s="1" t="s">
        <v>2552</v>
      </c>
    </row>
    <row x14ac:dyDescent="0.25" r="1697" customHeight="1" ht="17.25" hidden="1">
      <c r="A1697" s="112" t="s">
        <v>5421</v>
      </c>
      <c r="B1697" s="1" t="s">
        <v>2549</v>
      </c>
      <c r="C1697" s="1" t="s">
        <v>57</v>
      </c>
      <c r="D1697" s="1" t="s">
        <v>5422</v>
      </c>
      <c r="E1697" s="62">
        <v>21</v>
      </c>
      <c r="F1697" s="1" t="s">
        <v>2551</v>
      </c>
      <c r="G1697" s="1" t="s">
        <v>2552</v>
      </c>
    </row>
    <row x14ac:dyDescent="0.25" r="1698" customHeight="1" ht="17.25" hidden="1">
      <c r="A1698" s="112" t="s">
        <v>5423</v>
      </c>
      <c r="B1698" s="1" t="s">
        <v>2549</v>
      </c>
      <c r="C1698" s="1" t="s">
        <v>57</v>
      </c>
      <c r="D1698" s="1" t="s">
        <v>5424</v>
      </c>
      <c r="E1698" s="62">
        <v>22</v>
      </c>
      <c r="F1698" s="1" t="s">
        <v>2551</v>
      </c>
      <c r="G1698" s="1" t="s">
        <v>2555</v>
      </c>
    </row>
    <row x14ac:dyDescent="0.25" r="1699" customHeight="1" ht="17.25" hidden="1">
      <c r="A1699" s="112" t="s">
        <v>5425</v>
      </c>
      <c r="B1699" s="1" t="s">
        <v>2549</v>
      </c>
      <c r="C1699" s="1" t="s">
        <v>57</v>
      </c>
      <c r="D1699" s="1" t="s">
        <v>5426</v>
      </c>
      <c r="E1699" s="62">
        <v>18</v>
      </c>
      <c r="F1699" s="1" t="s">
        <v>2551</v>
      </c>
      <c r="G1699" s="1" t="s">
        <v>2552</v>
      </c>
    </row>
    <row x14ac:dyDescent="0.25" r="1700" customHeight="1" ht="17.25" hidden="1">
      <c r="A1700" s="112" t="s">
        <v>5427</v>
      </c>
      <c r="B1700" s="1" t="s">
        <v>2549</v>
      </c>
      <c r="C1700" s="1" t="s">
        <v>57</v>
      </c>
      <c r="D1700" s="1" t="s">
        <v>5428</v>
      </c>
      <c r="E1700" s="62">
        <v>27</v>
      </c>
      <c r="F1700" s="1" t="s">
        <v>2551</v>
      </c>
      <c r="G1700" s="1" t="s">
        <v>2552</v>
      </c>
    </row>
    <row x14ac:dyDescent="0.25" r="1701" customHeight="1" ht="17.25" hidden="1">
      <c r="A1701" s="112" t="s">
        <v>5429</v>
      </c>
      <c r="B1701" s="1" t="s">
        <v>2549</v>
      </c>
      <c r="C1701" s="1" t="s">
        <v>57</v>
      </c>
      <c r="D1701" s="1" t="s">
        <v>5430</v>
      </c>
      <c r="E1701" s="62">
        <v>34</v>
      </c>
      <c r="F1701" s="1" t="s">
        <v>2551</v>
      </c>
      <c r="G1701" s="1" t="s">
        <v>2555</v>
      </c>
    </row>
    <row x14ac:dyDescent="0.25" r="1702" customHeight="1" ht="17.25" hidden="1">
      <c r="A1702" s="112" t="s">
        <v>5429</v>
      </c>
      <c r="B1702" s="1" t="s">
        <v>2549</v>
      </c>
      <c r="C1702" s="1" t="s">
        <v>57</v>
      </c>
      <c r="D1702" s="1" t="s">
        <v>5431</v>
      </c>
      <c r="E1702" s="62">
        <v>32</v>
      </c>
      <c r="F1702" s="1" t="s">
        <v>2561</v>
      </c>
      <c r="G1702" s="1" t="s">
        <v>2555</v>
      </c>
    </row>
    <row x14ac:dyDescent="0.25" r="1703" customHeight="1" ht="17.25" hidden="1">
      <c r="A1703" s="112" t="s">
        <v>5429</v>
      </c>
      <c r="B1703" s="1" t="s">
        <v>2549</v>
      </c>
      <c r="C1703" s="1" t="s">
        <v>57</v>
      </c>
      <c r="D1703" s="1" t="s">
        <v>5432</v>
      </c>
      <c r="E1703" s="54" t="s">
        <v>2571</v>
      </c>
      <c r="F1703" s="1" t="s">
        <v>2551</v>
      </c>
      <c r="G1703" s="1" t="s">
        <v>2552</v>
      </c>
    </row>
    <row x14ac:dyDescent="0.25" r="1704" customHeight="1" ht="17.25" hidden="1">
      <c r="A1704" s="112" t="s">
        <v>1758</v>
      </c>
      <c r="B1704" s="1" t="s">
        <v>2549</v>
      </c>
      <c r="C1704" s="1" t="s">
        <v>57</v>
      </c>
      <c r="D1704" s="1" t="s">
        <v>1759</v>
      </c>
      <c r="E1704" s="62">
        <v>28</v>
      </c>
      <c r="F1704" s="1" t="s">
        <v>2551</v>
      </c>
      <c r="G1704" s="1" t="s">
        <v>2555</v>
      </c>
    </row>
    <row x14ac:dyDescent="0.25" r="1705" customHeight="1" ht="17.25" hidden="1">
      <c r="A1705" s="112" t="s">
        <v>5433</v>
      </c>
      <c r="B1705" s="1" t="s">
        <v>2549</v>
      </c>
      <c r="C1705" s="1" t="s">
        <v>57</v>
      </c>
      <c r="D1705" s="1" t="s">
        <v>5434</v>
      </c>
      <c r="E1705" s="62">
        <v>35</v>
      </c>
      <c r="F1705" s="1" t="s">
        <v>2561</v>
      </c>
      <c r="G1705" s="1" t="s">
        <v>2558</v>
      </c>
    </row>
    <row x14ac:dyDescent="0.25" r="1706" customHeight="1" ht="17.25" hidden="1">
      <c r="A1706" s="112" t="s">
        <v>5435</v>
      </c>
      <c r="B1706" s="1" t="s">
        <v>2549</v>
      </c>
      <c r="C1706" s="1" t="s">
        <v>57</v>
      </c>
      <c r="D1706" s="1" t="s">
        <v>5436</v>
      </c>
      <c r="E1706" s="62">
        <v>30</v>
      </c>
      <c r="F1706" s="1" t="s">
        <v>2551</v>
      </c>
      <c r="G1706" s="1" t="s">
        <v>2555</v>
      </c>
    </row>
    <row x14ac:dyDescent="0.25" r="1707" customHeight="1" ht="17.25" hidden="1">
      <c r="A1707" s="112" t="s">
        <v>5435</v>
      </c>
      <c r="B1707" s="1" t="s">
        <v>2549</v>
      </c>
      <c r="C1707" s="1" t="s">
        <v>57</v>
      </c>
      <c r="D1707" s="1" t="s">
        <v>5437</v>
      </c>
      <c r="E1707" s="62">
        <v>19</v>
      </c>
      <c r="F1707" s="1" t="s">
        <v>2551</v>
      </c>
      <c r="G1707" s="1" t="s">
        <v>2555</v>
      </c>
    </row>
    <row x14ac:dyDescent="0.25" r="1708" customHeight="1" ht="17.25" hidden="1">
      <c r="A1708" s="112" t="s">
        <v>5435</v>
      </c>
      <c r="B1708" s="1" t="s">
        <v>2549</v>
      </c>
      <c r="C1708" s="1" t="s">
        <v>57</v>
      </c>
      <c r="D1708" s="1" t="s">
        <v>5438</v>
      </c>
      <c r="E1708" s="62">
        <v>32</v>
      </c>
      <c r="F1708" s="1" t="s">
        <v>2551</v>
      </c>
      <c r="G1708" s="1" t="s">
        <v>2571</v>
      </c>
    </row>
    <row x14ac:dyDescent="0.25" r="1709" customHeight="1" ht="17.25" hidden="1">
      <c r="A1709" s="112" t="s">
        <v>5439</v>
      </c>
      <c r="B1709" s="1" t="s">
        <v>2549</v>
      </c>
      <c r="C1709" s="1" t="s">
        <v>57</v>
      </c>
      <c r="D1709" s="1" t="s">
        <v>5440</v>
      </c>
      <c r="E1709" s="62">
        <v>20</v>
      </c>
      <c r="F1709" s="1" t="s">
        <v>2551</v>
      </c>
      <c r="G1709" s="1" t="s">
        <v>2558</v>
      </c>
    </row>
    <row x14ac:dyDescent="0.25" r="1710" customHeight="1" ht="17.25" hidden="1">
      <c r="A1710" s="112" t="s">
        <v>5441</v>
      </c>
      <c r="B1710" s="1" t="s">
        <v>2549</v>
      </c>
      <c r="C1710" s="1" t="s">
        <v>57</v>
      </c>
      <c r="D1710" s="1" t="s">
        <v>5442</v>
      </c>
      <c r="E1710" s="62">
        <v>39</v>
      </c>
      <c r="F1710" s="1" t="s">
        <v>2551</v>
      </c>
      <c r="G1710" s="1" t="s">
        <v>2555</v>
      </c>
    </row>
    <row x14ac:dyDescent="0.25" r="1711" customHeight="1" ht="17.25" hidden="1">
      <c r="A1711" s="112" t="s">
        <v>5443</v>
      </c>
      <c r="B1711" s="1" t="s">
        <v>2549</v>
      </c>
      <c r="C1711" s="1" t="s">
        <v>57</v>
      </c>
      <c r="D1711" s="1" t="s">
        <v>5444</v>
      </c>
      <c r="E1711" s="62">
        <v>20</v>
      </c>
      <c r="F1711" s="1" t="s">
        <v>2551</v>
      </c>
      <c r="G1711" s="1" t="s">
        <v>2552</v>
      </c>
    </row>
    <row x14ac:dyDescent="0.25" r="1712" customHeight="1" ht="17.25" hidden="1">
      <c r="A1712" s="112" t="s">
        <v>5445</v>
      </c>
      <c r="B1712" s="1" t="s">
        <v>2549</v>
      </c>
      <c r="C1712" s="1" t="s">
        <v>57</v>
      </c>
      <c r="D1712" s="1" t="s">
        <v>5446</v>
      </c>
      <c r="E1712" s="62">
        <v>23</v>
      </c>
      <c r="F1712" s="1" t="s">
        <v>2561</v>
      </c>
      <c r="G1712" s="1" t="s">
        <v>2555</v>
      </c>
    </row>
    <row x14ac:dyDescent="0.25" r="1713" customHeight="1" ht="17.25" hidden="1">
      <c r="A1713" s="112" t="s">
        <v>5447</v>
      </c>
      <c r="B1713" s="1" t="s">
        <v>2549</v>
      </c>
      <c r="C1713" s="1" t="s">
        <v>57</v>
      </c>
      <c r="D1713" s="1" t="s">
        <v>5448</v>
      </c>
      <c r="E1713" s="62">
        <v>20</v>
      </c>
      <c r="F1713" s="1" t="s">
        <v>2551</v>
      </c>
      <c r="G1713" s="1" t="s">
        <v>2555</v>
      </c>
    </row>
    <row x14ac:dyDescent="0.25" r="1714" customHeight="1" ht="17.25" hidden="1">
      <c r="A1714" s="112" t="s">
        <v>5449</v>
      </c>
      <c r="B1714" s="1" t="s">
        <v>2549</v>
      </c>
      <c r="C1714" s="1" t="s">
        <v>57</v>
      </c>
      <c r="D1714" s="1" t="s">
        <v>5450</v>
      </c>
      <c r="E1714" s="62">
        <v>18</v>
      </c>
      <c r="F1714" s="1" t="s">
        <v>2551</v>
      </c>
      <c r="G1714" s="1" t="s">
        <v>2552</v>
      </c>
    </row>
    <row x14ac:dyDescent="0.25" r="1715" customHeight="1" ht="17.25" hidden="1">
      <c r="A1715" s="112" t="s">
        <v>5451</v>
      </c>
      <c r="B1715" s="1" t="s">
        <v>2549</v>
      </c>
      <c r="C1715" s="1" t="s">
        <v>57</v>
      </c>
      <c r="D1715" s="1" t="s">
        <v>5452</v>
      </c>
      <c r="E1715" s="62">
        <v>22</v>
      </c>
      <c r="F1715" s="1" t="s">
        <v>2551</v>
      </c>
      <c r="G1715" s="1" t="s">
        <v>2555</v>
      </c>
    </row>
    <row x14ac:dyDescent="0.25" r="1716" customHeight="1" ht="17.25" hidden="1">
      <c r="A1716" s="112" t="s">
        <v>5451</v>
      </c>
      <c r="B1716" s="1" t="s">
        <v>2549</v>
      </c>
      <c r="C1716" s="1" t="s">
        <v>57</v>
      </c>
      <c r="D1716" s="1" t="s">
        <v>5453</v>
      </c>
      <c r="E1716" s="62">
        <v>24</v>
      </c>
      <c r="F1716" s="1" t="s">
        <v>2551</v>
      </c>
      <c r="G1716" s="1" t="s">
        <v>2558</v>
      </c>
    </row>
    <row x14ac:dyDescent="0.25" r="1717" customHeight="1" ht="17.25" hidden="1">
      <c r="A1717" s="112" t="s">
        <v>5454</v>
      </c>
      <c r="B1717" s="1" t="s">
        <v>2549</v>
      </c>
      <c r="C1717" s="1" t="s">
        <v>57</v>
      </c>
      <c r="D1717" s="1" t="s">
        <v>5455</v>
      </c>
      <c r="E1717" s="62">
        <v>52</v>
      </c>
      <c r="F1717" s="1" t="s">
        <v>2551</v>
      </c>
      <c r="G1717" s="1" t="s">
        <v>2552</v>
      </c>
    </row>
    <row x14ac:dyDescent="0.25" r="1718" customHeight="1" ht="17.25" hidden="1">
      <c r="A1718" s="112" t="s">
        <v>5456</v>
      </c>
      <c r="B1718" s="1" t="s">
        <v>2549</v>
      </c>
      <c r="C1718" s="1" t="s">
        <v>57</v>
      </c>
      <c r="D1718" s="1" t="s">
        <v>5457</v>
      </c>
      <c r="E1718" s="62">
        <v>35</v>
      </c>
      <c r="F1718" s="1" t="s">
        <v>2551</v>
      </c>
      <c r="G1718" s="1" t="s">
        <v>2558</v>
      </c>
    </row>
    <row x14ac:dyDescent="0.25" r="1719" customHeight="1" ht="17.25" hidden="1">
      <c r="A1719" s="112" t="s">
        <v>5458</v>
      </c>
      <c r="B1719" s="1" t="s">
        <v>2549</v>
      </c>
      <c r="C1719" s="1" t="s">
        <v>57</v>
      </c>
      <c r="D1719" s="1" t="s">
        <v>5459</v>
      </c>
      <c r="E1719" s="62">
        <v>39</v>
      </c>
      <c r="F1719" s="1" t="s">
        <v>2551</v>
      </c>
      <c r="G1719" s="1" t="s">
        <v>2555</v>
      </c>
    </row>
    <row x14ac:dyDescent="0.25" r="1720" customHeight="1" ht="17.25" hidden="1">
      <c r="A1720" s="112" t="s">
        <v>5460</v>
      </c>
      <c r="B1720" s="1" t="s">
        <v>2549</v>
      </c>
      <c r="C1720" s="1" t="s">
        <v>57</v>
      </c>
      <c r="D1720" s="1" t="s">
        <v>5461</v>
      </c>
      <c r="E1720" s="62">
        <v>25</v>
      </c>
      <c r="F1720" s="1" t="s">
        <v>2551</v>
      </c>
      <c r="G1720" s="1" t="s">
        <v>2555</v>
      </c>
    </row>
    <row x14ac:dyDescent="0.25" r="1721" customHeight="1" ht="17.25" hidden="1">
      <c r="A1721" s="112" t="s">
        <v>5462</v>
      </c>
      <c r="B1721" s="1" t="s">
        <v>2549</v>
      </c>
      <c r="C1721" s="1" t="s">
        <v>57</v>
      </c>
      <c r="D1721" s="1" t="s">
        <v>5463</v>
      </c>
      <c r="E1721" s="62">
        <v>24</v>
      </c>
      <c r="F1721" s="1" t="s">
        <v>2551</v>
      </c>
      <c r="G1721" s="1" t="s">
        <v>2552</v>
      </c>
    </row>
    <row x14ac:dyDescent="0.25" r="1722" customHeight="1" ht="17.25" hidden="1">
      <c r="A1722" s="112" t="s">
        <v>5464</v>
      </c>
      <c r="B1722" s="1" t="s">
        <v>2549</v>
      </c>
      <c r="C1722" s="1" t="s">
        <v>57</v>
      </c>
      <c r="D1722" s="1" t="s">
        <v>3835</v>
      </c>
      <c r="E1722" s="62">
        <v>32</v>
      </c>
      <c r="F1722" s="1" t="s">
        <v>2551</v>
      </c>
      <c r="G1722" s="1" t="s">
        <v>2552</v>
      </c>
    </row>
    <row x14ac:dyDescent="0.25" r="1723" customHeight="1" ht="17.25" hidden="1">
      <c r="A1723" s="112" t="s">
        <v>5465</v>
      </c>
      <c r="B1723" s="1" t="s">
        <v>2549</v>
      </c>
      <c r="C1723" s="1" t="s">
        <v>57</v>
      </c>
      <c r="D1723" s="1" t="s">
        <v>5466</v>
      </c>
      <c r="E1723" s="62">
        <v>24</v>
      </c>
      <c r="F1723" s="1" t="s">
        <v>2551</v>
      </c>
      <c r="G1723" s="1" t="s">
        <v>2555</v>
      </c>
    </row>
    <row x14ac:dyDescent="0.25" r="1724" customHeight="1" ht="17.25" hidden="1">
      <c r="A1724" s="112" t="s">
        <v>5467</v>
      </c>
      <c r="B1724" s="1" t="s">
        <v>2549</v>
      </c>
      <c r="C1724" s="1" t="s">
        <v>57</v>
      </c>
      <c r="D1724" s="1" t="s">
        <v>5468</v>
      </c>
      <c r="E1724" s="62">
        <v>26</v>
      </c>
      <c r="F1724" s="1" t="s">
        <v>2561</v>
      </c>
      <c r="G1724" s="1" t="s">
        <v>2555</v>
      </c>
    </row>
    <row x14ac:dyDescent="0.25" r="1725" customHeight="1" ht="17.25" hidden="1">
      <c r="A1725" s="112" t="s">
        <v>5469</v>
      </c>
      <c r="B1725" s="1" t="s">
        <v>2549</v>
      </c>
      <c r="C1725" s="1" t="s">
        <v>57</v>
      </c>
      <c r="D1725" s="1" t="s">
        <v>5470</v>
      </c>
      <c r="E1725" s="62">
        <v>34</v>
      </c>
      <c r="F1725" s="1" t="s">
        <v>2551</v>
      </c>
      <c r="G1725" s="1" t="s">
        <v>2555</v>
      </c>
    </row>
    <row x14ac:dyDescent="0.25" r="1726" customHeight="1" ht="17.25" hidden="1">
      <c r="A1726" s="112" t="s">
        <v>5471</v>
      </c>
      <c r="B1726" s="1" t="s">
        <v>2549</v>
      </c>
      <c r="C1726" s="1" t="s">
        <v>57</v>
      </c>
      <c r="D1726" s="1" t="s">
        <v>5472</v>
      </c>
      <c r="E1726" s="62">
        <v>25</v>
      </c>
      <c r="F1726" s="1" t="s">
        <v>2551</v>
      </c>
      <c r="G1726" s="1" t="s">
        <v>2555</v>
      </c>
    </row>
    <row x14ac:dyDescent="0.25" r="1727" customHeight="1" ht="17.25" hidden="1">
      <c r="A1727" s="112" t="s">
        <v>5473</v>
      </c>
      <c r="B1727" s="1" t="s">
        <v>2549</v>
      </c>
      <c r="C1727" s="1" t="s">
        <v>57</v>
      </c>
      <c r="D1727" s="1" t="s">
        <v>5474</v>
      </c>
      <c r="E1727" s="62">
        <v>19</v>
      </c>
      <c r="F1727" s="1" t="s">
        <v>2551</v>
      </c>
      <c r="G1727" s="1" t="s">
        <v>2552</v>
      </c>
    </row>
    <row x14ac:dyDescent="0.25" r="1728" customHeight="1" ht="17.25" hidden="1">
      <c r="A1728" s="112" t="s">
        <v>5475</v>
      </c>
      <c r="B1728" s="1" t="s">
        <v>2549</v>
      </c>
      <c r="C1728" s="1" t="s">
        <v>57</v>
      </c>
      <c r="D1728" s="1" t="s">
        <v>5476</v>
      </c>
      <c r="E1728" s="62">
        <v>29</v>
      </c>
      <c r="F1728" s="1" t="s">
        <v>2561</v>
      </c>
      <c r="G1728" s="1" t="s">
        <v>2555</v>
      </c>
    </row>
    <row x14ac:dyDescent="0.25" r="1729" customHeight="1" ht="17.25" hidden="1">
      <c r="A1729" s="112" t="s">
        <v>5477</v>
      </c>
      <c r="B1729" s="1" t="s">
        <v>2549</v>
      </c>
      <c r="C1729" s="1" t="s">
        <v>57</v>
      </c>
      <c r="D1729" s="1" t="s">
        <v>5478</v>
      </c>
      <c r="E1729" s="62">
        <v>19</v>
      </c>
      <c r="F1729" s="1" t="s">
        <v>2551</v>
      </c>
      <c r="G1729" s="1" t="s">
        <v>2552</v>
      </c>
    </row>
    <row x14ac:dyDescent="0.25" r="1730" customHeight="1" ht="17.25" hidden="1">
      <c r="A1730" s="112" t="s">
        <v>5479</v>
      </c>
      <c r="B1730" s="1" t="s">
        <v>2549</v>
      </c>
      <c r="C1730" s="1" t="s">
        <v>57</v>
      </c>
      <c r="D1730" s="1" t="s">
        <v>5480</v>
      </c>
      <c r="E1730" s="62">
        <v>26</v>
      </c>
      <c r="F1730" s="1" t="s">
        <v>2551</v>
      </c>
      <c r="G1730" s="1" t="s">
        <v>2571</v>
      </c>
    </row>
    <row x14ac:dyDescent="0.25" r="1731" customHeight="1" ht="17.25" hidden="1">
      <c r="A1731" s="112" t="s">
        <v>5481</v>
      </c>
      <c r="B1731" s="1" t="s">
        <v>2549</v>
      </c>
      <c r="C1731" s="1" t="s">
        <v>57</v>
      </c>
      <c r="D1731" s="1" t="s">
        <v>5482</v>
      </c>
      <c r="E1731" s="62">
        <v>39</v>
      </c>
      <c r="F1731" s="1" t="s">
        <v>2551</v>
      </c>
      <c r="G1731" s="1" t="s">
        <v>2555</v>
      </c>
    </row>
    <row x14ac:dyDescent="0.25" r="1732" customHeight="1" ht="17.25" hidden="1">
      <c r="A1732" s="112" t="s">
        <v>5483</v>
      </c>
      <c r="B1732" s="1" t="s">
        <v>2549</v>
      </c>
      <c r="C1732" s="1" t="s">
        <v>57</v>
      </c>
      <c r="D1732" s="1" t="s">
        <v>5484</v>
      </c>
      <c r="E1732" s="62">
        <v>23</v>
      </c>
      <c r="F1732" s="1" t="s">
        <v>2561</v>
      </c>
      <c r="G1732" s="1" t="s">
        <v>2558</v>
      </c>
    </row>
    <row x14ac:dyDescent="0.25" r="1733" customHeight="1" ht="17.25" hidden="1">
      <c r="A1733" s="112" t="s">
        <v>5485</v>
      </c>
      <c r="B1733" s="1" t="s">
        <v>2549</v>
      </c>
      <c r="C1733" s="1" t="s">
        <v>57</v>
      </c>
      <c r="D1733" s="1" t="s">
        <v>5486</v>
      </c>
      <c r="E1733" s="62">
        <v>19</v>
      </c>
      <c r="F1733" s="1" t="s">
        <v>2551</v>
      </c>
      <c r="G1733" s="1" t="s">
        <v>2571</v>
      </c>
    </row>
    <row x14ac:dyDescent="0.25" r="1734" customHeight="1" ht="17.25" hidden="1">
      <c r="A1734" s="112" t="s">
        <v>5487</v>
      </c>
      <c r="B1734" s="1" t="s">
        <v>2549</v>
      </c>
      <c r="C1734" s="1" t="s">
        <v>57</v>
      </c>
      <c r="D1734" s="1" t="s">
        <v>5488</v>
      </c>
      <c r="E1734" s="62">
        <v>18</v>
      </c>
      <c r="F1734" s="1" t="s">
        <v>2551</v>
      </c>
      <c r="G1734" s="1" t="s">
        <v>2555</v>
      </c>
    </row>
    <row x14ac:dyDescent="0.25" r="1735" customHeight="1" ht="17.25" hidden="1">
      <c r="A1735" s="112" t="s">
        <v>5489</v>
      </c>
      <c r="B1735" s="1" t="s">
        <v>2549</v>
      </c>
      <c r="C1735" s="1" t="s">
        <v>57</v>
      </c>
      <c r="D1735" s="1" t="s">
        <v>5490</v>
      </c>
      <c r="E1735" s="62">
        <v>23</v>
      </c>
      <c r="F1735" s="1" t="s">
        <v>2551</v>
      </c>
      <c r="G1735" s="1" t="s">
        <v>2552</v>
      </c>
    </row>
    <row x14ac:dyDescent="0.25" r="1736" customHeight="1" ht="17.25" hidden="1">
      <c r="A1736" s="112" t="s">
        <v>5491</v>
      </c>
      <c r="B1736" s="1" t="s">
        <v>2549</v>
      </c>
      <c r="C1736" s="1" t="s">
        <v>57</v>
      </c>
      <c r="D1736" s="1" t="s">
        <v>5492</v>
      </c>
      <c r="E1736" s="62">
        <v>22</v>
      </c>
      <c r="F1736" s="1" t="s">
        <v>2551</v>
      </c>
      <c r="G1736" s="1" t="s">
        <v>2552</v>
      </c>
    </row>
    <row x14ac:dyDescent="0.25" r="1737" customHeight="1" ht="17.25" hidden="1">
      <c r="A1737" s="112" t="s">
        <v>5493</v>
      </c>
      <c r="B1737" s="1" t="s">
        <v>2549</v>
      </c>
      <c r="C1737" s="1" t="s">
        <v>57</v>
      </c>
      <c r="D1737" s="1" t="s">
        <v>5494</v>
      </c>
      <c r="E1737" s="62">
        <v>24</v>
      </c>
      <c r="F1737" s="1" t="s">
        <v>2551</v>
      </c>
      <c r="G1737" s="1" t="s">
        <v>2558</v>
      </c>
    </row>
    <row x14ac:dyDescent="0.25" r="1738" customHeight="1" ht="17.25" hidden="1">
      <c r="A1738" s="112" t="s">
        <v>5495</v>
      </c>
      <c r="B1738" s="1" t="s">
        <v>2549</v>
      </c>
      <c r="C1738" s="1" t="s">
        <v>57</v>
      </c>
      <c r="D1738" s="1" t="s">
        <v>4187</v>
      </c>
      <c r="E1738" s="62">
        <v>19</v>
      </c>
      <c r="F1738" s="1" t="s">
        <v>2551</v>
      </c>
      <c r="G1738" s="1" t="s">
        <v>2552</v>
      </c>
    </row>
    <row x14ac:dyDescent="0.25" r="1739" customHeight="1" ht="17.25" hidden="1">
      <c r="A1739" s="112" t="s">
        <v>612</v>
      </c>
      <c r="B1739" s="1" t="s">
        <v>2549</v>
      </c>
      <c r="C1739" s="1" t="s">
        <v>57</v>
      </c>
      <c r="D1739" s="1" t="s">
        <v>5496</v>
      </c>
      <c r="E1739" s="62">
        <v>26</v>
      </c>
      <c r="F1739" s="1" t="s">
        <v>2551</v>
      </c>
      <c r="G1739" s="1" t="s">
        <v>2552</v>
      </c>
    </row>
    <row x14ac:dyDescent="0.25" r="1740" customHeight="1" ht="17.25" hidden="1">
      <c r="A1740" s="112" t="s">
        <v>612</v>
      </c>
      <c r="B1740" s="1" t="s">
        <v>2549</v>
      </c>
      <c r="C1740" s="1" t="s">
        <v>57</v>
      </c>
      <c r="D1740" s="1" t="s">
        <v>5497</v>
      </c>
      <c r="E1740" s="62">
        <v>18</v>
      </c>
      <c r="F1740" s="1" t="s">
        <v>2551</v>
      </c>
      <c r="G1740" s="1" t="s">
        <v>2555</v>
      </c>
    </row>
    <row x14ac:dyDescent="0.25" r="1741" customHeight="1" ht="17.25" hidden="1">
      <c r="A1741" s="112" t="s">
        <v>5498</v>
      </c>
      <c r="B1741" s="1" t="s">
        <v>2549</v>
      </c>
      <c r="C1741" s="1" t="s">
        <v>57</v>
      </c>
      <c r="D1741" s="1" t="s">
        <v>5499</v>
      </c>
      <c r="E1741" s="62">
        <v>21</v>
      </c>
      <c r="F1741" s="1" t="s">
        <v>2561</v>
      </c>
      <c r="G1741" s="1" t="s">
        <v>2552</v>
      </c>
    </row>
    <row x14ac:dyDescent="0.25" r="1742" customHeight="1" ht="17.25" hidden="1">
      <c r="A1742" s="112" t="s">
        <v>5500</v>
      </c>
      <c r="B1742" s="1" t="s">
        <v>2549</v>
      </c>
      <c r="C1742" s="1" t="s">
        <v>57</v>
      </c>
      <c r="D1742" s="1" t="s">
        <v>5501</v>
      </c>
      <c r="E1742" s="62">
        <v>57</v>
      </c>
      <c r="F1742" s="1" t="s">
        <v>2551</v>
      </c>
      <c r="G1742" s="1" t="s">
        <v>2555</v>
      </c>
    </row>
    <row x14ac:dyDescent="0.25" r="1743" customHeight="1" ht="17.25" hidden="1">
      <c r="A1743" s="112" t="s">
        <v>5500</v>
      </c>
      <c r="B1743" s="1" t="s">
        <v>2549</v>
      </c>
      <c r="C1743" s="1" t="s">
        <v>57</v>
      </c>
      <c r="D1743" s="1" t="s">
        <v>5502</v>
      </c>
      <c r="E1743" s="62">
        <v>28</v>
      </c>
      <c r="F1743" s="1" t="s">
        <v>2551</v>
      </c>
      <c r="G1743" s="1" t="s">
        <v>2555</v>
      </c>
    </row>
    <row x14ac:dyDescent="0.25" r="1744" customHeight="1" ht="17.25" hidden="1">
      <c r="A1744" s="112" t="s">
        <v>5500</v>
      </c>
      <c r="B1744" s="1" t="s">
        <v>2549</v>
      </c>
      <c r="C1744" s="1" t="s">
        <v>57</v>
      </c>
      <c r="D1744" s="1" t="s">
        <v>5503</v>
      </c>
      <c r="E1744" s="62">
        <v>39</v>
      </c>
      <c r="F1744" s="1" t="s">
        <v>2551</v>
      </c>
      <c r="G1744" s="1" t="s">
        <v>2555</v>
      </c>
    </row>
    <row x14ac:dyDescent="0.25" r="1745" customHeight="1" ht="17.25" hidden="1">
      <c r="A1745" s="112" t="s">
        <v>5504</v>
      </c>
      <c r="B1745" s="1" t="s">
        <v>2549</v>
      </c>
      <c r="C1745" s="1" t="s">
        <v>57</v>
      </c>
      <c r="D1745" s="1" t="s">
        <v>5505</v>
      </c>
      <c r="E1745" s="62">
        <v>25</v>
      </c>
      <c r="F1745" s="1" t="s">
        <v>2551</v>
      </c>
      <c r="G1745" s="1" t="s">
        <v>2552</v>
      </c>
    </row>
    <row x14ac:dyDescent="0.25" r="1746" customHeight="1" ht="17.25" hidden="1">
      <c r="A1746" s="112" t="s">
        <v>5504</v>
      </c>
      <c r="B1746" s="1" t="s">
        <v>2549</v>
      </c>
      <c r="C1746" s="1" t="s">
        <v>57</v>
      </c>
      <c r="D1746" s="1" t="s">
        <v>5506</v>
      </c>
      <c r="E1746" s="62">
        <v>18</v>
      </c>
      <c r="F1746" s="1" t="s">
        <v>2551</v>
      </c>
      <c r="G1746" s="1" t="s">
        <v>2558</v>
      </c>
    </row>
    <row x14ac:dyDescent="0.25" r="1747" customHeight="1" ht="17.25" hidden="1">
      <c r="A1747" s="112" t="s">
        <v>5504</v>
      </c>
      <c r="B1747" s="1" t="s">
        <v>2549</v>
      </c>
      <c r="C1747" s="1" t="s">
        <v>57</v>
      </c>
      <c r="D1747" s="1" t="s">
        <v>5507</v>
      </c>
      <c r="E1747" s="62">
        <v>18</v>
      </c>
      <c r="F1747" s="1" t="s">
        <v>2551</v>
      </c>
      <c r="G1747" s="1" t="s">
        <v>2558</v>
      </c>
    </row>
    <row x14ac:dyDescent="0.25" r="1748" customHeight="1" ht="17.25" hidden="1">
      <c r="A1748" s="112" t="s">
        <v>5508</v>
      </c>
      <c r="B1748" s="1" t="s">
        <v>2549</v>
      </c>
      <c r="C1748" s="1" t="s">
        <v>57</v>
      </c>
      <c r="D1748" s="1" t="s">
        <v>5509</v>
      </c>
      <c r="E1748" s="62">
        <v>22</v>
      </c>
      <c r="F1748" s="1" t="s">
        <v>2551</v>
      </c>
      <c r="G1748" s="1" t="s">
        <v>2555</v>
      </c>
    </row>
    <row x14ac:dyDescent="0.25" r="1749" customHeight="1" ht="17.25" hidden="1">
      <c r="A1749" s="112" t="s">
        <v>5510</v>
      </c>
      <c r="B1749" s="1" t="s">
        <v>2549</v>
      </c>
      <c r="C1749" s="1" t="s">
        <v>57</v>
      </c>
      <c r="D1749" s="1" t="s">
        <v>5511</v>
      </c>
      <c r="E1749" s="62">
        <v>20</v>
      </c>
      <c r="F1749" s="1" t="s">
        <v>2551</v>
      </c>
      <c r="G1749" s="1" t="s">
        <v>2555</v>
      </c>
    </row>
    <row x14ac:dyDescent="0.25" r="1750" customHeight="1" ht="17.25" hidden="1">
      <c r="A1750" s="112" t="s">
        <v>5510</v>
      </c>
      <c r="B1750" s="1" t="s">
        <v>2549</v>
      </c>
      <c r="C1750" s="1" t="s">
        <v>57</v>
      </c>
      <c r="D1750" s="1" t="s">
        <v>5512</v>
      </c>
      <c r="E1750" s="62">
        <v>18</v>
      </c>
      <c r="F1750" s="1" t="s">
        <v>2551</v>
      </c>
      <c r="G1750" s="1" t="s">
        <v>2555</v>
      </c>
    </row>
    <row x14ac:dyDescent="0.25" r="1751" customHeight="1" ht="17.25" hidden="1">
      <c r="A1751" s="112" t="s">
        <v>5513</v>
      </c>
      <c r="B1751" s="1" t="s">
        <v>2549</v>
      </c>
      <c r="C1751" s="1" t="s">
        <v>57</v>
      </c>
      <c r="D1751" s="1" t="s">
        <v>5514</v>
      </c>
      <c r="E1751" s="62">
        <v>24</v>
      </c>
      <c r="F1751" s="1" t="s">
        <v>2551</v>
      </c>
      <c r="G1751" s="1" t="s">
        <v>2552</v>
      </c>
    </row>
    <row x14ac:dyDescent="0.25" r="1752" customHeight="1" ht="17.25" hidden="1">
      <c r="A1752" s="112" t="s">
        <v>5515</v>
      </c>
      <c r="B1752" s="1" t="s">
        <v>2549</v>
      </c>
      <c r="C1752" s="1" t="s">
        <v>57</v>
      </c>
      <c r="D1752" s="1" t="s">
        <v>5516</v>
      </c>
      <c r="E1752" s="62">
        <v>40</v>
      </c>
      <c r="F1752" s="1" t="s">
        <v>2561</v>
      </c>
      <c r="G1752" s="1" t="s">
        <v>2555</v>
      </c>
    </row>
    <row x14ac:dyDescent="0.25" r="1753" customHeight="1" ht="17.25" hidden="1">
      <c r="A1753" s="112" t="s">
        <v>5517</v>
      </c>
      <c r="B1753" s="1" t="s">
        <v>2549</v>
      </c>
      <c r="C1753" s="1" t="s">
        <v>57</v>
      </c>
      <c r="D1753" s="1" t="s">
        <v>5518</v>
      </c>
      <c r="E1753" s="62">
        <v>33</v>
      </c>
      <c r="F1753" s="1" t="s">
        <v>2561</v>
      </c>
      <c r="G1753" s="1" t="s">
        <v>2552</v>
      </c>
    </row>
    <row x14ac:dyDescent="0.25" r="1754" customHeight="1" ht="17.25" hidden="1">
      <c r="A1754" s="112" t="s">
        <v>2013</v>
      </c>
      <c r="B1754" s="1" t="s">
        <v>2549</v>
      </c>
      <c r="C1754" s="1" t="s">
        <v>57</v>
      </c>
      <c r="D1754" s="1" t="s">
        <v>2014</v>
      </c>
      <c r="E1754" s="62">
        <v>43</v>
      </c>
      <c r="F1754" s="1" t="s">
        <v>2551</v>
      </c>
      <c r="G1754" s="1" t="s">
        <v>2558</v>
      </c>
    </row>
    <row x14ac:dyDescent="0.25" r="1755" customHeight="1" ht="17.25" hidden="1">
      <c r="A1755" s="112" t="s">
        <v>5519</v>
      </c>
      <c r="B1755" s="1" t="s">
        <v>2549</v>
      </c>
      <c r="C1755" s="1" t="s">
        <v>57</v>
      </c>
      <c r="D1755" s="1" t="s">
        <v>5520</v>
      </c>
      <c r="E1755" s="62">
        <v>46</v>
      </c>
      <c r="F1755" s="1" t="s">
        <v>2551</v>
      </c>
      <c r="G1755" s="1" t="s">
        <v>2552</v>
      </c>
    </row>
    <row x14ac:dyDescent="0.25" r="1756" customHeight="1" ht="17.25" hidden="1">
      <c r="A1756" s="112" t="s">
        <v>5521</v>
      </c>
      <c r="B1756" s="1" t="s">
        <v>2549</v>
      </c>
      <c r="C1756" s="1" t="s">
        <v>57</v>
      </c>
      <c r="D1756" s="1" t="s">
        <v>5522</v>
      </c>
      <c r="E1756" s="62">
        <v>30</v>
      </c>
      <c r="F1756" s="1" t="s">
        <v>2551</v>
      </c>
      <c r="G1756" s="1" t="s">
        <v>2552</v>
      </c>
    </row>
    <row x14ac:dyDescent="0.25" r="1757" customHeight="1" ht="17.25" hidden="1">
      <c r="A1757" s="112" t="s">
        <v>5523</v>
      </c>
      <c r="B1757" s="1" t="s">
        <v>2549</v>
      </c>
      <c r="C1757" s="1" t="s">
        <v>57</v>
      </c>
      <c r="D1757" s="1" t="s">
        <v>5524</v>
      </c>
      <c r="E1757" s="62">
        <v>36</v>
      </c>
      <c r="F1757" s="1" t="s">
        <v>2551</v>
      </c>
      <c r="G1757" s="1" t="s">
        <v>2555</v>
      </c>
    </row>
    <row x14ac:dyDescent="0.25" r="1758" customHeight="1" ht="17.25" hidden="1">
      <c r="A1758" s="112" t="s">
        <v>514</v>
      </c>
      <c r="B1758" s="1" t="s">
        <v>2549</v>
      </c>
      <c r="C1758" s="1" t="s">
        <v>57</v>
      </c>
      <c r="D1758" s="1" t="s">
        <v>516</v>
      </c>
      <c r="E1758" s="62">
        <v>19</v>
      </c>
      <c r="F1758" s="1" t="s">
        <v>2551</v>
      </c>
      <c r="G1758" s="1" t="s">
        <v>2555</v>
      </c>
    </row>
    <row x14ac:dyDescent="0.25" r="1759" customHeight="1" ht="17.25" hidden="1">
      <c r="A1759" s="112" t="s">
        <v>5525</v>
      </c>
      <c r="B1759" s="1" t="s">
        <v>2549</v>
      </c>
      <c r="C1759" s="1" t="s">
        <v>57</v>
      </c>
      <c r="D1759" s="1" t="s">
        <v>4338</v>
      </c>
      <c r="E1759" s="62">
        <v>20</v>
      </c>
      <c r="F1759" s="1" t="s">
        <v>2551</v>
      </c>
      <c r="G1759" s="1" t="s">
        <v>2555</v>
      </c>
    </row>
    <row x14ac:dyDescent="0.25" r="1760" customHeight="1" ht="17.25" hidden="1">
      <c r="A1760" s="112" t="s">
        <v>5526</v>
      </c>
      <c r="B1760" s="1" t="s">
        <v>2549</v>
      </c>
      <c r="C1760" s="1" t="s">
        <v>57</v>
      </c>
      <c r="D1760" s="1" t="s">
        <v>5527</v>
      </c>
      <c r="E1760" s="62">
        <v>22</v>
      </c>
      <c r="F1760" s="1" t="s">
        <v>2551</v>
      </c>
      <c r="G1760" s="1" t="s">
        <v>2552</v>
      </c>
    </row>
    <row x14ac:dyDescent="0.25" r="1761" customHeight="1" ht="17.25" hidden="1">
      <c r="A1761" s="112" t="s">
        <v>5528</v>
      </c>
      <c r="B1761" s="1" t="s">
        <v>2549</v>
      </c>
      <c r="C1761" s="1" t="s">
        <v>57</v>
      </c>
      <c r="D1761" s="1" t="s">
        <v>5529</v>
      </c>
      <c r="E1761" s="62">
        <v>23</v>
      </c>
      <c r="F1761" s="1" t="s">
        <v>2551</v>
      </c>
      <c r="G1761" s="1" t="s">
        <v>2555</v>
      </c>
    </row>
    <row x14ac:dyDescent="0.25" r="1762" customHeight="1" ht="17.25" hidden="1">
      <c r="A1762" s="112" t="s">
        <v>5530</v>
      </c>
      <c r="B1762" s="1" t="s">
        <v>2549</v>
      </c>
      <c r="C1762" s="1" t="s">
        <v>57</v>
      </c>
      <c r="D1762" s="1" t="s">
        <v>5531</v>
      </c>
      <c r="E1762" s="62">
        <v>27</v>
      </c>
      <c r="F1762" s="1" t="s">
        <v>2551</v>
      </c>
      <c r="G1762" s="1" t="s">
        <v>2552</v>
      </c>
    </row>
    <row x14ac:dyDescent="0.25" r="1763" customHeight="1" ht="17.25" hidden="1">
      <c r="A1763" s="112" t="s">
        <v>5532</v>
      </c>
      <c r="B1763" s="1" t="s">
        <v>2549</v>
      </c>
      <c r="C1763" s="1" t="s">
        <v>57</v>
      </c>
      <c r="D1763" s="1" t="s">
        <v>5533</v>
      </c>
      <c r="E1763" s="62">
        <v>45</v>
      </c>
      <c r="F1763" s="1" t="s">
        <v>2551</v>
      </c>
      <c r="G1763" s="1" t="s">
        <v>2555</v>
      </c>
    </row>
    <row x14ac:dyDescent="0.25" r="1764" customHeight="1" ht="17.25" hidden="1">
      <c r="A1764" s="112" t="s">
        <v>5534</v>
      </c>
      <c r="B1764" s="1" t="s">
        <v>2549</v>
      </c>
      <c r="C1764" s="1" t="s">
        <v>57</v>
      </c>
      <c r="D1764" s="1" t="s">
        <v>5535</v>
      </c>
      <c r="E1764" s="62">
        <v>20</v>
      </c>
      <c r="F1764" s="1" t="s">
        <v>2551</v>
      </c>
      <c r="G1764" s="1" t="s">
        <v>2552</v>
      </c>
    </row>
    <row x14ac:dyDescent="0.25" r="1765" customHeight="1" ht="17.25" hidden="1">
      <c r="A1765" s="112" t="s">
        <v>5536</v>
      </c>
      <c r="B1765" s="1" t="s">
        <v>2549</v>
      </c>
      <c r="C1765" s="1" t="s">
        <v>57</v>
      </c>
      <c r="D1765" s="1" t="s">
        <v>5537</v>
      </c>
      <c r="E1765" s="62">
        <v>25</v>
      </c>
      <c r="F1765" s="1" t="s">
        <v>2551</v>
      </c>
      <c r="G1765" s="1" t="s">
        <v>2558</v>
      </c>
    </row>
    <row x14ac:dyDescent="0.25" r="1766" customHeight="1" ht="17.25" hidden="1">
      <c r="A1766" s="112" t="s">
        <v>5538</v>
      </c>
      <c r="B1766" s="1" t="s">
        <v>2549</v>
      </c>
      <c r="C1766" s="1" t="s">
        <v>57</v>
      </c>
      <c r="D1766" s="1" t="s">
        <v>5539</v>
      </c>
      <c r="E1766" s="62">
        <v>24</v>
      </c>
      <c r="F1766" s="1" t="s">
        <v>2551</v>
      </c>
      <c r="G1766" s="1" t="s">
        <v>2552</v>
      </c>
    </row>
    <row x14ac:dyDescent="0.25" r="1767" customHeight="1" ht="17.25" hidden="1">
      <c r="A1767" s="112" t="s">
        <v>5540</v>
      </c>
      <c r="B1767" s="1" t="s">
        <v>2549</v>
      </c>
      <c r="C1767" s="1" t="s">
        <v>57</v>
      </c>
      <c r="D1767" s="1" t="s">
        <v>5541</v>
      </c>
      <c r="E1767" s="62">
        <v>18</v>
      </c>
      <c r="F1767" s="1" t="s">
        <v>2551</v>
      </c>
      <c r="G1767" s="1" t="s">
        <v>2555</v>
      </c>
    </row>
    <row x14ac:dyDescent="0.25" r="1768" customHeight="1" ht="17.25" hidden="1">
      <c r="A1768" s="112" t="s">
        <v>5542</v>
      </c>
      <c r="B1768" s="1" t="s">
        <v>2549</v>
      </c>
      <c r="C1768" s="1" t="s">
        <v>57</v>
      </c>
      <c r="D1768" s="1" t="s">
        <v>5543</v>
      </c>
      <c r="E1768" s="62">
        <v>18</v>
      </c>
      <c r="F1768" s="1" t="s">
        <v>2551</v>
      </c>
      <c r="G1768" s="1" t="s">
        <v>2558</v>
      </c>
    </row>
    <row x14ac:dyDescent="0.25" r="1769" customHeight="1" ht="17.25" hidden="1">
      <c r="A1769" s="112" t="s">
        <v>5544</v>
      </c>
      <c r="B1769" s="1" t="s">
        <v>2549</v>
      </c>
      <c r="C1769" s="1" t="s">
        <v>57</v>
      </c>
      <c r="D1769" s="1" t="s">
        <v>5545</v>
      </c>
      <c r="E1769" s="62">
        <v>25</v>
      </c>
      <c r="F1769" s="1" t="s">
        <v>2551</v>
      </c>
      <c r="G1769" s="1" t="s">
        <v>2571</v>
      </c>
    </row>
    <row x14ac:dyDescent="0.25" r="1770" customHeight="1" ht="17.25" hidden="1">
      <c r="A1770" s="112" t="s">
        <v>5544</v>
      </c>
      <c r="B1770" s="1" t="s">
        <v>2549</v>
      </c>
      <c r="C1770" s="1" t="s">
        <v>57</v>
      </c>
      <c r="D1770" s="1" t="s">
        <v>5546</v>
      </c>
      <c r="E1770" s="62">
        <v>32</v>
      </c>
      <c r="F1770" s="1" t="s">
        <v>2551</v>
      </c>
      <c r="G1770" s="1" t="s">
        <v>2571</v>
      </c>
    </row>
    <row x14ac:dyDescent="0.25" r="1771" customHeight="1" ht="17.25" hidden="1">
      <c r="A1771" s="112" t="s">
        <v>5544</v>
      </c>
      <c r="B1771" s="1" t="s">
        <v>2549</v>
      </c>
      <c r="C1771" s="1" t="s">
        <v>57</v>
      </c>
      <c r="D1771" s="1" t="s">
        <v>5547</v>
      </c>
      <c r="E1771" s="62">
        <v>47</v>
      </c>
      <c r="F1771" s="1" t="s">
        <v>2551</v>
      </c>
      <c r="G1771" s="1" t="s">
        <v>2571</v>
      </c>
    </row>
    <row x14ac:dyDescent="0.25" r="1772" customHeight="1" ht="17.25" hidden="1">
      <c r="A1772" s="112" t="s">
        <v>5548</v>
      </c>
      <c r="B1772" s="1" t="s">
        <v>2549</v>
      </c>
      <c r="C1772" s="1" t="s">
        <v>57</v>
      </c>
      <c r="D1772" s="1" t="s">
        <v>5549</v>
      </c>
      <c r="E1772" s="62">
        <v>29</v>
      </c>
      <c r="F1772" s="1" t="s">
        <v>2551</v>
      </c>
      <c r="G1772" s="1" t="s">
        <v>2552</v>
      </c>
    </row>
    <row x14ac:dyDescent="0.25" r="1773" customHeight="1" ht="17.25" hidden="1">
      <c r="A1773" s="112" t="s">
        <v>5550</v>
      </c>
      <c r="B1773" s="1" t="s">
        <v>2549</v>
      </c>
      <c r="C1773" s="1" t="s">
        <v>57</v>
      </c>
      <c r="D1773" s="1" t="s">
        <v>5551</v>
      </c>
      <c r="E1773" s="54" t="s">
        <v>2571</v>
      </c>
      <c r="F1773" s="1" t="s">
        <v>2551</v>
      </c>
      <c r="G1773" s="1" t="s">
        <v>2555</v>
      </c>
    </row>
    <row x14ac:dyDescent="0.25" r="1774" customHeight="1" ht="17.25" hidden="1">
      <c r="A1774" s="112" t="s">
        <v>5550</v>
      </c>
      <c r="B1774" s="1" t="s">
        <v>2549</v>
      </c>
      <c r="C1774" s="1" t="s">
        <v>57</v>
      </c>
      <c r="D1774" s="1" t="s">
        <v>5552</v>
      </c>
      <c r="E1774" s="54" t="s">
        <v>2571</v>
      </c>
      <c r="F1774" s="1" t="s">
        <v>2561</v>
      </c>
      <c r="G1774" s="1" t="s">
        <v>2555</v>
      </c>
    </row>
    <row x14ac:dyDescent="0.25" r="1775" customHeight="1" ht="17.25" hidden="1">
      <c r="A1775" s="112" t="s">
        <v>5550</v>
      </c>
      <c r="B1775" s="1" t="s">
        <v>2549</v>
      </c>
      <c r="C1775" s="1" t="s">
        <v>57</v>
      </c>
      <c r="D1775" s="1" t="s">
        <v>5553</v>
      </c>
      <c r="E1775" s="54" t="s">
        <v>2571</v>
      </c>
      <c r="F1775" s="1" t="s">
        <v>2561</v>
      </c>
      <c r="G1775" s="1" t="s">
        <v>2555</v>
      </c>
    </row>
    <row x14ac:dyDescent="0.25" r="1776" customHeight="1" ht="17.25" hidden="1">
      <c r="A1776" s="112" t="s">
        <v>5554</v>
      </c>
      <c r="B1776" s="1" t="s">
        <v>2549</v>
      </c>
      <c r="C1776" s="1" t="s">
        <v>57</v>
      </c>
      <c r="D1776" s="1" t="s">
        <v>5555</v>
      </c>
      <c r="E1776" s="62">
        <v>27</v>
      </c>
      <c r="F1776" s="1" t="s">
        <v>2551</v>
      </c>
      <c r="G1776" s="1" t="s">
        <v>2552</v>
      </c>
    </row>
    <row x14ac:dyDescent="0.25" r="1777" customHeight="1" ht="17.25" hidden="1">
      <c r="A1777" s="112" t="s">
        <v>5554</v>
      </c>
      <c r="B1777" s="1" t="s">
        <v>2549</v>
      </c>
      <c r="C1777" s="1" t="s">
        <v>57</v>
      </c>
      <c r="D1777" s="1" t="s">
        <v>5556</v>
      </c>
      <c r="E1777" s="62">
        <v>33</v>
      </c>
      <c r="F1777" s="1" t="s">
        <v>2551</v>
      </c>
      <c r="G1777" s="1" t="s">
        <v>2552</v>
      </c>
    </row>
    <row x14ac:dyDescent="0.25" r="1778" customHeight="1" ht="17.25" hidden="1">
      <c r="A1778" s="112" t="s">
        <v>5557</v>
      </c>
      <c r="B1778" s="1" t="s">
        <v>2549</v>
      </c>
      <c r="C1778" s="1" t="s">
        <v>57</v>
      </c>
      <c r="D1778" s="1" t="s">
        <v>5558</v>
      </c>
      <c r="E1778" s="62">
        <v>29</v>
      </c>
      <c r="F1778" s="1" t="s">
        <v>2551</v>
      </c>
      <c r="G1778" s="1" t="s">
        <v>2555</v>
      </c>
    </row>
    <row x14ac:dyDescent="0.25" r="1779" customHeight="1" ht="17.25" hidden="1">
      <c r="A1779" s="112" t="s">
        <v>2162</v>
      </c>
      <c r="B1779" s="1" t="s">
        <v>2549</v>
      </c>
      <c r="C1779" s="1" t="s">
        <v>57</v>
      </c>
      <c r="D1779" s="1" t="s">
        <v>2163</v>
      </c>
      <c r="E1779" s="62">
        <v>25</v>
      </c>
      <c r="F1779" s="1" t="s">
        <v>2551</v>
      </c>
      <c r="G1779" s="1" t="s">
        <v>2555</v>
      </c>
    </row>
    <row x14ac:dyDescent="0.25" r="1780" customHeight="1" ht="17.25" hidden="1">
      <c r="A1780" s="112" t="s">
        <v>5559</v>
      </c>
      <c r="B1780" s="1" t="s">
        <v>2549</v>
      </c>
      <c r="C1780" s="1" t="s">
        <v>57</v>
      </c>
      <c r="D1780" s="1" t="s">
        <v>5560</v>
      </c>
      <c r="E1780" s="62">
        <v>23</v>
      </c>
      <c r="F1780" s="1" t="s">
        <v>2551</v>
      </c>
      <c r="G1780" s="1" t="s">
        <v>2558</v>
      </c>
    </row>
    <row x14ac:dyDescent="0.25" r="1781" customHeight="1" ht="17.25" hidden="1">
      <c r="A1781" s="112" t="s">
        <v>5559</v>
      </c>
      <c r="B1781" s="1" t="s">
        <v>2549</v>
      </c>
      <c r="C1781" s="1" t="s">
        <v>57</v>
      </c>
      <c r="D1781" s="1" t="s">
        <v>5561</v>
      </c>
      <c r="E1781" s="62">
        <v>21</v>
      </c>
      <c r="F1781" s="1" t="s">
        <v>2551</v>
      </c>
      <c r="G1781" s="1" t="s">
        <v>2555</v>
      </c>
    </row>
    <row x14ac:dyDescent="0.25" r="1782" customHeight="1" ht="17.25" hidden="1">
      <c r="A1782" s="112" t="s">
        <v>5562</v>
      </c>
      <c r="B1782" s="1" t="s">
        <v>2549</v>
      </c>
      <c r="C1782" s="1" t="s">
        <v>57</v>
      </c>
      <c r="D1782" s="1" t="s">
        <v>5563</v>
      </c>
      <c r="E1782" s="62">
        <v>18</v>
      </c>
      <c r="F1782" s="1" t="s">
        <v>2551</v>
      </c>
      <c r="G1782" s="1" t="s">
        <v>2555</v>
      </c>
    </row>
    <row x14ac:dyDescent="0.25" r="1783" customHeight="1" ht="17.25" hidden="1">
      <c r="A1783" s="112" t="s">
        <v>5562</v>
      </c>
      <c r="B1783" s="1" t="s">
        <v>2549</v>
      </c>
      <c r="C1783" s="1" t="s">
        <v>57</v>
      </c>
      <c r="D1783" s="1" t="s">
        <v>5564</v>
      </c>
      <c r="E1783" s="62">
        <v>22</v>
      </c>
      <c r="F1783" s="1" t="s">
        <v>2551</v>
      </c>
      <c r="G1783" s="1" t="s">
        <v>2555</v>
      </c>
    </row>
    <row x14ac:dyDescent="0.25" r="1784" customHeight="1" ht="17.25" hidden="1">
      <c r="A1784" s="112" t="s">
        <v>5565</v>
      </c>
      <c r="B1784" s="1" t="s">
        <v>2549</v>
      </c>
      <c r="C1784" s="1" t="s">
        <v>57</v>
      </c>
      <c r="D1784" s="1" t="s">
        <v>5566</v>
      </c>
      <c r="E1784" s="62">
        <v>23</v>
      </c>
      <c r="F1784" s="1" t="s">
        <v>2551</v>
      </c>
      <c r="G1784" s="1" t="s">
        <v>2552</v>
      </c>
    </row>
    <row x14ac:dyDescent="0.25" r="1785" customHeight="1" ht="17.25" hidden="1">
      <c r="A1785" s="112" t="s">
        <v>5567</v>
      </c>
      <c r="B1785" s="1" t="s">
        <v>2549</v>
      </c>
      <c r="C1785" s="1" t="s">
        <v>57</v>
      </c>
      <c r="D1785" s="1" t="s">
        <v>5568</v>
      </c>
      <c r="E1785" s="62">
        <v>23</v>
      </c>
      <c r="F1785" s="1" t="s">
        <v>2551</v>
      </c>
      <c r="G1785" s="1" t="s">
        <v>2552</v>
      </c>
    </row>
    <row x14ac:dyDescent="0.25" r="1786" customHeight="1" ht="17.25" hidden="1">
      <c r="A1786" s="112" t="s">
        <v>5569</v>
      </c>
      <c r="B1786" s="1" t="s">
        <v>2549</v>
      </c>
      <c r="C1786" s="1" t="s">
        <v>57</v>
      </c>
      <c r="D1786" s="1" t="s">
        <v>5570</v>
      </c>
      <c r="E1786" s="62">
        <v>31</v>
      </c>
      <c r="F1786" s="1" t="s">
        <v>2551</v>
      </c>
      <c r="G1786" s="1" t="s">
        <v>2555</v>
      </c>
    </row>
    <row x14ac:dyDescent="0.25" r="1787" customHeight="1" ht="17.25" hidden="1">
      <c r="A1787" s="112" t="s">
        <v>5571</v>
      </c>
      <c r="B1787" s="1" t="s">
        <v>2549</v>
      </c>
      <c r="C1787" s="1" t="s">
        <v>57</v>
      </c>
      <c r="D1787" s="1" t="s">
        <v>5572</v>
      </c>
      <c r="E1787" s="62">
        <v>20</v>
      </c>
      <c r="F1787" s="1" t="s">
        <v>2551</v>
      </c>
      <c r="G1787" s="1" t="s">
        <v>2552</v>
      </c>
    </row>
    <row x14ac:dyDescent="0.25" r="1788" customHeight="1" ht="17.25" hidden="1">
      <c r="A1788" s="112" t="s">
        <v>5573</v>
      </c>
      <c r="B1788" s="1" t="s">
        <v>2549</v>
      </c>
      <c r="C1788" s="1" t="s">
        <v>57</v>
      </c>
      <c r="D1788" s="1" t="s">
        <v>5574</v>
      </c>
      <c r="E1788" s="62">
        <v>20</v>
      </c>
      <c r="F1788" s="1" t="s">
        <v>2561</v>
      </c>
      <c r="G1788" s="1" t="s">
        <v>2552</v>
      </c>
    </row>
    <row x14ac:dyDescent="0.25" r="1789" customHeight="1" ht="17.25" hidden="1">
      <c r="A1789" s="112" t="s">
        <v>5575</v>
      </c>
      <c r="B1789" s="1" t="s">
        <v>2549</v>
      </c>
      <c r="C1789" s="1" t="s">
        <v>57</v>
      </c>
      <c r="D1789" s="1" t="s">
        <v>4537</v>
      </c>
      <c r="E1789" s="62">
        <v>18</v>
      </c>
      <c r="F1789" s="1" t="s">
        <v>2551</v>
      </c>
      <c r="G1789" s="1" t="s">
        <v>2555</v>
      </c>
    </row>
    <row x14ac:dyDescent="0.25" r="1790" customHeight="1" ht="17.25" hidden="1">
      <c r="A1790" s="112" t="s">
        <v>5576</v>
      </c>
      <c r="B1790" s="1" t="s">
        <v>2549</v>
      </c>
      <c r="C1790" s="1" t="s">
        <v>57</v>
      </c>
      <c r="D1790" s="1" t="s">
        <v>5577</v>
      </c>
      <c r="E1790" s="62">
        <v>34</v>
      </c>
      <c r="F1790" s="1" t="s">
        <v>2551</v>
      </c>
      <c r="G1790" s="1" t="s">
        <v>2555</v>
      </c>
    </row>
    <row x14ac:dyDescent="0.25" r="1791" customHeight="1" ht="17.25" hidden="1">
      <c r="A1791" s="112" t="s">
        <v>5578</v>
      </c>
      <c r="B1791" s="1" t="s">
        <v>2549</v>
      </c>
      <c r="C1791" s="1" t="s">
        <v>57</v>
      </c>
      <c r="D1791" s="1" t="s">
        <v>5579</v>
      </c>
      <c r="E1791" s="62">
        <v>26</v>
      </c>
      <c r="F1791" s="1" t="s">
        <v>2551</v>
      </c>
      <c r="G1791" s="1" t="s">
        <v>2552</v>
      </c>
    </row>
    <row x14ac:dyDescent="0.25" r="1792" customHeight="1" ht="17.25" hidden="1">
      <c r="A1792" s="112" t="s">
        <v>5580</v>
      </c>
      <c r="B1792" s="1" t="s">
        <v>2549</v>
      </c>
      <c r="C1792" s="1" t="s">
        <v>57</v>
      </c>
      <c r="D1792" s="1" t="s">
        <v>5581</v>
      </c>
      <c r="E1792" s="62">
        <v>26</v>
      </c>
      <c r="F1792" s="1" t="s">
        <v>2551</v>
      </c>
      <c r="G1792" s="1" t="s">
        <v>2552</v>
      </c>
    </row>
    <row x14ac:dyDescent="0.25" r="1793" customHeight="1" ht="17.25" hidden="1">
      <c r="A1793" s="112" t="s">
        <v>5582</v>
      </c>
      <c r="B1793" s="1" t="s">
        <v>2549</v>
      </c>
      <c r="C1793" s="1" t="s">
        <v>57</v>
      </c>
      <c r="D1793" s="1" t="s">
        <v>5583</v>
      </c>
      <c r="E1793" s="62">
        <v>32</v>
      </c>
      <c r="F1793" s="1" t="s">
        <v>2551</v>
      </c>
      <c r="G1793" s="1" t="s">
        <v>2555</v>
      </c>
    </row>
    <row x14ac:dyDescent="0.25" r="1794" customHeight="1" ht="17.25" hidden="1">
      <c r="A1794" s="112" t="s">
        <v>5584</v>
      </c>
      <c r="B1794" s="1" t="s">
        <v>2549</v>
      </c>
      <c r="C1794" s="1" t="s">
        <v>57</v>
      </c>
      <c r="D1794" s="1" t="s">
        <v>5585</v>
      </c>
      <c r="E1794" s="62">
        <v>23</v>
      </c>
      <c r="F1794" s="1" t="s">
        <v>2551</v>
      </c>
      <c r="G1794" s="1" t="s">
        <v>2552</v>
      </c>
    </row>
    <row x14ac:dyDescent="0.25" r="1795" customHeight="1" ht="17.25" hidden="1">
      <c r="A1795" s="112" t="s">
        <v>5586</v>
      </c>
      <c r="B1795" s="1" t="s">
        <v>2549</v>
      </c>
      <c r="C1795" s="1" t="s">
        <v>57</v>
      </c>
      <c r="D1795" s="1" t="s">
        <v>5587</v>
      </c>
      <c r="E1795" s="62">
        <v>46</v>
      </c>
      <c r="F1795" s="1" t="s">
        <v>2551</v>
      </c>
      <c r="G1795" s="1" t="s">
        <v>2558</v>
      </c>
    </row>
    <row x14ac:dyDescent="0.25" r="1796" customHeight="1" ht="17.25" hidden="1">
      <c r="A1796" s="112" t="s">
        <v>5586</v>
      </c>
      <c r="B1796" s="1" t="s">
        <v>2549</v>
      </c>
      <c r="C1796" s="1" t="s">
        <v>57</v>
      </c>
      <c r="D1796" s="1" t="s">
        <v>5588</v>
      </c>
      <c r="E1796" s="62">
        <v>25</v>
      </c>
      <c r="F1796" s="1" t="s">
        <v>2561</v>
      </c>
      <c r="G1796" s="1" t="s">
        <v>2558</v>
      </c>
    </row>
    <row x14ac:dyDescent="0.25" r="1797" customHeight="1" ht="17.25" hidden="1">
      <c r="A1797" s="112" t="s">
        <v>5589</v>
      </c>
      <c r="B1797" s="1" t="s">
        <v>2549</v>
      </c>
      <c r="C1797" s="1" t="s">
        <v>57</v>
      </c>
      <c r="D1797" s="1" t="s">
        <v>5590</v>
      </c>
      <c r="E1797" s="62">
        <v>28</v>
      </c>
      <c r="F1797" s="1" t="s">
        <v>2551</v>
      </c>
      <c r="G1797" s="1" t="s">
        <v>2552</v>
      </c>
    </row>
    <row x14ac:dyDescent="0.25" r="1798" customHeight="1" ht="17.25" hidden="1">
      <c r="A1798" s="112" t="s">
        <v>5589</v>
      </c>
      <c r="B1798" s="1" t="s">
        <v>2549</v>
      </c>
      <c r="C1798" s="1" t="s">
        <v>57</v>
      </c>
      <c r="D1798" s="1" t="s">
        <v>5591</v>
      </c>
      <c r="E1798" s="62">
        <v>25</v>
      </c>
      <c r="F1798" s="1" t="s">
        <v>2551</v>
      </c>
      <c r="G1798" s="1" t="s">
        <v>2558</v>
      </c>
    </row>
    <row x14ac:dyDescent="0.25" r="1799" customHeight="1" ht="17.25" hidden="1">
      <c r="A1799" s="112" t="s">
        <v>5589</v>
      </c>
      <c r="B1799" s="1" t="s">
        <v>2549</v>
      </c>
      <c r="C1799" s="1" t="s">
        <v>57</v>
      </c>
      <c r="D1799" s="1" t="s">
        <v>5592</v>
      </c>
      <c r="E1799" s="62">
        <v>21</v>
      </c>
      <c r="F1799" s="1" t="s">
        <v>2551</v>
      </c>
      <c r="G1799" s="1" t="s">
        <v>2552</v>
      </c>
    </row>
    <row x14ac:dyDescent="0.25" r="1800" customHeight="1" ht="17.25" hidden="1">
      <c r="A1800" s="112" t="s">
        <v>5593</v>
      </c>
      <c r="B1800" s="1" t="s">
        <v>2549</v>
      </c>
      <c r="C1800" s="1" t="s">
        <v>57</v>
      </c>
      <c r="D1800" s="1" t="s">
        <v>5594</v>
      </c>
      <c r="E1800" s="62">
        <v>22</v>
      </c>
      <c r="F1800" s="1" t="s">
        <v>2551</v>
      </c>
      <c r="G1800" s="1" t="s">
        <v>2552</v>
      </c>
    </row>
    <row x14ac:dyDescent="0.25" r="1801" customHeight="1" ht="17.25" hidden="1">
      <c r="A1801" s="112" t="s">
        <v>5595</v>
      </c>
      <c r="B1801" s="1" t="s">
        <v>2549</v>
      </c>
      <c r="C1801" s="1" t="s">
        <v>57</v>
      </c>
      <c r="D1801" s="1" t="s">
        <v>5596</v>
      </c>
      <c r="E1801" s="62">
        <v>19</v>
      </c>
      <c r="F1801" s="1" t="s">
        <v>2551</v>
      </c>
      <c r="G1801" s="1" t="s">
        <v>2552</v>
      </c>
    </row>
    <row x14ac:dyDescent="0.25" r="1802" customHeight="1" ht="17.25" hidden="1">
      <c r="A1802" s="112" t="s">
        <v>5597</v>
      </c>
      <c r="B1802" s="1" t="s">
        <v>2549</v>
      </c>
      <c r="C1802" s="1" t="s">
        <v>57</v>
      </c>
      <c r="D1802" s="1" t="s">
        <v>5598</v>
      </c>
      <c r="E1802" s="62">
        <v>52</v>
      </c>
      <c r="F1802" s="1" t="s">
        <v>2561</v>
      </c>
      <c r="G1802" s="1" t="s">
        <v>2552</v>
      </c>
    </row>
    <row x14ac:dyDescent="0.25" r="1803" customHeight="1" ht="17.25" hidden="1">
      <c r="A1803" s="112" t="s">
        <v>5597</v>
      </c>
      <c r="B1803" s="1" t="s">
        <v>2549</v>
      </c>
      <c r="C1803" s="1" t="s">
        <v>57</v>
      </c>
      <c r="D1803" s="1" t="s">
        <v>5599</v>
      </c>
      <c r="E1803" s="62">
        <v>20</v>
      </c>
      <c r="F1803" s="1" t="s">
        <v>2551</v>
      </c>
      <c r="G1803" s="1" t="s">
        <v>2552</v>
      </c>
    </row>
    <row x14ac:dyDescent="0.25" r="1804" customHeight="1" ht="17.25" hidden="1">
      <c r="A1804" s="112" t="s">
        <v>5600</v>
      </c>
      <c r="B1804" s="1" t="s">
        <v>2549</v>
      </c>
      <c r="C1804" s="1" t="s">
        <v>57</v>
      </c>
      <c r="D1804" s="1" t="s">
        <v>5601</v>
      </c>
      <c r="E1804" s="62">
        <v>23</v>
      </c>
      <c r="F1804" s="1" t="s">
        <v>2551</v>
      </c>
      <c r="G1804" s="1" t="s">
        <v>2555</v>
      </c>
    </row>
    <row x14ac:dyDescent="0.25" r="1805" customHeight="1" ht="17.25" hidden="1">
      <c r="A1805" s="112" t="s">
        <v>1835</v>
      </c>
      <c r="B1805" s="1" t="s">
        <v>2549</v>
      </c>
      <c r="C1805" s="1" t="s">
        <v>57</v>
      </c>
      <c r="D1805" s="1" t="s">
        <v>1836</v>
      </c>
      <c r="E1805" s="62">
        <v>21</v>
      </c>
      <c r="F1805" s="1" t="s">
        <v>2551</v>
      </c>
      <c r="G1805" s="1" t="s">
        <v>2555</v>
      </c>
    </row>
    <row x14ac:dyDescent="0.25" r="1806" customHeight="1" ht="17.25" hidden="1">
      <c r="A1806" s="112" t="s">
        <v>5602</v>
      </c>
      <c r="B1806" s="1" t="s">
        <v>2549</v>
      </c>
      <c r="C1806" s="1" t="s">
        <v>57</v>
      </c>
      <c r="D1806" s="1" t="s">
        <v>5603</v>
      </c>
      <c r="E1806" s="62">
        <v>29</v>
      </c>
      <c r="F1806" s="1" t="s">
        <v>2551</v>
      </c>
      <c r="G1806" s="1" t="s">
        <v>2555</v>
      </c>
    </row>
    <row x14ac:dyDescent="0.25" r="1807" customHeight="1" ht="17.25" hidden="1">
      <c r="A1807" s="112" t="s">
        <v>5604</v>
      </c>
      <c r="B1807" s="1" t="s">
        <v>2549</v>
      </c>
      <c r="C1807" s="1" t="s">
        <v>57</v>
      </c>
      <c r="D1807" s="1" t="s">
        <v>5605</v>
      </c>
      <c r="E1807" s="62">
        <v>29</v>
      </c>
      <c r="F1807" s="1" t="s">
        <v>2551</v>
      </c>
      <c r="G1807" s="1" t="s">
        <v>2558</v>
      </c>
    </row>
    <row x14ac:dyDescent="0.25" r="1808" customHeight="1" ht="17.25" hidden="1">
      <c r="A1808" s="112" t="s">
        <v>5604</v>
      </c>
      <c r="B1808" s="1" t="s">
        <v>2549</v>
      </c>
      <c r="C1808" s="1" t="s">
        <v>57</v>
      </c>
      <c r="D1808" s="1" t="s">
        <v>587</v>
      </c>
      <c r="E1808" s="62">
        <v>22</v>
      </c>
      <c r="F1808" s="1" t="s">
        <v>2551</v>
      </c>
      <c r="G1808" s="1" t="s">
        <v>2555</v>
      </c>
    </row>
    <row x14ac:dyDescent="0.25" r="1809" customHeight="1" ht="17.25" hidden="1">
      <c r="A1809" s="112" t="s">
        <v>5606</v>
      </c>
      <c r="B1809" s="1" t="s">
        <v>2549</v>
      </c>
      <c r="C1809" s="1" t="s">
        <v>57</v>
      </c>
      <c r="D1809" s="1" t="s">
        <v>5607</v>
      </c>
      <c r="E1809" s="62">
        <v>21</v>
      </c>
      <c r="F1809" s="1" t="s">
        <v>2551</v>
      </c>
      <c r="G1809" s="1" t="s">
        <v>2571</v>
      </c>
    </row>
    <row x14ac:dyDescent="0.25" r="1810" customHeight="1" ht="17.25" hidden="1">
      <c r="A1810" s="112" t="s">
        <v>5608</v>
      </c>
      <c r="B1810" s="1" t="s">
        <v>2549</v>
      </c>
      <c r="C1810" s="1" t="s">
        <v>57</v>
      </c>
      <c r="D1810" s="1" t="s">
        <v>5609</v>
      </c>
      <c r="E1810" s="62">
        <v>20</v>
      </c>
      <c r="F1810" s="1" t="s">
        <v>2551</v>
      </c>
      <c r="G1810" s="1" t="s">
        <v>2552</v>
      </c>
    </row>
    <row x14ac:dyDescent="0.25" r="1811" customHeight="1" ht="17.25" hidden="1">
      <c r="A1811" s="112" t="s">
        <v>5610</v>
      </c>
      <c r="B1811" s="1" t="s">
        <v>2549</v>
      </c>
      <c r="C1811" s="1" t="s">
        <v>57</v>
      </c>
      <c r="D1811" s="1" t="s">
        <v>5611</v>
      </c>
      <c r="E1811" s="62">
        <v>21</v>
      </c>
      <c r="F1811" s="1" t="s">
        <v>2551</v>
      </c>
      <c r="G1811" s="1" t="s">
        <v>2555</v>
      </c>
    </row>
    <row x14ac:dyDescent="0.25" r="1812" customHeight="1" ht="17.25" hidden="1">
      <c r="A1812" s="112" t="s">
        <v>5612</v>
      </c>
      <c r="B1812" s="1" t="s">
        <v>2549</v>
      </c>
      <c r="C1812" s="1" t="s">
        <v>57</v>
      </c>
      <c r="D1812" s="1" t="s">
        <v>5613</v>
      </c>
      <c r="E1812" s="62">
        <v>35</v>
      </c>
      <c r="F1812" s="1" t="s">
        <v>2551</v>
      </c>
      <c r="G1812" s="1" t="s">
        <v>2552</v>
      </c>
    </row>
    <row x14ac:dyDescent="0.25" r="1813" customHeight="1" ht="17.25" hidden="1">
      <c r="A1813" s="112" t="s">
        <v>5614</v>
      </c>
      <c r="B1813" s="1" t="s">
        <v>2549</v>
      </c>
      <c r="C1813" s="1" t="s">
        <v>57</v>
      </c>
      <c r="D1813" s="1" t="s">
        <v>3880</v>
      </c>
      <c r="E1813" s="62">
        <v>32</v>
      </c>
      <c r="F1813" s="1" t="s">
        <v>2561</v>
      </c>
      <c r="G1813" s="1" t="s">
        <v>2552</v>
      </c>
    </row>
    <row x14ac:dyDescent="0.25" r="1814" customHeight="1" ht="17.25" hidden="1">
      <c r="A1814" s="112" t="s">
        <v>5615</v>
      </c>
      <c r="B1814" s="1" t="s">
        <v>2549</v>
      </c>
      <c r="C1814" s="1" t="s">
        <v>57</v>
      </c>
      <c r="D1814" s="1" t="s">
        <v>5616</v>
      </c>
      <c r="E1814" s="62">
        <v>35</v>
      </c>
      <c r="F1814" s="1" t="s">
        <v>2551</v>
      </c>
      <c r="G1814" s="1" t="s">
        <v>2555</v>
      </c>
    </row>
    <row x14ac:dyDescent="0.25" r="1815" customHeight="1" ht="17.25" hidden="1">
      <c r="A1815" s="112" t="s">
        <v>5617</v>
      </c>
      <c r="B1815" s="1" t="s">
        <v>2549</v>
      </c>
      <c r="C1815" s="1" t="s">
        <v>57</v>
      </c>
      <c r="D1815" s="1" t="s">
        <v>5618</v>
      </c>
      <c r="E1815" s="62">
        <v>30</v>
      </c>
      <c r="F1815" s="1" t="s">
        <v>2551</v>
      </c>
      <c r="G1815" s="1" t="s">
        <v>2555</v>
      </c>
    </row>
    <row x14ac:dyDescent="0.25" r="1816" customHeight="1" ht="17.25" hidden="1">
      <c r="A1816" s="112" t="s">
        <v>5617</v>
      </c>
      <c r="B1816" s="1" t="s">
        <v>2549</v>
      </c>
      <c r="C1816" s="1" t="s">
        <v>57</v>
      </c>
      <c r="D1816" s="1" t="s">
        <v>5619</v>
      </c>
      <c r="E1816" s="62">
        <v>37</v>
      </c>
      <c r="F1816" s="1" t="s">
        <v>2551</v>
      </c>
      <c r="G1816" s="1" t="s">
        <v>2555</v>
      </c>
    </row>
    <row x14ac:dyDescent="0.25" r="1817" customHeight="1" ht="17.25" hidden="1">
      <c r="A1817" s="112" t="s">
        <v>5617</v>
      </c>
      <c r="B1817" s="1" t="s">
        <v>2549</v>
      </c>
      <c r="C1817" s="1" t="s">
        <v>57</v>
      </c>
      <c r="D1817" s="1" t="s">
        <v>5620</v>
      </c>
      <c r="E1817" s="62">
        <v>58</v>
      </c>
      <c r="F1817" s="1" t="s">
        <v>2551</v>
      </c>
      <c r="G1817" s="1" t="s">
        <v>2555</v>
      </c>
    </row>
    <row x14ac:dyDescent="0.25" r="1818" customHeight="1" ht="17.25" hidden="1">
      <c r="A1818" s="112" t="s">
        <v>5621</v>
      </c>
      <c r="B1818" s="1" t="s">
        <v>2549</v>
      </c>
      <c r="C1818" s="1" t="s">
        <v>57</v>
      </c>
      <c r="D1818" s="1" t="s">
        <v>5622</v>
      </c>
      <c r="E1818" s="62">
        <v>18</v>
      </c>
      <c r="F1818" s="1" t="s">
        <v>2551</v>
      </c>
      <c r="G1818" s="1" t="s">
        <v>2555</v>
      </c>
    </row>
    <row x14ac:dyDescent="0.25" r="1819" customHeight="1" ht="17.25" hidden="1">
      <c r="A1819" s="112" t="s">
        <v>5623</v>
      </c>
      <c r="B1819" s="1" t="s">
        <v>2549</v>
      </c>
      <c r="C1819" s="1" t="s">
        <v>57</v>
      </c>
      <c r="D1819" s="1" t="s">
        <v>5624</v>
      </c>
      <c r="E1819" s="62">
        <v>18</v>
      </c>
      <c r="F1819" s="1" t="s">
        <v>2551</v>
      </c>
      <c r="G1819" s="1" t="s">
        <v>2552</v>
      </c>
    </row>
    <row x14ac:dyDescent="0.25" r="1820" customHeight="1" ht="17.25" hidden="1">
      <c r="A1820" s="112" t="s">
        <v>5625</v>
      </c>
      <c r="B1820" s="1" t="s">
        <v>2549</v>
      </c>
      <c r="C1820" s="1" t="s">
        <v>57</v>
      </c>
      <c r="D1820" s="1" t="s">
        <v>5626</v>
      </c>
      <c r="E1820" s="62">
        <v>22</v>
      </c>
      <c r="F1820" s="1" t="s">
        <v>2551</v>
      </c>
      <c r="G1820" s="1" t="s">
        <v>2552</v>
      </c>
    </row>
    <row x14ac:dyDescent="0.25" r="1821" customHeight="1" ht="17.25" hidden="1">
      <c r="A1821" s="112" t="s">
        <v>5627</v>
      </c>
      <c r="B1821" s="1" t="s">
        <v>2549</v>
      </c>
      <c r="C1821" s="1" t="s">
        <v>57</v>
      </c>
      <c r="D1821" s="1" t="s">
        <v>5628</v>
      </c>
      <c r="E1821" s="62">
        <v>27</v>
      </c>
      <c r="F1821" s="1" t="s">
        <v>2551</v>
      </c>
      <c r="G1821" s="1" t="s">
        <v>4578</v>
      </c>
    </row>
    <row x14ac:dyDescent="0.25" r="1822" customHeight="1" ht="17.25" hidden="1">
      <c r="A1822" s="112" t="s">
        <v>5627</v>
      </c>
      <c r="B1822" s="1" t="s">
        <v>2549</v>
      </c>
      <c r="C1822" s="1" t="s">
        <v>57</v>
      </c>
      <c r="D1822" s="1" t="s">
        <v>5629</v>
      </c>
      <c r="E1822" s="62">
        <v>19</v>
      </c>
      <c r="F1822" s="1" t="s">
        <v>2551</v>
      </c>
      <c r="G1822" s="1" t="s">
        <v>2552</v>
      </c>
    </row>
    <row x14ac:dyDescent="0.25" r="1823" customHeight="1" ht="17.25" hidden="1">
      <c r="A1823" s="112" t="s">
        <v>5630</v>
      </c>
      <c r="B1823" s="1" t="s">
        <v>2549</v>
      </c>
      <c r="C1823" s="1" t="s">
        <v>57</v>
      </c>
      <c r="D1823" s="1" t="s">
        <v>5631</v>
      </c>
      <c r="E1823" s="62">
        <v>63</v>
      </c>
      <c r="F1823" s="1" t="s">
        <v>2551</v>
      </c>
      <c r="G1823" s="1" t="s">
        <v>2555</v>
      </c>
    </row>
    <row x14ac:dyDescent="0.25" r="1824" customHeight="1" ht="17.25" hidden="1">
      <c r="A1824" s="112" t="s">
        <v>5630</v>
      </c>
      <c r="B1824" s="1" t="s">
        <v>2549</v>
      </c>
      <c r="C1824" s="1" t="s">
        <v>57</v>
      </c>
      <c r="D1824" s="1" t="s">
        <v>5632</v>
      </c>
      <c r="E1824" s="62">
        <v>19</v>
      </c>
      <c r="F1824" s="1" t="s">
        <v>2551</v>
      </c>
      <c r="G1824" s="1" t="s">
        <v>2555</v>
      </c>
    </row>
    <row x14ac:dyDescent="0.25" r="1825" customHeight="1" ht="17.25" hidden="1">
      <c r="A1825" s="112" t="s">
        <v>5633</v>
      </c>
      <c r="B1825" s="1" t="s">
        <v>2549</v>
      </c>
      <c r="C1825" s="1" t="s">
        <v>57</v>
      </c>
      <c r="D1825" s="1" t="s">
        <v>5634</v>
      </c>
      <c r="E1825" s="62">
        <v>22</v>
      </c>
      <c r="F1825" s="1" t="s">
        <v>2551</v>
      </c>
      <c r="G1825" s="1" t="s">
        <v>2552</v>
      </c>
    </row>
    <row x14ac:dyDescent="0.25" r="1826" customHeight="1" ht="17.25" hidden="1">
      <c r="A1826" s="112" t="s">
        <v>5635</v>
      </c>
      <c r="B1826" s="1" t="s">
        <v>2549</v>
      </c>
      <c r="C1826" s="1" t="s">
        <v>57</v>
      </c>
      <c r="D1826" s="1" t="s">
        <v>5636</v>
      </c>
      <c r="E1826" s="62">
        <v>21</v>
      </c>
      <c r="F1826" s="1" t="s">
        <v>2551</v>
      </c>
      <c r="G1826" s="1" t="s">
        <v>2552</v>
      </c>
    </row>
    <row x14ac:dyDescent="0.25" r="1827" customHeight="1" ht="17.25" hidden="1">
      <c r="A1827" s="112" t="s">
        <v>5635</v>
      </c>
      <c r="B1827" s="1" t="s">
        <v>2549</v>
      </c>
      <c r="C1827" s="1" t="s">
        <v>57</v>
      </c>
      <c r="D1827" s="1" t="s">
        <v>5637</v>
      </c>
      <c r="E1827" s="62">
        <v>30</v>
      </c>
      <c r="F1827" s="1" t="s">
        <v>2551</v>
      </c>
      <c r="G1827" s="1" t="s">
        <v>2555</v>
      </c>
    </row>
    <row x14ac:dyDescent="0.25" r="1828" customHeight="1" ht="17.25" hidden="1">
      <c r="A1828" s="112" t="s">
        <v>5638</v>
      </c>
      <c r="B1828" s="1" t="s">
        <v>2549</v>
      </c>
      <c r="C1828" s="1" t="s">
        <v>57</v>
      </c>
      <c r="D1828" s="1" t="s">
        <v>5639</v>
      </c>
      <c r="E1828" s="62">
        <v>22</v>
      </c>
      <c r="F1828" s="1" t="s">
        <v>2551</v>
      </c>
      <c r="G1828" s="1" t="s">
        <v>2552</v>
      </c>
    </row>
    <row x14ac:dyDescent="0.25" r="1829" customHeight="1" ht="17.25" hidden="1">
      <c r="A1829" s="112" t="s">
        <v>5640</v>
      </c>
      <c r="B1829" s="1" t="s">
        <v>2549</v>
      </c>
      <c r="C1829" s="1" t="s">
        <v>57</v>
      </c>
      <c r="D1829" s="1" t="s">
        <v>5641</v>
      </c>
      <c r="E1829" s="62">
        <v>21</v>
      </c>
      <c r="F1829" s="1" t="s">
        <v>2551</v>
      </c>
      <c r="G1829" s="1" t="s">
        <v>2552</v>
      </c>
    </row>
    <row x14ac:dyDescent="0.25" r="1830" customHeight="1" ht="17.25" hidden="1">
      <c r="A1830" s="112" t="s">
        <v>5642</v>
      </c>
      <c r="B1830" s="1" t="s">
        <v>2549</v>
      </c>
      <c r="C1830" s="1" t="s">
        <v>57</v>
      </c>
      <c r="D1830" s="1" t="s">
        <v>4328</v>
      </c>
      <c r="E1830" s="62">
        <v>27</v>
      </c>
      <c r="F1830" s="1" t="s">
        <v>2551</v>
      </c>
      <c r="G1830" s="1" t="s">
        <v>2555</v>
      </c>
    </row>
    <row x14ac:dyDescent="0.25" r="1831" customHeight="1" ht="17.25" hidden="1">
      <c r="A1831" s="112" t="s">
        <v>5643</v>
      </c>
      <c r="B1831" s="1" t="s">
        <v>2549</v>
      </c>
      <c r="C1831" s="1" t="s">
        <v>57</v>
      </c>
      <c r="D1831" s="1" t="s">
        <v>5644</v>
      </c>
      <c r="E1831" s="62">
        <v>34</v>
      </c>
      <c r="F1831" s="1" t="s">
        <v>2551</v>
      </c>
      <c r="G1831" s="1" t="s">
        <v>2552</v>
      </c>
    </row>
    <row x14ac:dyDescent="0.25" r="1832" customHeight="1" ht="17.25" hidden="1">
      <c r="A1832" s="112" t="s">
        <v>5645</v>
      </c>
      <c r="B1832" s="1" t="s">
        <v>2549</v>
      </c>
      <c r="C1832" s="1" t="s">
        <v>57</v>
      </c>
      <c r="D1832" s="1" t="s">
        <v>5646</v>
      </c>
      <c r="E1832" s="62">
        <v>40</v>
      </c>
      <c r="F1832" s="1" t="s">
        <v>2551</v>
      </c>
      <c r="G1832" s="1" t="s">
        <v>2558</v>
      </c>
    </row>
    <row x14ac:dyDescent="0.25" r="1833" customHeight="1" ht="17.25" hidden="1">
      <c r="A1833" s="112" t="s">
        <v>5647</v>
      </c>
      <c r="B1833" s="1" t="s">
        <v>2549</v>
      </c>
      <c r="C1833" s="1" t="s">
        <v>57</v>
      </c>
      <c r="D1833" s="1" t="s">
        <v>5648</v>
      </c>
      <c r="E1833" s="62">
        <v>24</v>
      </c>
      <c r="F1833" s="1" t="s">
        <v>2551</v>
      </c>
      <c r="G1833" s="1" t="s">
        <v>2558</v>
      </c>
    </row>
    <row x14ac:dyDescent="0.25" r="1834" customHeight="1" ht="17.25" hidden="1">
      <c r="A1834" s="112" t="s">
        <v>5649</v>
      </c>
      <c r="B1834" s="1" t="s">
        <v>2549</v>
      </c>
      <c r="C1834" s="1" t="s">
        <v>57</v>
      </c>
      <c r="D1834" s="1" t="s">
        <v>5650</v>
      </c>
      <c r="E1834" s="62">
        <v>28</v>
      </c>
      <c r="F1834" s="1" t="s">
        <v>2551</v>
      </c>
      <c r="G1834" s="1" t="s">
        <v>2552</v>
      </c>
    </row>
    <row x14ac:dyDescent="0.25" r="1835" customHeight="1" ht="17.25" hidden="1">
      <c r="A1835" s="112" t="s">
        <v>5651</v>
      </c>
      <c r="B1835" s="1" t="s">
        <v>2549</v>
      </c>
      <c r="C1835" s="1" t="s">
        <v>57</v>
      </c>
      <c r="D1835" s="1" t="s">
        <v>5652</v>
      </c>
      <c r="E1835" s="62">
        <v>35</v>
      </c>
      <c r="F1835" s="1" t="s">
        <v>2551</v>
      </c>
      <c r="G1835" s="1" t="s">
        <v>2555</v>
      </c>
    </row>
    <row x14ac:dyDescent="0.25" r="1836" customHeight="1" ht="17.25" hidden="1">
      <c r="A1836" s="112" t="s">
        <v>5653</v>
      </c>
      <c r="B1836" s="1" t="s">
        <v>2549</v>
      </c>
      <c r="C1836" s="1" t="s">
        <v>57</v>
      </c>
      <c r="D1836" s="1" t="s">
        <v>5654</v>
      </c>
      <c r="E1836" s="62">
        <v>30</v>
      </c>
      <c r="F1836" s="1" t="s">
        <v>2551</v>
      </c>
      <c r="G1836" s="1" t="s">
        <v>2555</v>
      </c>
    </row>
    <row x14ac:dyDescent="0.25" r="1837" customHeight="1" ht="17.25" hidden="1">
      <c r="A1837" s="112" t="s">
        <v>5655</v>
      </c>
      <c r="B1837" s="1" t="s">
        <v>2549</v>
      </c>
      <c r="C1837" s="1" t="s">
        <v>57</v>
      </c>
      <c r="D1837" s="1" t="s">
        <v>5656</v>
      </c>
      <c r="E1837" s="62">
        <v>23</v>
      </c>
      <c r="F1837" s="1" t="s">
        <v>2551</v>
      </c>
      <c r="G1837" s="1" t="s">
        <v>2558</v>
      </c>
    </row>
    <row x14ac:dyDescent="0.25" r="1838" customHeight="1" ht="17.25" hidden="1">
      <c r="A1838" s="112" t="s">
        <v>5657</v>
      </c>
      <c r="B1838" s="1" t="s">
        <v>2549</v>
      </c>
      <c r="C1838" s="1" t="s">
        <v>57</v>
      </c>
      <c r="D1838" s="1" t="s">
        <v>5658</v>
      </c>
      <c r="E1838" s="62">
        <v>43</v>
      </c>
      <c r="F1838" s="1" t="s">
        <v>2551</v>
      </c>
      <c r="G1838" s="1" t="s">
        <v>2555</v>
      </c>
    </row>
    <row x14ac:dyDescent="0.25" r="1839" customHeight="1" ht="17.25" hidden="1">
      <c r="A1839" s="112" t="s">
        <v>5657</v>
      </c>
      <c r="B1839" s="1" t="s">
        <v>2549</v>
      </c>
      <c r="C1839" s="1" t="s">
        <v>57</v>
      </c>
      <c r="D1839" s="1" t="s">
        <v>5659</v>
      </c>
      <c r="E1839" s="62">
        <v>38</v>
      </c>
      <c r="F1839" s="1" t="s">
        <v>2551</v>
      </c>
      <c r="G1839" s="1" t="s">
        <v>2555</v>
      </c>
    </row>
    <row x14ac:dyDescent="0.25" r="1840" customHeight="1" ht="17.25" hidden="1">
      <c r="A1840" s="112" t="s">
        <v>5660</v>
      </c>
      <c r="B1840" s="1" t="s">
        <v>2549</v>
      </c>
      <c r="C1840" s="1" t="s">
        <v>57</v>
      </c>
      <c r="D1840" s="1" t="s">
        <v>5661</v>
      </c>
      <c r="E1840" s="62">
        <v>41</v>
      </c>
      <c r="F1840" s="1" t="s">
        <v>2561</v>
      </c>
      <c r="G1840" s="1" t="s">
        <v>2555</v>
      </c>
    </row>
    <row x14ac:dyDescent="0.25" r="1841" customHeight="1" ht="17.25" hidden="1">
      <c r="A1841" s="112" t="s">
        <v>417</v>
      </c>
      <c r="B1841" s="1" t="s">
        <v>2549</v>
      </c>
      <c r="C1841" s="1" t="s">
        <v>57</v>
      </c>
      <c r="D1841" s="1" t="s">
        <v>419</v>
      </c>
      <c r="E1841" s="62">
        <v>51</v>
      </c>
      <c r="F1841" s="1" t="s">
        <v>2561</v>
      </c>
      <c r="G1841" s="1" t="s">
        <v>2552</v>
      </c>
    </row>
    <row x14ac:dyDescent="0.25" r="1842" customHeight="1" ht="17.25" hidden="1">
      <c r="A1842" s="112" t="s">
        <v>5662</v>
      </c>
      <c r="B1842" s="1" t="s">
        <v>2549</v>
      </c>
      <c r="C1842" s="1" t="s">
        <v>57</v>
      </c>
      <c r="D1842" s="1" t="s">
        <v>5663</v>
      </c>
      <c r="E1842" s="62">
        <v>29</v>
      </c>
      <c r="F1842" s="1" t="s">
        <v>2551</v>
      </c>
      <c r="G1842" s="1" t="s">
        <v>2552</v>
      </c>
    </row>
    <row x14ac:dyDescent="0.25" r="1843" customHeight="1" ht="17.25" hidden="1">
      <c r="A1843" s="112" t="s">
        <v>5662</v>
      </c>
      <c r="B1843" s="1" t="s">
        <v>2549</v>
      </c>
      <c r="C1843" s="1" t="s">
        <v>57</v>
      </c>
      <c r="D1843" s="1" t="s">
        <v>5664</v>
      </c>
      <c r="E1843" s="62">
        <v>24</v>
      </c>
      <c r="F1843" s="1" t="s">
        <v>2551</v>
      </c>
      <c r="G1843" s="1" t="s">
        <v>2555</v>
      </c>
    </row>
    <row x14ac:dyDescent="0.25" r="1844" customHeight="1" ht="17.25" hidden="1">
      <c r="A1844" s="112" t="s">
        <v>5665</v>
      </c>
      <c r="B1844" s="1" t="s">
        <v>2549</v>
      </c>
      <c r="C1844" s="1" t="s">
        <v>57</v>
      </c>
      <c r="D1844" s="1" t="s">
        <v>5666</v>
      </c>
      <c r="E1844" s="62">
        <v>32</v>
      </c>
      <c r="F1844" s="1" t="s">
        <v>2551</v>
      </c>
      <c r="G1844" s="1" t="s">
        <v>2552</v>
      </c>
    </row>
    <row x14ac:dyDescent="0.25" r="1845" customHeight="1" ht="17.25" hidden="1">
      <c r="A1845" s="112" t="s">
        <v>5667</v>
      </c>
      <c r="B1845" s="1" t="s">
        <v>2549</v>
      </c>
      <c r="C1845" s="1" t="s">
        <v>57</v>
      </c>
      <c r="D1845" s="1" t="s">
        <v>5668</v>
      </c>
      <c r="E1845" s="62">
        <v>39</v>
      </c>
      <c r="F1845" s="1" t="s">
        <v>2551</v>
      </c>
      <c r="G1845" s="1" t="s">
        <v>2552</v>
      </c>
    </row>
    <row x14ac:dyDescent="0.25" r="1846" customHeight="1" ht="17.25" hidden="1">
      <c r="A1846" s="112" t="s">
        <v>5669</v>
      </c>
      <c r="B1846" s="1" t="s">
        <v>2549</v>
      </c>
      <c r="C1846" s="1" t="s">
        <v>57</v>
      </c>
      <c r="D1846" s="1" t="s">
        <v>5670</v>
      </c>
      <c r="E1846" s="62">
        <v>31</v>
      </c>
      <c r="F1846" s="1" t="s">
        <v>2551</v>
      </c>
      <c r="G1846" s="1" t="s">
        <v>2552</v>
      </c>
    </row>
    <row x14ac:dyDescent="0.25" r="1847" customHeight="1" ht="17.25" hidden="1">
      <c r="A1847" s="112" t="s">
        <v>5671</v>
      </c>
      <c r="B1847" s="1" t="s">
        <v>2549</v>
      </c>
      <c r="C1847" s="1" t="s">
        <v>58</v>
      </c>
      <c r="D1847" s="1" t="s">
        <v>5672</v>
      </c>
      <c r="E1847" s="62">
        <v>18</v>
      </c>
      <c r="F1847" s="1" t="s">
        <v>2561</v>
      </c>
      <c r="G1847" s="1" t="s">
        <v>2552</v>
      </c>
    </row>
    <row x14ac:dyDescent="0.25" r="1848" customHeight="1" ht="17.25" hidden="1">
      <c r="A1848" s="112" t="s">
        <v>5671</v>
      </c>
      <c r="B1848" s="1" t="s">
        <v>2549</v>
      </c>
      <c r="C1848" s="1" t="s">
        <v>58</v>
      </c>
      <c r="D1848" s="1" t="s">
        <v>5673</v>
      </c>
      <c r="E1848" s="62">
        <v>32</v>
      </c>
      <c r="F1848" s="1" t="s">
        <v>2561</v>
      </c>
      <c r="G1848" s="1" t="s">
        <v>2552</v>
      </c>
    </row>
    <row x14ac:dyDescent="0.25" r="1849" customHeight="1" ht="17.25" hidden="1">
      <c r="A1849" s="112" t="s">
        <v>5674</v>
      </c>
      <c r="B1849" s="1" t="s">
        <v>2549</v>
      </c>
      <c r="C1849" s="1" t="s">
        <v>58</v>
      </c>
      <c r="D1849" s="1" t="s">
        <v>5675</v>
      </c>
      <c r="E1849" s="62">
        <v>26</v>
      </c>
      <c r="F1849" s="1" t="s">
        <v>2551</v>
      </c>
      <c r="G1849" s="1" t="s">
        <v>2555</v>
      </c>
    </row>
    <row x14ac:dyDescent="0.25" r="1850" customHeight="1" ht="17.25" hidden="1">
      <c r="A1850" s="112" t="s">
        <v>5676</v>
      </c>
      <c r="B1850" s="1" t="s">
        <v>2549</v>
      </c>
      <c r="C1850" s="1" t="s">
        <v>58</v>
      </c>
      <c r="D1850" s="1" t="s">
        <v>5677</v>
      </c>
      <c r="E1850" s="62">
        <v>58</v>
      </c>
      <c r="F1850" s="1" t="s">
        <v>2551</v>
      </c>
      <c r="G1850" s="1" t="s">
        <v>2552</v>
      </c>
    </row>
    <row x14ac:dyDescent="0.25" r="1851" customHeight="1" ht="17.25" hidden="1">
      <c r="A1851" s="112" t="s">
        <v>5678</v>
      </c>
      <c r="B1851" s="1" t="s">
        <v>2549</v>
      </c>
      <c r="C1851" s="1" t="s">
        <v>58</v>
      </c>
      <c r="D1851" s="1" t="s">
        <v>5679</v>
      </c>
      <c r="E1851" s="62">
        <v>20</v>
      </c>
      <c r="F1851" s="1" t="s">
        <v>2551</v>
      </c>
      <c r="G1851" s="1" t="s">
        <v>2552</v>
      </c>
    </row>
    <row x14ac:dyDescent="0.25" r="1852" customHeight="1" ht="17.25" hidden="1">
      <c r="A1852" s="112" t="s">
        <v>5680</v>
      </c>
      <c r="B1852" s="1" t="s">
        <v>2549</v>
      </c>
      <c r="C1852" s="1" t="s">
        <v>58</v>
      </c>
      <c r="D1852" s="1" t="s">
        <v>5681</v>
      </c>
      <c r="E1852" s="62">
        <v>26</v>
      </c>
      <c r="F1852" s="1" t="s">
        <v>2551</v>
      </c>
      <c r="G1852" s="1" t="s">
        <v>2552</v>
      </c>
    </row>
    <row x14ac:dyDescent="0.25" r="1853" customHeight="1" ht="17.25" hidden="1">
      <c r="A1853" s="112" t="s">
        <v>545</v>
      </c>
      <c r="B1853" s="1" t="s">
        <v>2549</v>
      </c>
      <c r="C1853" s="1" t="s">
        <v>58</v>
      </c>
      <c r="D1853" s="1" t="s">
        <v>546</v>
      </c>
      <c r="E1853" s="62">
        <v>19</v>
      </c>
      <c r="F1853" s="1" t="s">
        <v>2551</v>
      </c>
      <c r="G1853" s="1" t="s">
        <v>2555</v>
      </c>
    </row>
    <row x14ac:dyDescent="0.25" r="1854" customHeight="1" ht="17.25" hidden="1">
      <c r="A1854" s="112" t="s">
        <v>5682</v>
      </c>
      <c r="B1854" s="1" t="s">
        <v>2549</v>
      </c>
      <c r="C1854" s="1" t="s">
        <v>58</v>
      </c>
      <c r="D1854" s="1" t="s">
        <v>5683</v>
      </c>
      <c r="E1854" s="62">
        <v>26</v>
      </c>
      <c r="F1854" s="1" t="s">
        <v>2551</v>
      </c>
      <c r="G1854" s="1" t="s">
        <v>2552</v>
      </c>
    </row>
    <row x14ac:dyDescent="0.25" r="1855" customHeight="1" ht="17.25" hidden="1">
      <c r="A1855" s="112" t="s">
        <v>5684</v>
      </c>
      <c r="B1855" s="1" t="s">
        <v>2549</v>
      </c>
      <c r="C1855" s="1" t="s">
        <v>58</v>
      </c>
      <c r="D1855" s="1" t="s">
        <v>5685</v>
      </c>
      <c r="E1855" s="62">
        <v>38</v>
      </c>
      <c r="F1855" s="1" t="s">
        <v>2551</v>
      </c>
      <c r="G1855" s="1" t="s">
        <v>2552</v>
      </c>
    </row>
    <row x14ac:dyDescent="0.25" r="1856" customHeight="1" ht="17.25" hidden="1">
      <c r="A1856" s="112" t="s">
        <v>5686</v>
      </c>
      <c r="B1856" s="1" t="s">
        <v>2549</v>
      </c>
      <c r="C1856" s="1" t="s">
        <v>58</v>
      </c>
      <c r="D1856" s="1" t="s">
        <v>5687</v>
      </c>
      <c r="E1856" s="62">
        <v>28</v>
      </c>
      <c r="F1856" s="1" t="s">
        <v>2561</v>
      </c>
      <c r="G1856" s="1" t="s">
        <v>2552</v>
      </c>
    </row>
    <row x14ac:dyDescent="0.25" r="1857" customHeight="1" ht="17.25" hidden="1">
      <c r="A1857" s="112" t="s">
        <v>5688</v>
      </c>
      <c r="B1857" s="1" t="s">
        <v>2549</v>
      </c>
      <c r="C1857" s="1" t="s">
        <v>58</v>
      </c>
      <c r="D1857" s="1" t="s">
        <v>5689</v>
      </c>
      <c r="E1857" s="62">
        <v>-79</v>
      </c>
      <c r="F1857" s="1" t="s">
        <v>2551</v>
      </c>
      <c r="G1857" s="1" t="s">
        <v>2558</v>
      </c>
    </row>
    <row x14ac:dyDescent="0.25" r="1858" customHeight="1" ht="17.25" hidden="1">
      <c r="A1858" s="112" t="s">
        <v>5690</v>
      </c>
      <c r="B1858" s="1" t="s">
        <v>2549</v>
      </c>
      <c r="C1858" s="1" t="s">
        <v>58</v>
      </c>
      <c r="D1858" s="1" t="s">
        <v>5691</v>
      </c>
      <c r="E1858" s="62">
        <v>23</v>
      </c>
      <c r="F1858" s="1" t="s">
        <v>2551</v>
      </c>
      <c r="G1858" s="1" t="s">
        <v>2552</v>
      </c>
    </row>
    <row x14ac:dyDescent="0.25" r="1859" customHeight="1" ht="17.25" hidden="1">
      <c r="A1859" s="112" t="s">
        <v>5692</v>
      </c>
      <c r="B1859" s="1" t="s">
        <v>2549</v>
      </c>
      <c r="C1859" s="1" t="s">
        <v>58</v>
      </c>
      <c r="D1859" s="1" t="s">
        <v>5693</v>
      </c>
      <c r="E1859" s="62">
        <v>20</v>
      </c>
      <c r="F1859" s="1" t="s">
        <v>2551</v>
      </c>
      <c r="G1859" s="1" t="s">
        <v>2552</v>
      </c>
    </row>
    <row x14ac:dyDescent="0.25" r="1860" customHeight="1" ht="17.25" hidden="1">
      <c r="A1860" s="112" t="s">
        <v>5694</v>
      </c>
      <c r="B1860" s="1" t="s">
        <v>2549</v>
      </c>
      <c r="C1860" s="1" t="s">
        <v>58</v>
      </c>
      <c r="D1860" s="1" t="s">
        <v>5695</v>
      </c>
      <c r="E1860" s="62">
        <v>19</v>
      </c>
      <c r="F1860" s="1" t="s">
        <v>2551</v>
      </c>
      <c r="G1860" s="1" t="s">
        <v>2552</v>
      </c>
    </row>
    <row x14ac:dyDescent="0.25" r="1861" customHeight="1" ht="17.25" hidden="1">
      <c r="A1861" s="112" t="s">
        <v>5696</v>
      </c>
      <c r="B1861" s="1" t="s">
        <v>2549</v>
      </c>
      <c r="C1861" s="1" t="s">
        <v>58</v>
      </c>
      <c r="D1861" s="1" t="s">
        <v>5697</v>
      </c>
      <c r="E1861" s="62">
        <v>40</v>
      </c>
      <c r="F1861" s="1" t="s">
        <v>2561</v>
      </c>
      <c r="G1861" s="1" t="s">
        <v>2555</v>
      </c>
    </row>
    <row x14ac:dyDescent="0.25" r="1862" customHeight="1" ht="17.25" hidden="1">
      <c r="A1862" s="112" t="s">
        <v>2262</v>
      </c>
      <c r="B1862" s="1" t="s">
        <v>2549</v>
      </c>
      <c r="C1862" s="1" t="s">
        <v>58</v>
      </c>
      <c r="D1862" s="1" t="s">
        <v>2263</v>
      </c>
      <c r="E1862" s="62">
        <v>25</v>
      </c>
      <c r="F1862" s="1" t="s">
        <v>2551</v>
      </c>
      <c r="G1862" s="1" t="s">
        <v>2552</v>
      </c>
    </row>
    <row x14ac:dyDescent="0.25" r="1863" customHeight="1" ht="17.25" hidden="1">
      <c r="A1863" s="112" t="s">
        <v>5698</v>
      </c>
      <c r="B1863" s="1" t="s">
        <v>2549</v>
      </c>
      <c r="C1863" s="1" t="s">
        <v>58</v>
      </c>
      <c r="D1863" s="1" t="s">
        <v>5699</v>
      </c>
      <c r="E1863" s="62">
        <v>20</v>
      </c>
      <c r="F1863" s="1" t="s">
        <v>2551</v>
      </c>
      <c r="G1863" s="1" t="s">
        <v>2555</v>
      </c>
    </row>
    <row x14ac:dyDescent="0.25" r="1864" customHeight="1" ht="17.25" hidden="1">
      <c r="A1864" s="112" t="s">
        <v>5700</v>
      </c>
      <c r="B1864" s="1" t="s">
        <v>2549</v>
      </c>
      <c r="C1864" s="1" t="s">
        <v>58</v>
      </c>
      <c r="D1864" s="1" t="s">
        <v>5701</v>
      </c>
      <c r="E1864" s="62">
        <v>21</v>
      </c>
      <c r="F1864" s="1" t="s">
        <v>2551</v>
      </c>
      <c r="G1864" s="1" t="s">
        <v>2552</v>
      </c>
    </row>
    <row x14ac:dyDescent="0.25" r="1865" customHeight="1" ht="17.25" hidden="1">
      <c r="A1865" s="112" t="s">
        <v>5702</v>
      </c>
      <c r="B1865" s="1" t="s">
        <v>2549</v>
      </c>
      <c r="C1865" s="1" t="s">
        <v>58</v>
      </c>
      <c r="D1865" s="1" t="s">
        <v>5703</v>
      </c>
      <c r="E1865" s="62">
        <v>26</v>
      </c>
      <c r="F1865" s="1" t="s">
        <v>2551</v>
      </c>
      <c r="G1865" s="1" t="s">
        <v>2552</v>
      </c>
    </row>
    <row x14ac:dyDescent="0.25" r="1866" customHeight="1" ht="17.25" hidden="1">
      <c r="A1866" s="112" t="s">
        <v>5704</v>
      </c>
      <c r="B1866" s="1" t="s">
        <v>2549</v>
      </c>
      <c r="C1866" s="1" t="s">
        <v>58</v>
      </c>
      <c r="D1866" s="1" t="s">
        <v>5705</v>
      </c>
      <c r="E1866" s="62">
        <v>22</v>
      </c>
      <c r="F1866" s="1" t="s">
        <v>2551</v>
      </c>
      <c r="G1866" s="1" t="s">
        <v>2555</v>
      </c>
    </row>
    <row x14ac:dyDescent="0.25" r="1867" customHeight="1" ht="17.25" hidden="1">
      <c r="A1867" s="112" t="s">
        <v>5706</v>
      </c>
      <c r="B1867" s="1" t="s">
        <v>2549</v>
      </c>
      <c r="C1867" s="1" t="s">
        <v>58</v>
      </c>
      <c r="D1867" s="1" t="s">
        <v>5707</v>
      </c>
      <c r="E1867" s="62">
        <v>40</v>
      </c>
      <c r="F1867" s="1" t="s">
        <v>2551</v>
      </c>
      <c r="G1867" s="1" t="s">
        <v>2558</v>
      </c>
    </row>
    <row x14ac:dyDescent="0.25" r="1868" customHeight="1" ht="17.25" hidden="1">
      <c r="A1868" s="112" t="s">
        <v>5708</v>
      </c>
      <c r="B1868" s="1" t="s">
        <v>2549</v>
      </c>
      <c r="C1868" s="1" t="s">
        <v>58</v>
      </c>
      <c r="D1868" s="1" t="s">
        <v>5709</v>
      </c>
      <c r="E1868" s="62">
        <v>36</v>
      </c>
      <c r="F1868" s="1" t="s">
        <v>2551</v>
      </c>
      <c r="G1868" s="1" t="s">
        <v>2555</v>
      </c>
    </row>
    <row x14ac:dyDescent="0.25" r="1869" customHeight="1" ht="17.25" hidden="1">
      <c r="A1869" s="112" t="s">
        <v>5708</v>
      </c>
      <c r="B1869" s="1" t="s">
        <v>2549</v>
      </c>
      <c r="C1869" s="1" t="s">
        <v>58</v>
      </c>
      <c r="D1869" s="1" t="s">
        <v>5710</v>
      </c>
      <c r="E1869" s="62">
        <v>41</v>
      </c>
      <c r="F1869" s="1" t="s">
        <v>2551</v>
      </c>
      <c r="G1869" s="1" t="s">
        <v>2555</v>
      </c>
    </row>
    <row x14ac:dyDescent="0.25" r="1870" customHeight="1" ht="17.25" hidden="1">
      <c r="A1870" s="112" t="s">
        <v>5711</v>
      </c>
      <c r="B1870" s="1" t="s">
        <v>2549</v>
      </c>
      <c r="C1870" s="1" t="s">
        <v>58</v>
      </c>
      <c r="D1870" s="1" t="s">
        <v>5712</v>
      </c>
      <c r="E1870" s="62">
        <v>25</v>
      </c>
      <c r="F1870" s="1" t="s">
        <v>2551</v>
      </c>
      <c r="G1870" s="1" t="s">
        <v>2555</v>
      </c>
    </row>
    <row x14ac:dyDescent="0.25" r="1871" customHeight="1" ht="17.25" hidden="1">
      <c r="A1871" s="112" t="s">
        <v>5711</v>
      </c>
      <c r="B1871" s="1" t="s">
        <v>2549</v>
      </c>
      <c r="C1871" s="1" t="s">
        <v>58</v>
      </c>
      <c r="D1871" s="1" t="s">
        <v>5713</v>
      </c>
      <c r="E1871" s="62">
        <v>26</v>
      </c>
      <c r="F1871" s="1" t="s">
        <v>2551</v>
      </c>
      <c r="G1871" s="1" t="s">
        <v>2555</v>
      </c>
    </row>
    <row x14ac:dyDescent="0.25" r="1872" customHeight="1" ht="17.25" hidden="1">
      <c r="A1872" s="112" t="s">
        <v>5714</v>
      </c>
      <c r="B1872" s="1" t="s">
        <v>2549</v>
      </c>
      <c r="C1872" s="1" t="s">
        <v>58</v>
      </c>
      <c r="D1872" s="1" t="s">
        <v>5715</v>
      </c>
      <c r="E1872" s="62">
        <v>20</v>
      </c>
      <c r="F1872" s="1" t="s">
        <v>2551</v>
      </c>
      <c r="G1872" s="1" t="s">
        <v>2552</v>
      </c>
    </row>
    <row x14ac:dyDescent="0.25" r="1873" customHeight="1" ht="17.25" hidden="1">
      <c r="A1873" s="112" t="s">
        <v>5716</v>
      </c>
      <c r="B1873" s="1" t="s">
        <v>2549</v>
      </c>
      <c r="C1873" s="1" t="s">
        <v>58</v>
      </c>
      <c r="D1873" s="1" t="s">
        <v>5717</v>
      </c>
      <c r="E1873" s="62">
        <v>28</v>
      </c>
      <c r="F1873" s="1" t="s">
        <v>2551</v>
      </c>
      <c r="G1873" s="1" t="s">
        <v>2552</v>
      </c>
    </row>
    <row x14ac:dyDescent="0.25" r="1874" customHeight="1" ht="17.25" hidden="1">
      <c r="A1874" s="112" t="s">
        <v>5716</v>
      </c>
      <c r="B1874" s="1" t="s">
        <v>2549</v>
      </c>
      <c r="C1874" s="1" t="s">
        <v>58</v>
      </c>
      <c r="D1874" s="1" t="s">
        <v>5718</v>
      </c>
      <c r="E1874" s="62">
        <v>26</v>
      </c>
      <c r="F1874" s="1" t="s">
        <v>2551</v>
      </c>
      <c r="G1874" s="1" t="s">
        <v>2552</v>
      </c>
    </row>
    <row x14ac:dyDescent="0.25" r="1875" customHeight="1" ht="17.25" hidden="1">
      <c r="A1875" s="112" t="s">
        <v>5716</v>
      </c>
      <c r="B1875" s="1" t="s">
        <v>2549</v>
      </c>
      <c r="C1875" s="1" t="s">
        <v>58</v>
      </c>
      <c r="D1875" s="1" t="s">
        <v>5719</v>
      </c>
      <c r="E1875" s="62">
        <v>23</v>
      </c>
      <c r="F1875" s="1" t="s">
        <v>2551</v>
      </c>
      <c r="G1875" s="1" t="s">
        <v>2571</v>
      </c>
    </row>
    <row x14ac:dyDescent="0.25" r="1876" customHeight="1" ht="17.25" hidden="1">
      <c r="A1876" s="112" t="s">
        <v>5720</v>
      </c>
      <c r="B1876" s="1" t="s">
        <v>2549</v>
      </c>
      <c r="C1876" s="1" t="s">
        <v>58</v>
      </c>
      <c r="D1876" s="1" t="s">
        <v>5721</v>
      </c>
      <c r="E1876" s="62">
        <v>36</v>
      </c>
      <c r="F1876" s="1" t="s">
        <v>2551</v>
      </c>
      <c r="G1876" s="1" t="s">
        <v>2552</v>
      </c>
    </row>
    <row x14ac:dyDescent="0.25" r="1877" customHeight="1" ht="17.25" hidden="1">
      <c r="A1877" s="112" t="s">
        <v>5722</v>
      </c>
      <c r="B1877" s="1" t="s">
        <v>2549</v>
      </c>
      <c r="C1877" s="1" t="s">
        <v>58</v>
      </c>
      <c r="D1877" s="1" t="s">
        <v>5723</v>
      </c>
      <c r="E1877" s="62">
        <v>21</v>
      </c>
      <c r="F1877" s="1" t="s">
        <v>2551</v>
      </c>
      <c r="G1877" s="1" t="s">
        <v>2552</v>
      </c>
    </row>
    <row x14ac:dyDescent="0.25" r="1878" customHeight="1" ht="17.25" hidden="1">
      <c r="A1878" s="112" t="s">
        <v>5724</v>
      </c>
      <c r="B1878" s="1" t="s">
        <v>2549</v>
      </c>
      <c r="C1878" s="1" t="s">
        <v>58</v>
      </c>
      <c r="D1878" s="1" t="s">
        <v>5725</v>
      </c>
      <c r="E1878" s="62">
        <v>18</v>
      </c>
      <c r="F1878" s="1" t="s">
        <v>2551</v>
      </c>
      <c r="G1878" s="1" t="s">
        <v>2555</v>
      </c>
    </row>
    <row x14ac:dyDescent="0.25" r="1879" customHeight="1" ht="17.25" hidden="1">
      <c r="A1879" s="112" t="s">
        <v>5726</v>
      </c>
      <c r="B1879" s="1" t="s">
        <v>2549</v>
      </c>
      <c r="C1879" s="1" t="s">
        <v>58</v>
      </c>
      <c r="D1879" s="1" t="s">
        <v>5727</v>
      </c>
      <c r="E1879" s="62">
        <v>29</v>
      </c>
      <c r="F1879" s="1" t="s">
        <v>2551</v>
      </c>
      <c r="G1879" s="1" t="s">
        <v>2552</v>
      </c>
    </row>
    <row x14ac:dyDescent="0.25" r="1880" customHeight="1" ht="17.25" hidden="1">
      <c r="A1880" s="112" t="s">
        <v>5728</v>
      </c>
      <c r="B1880" s="1" t="s">
        <v>2549</v>
      </c>
      <c r="C1880" s="1" t="s">
        <v>58</v>
      </c>
      <c r="D1880" s="1" t="s">
        <v>5729</v>
      </c>
      <c r="E1880" s="62">
        <v>41</v>
      </c>
      <c r="F1880" s="1" t="s">
        <v>2551</v>
      </c>
      <c r="G1880" s="1" t="s">
        <v>2555</v>
      </c>
    </row>
    <row x14ac:dyDescent="0.25" r="1881" customHeight="1" ht="17.25" hidden="1">
      <c r="A1881" s="112" t="s">
        <v>5730</v>
      </c>
      <c r="B1881" s="1" t="s">
        <v>2549</v>
      </c>
      <c r="C1881" s="1" t="s">
        <v>58</v>
      </c>
      <c r="D1881" s="1" t="s">
        <v>5731</v>
      </c>
      <c r="E1881" s="62">
        <v>37</v>
      </c>
      <c r="F1881" s="1" t="s">
        <v>2551</v>
      </c>
      <c r="G1881" s="1" t="s">
        <v>2555</v>
      </c>
    </row>
    <row x14ac:dyDescent="0.25" r="1882" customHeight="1" ht="17.25" hidden="1">
      <c r="A1882" s="112" t="s">
        <v>5732</v>
      </c>
      <c r="B1882" s="1" t="s">
        <v>2549</v>
      </c>
      <c r="C1882" s="1" t="s">
        <v>58</v>
      </c>
      <c r="D1882" s="1" t="s">
        <v>5733</v>
      </c>
      <c r="E1882" s="62">
        <v>20</v>
      </c>
      <c r="F1882" s="1" t="s">
        <v>2551</v>
      </c>
      <c r="G1882" s="1" t="s">
        <v>2552</v>
      </c>
    </row>
    <row x14ac:dyDescent="0.25" r="1883" customHeight="1" ht="17.25" hidden="1">
      <c r="A1883" s="112" t="s">
        <v>5732</v>
      </c>
      <c r="B1883" s="1" t="s">
        <v>2549</v>
      </c>
      <c r="C1883" s="1" t="s">
        <v>58</v>
      </c>
      <c r="D1883" s="1" t="s">
        <v>5734</v>
      </c>
      <c r="E1883" s="62">
        <v>25</v>
      </c>
      <c r="F1883" s="1" t="s">
        <v>2551</v>
      </c>
      <c r="G1883" s="1" t="s">
        <v>2558</v>
      </c>
    </row>
    <row x14ac:dyDescent="0.25" r="1884" customHeight="1" ht="17.25" hidden="1">
      <c r="A1884" s="112" t="s">
        <v>5732</v>
      </c>
      <c r="B1884" s="1" t="s">
        <v>2549</v>
      </c>
      <c r="C1884" s="1" t="s">
        <v>58</v>
      </c>
      <c r="D1884" s="1" t="s">
        <v>5735</v>
      </c>
      <c r="E1884" s="62">
        <v>19</v>
      </c>
      <c r="F1884" s="1" t="s">
        <v>2551</v>
      </c>
      <c r="G1884" s="1" t="s">
        <v>2552</v>
      </c>
    </row>
    <row x14ac:dyDescent="0.25" r="1885" customHeight="1" ht="17.25" hidden="1">
      <c r="A1885" s="112" t="s">
        <v>5732</v>
      </c>
      <c r="B1885" s="1" t="s">
        <v>2549</v>
      </c>
      <c r="C1885" s="1" t="s">
        <v>58</v>
      </c>
      <c r="D1885" s="1" t="s">
        <v>5736</v>
      </c>
      <c r="E1885" s="62">
        <v>19</v>
      </c>
      <c r="F1885" s="1" t="s">
        <v>2551</v>
      </c>
      <c r="G1885" s="1" t="s">
        <v>2552</v>
      </c>
    </row>
    <row x14ac:dyDescent="0.25" r="1886" customHeight="1" ht="17.25" hidden="1">
      <c r="A1886" s="112" t="s">
        <v>1298</v>
      </c>
      <c r="B1886" s="1" t="s">
        <v>2549</v>
      </c>
      <c r="C1886" s="1" t="s">
        <v>58</v>
      </c>
      <c r="D1886" s="1" t="s">
        <v>1299</v>
      </c>
      <c r="E1886" s="62">
        <v>21</v>
      </c>
      <c r="F1886" s="1" t="s">
        <v>2551</v>
      </c>
      <c r="G1886" s="1" t="s">
        <v>2571</v>
      </c>
    </row>
    <row x14ac:dyDescent="0.25" r="1887" customHeight="1" ht="17.25" hidden="1">
      <c r="A1887" s="112" t="s">
        <v>733</v>
      </c>
      <c r="B1887" s="1" t="s">
        <v>2549</v>
      </c>
      <c r="C1887" s="1" t="s">
        <v>58</v>
      </c>
      <c r="D1887" s="1" t="s">
        <v>735</v>
      </c>
      <c r="E1887" s="62">
        <v>41</v>
      </c>
      <c r="F1887" s="1" t="s">
        <v>2551</v>
      </c>
      <c r="G1887" s="1" t="s">
        <v>2555</v>
      </c>
    </row>
    <row x14ac:dyDescent="0.25" r="1888" customHeight="1" ht="17.25" hidden="1">
      <c r="A1888" s="112" t="s">
        <v>5737</v>
      </c>
      <c r="B1888" s="1" t="s">
        <v>2549</v>
      </c>
      <c r="C1888" s="1" t="s">
        <v>58</v>
      </c>
      <c r="D1888" s="1" t="s">
        <v>5738</v>
      </c>
      <c r="E1888" s="62">
        <v>18</v>
      </c>
      <c r="F1888" s="1" t="s">
        <v>2551</v>
      </c>
      <c r="G1888" s="1" t="s">
        <v>2558</v>
      </c>
    </row>
    <row x14ac:dyDescent="0.25" r="1889" customHeight="1" ht="17.25" hidden="1">
      <c r="A1889" s="112" t="s">
        <v>5737</v>
      </c>
      <c r="B1889" s="1" t="s">
        <v>2549</v>
      </c>
      <c r="C1889" s="1" t="s">
        <v>58</v>
      </c>
      <c r="D1889" s="1" t="s">
        <v>5739</v>
      </c>
      <c r="E1889" s="62">
        <v>18</v>
      </c>
      <c r="F1889" s="1" t="s">
        <v>2551</v>
      </c>
      <c r="G1889" s="1" t="s">
        <v>2555</v>
      </c>
    </row>
    <row x14ac:dyDescent="0.25" r="1890" customHeight="1" ht="17.25" hidden="1">
      <c r="A1890" s="112" t="s">
        <v>2068</v>
      </c>
      <c r="B1890" s="1" t="s">
        <v>2549</v>
      </c>
      <c r="C1890" s="1" t="s">
        <v>58</v>
      </c>
      <c r="D1890" s="1" t="s">
        <v>2069</v>
      </c>
      <c r="E1890" s="62">
        <v>22</v>
      </c>
      <c r="F1890" s="1" t="s">
        <v>2551</v>
      </c>
      <c r="G1890" s="1" t="s">
        <v>2552</v>
      </c>
    </row>
    <row x14ac:dyDescent="0.25" r="1891" customHeight="1" ht="17.25" hidden="1">
      <c r="A1891" s="112" t="s">
        <v>5740</v>
      </c>
      <c r="B1891" s="1" t="s">
        <v>2549</v>
      </c>
      <c r="C1891" s="1" t="s">
        <v>58</v>
      </c>
      <c r="D1891" s="1" t="s">
        <v>5741</v>
      </c>
      <c r="E1891" s="62">
        <v>23</v>
      </c>
      <c r="F1891" s="1" t="s">
        <v>2551</v>
      </c>
      <c r="G1891" s="1" t="s">
        <v>2552</v>
      </c>
    </row>
    <row x14ac:dyDescent="0.25" r="1892" customHeight="1" ht="17.25" hidden="1">
      <c r="A1892" s="112" t="s">
        <v>5742</v>
      </c>
      <c r="B1892" s="1" t="s">
        <v>2549</v>
      </c>
      <c r="C1892" s="1" t="s">
        <v>58</v>
      </c>
      <c r="D1892" s="1" t="s">
        <v>5743</v>
      </c>
      <c r="E1892" s="54" t="s">
        <v>2571</v>
      </c>
      <c r="F1892" s="1" t="s">
        <v>2551</v>
      </c>
      <c r="G1892" s="1" t="s">
        <v>2555</v>
      </c>
    </row>
    <row x14ac:dyDescent="0.25" r="1893" customHeight="1" ht="17.25" hidden="1">
      <c r="A1893" s="112" t="s">
        <v>5744</v>
      </c>
      <c r="B1893" s="1" t="s">
        <v>2549</v>
      </c>
      <c r="C1893" s="1" t="s">
        <v>58</v>
      </c>
      <c r="D1893" s="1" t="s">
        <v>5745</v>
      </c>
      <c r="E1893" s="62">
        <v>26</v>
      </c>
      <c r="F1893" s="1" t="s">
        <v>2551</v>
      </c>
      <c r="G1893" s="1" t="s">
        <v>2552</v>
      </c>
    </row>
    <row x14ac:dyDescent="0.25" r="1894" customHeight="1" ht="17.25" hidden="1">
      <c r="A1894" s="112" t="s">
        <v>5746</v>
      </c>
      <c r="B1894" s="1" t="s">
        <v>2549</v>
      </c>
      <c r="C1894" s="1" t="s">
        <v>58</v>
      </c>
      <c r="D1894" s="1" t="s">
        <v>5747</v>
      </c>
      <c r="E1894" s="62">
        <v>25</v>
      </c>
      <c r="F1894" s="1" t="s">
        <v>2551</v>
      </c>
      <c r="G1894" s="1" t="s">
        <v>2558</v>
      </c>
    </row>
    <row x14ac:dyDescent="0.25" r="1895" customHeight="1" ht="17.25" hidden="1">
      <c r="A1895" s="112" t="s">
        <v>5748</v>
      </c>
      <c r="B1895" s="1" t="s">
        <v>2549</v>
      </c>
      <c r="C1895" s="1" t="s">
        <v>58</v>
      </c>
      <c r="D1895" s="1" t="s">
        <v>5749</v>
      </c>
      <c r="E1895" s="62">
        <v>39</v>
      </c>
      <c r="F1895" s="1" t="s">
        <v>2551</v>
      </c>
      <c r="G1895" s="1" t="s">
        <v>2552</v>
      </c>
    </row>
    <row x14ac:dyDescent="0.25" r="1896" customHeight="1" ht="17.25" hidden="1">
      <c r="A1896" s="112" t="s">
        <v>5750</v>
      </c>
      <c r="B1896" s="1" t="s">
        <v>2549</v>
      </c>
      <c r="C1896" s="1" t="s">
        <v>58</v>
      </c>
      <c r="D1896" s="1" t="s">
        <v>5751</v>
      </c>
      <c r="E1896" s="62">
        <v>51</v>
      </c>
      <c r="F1896" s="1" t="s">
        <v>2551</v>
      </c>
      <c r="G1896" s="1" t="s">
        <v>2552</v>
      </c>
    </row>
    <row x14ac:dyDescent="0.25" r="1897" customHeight="1" ht="17.25" hidden="1">
      <c r="A1897" s="112" t="s">
        <v>5752</v>
      </c>
      <c r="B1897" s="1" t="s">
        <v>2549</v>
      </c>
      <c r="C1897" s="1" t="s">
        <v>58</v>
      </c>
      <c r="D1897" s="1" t="s">
        <v>5753</v>
      </c>
      <c r="E1897" s="62">
        <v>30</v>
      </c>
      <c r="F1897" s="1" t="s">
        <v>2551</v>
      </c>
      <c r="G1897" s="1" t="s">
        <v>2552</v>
      </c>
    </row>
    <row x14ac:dyDescent="0.25" r="1898" customHeight="1" ht="17.25" hidden="1">
      <c r="A1898" s="112" t="s">
        <v>5754</v>
      </c>
      <c r="B1898" s="1" t="s">
        <v>2549</v>
      </c>
      <c r="C1898" s="1" t="s">
        <v>58</v>
      </c>
      <c r="D1898" s="1" t="s">
        <v>5755</v>
      </c>
      <c r="E1898" s="62">
        <v>46</v>
      </c>
      <c r="F1898" s="1" t="s">
        <v>2561</v>
      </c>
      <c r="G1898" s="1" t="s">
        <v>2558</v>
      </c>
    </row>
    <row x14ac:dyDescent="0.25" r="1899" customHeight="1" ht="17.25" hidden="1">
      <c r="A1899" s="112" t="s">
        <v>5756</v>
      </c>
      <c r="B1899" s="1" t="s">
        <v>2549</v>
      </c>
      <c r="C1899" s="1" t="s">
        <v>58</v>
      </c>
      <c r="D1899" s="1" t="s">
        <v>5757</v>
      </c>
      <c r="E1899" s="62">
        <v>22</v>
      </c>
      <c r="F1899" s="1" t="s">
        <v>2551</v>
      </c>
      <c r="G1899" s="1" t="s">
        <v>2552</v>
      </c>
    </row>
    <row x14ac:dyDescent="0.25" r="1900" customHeight="1" ht="17.25" hidden="1">
      <c r="A1900" s="112" t="s">
        <v>5758</v>
      </c>
      <c r="B1900" s="1" t="s">
        <v>2549</v>
      </c>
      <c r="C1900" s="1" t="s">
        <v>58</v>
      </c>
      <c r="D1900" s="1" t="s">
        <v>3022</v>
      </c>
      <c r="E1900" s="62">
        <v>27</v>
      </c>
      <c r="F1900" s="1" t="s">
        <v>2551</v>
      </c>
      <c r="G1900" s="1" t="s">
        <v>2552</v>
      </c>
    </row>
    <row x14ac:dyDescent="0.25" r="1901" customHeight="1" ht="17.25" hidden="1">
      <c r="A1901" s="112" t="s">
        <v>5759</v>
      </c>
      <c r="B1901" s="1" t="s">
        <v>2549</v>
      </c>
      <c r="C1901" s="1" t="s">
        <v>58</v>
      </c>
      <c r="D1901" s="1" t="s">
        <v>5760</v>
      </c>
      <c r="E1901" s="62">
        <v>24</v>
      </c>
      <c r="F1901" s="1" t="s">
        <v>2551</v>
      </c>
      <c r="G1901" s="1" t="s">
        <v>2558</v>
      </c>
    </row>
    <row x14ac:dyDescent="0.25" r="1902" customHeight="1" ht="17.25" hidden="1">
      <c r="A1902" s="112" t="s">
        <v>550</v>
      </c>
      <c r="B1902" s="1" t="s">
        <v>2549</v>
      </c>
      <c r="C1902" s="1" t="s">
        <v>58</v>
      </c>
      <c r="D1902" s="1" t="s">
        <v>552</v>
      </c>
      <c r="E1902" s="62">
        <v>26</v>
      </c>
      <c r="F1902" s="1" t="s">
        <v>2551</v>
      </c>
      <c r="G1902" s="1" t="s">
        <v>2552</v>
      </c>
    </row>
    <row x14ac:dyDescent="0.25" r="1903" customHeight="1" ht="17.25" hidden="1">
      <c r="A1903" s="112" t="s">
        <v>5761</v>
      </c>
      <c r="B1903" s="1" t="s">
        <v>2549</v>
      </c>
      <c r="C1903" s="1" t="s">
        <v>58</v>
      </c>
      <c r="D1903" s="1" t="s">
        <v>5762</v>
      </c>
      <c r="E1903" s="62">
        <v>24</v>
      </c>
      <c r="F1903" s="1" t="s">
        <v>2551</v>
      </c>
      <c r="G1903" s="1" t="s">
        <v>2552</v>
      </c>
    </row>
    <row x14ac:dyDescent="0.25" r="1904" customHeight="1" ht="17.25" hidden="1">
      <c r="A1904" s="112" t="s">
        <v>5763</v>
      </c>
      <c r="B1904" s="1" t="s">
        <v>2549</v>
      </c>
      <c r="C1904" s="1" t="s">
        <v>58</v>
      </c>
      <c r="D1904" s="1" t="s">
        <v>5764</v>
      </c>
      <c r="E1904" s="62">
        <v>59</v>
      </c>
      <c r="F1904" s="1" t="s">
        <v>2551</v>
      </c>
      <c r="G1904" s="1" t="s">
        <v>2555</v>
      </c>
    </row>
    <row x14ac:dyDescent="0.25" r="1905" customHeight="1" ht="17.25" hidden="1">
      <c r="A1905" s="112" t="s">
        <v>5765</v>
      </c>
      <c r="B1905" s="1" t="s">
        <v>2549</v>
      </c>
      <c r="C1905" s="1" t="s">
        <v>58</v>
      </c>
      <c r="D1905" s="1" t="s">
        <v>5766</v>
      </c>
      <c r="E1905" s="54" t="s">
        <v>2571</v>
      </c>
      <c r="F1905" s="1" t="s">
        <v>2551</v>
      </c>
      <c r="G1905" s="1" t="s">
        <v>5094</v>
      </c>
    </row>
    <row x14ac:dyDescent="0.25" r="1906" customHeight="1" ht="17.25" hidden="1">
      <c r="A1906" s="112" t="s">
        <v>5767</v>
      </c>
      <c r="B1906" s="1" t="s">
        <v>2549</v>
      </c>
      <c r="C1906" s="1" t="s">
        <v>58</v>
      </c>
      <c r="D1906" s="1" t="s">
        <v>5768</v>
      </c>
      <c r="E1906" s="62">
        <v>25</v>
      </c>
      <c r="F1906" s="1" t="s">
        <v>2551</v>
      </c>
      <c r="G1906" s="1" t="s">
        <v>2552</v>
      </c>
    </row>
    <row x14ac:dyDescent="0.25" r="1907" customHeight="1" ht="17.25" hidden="1">
      <c r="A1907" s="112" t="s">
        <v>5769</v>
      </c>
      <c r="B1907" s="1" t="s">
        <v>2549</v>
      </c>
      <c r="C1907" s="1" t="s">
        <v>58</v>
      </c>
      <c r="D1907" s="1" t="s">
        <v>5770</v>
      </c>
      <c r="E1907" s="54" t="s">
        <v>2571</v>
      </c>
      <c r="F1907" s="1" t="s">
        <v>2551</v>
      </c>
      <c r="G1907" s="1" t="s">
        <v>2552</v>
      </c>
    </row>
    <row x14ac:dyDescent="0.25" r="1908" customHeight="1" ht="17.25" hidden="1">
      <c r="A1908" s="112" t="s">
        <v>5771</v>
      </c>
      <c r="B1908" s="1" t="s">
        <v>2549</v>
      </c>
      <c r="C1908" s="1" t="s">
        <v>58</v>
      </c>
      <c r="D1908" s="1" t="s">
        <v>5772</v>
      </c>
      <c r="E1908" s="62">
        <v>38</v>
      </c>
      <c r="F1908" s="1" t="s">
        <v>2561</v>
      </c>
      <c r="G1908" s="1" t="s">
        <v>2552</v>
      </c>
    </row>
    <row x14ac:dyDescent="0.25" r="1909" customHeight="1" ht="17.25" hidden="1">
      <c r="A1909" s="112" t="s">
        <v>5773</v>
      </c>
      <c r="B1909" s="1" t="s">
        <v>2549</v>
      </c>
      <c r="C1909" s="1" t="s">
        <v>58</v>
      </c>
      <c r="D1909" s="1" t="s">
        <v>5774</v>
      </c>
      <c r="E1909" s="62">
        <v>20</v>
      </c>
      <c r="F1909" s="1" t="s">
        <v>2551</v>
      </c>
      <c r="G1909" s="1" t="s">
        <v>2555</v>
      </c>
    </row>
    <row x14ac:dyDescent="0.25" r="1910" customHeight="1" ht="17.25" hidden="1">
      <c r="A1910" s="112" t="s">
        <v>5775</v>
      </c>
      <c r="B1910" s="1" t="s">
        <v>2549</v>
      </c>
      <c r="C1910" s="1" t="s">
        <v>58</v>
      </c>
      <c r="D1910" s="1" t="s">
        <v>5776</v>
      </c>
      <c r="E1910" s="62">
        <v>23</v>
      </c>
      <c r="F1910" s="1" t="s">
        <v>2551</v>
      </c>
      <c r="G1910" s="1" t="s">
        <v>2555</v>
      </c>
    </row>
    <row x14ac:dyDescent="0.25" r="1911" customHeight="1" ht="17.25" hidden="1">
      <c r="A1911" s="112" t="s">
        <v>5777</v>
      </c>
      <c r="B1911" s="1" t="s">
        <v>2549</v>
      </c>
      <c r="C1911" s="1" t="s">
        <v>58</v>
      </c>
      <c r="D1911" s="1" t="s">
        <v>5778</v>
      </c>
      <c r="E1911" s="54" t="s">
        <v>2571</v>
      </c>
      <c r="F1911" s="1" t="s">
        <v>2551</v>
      </c>
      <c r="G1911" s="1" t="s">
        <v>2555</v>
      </c>
    </row>
    <row x14ac:dyDescent="0.25" r="1912" customHeight="1" ht="17.25" hidden="1">
      <c r="A1912" s="112" t="s">
        <v>5777</v>
      </c>
      <c r="B1912" s="1" t="s">
        <v>2549</v>
      </c>
      <c r="C1912" s="1" t="s">
        <v>58</v>
      </c>
      <c r="D1912" s="1" t="s">
        <v>5779</v>
      </c>
      <c r="E1912" s="54" t="s">
        <v>2571</v>
      </c>
      <c r="F1912" s="1" t="s">
        <v>2551</v>
      </c>
      <c r="G1912" s="1" t="s">
        <v>2555</v>
      </c>
    </row>
    <row x14ac:dyDescent="0.25" r="1913" customHeight="1" ht="17.25" hidden="1">
      <c r="A1913" s="112" t="s">
        <v>5780</v>
      </c>
      <c r="B1913" s="1" t="s">
        <v>2549</v>
      </c>
      <c r="C1913" s="1" t="s">
        <v>58</v>
      </c>
      <c r="D1913" s="1" t="s">
        <v>5781</v>
      </c>
      <c r="E1913" s="54" t="s">
        <v>2571</v>
      </c>
      <c r="F1913" s="1" t="s">
        <v>2551</v>
      </c>
      <c r="G1913" s="1" t="s">
        <v>2552</v>
      </c>
    </row>
    <row x14ac:dyDescent="0.25" r="1914" customHeight="1" ht="17.25" hidden="1">
      <c r="A1914" s="112" t="s">
        <v>5782</v>
      </c>
      <c r="B1914" s="1" t="s">
        <v>2549</v>
      </c>
      <c r="C1914" s="1" t="s">
        <v>58</v>
      </c>
      <c r="D1914" s="1" t="s">
        <v>5783</v>
      </c>
      <c r="E1914" s="62">
        <v>27</v>
      </c>
      <c r="F1914" s="1" t="s">
        <v>2551</v>
      </c>
      <c r="G1914" s="1" t="s">
        <v>2552</v>
      </c>
    </row>
    <row x14ac:dyDescent="0.25" r="1915" customHeight="1" ht="17.25" hidden="1">
      <c r="A1915" s="112" t="s">
        <v>5784</v>
      </c>
      <c r="B1915" s="1" t="s">
        <v>2549</v>
      </c>
      <c r="C1915" s="1" t="s">
        <v>58</v>
      </c>
      <c r="D1915" s="1" t="s">
        <v>5785</v>
      </c>
      <c r="E1915" s="62">
        <v>36</v>
      </c>
      <c r="F1915" s="1" t="s">
        <v>2551</v>
      </c>
      <c r="G1915" s="1" t="s">
        <v>2558</v>
      </c>
    </row>
    <row x14ac:dyDescent="0.25" r="1916" customHeight="1" ht="17.25" hidden="1">
      <c r="A1916" s="112" t="s">
        <v>5784</v>
      </c>
      <c r="B1916" s="1" t="s">
        <v>2549</v>
      </c>
      <c r="C1916" s="1" t="s">
        <v>58</v>
      </c>
      <c r="D1916" s="1" t="s">
        <v>5786</v>
      </c>
      <c r="E1916" s="62">
        <v>18</v>
      </c>
      <c r="F1916" s="1" t="s">
        <v>2551</v>
      </c>
      <c r="G1916" s="1" t="s">
        <v>2555</v>
      </c>
    </row>
    <row x14ac:dyDescent="0.25" r="1917" customHeight="1" ht="17.25" hidden="1">
      <c r="A1917" s="112" t="s">
        <v>5787</v>
      </c>
      <c r="B1917" s="1" t="s">
        <v>2549</v>
      </c>
      <c r="C1917" s="1" t="s">
        <v>58</v>
      </c>
      <c r="D1917" s="1" t="s">
        <v>5788</v>
      </c>
      <c r="E1917" s="62">
        <v>31</v>
      </c>
      <c r="F1917" s="1" t="s">
        <v>2551</v>
      </c>
      <c r="G1917" s="1" t="s">
        <v>2552</v>
      </c>
    </row>
    <row x14ac:dyDescent="0.25" r="1918" customHeight="1" ht="17.25" hidden="1">
      <c r="A1918" s="112" t="s">
        <v>5789</v>
      </c>
      <c r="B1918" s="1" t="s">
        <v>2549</v>
      </c>
      <c r="C1918" s="1" t="s">
        <v>58</v>
      </c>
      <c r="D1918" s="1" t="s">
        <v>5790</v>
      </c>
      <c r="E1918" s="62">
        <v>18</v>
      </c>
      <c r="F1918" s="1" t="s">
        <v>2551</v>
      </c>
      <c r="G1918" s="1" t="s">
        <v>2555</v>
      </c>
    </row>
    <row x14ac:dyDescent="0.25" r="1919" customHeight="1" ht="17.25" hidden="1">
      <c r="A1919" s="112" t="s">
        <v>5791</v>
      </c>
      <c r="B1919" s="1" t="s">
        <v>2549</v>
      </c>
      <c r="C1919" s="1" t="s">
        <v>58</v>
      </c>
      <c r="D1919" s="1" t="s">
        <v>5792</v>
      </c>
      <c r="E1919" s="62">
        <v>28</v>
      </c>
      <c r="F1919" s="1" t="s">
        <v>2551</v>
      </c>
      <c r="G1919" s="1" t="s">
        <v>2555</v>
      </c>
    </row>
    <row x14ac:dyDescent="0.25" r="1920" customHeight="1" ht="17.25" hidden="1">
      <c r="A1920" s="112" t="s">
        <v>5793</v>
      </c>
      <c r="B1920" s="1" t="s">
        <v>2549</v>
      </c>
      <c r="C1920" s="1" t="s">
        <v>58</v>
      </c>
      <c r="D1920" s="1" t="s">
        <v>5794</v>
      </c>
      <c r="E1920" s="62">
        <v>25</v>
      </c>
      <c r="F1920" s="1" t="s">
        <v>2551</v>
      </c>
      <c r="G1920" s="1" t="s">
        <v>2552</v>
      </c>
    </row>
    <row x14ac:dyDescent="0.25" r="1921" customHeight="1" ht="17.25" hidden="1">
      <c r="A1921" s="112" t="s">
        <v>5795</v>
      </c>
      <c r="B1921" s="1" t="s">
        <v>2549</v>
      </c>
      <c r="C1921" s="1" t="s">
        <v>58</v>
      </c>
      <c r="D1921" s="1" t="s">
        <v>5796</v>
      </c>
      <c r="E1921" s="62">
        <v>26</v>
      </c>
      <c r="F1921" s="1" t="s">
        <v>2551</v>
      </c>
      <c r="G1921" s="1" t="s">
        <v>2555</v>
      </c>
    </row>
    <row x14ac:dyDescent="0.25" r="1922" customHeight="1" ht="17.25" hidden="1">
      <c r="A1922" s="112" t="s">
        <v>5797</v>
      </c>
      <c r="B1922" s="1" t="s">
        <v>2549</v>
      </c>
      <c r="C1922" s="1" t="s">
        <v>58</v>
      </c>
      <c r="D1922" s="1" t="s">
        <v>5798</v>
      </c>
      <c r="E1922" s="62">
        <v>34</v>
      </c>
      <c r="F1922" s="1" t="s">
        <v>2551</v>
      </c>
      <c r="G1922" s="1" t="s">
        <v>2552</v>
      </c>
    </row>
    <row x14ac:dyDescent="0.25" r="1923" customHeight="1" ht="17.25" hidden="1">
      <c r="A1923" s="112" t="s">
        <v>5797</v>
      </c>
      <c r="B1923" s="1" t="s">
        <v>2549</v>
      </c>
      <c r="C1923" s="1" t="s">
        <v>58</v>
      </c>
      <c r="D1923" s="1" t="s">
        <v>5799</v>
      </c>
      <c r="E1923" s="62">
        <v>18</v>
      </c>
      <c r="F1923" s="1" t="s">
        <v>2551</v>
      </c>
      <c r="G1923" s="1" t="s">
        <v>2552</v>
      </c>
    </row>
    <row x14ac:dyDescent="0.25" r="1924" customHeight="1" ht="17.25" hidden="1">
      <c r="A1924" s="112" t="s">
        <v>5800</v>
      </c>
      <c r="B1924" s="1" t="s">
        <v>2549</v>
      </c>
      <c r="C1924" s="1" t="s">
        <v>58</v>
      </c>
      <c r="D1924" s="1" t="s">
        <v>5801</v>
      </c>
      <c r="E1924" s="54" t="s">
        <v>2571</v>
      </c>
      <c r="F1924" s="1" t="s">
        <v>2551</v>
      </c>
      <c r="G1924" s="1" t="s">
        <v>2555</v>
      </c>
    </row>
    <row x14ac:dyDescent="0.25" r="1925" customHeight="1" ht="17.25" hidden="1">
      <c r="A1925" s="112" t="s">
        <v>5802</v>
      </c>
      <c r="B1925" s="1" t="s">
        <v>2549</v>
      </c>
      <c r="C1925" s="1" t="s">
        <v>58</v>
      </c>
      <c r="D1925" s="1" t="s">
        <v>5803</v>
      </c>
      <c r="E1925" s="62">
        <v>27</v>
      </c>
      <c r="F1925" s="1" t="s">
        <v>2551</v>
      </c>
      <c r="G1925" s="1" t="s">
        <v>2552</v>
      </c>
    </row>
    <row x14ac:dyDescent="0.25" r="1926" customHeight="1" ht="17.25" hidden="1">
      <c r="A1926" s="112" t="s">
        <v>5804</v>
      </c>
      <c r="B1926" s="1" t="s">
        <v>2549</v>
      </c>
      <c r="C1926" s="1" t="s">
        <v>58</v>
      </c>
      <c r="D1926" s="1" t="s">
        <v>5805</v>
      </c>
      <c r="E1926" s="62">
        <v>22</v>
      </c>
      <c r="F1926" s="1" t="s">
        <v>2551</v>
      </c>
      <c r="G1926" s="1" t="s">
        <v>2555</v>
      </c>
    </row>
    <row x14ac:dyDescent="0.25" r="1927" customHeight="1" ht="17.25" hidden="1">
      <c r="A1927" s="112" t="s">
        <v>5804</v>
      </c>
      <c r="B1927" s="1" t="s">
        <v>2549</v>
      </c>
      <c r="C1927" s="1" t="s">
        <v>58</v>
      </c>
      <c r="D1927" s="1" t="s">
        <v>5806</v>
      </c>
      <c r="E1927" s="62">
        <v>19</v>
      </c>
      <c r="F1927" s="1" t="s">
        <v>2551</v>
      </c>
      <c r="G1927" s="1" t="s">
        <v>2555</v>
      </c>
    </row>
    <row x14ac:dyDescent="0.25" r="1928" customHeight="1" ht="17.25" hidden="1">
      <c r="A1928" s="112" t="s">
        <v>442</v>
      </c>
      <c r="B1928" s="1" t="s">
        <v>2549</v>
      </c>
      <c r="C1928" s="1" t="s">
        <v>58</v>
      </c>
      <c r="D1928" s="1" t="s">
        <v>1757</v>
      </c>
      <c r="E1928" s="62">
        <v>23</v>
      </c>
      <c r="F1928" s="1" t="s">
        <v>2551</v>
      </c>
      <c r="G1928" s="1" t="s">
        <v>2555</v>
      </c>
    </row>
    <row x14ac:dyDescent="0.25" r="1929" customHeight="1" ht="17.25" hidden="1">
      <c r="A1929" s="112" t="s">
        <v>442</v>
      </c>
      <c r="B1929" s="1" t="s">
        <v>2549</v>
      </c>
      <c r="C1929" s="1" t="s">
        <v>58</v>
      </c>
      <c r="D1929" s="1" t="s">
        <v>5807</v>
      </c>
      <c r="E1929" s="62">
        <v>21</v>
      </c>
      <c r="F1929" s="1" t="s">
        <v>2551</v>
      </c>
      <c r="G1929" s="1" t="s">
        <v>2571</v>
      </c>
    </row>
    <row x14ac:dyDescent="0.25" r="1930" customHeight="1" ht="17.25" hidden="1">
      <c r="A1930" s="112" t="s">
        <v>5808</v>
      </c>
      <c r="B1930" s="1" t="s">
        <v>2549</v>
      </c>
      <c r="C1930" s="1" t="s">
        <v>58</v>
      </c>
      <c r="D1930" s="1" t="s">
        <v>5809</v>
      </c>
      <c r="E1930" s="62">
        <v>21</v>
      </c>
      <c r="F1930" s="1" t="s">
        <v>2551</v>
      </c>
      <c r="G1930" s="1" t="s">
        <v>2552</v>
      </c>
    </row>
    <row x14ac:dyDescent="0.25" r="1931" customHeight="1" ht="17.25" hidden="1">
      <c r="A1931" s="112" t="s">
        <v>5808</v>
      </c>
      <c r="B1931" s="1" t="s">
        <v>2549</v>
      </c>
      <c r="C1931" s="1" t="s">
        <v>58</v>
      </c>
      <c r="D1931" s="1" t="s">
        <v>5810</v>
      </c>
      <c r="E1931" s="62">
        <v>28</v>
      </c>
      <c r="F1931" s="1" t="s">
        <v>2551</v>
      </c>
      <c r="G1931" s="1" t="s">
        <v>2558</v>
      </c>
    </row>
    <row x14ac:dyDescent="0.25" r="1932" customHeight="1" ht="17.25" hidden="1">
      <c r="A1932" s="112" t="s">
        <v>5808</v>
      </c>
      <c r="B1932" s="1" t="s">
        <v>2549</v>
      </c>
      <c r="C1932" s="1" t="s">
        <v>58</v>
      </c>
      <c r="D1932" s="1" t="s">
        <v>5811</v>
      </c>
      <c r="E1932" s="62">
        <v>27</v>
      </c>
      <c r="F1932" s="1" t="s">
        <v>2551</v>
      </c>
      <c r="G1932" s="1" t="s">
        <v>2552</v>
      </c>
    </row>
    <row x14ac:dyDescent="0.25" r="1933" customHeight="1" ht="17.25" hidden="1">
      <c r="A1933" s="112" t="s">
        <v>5812</v>
      </c>
      <c r="B1933" s="1" t="s">
        <v>2549</v>
      </c>
      <c r="C1933" s="1" t="s">
        <v>58</v>
      </c>
      <c r="D1933" s="1" t="s">
        <v>5813</v>
      </c>
      <c r="E1933" s="54" t="s">
        <v>2571</v>
      </c>
      <c r="F1933" s="1" t="s">
        <v>2551</v>
      </c>
      <c r="G1933" s="1" t="s">
        <v>2555</v>
      </c>
    </row>
    <row x14ac:dyDescent="0.25" r="1934" customHeight="1" ht="17.25" hidden="1">
      <c r="A1934" s="112" t="s">
        <v>5814</v>
      </c>
      <c r="B1934" s="1" t="s">
        <v>2549</v>
      </c>
      <c r="C1934" s="1" t="s">
        <v>58</v>
      </c>
      <c r="D1934" s="1" t="s">
        <v>5815</v>
      </c>
      <c r="E1934" s="62">
        <v>21</v>
      </c>
      <c r="F1934" s="1" t="s">
        <v>2551</v>
      </c>
      <c r="G1934" s="1" t="s">
        <v>2555</v>
      </c>
    </row>
    <row x14ac:dyDescent="0.25" r="1935" customHeight="1" ht="17.25" hidden="1">
      <c r="A1935" s="112" t="s">
        <v>5816</v>
      </c>
      <c r="B1935" s="1" t="s">
        <v>2549</v>
      </c>
      <c r="C1935" s="1" t="s">
        <v>58</v>
      </c>
      <c r="D1935" s="1" t="s">
        <v>5817</v>
      </c>
      <c r="E1935" s="62">
        <v>58</v>
      </c>
      <c r="F1935" s="1" t="s">
        <v>2551</v>
      </c>
      <c r="G1935" s="1" t="s">
        <v>2555</v>
      </c>
    </row>
    <row x14ac:dyDescent="0.25" r="1936" customHeight="1" ht="17.25" hidden="1">
      <c r="A1936" s="112" t="s">
        <v>5818</v>
      </c>
      <c r="B1936" s="1" t="s">
        <v>2549</v>
      </c>
      <c r="C1936" s="1" t="s">
        <v>58</v>
      </c>
      <c r="D1936" s="1" t="s">
        <v>5819</v>
      </c>
      <c r="E1936" s="62">
        <v>41</v>
      </c>
      <c r="F1936" s="1" t="s">
        <v>2551</v>
      </c>
      <c r="G1936" s="1" t="s">
        <v>2555</v>
      </c>
    </row>
    <row x14ac:dyDescent="0.25" r="1937" customHeight="1" ht="17.25" hidden="1">
      <c r="A1937" s="112" t="s">
        <v>5820</v>
      </c>
      <c r="B1937" s="1" t="s">
        <v>2549</v>
      </c>
      <c r="C1937" s="1" t="s">
        <v>58</v>
      </c>
      <c r="D1937" s="1" t="s">
        <v>5821</v>
      </c>
      <c r="E1937" s="62">
        <v>18</v>
      </c>
      <c r="F1937" s="1" t="s">
        <v>2551</v>
      </c>
      <c r="G1937" s="1" t="s">
        <v>2558</v>
      </c>
    </row>
    <row x14ac:dyDescent="0.25" r="1938" customHeight="1" ht="17.25" hidden="1">
      <c r="A1938" s="112" t="s">
        <v>5820</v>
      </c>
      <c r="B1938" s="1" t="s">
        <v>2549</v>
      </c>
      <c r="C1938" s="1" t="s">
        <v>58</v>
      </c>
      <c r="D1938" s="1" t="s">
        <v>5822</v>
      </c>
      <c r="E1938" s="62">
        <v>30</v>
      </c>
      <c r="F1938" s="1" t="s">
        <v>2551</v>
      </c>
      <c r="G1938" s="1" t="s">
        <v>2555</v>
      </c>
    </row>
    <row x14ac:dyDescent="0.25" r="1939" customHeight="1" ht="17.25" hidden="1">
      <c r="A1939" s="112" t="s">
        <v>5823</v>
      </c>
      <c r="B1939" s="1" t="s">
        <v>2549</v>
      </c>
      <c r="C1939" s="1" t="s">
        <v>58</v>
      </c>
      <c r="D1939" s="1" t="s">
        <v>5824</v>
      </c>
      <c r="E1939" s="62">
        <v>25</v>
      </c>
      <c r="F1939" s="1" t="s">
        <v>2551</v>
      </c>
      <c r="G1939" s="1" t="s">
        <v>2558</v>
      </c>
    </row>
    <row x14ac:dyDescent="0.25" r="1940" customHeight="1" ht="17.25" hidden="1">
      <c r="A1940" s="112" t="s">
        <v>5825</v>
      </c>
      <c r="B1940" s="1" t="s">
        <v>2549</v>
      </c>
      <c r="C1940" s="1" t="s">
        <v>58</v>
      </c>
      <c r="D1940" s="1" t="s">
        <v>5826</v>
      </c>
      <c r="E1940" s="62">
        <v>20</v>
      </c>
      <c r="F1940" s="1" t="s">
        <v>2551</v>
      </c>
      <c r="G1940" s="1" t="s">
        <v>2555</v>
      </c>
    </row>
    <row x14ac:dyDescent="0.25" r="1941" customHeight="1" ht="17.25" hidden="1">
      <c r="A1941" s="112" t="s">
        <v>5827</v>
      </c>
      <c r="B1941" s="1" t="s">
        <v>2549</v>
      </c>
      <c r="C1941" s="1" t="s">
        <v>58</v>
      </c>
      <c r="D1941" s="1" t="s">
        <v>5828</v>
      </c>
      <c r="E1941" s="62">
        <v>36</v>
      </c>
      <c r="F1941" s="1" t="s">
        <v>2561</v>
      </c>
      <c r="G1941" s="1" t="s">
        <v>2555</v>
      </c>
    </row>
    <row x14ac:dyDescent="0.25" r="1942" customHeight="1" ht="17.25" hidden="1">
      <c r="A1942" s="112" t="s">
        <v>5829</v>
      </c>
      <c r="B1942" s="1" t="s">
        <v>2549</v>
      </c>
      <c r="C1942" s="1" t="s">
        <v>58</v>
      </c>
      <c r="D1942" s="1" t="s">
        <v>5830</v>
      </c>
      <c r="E1942" s="62">
        <v>22</v>
      </c>
      <c r="F1942" s="1" t="s">
        <v>2551</v>
      </c>
      <c r="G1942" s="1" t="s">
        <v>2552</v>
      </c>
    </row>
    <row x14ac:dyDescent="0.25" r="1943" customHeight="1" ht="17.25" hidden="1">
      <c r="A1943" s="112" t="s">
        <v>5831</v>
      </c>
      <c r="B1943" s="1" t="s">
        <v>2549</v>
      </c>
      <c r="C1943" s="1" t="s">
        <v>58</v>
      </c>
      <c r="D1943" s="1" t="s">
        <v>5832</v>
      </c>
      <c r="E1943" s="62">
        <v>42</v>
      </c>
      <c r="F1943" s="1" t="s">
        <v>2551</v>
      </c>
      <c r="G1943" s="1" t="s">
        <v>2558</v>
      </c>
    </row>
    <row x14ac:dyDescent="0.25" r="1944" customHeight="1" ht="17.25" hidden="1">
      <c r="A1944" s="112" t="s">
        <v>5831</v>
      </c>
      <c r="B1944" s="1" t="s">
        <v>2549</v>
      </c>
      <c r="C1944" s="1" t="s">
        <v>58</v>
      </c>
      <c r="D1944" s="1" t="s">
        <v>5833</v>
      </c>
      <c r="E1944" s="62">
        <v>28</v>
      </c>
      <c r="F1944" s="1" t="s">
        <v>2551</v>
      </c>
      <c r="G1944" s="1" t="s">
        <v>2555</v>
      </c>
    </row>
    <row x14ac:dyDescent="0.25" r="1945" customHeight="1" ht="17.25" hidden="1">
      <c r="A1945" s="112" t="s">
        <v>5834</v>
      </c>
      <c r="B1945" s="1" t="s">
        <v>2549</v>
      </c>
      <c r="C1945" s="1" t="s">
        <v>58</v>
      </c>
      <c r="D1945" s="1" t="s">
        <v>5835</v>
      </c>
      <c r="E1945" s="62">
        <v>25</v>
      </c>
      <c r="F1945" s="1" t="s">
        <v>2551</v>
      </c>
      <c r="G1945" s="1" t="s">
        <v>2552</v>
      </c>
    </row>
    <row x14ac:dyDescent="0.25" r="1946" customHeight="1" ht="17.25" hidden="1">
      <c r="A1946" s="112" t="s">
        <v>5836</v>
      </c>
      <c r="B1946" s="1" t="s">
        <v>2549</v>
      </c>
      <c r="C1946" s="1" t="s">
        <v>58</v>
      </c>
      <c r="D1946" s="1" t="s">
        <v>5837</v>
      </c>
      <c r="E1946" s="62">
        <v>22</v>
      </c>
      <c r="F1946" s="1" t="s">
        <v>2551</v>
      </c>
      <c r="G1946" s="1" t="s">
        <v>2552</v>
      </c>
    </row>
    <row x14ac:dyDescent="0.25" r="1947" customHeight="1" ht="17.25" hidden="1">
      <c r="A1947" s="112" t="s">
        <v>5838</v>
      </c>
      <c r="B1947" s="1" t="s">
        <v>2549</v>
      </c>
      <c r="C1947" s="1" t="s">
        <v>58</v>
      </c>
      <c r="D1947" s="1" t="s">
        <v>5839</v>
      </c>
      <c r="E1947" s="62">
        <v>27</v>
      </c>
      <c r="F1947" s="1" t="s">
        <v>2551</v>
      </c>
      <c r="G1947" s="1" t="s">
        <v>2555</v>
      </c>
    </row>
    <row x14ac:dyDescent="0.25" r="1948" customHeight="1" ht="17.25" hidden="1">
      <c r="A1948" s="112" t="s">
        <v>5840</v>
      </c>
      <c r="B1948" s="1" t="s">
        <v>2549</v>
      </c>
      <c r="C1948" s="1" t="s">
        <v>58</v>
      </c>
      <c r="D1948" s="1" t="s">
        <v>5841</v>
      </c>
      <c r="E1948" s="62">
        <v>29</v>
      </c>
      <c r="F1948" s="1" t="s">
        <v>2551</v>
      </c>
      <c r="G1948" s="1" t="s">
        <v>2558</v>
      </c>
    </row>
    <row x14ac:dyDescent="0.25" r="1949" customHeight="1" ht="17.25" hidden="1">
      <c r="A1949" s="112" t="s">
        <v>5840</v>
      </c>
      <c r="B1949" s="1" t="s">
        <v>2549</v>
      </c>
      <c r="C1949" s="1" t="s">
        <v>58</v>
      </c>
      <c r="D1949" s="1" t="s">
        <v>5842</v>
      </c>
      <c r="E1949" s="62">
        <v>18</v>
      </c>
      <c r="F1949" s="1" t="s">
        <v>2551</v>
      </c>
      <c r="G1949" s="1" t="s">
        <v>2552</v>
      </c>
    </row>
    <row x14ac:dyDescent="0.25" r="1950" customHeight="1" ht="17.25" hidden="1">
      <c r="A1950" s="112" t="s">
        <v>5843</v>
      </c>
      <c r="B1950" s="1" t="s">
        <v>2549</v>
      </c>
      <c r="C1950" s="1" t="s">
        <v>58</v>
      </c>
      <c r="D1950" s="1" t="s">
        <v>5270</v>
      </c>
      <c r="E1950" s="62">
        <v>28</v>
      </c>
      <c r="F1950" s="1" t="s">
        <v>2551</v>
      </c>
      <c r="G1950" s="1" t="s">
        <v>2552</v>
      </c>
    </row>
    <row x14ac:dyDescent="0.25" r="1951" customHeight="1" ht="17.25" hidden="1">
      <c r="A1951" s="112" t="s">
        <v>5844</v>
      </c>
      <c r="B1951" s="1" t="s">
        <v>2549</v>
      </c>
      <c r="C1951" s="1" t="s">
        <v>58</v>
      </c>
      <c r="D1951" s="1" t="s">
        <v>5845</v>
      </c>
      <c r="E1951" s="62">
        <v>26</v>
      </c>
      <c r="F1951" s="1" t="s">
        <v>2551</v>
      </c>
      <c r="G1951" s="1" t="s">
        <v>2552</v>
      </c>
    </row>
    <row x14ac:dyDescent="0.25" r="1952" customHeight="1" ht="17.25" hidden="1">
      <c r="A1952" s="112" t="s">
        <v>377</v>
      </c>
      <c r="B1952" s="1" t="s">
        <v>2549</v>
      </c>
      <c r="C1952" s="1" t="s">
        <v>58</v>
      </c>
      <c r="D1952" s="1" t="s">
        <v>379</v>
      </c>
      <c r="E1952" s="62">
        <v>26</v>
      </c>
      <c r="F1952" s="1" t="s">
        <v>2551</v>
      </c>
      <c r="G1952" s="1" t="s">
        <v>2552</v>
      </c>
    </row>
    <row x14ac:dyDescent="0.25" r="1953" customHeight="1" ht="17.25" hidden="1">
      <c r="A1953" s="112" t="s">
        <v>5846</v>
      </c>
      <c r="B1953" s="1" t="s">
        <v>2549</v>
      </c>
      <c r="C1953" s="1" t="s">
        <v>58</v>
      </c>
      <c r="D1953" s="1" t="s">
        <v>5847</v>
      </c>
      <c r="E1953" s="62">
        <v>26</v>
      </c>
      <c r="F1953" s="1" t="s">
        <v>2551</v>
      </c>
      <c r="G1953" s="1" t="s">
        <v>2552</v>
      </c>
    </row>
    <row x14ac:dyDescent="0.25" r="1954" customHeight="1" ht="17.25" hidden="1">
      <c r="A1954" s="112" t="s">
        <v>5848</v>
      </c>
      <c r="B1954" s="1" t="s">
        <v>2549</v>
      </c>
      <c r="C1954" s="1" t="s">
        <v>58</v>
      </c>
      <c r="D1954" s="1" t="s">
        <v>5849</v>
      </c>
      <c r="E1954" s="62">
        <v>37</v>
      </c>
      <c r="F1954" s="1" t="s">
        <v>2551</v>
      </c>
      <c r="G1954" s="1" t="s">
        <v>2558</v>
      </c>
    </row>
    <row x14ac:dyDescent="0.25" r="1955" customHeight="1" ht="17.25" hidden="1">
      <c r="A1955" s="112" t="s">
        <v>5850</v>
      </c>
      <c r="B1955" s="1" t="s">
        <v>2549</v>
      </c>
      <c r="C1955" s="1" t="s">
        <v>58</v>
      </c>
      <c r="D1955" s="1" t="s">
        <v>5851</v>
      </c>
      <c r="E1955" s="62">
        <v>29</v>
      </c>
      <c r="F1955" s="1" t="s">
        <v>2551</v>
      </c>
      <c r="G1955" s="1" t="s">
        <v>2558</v>
      </c>
    </row>
    <row x14ac:dyDescent="0.25" r="1956" customHeight="1" ht="17.25" hidden="1">
      <c r="A1956" s="112" t="s">
        <v>5852</v>
      </c>
      <c r="B1956" s="1" t="s">
        <v>2549</v>
      </c>
      <c r="C1956" s="1" t="s">
        <v>58</v>
      </c>
      <c r="D1956" s="1" t="s">
        <v>5853</v>
      </c>
      <c r="E1956" s="62">
        <v>34</v>
      </c>
      <c r="F1956" s="1" t="s">
        <v>2551</v>
      </c>
      <c r="G1956" s="1" t="s">
        <v>2552</v>
      </c>
    </row>
    <row x14ac:dyDescent="0.25" r="1957" customHeight="1" ht="17.25" hidden="1">
      <c r="A1957" s="112" t="s">
        <v>5854</v>
      </c>
      <c r="B1957" s="1" t="s">
        <v>2549</v>
      </c>
      <c r="C1957" s="1" t="s">
        <v>58</v>
      </c>
      <c r="D1957" s="1" t="s">
        <v>5855</v>
      </c>
      <c r="E1957" s="62">
        <v>27</v>
      </c>
      <c r="F1957" s="1" t="s">
        <v>2551</v>
      </c>
      <c r="G1957" s="1" t="s">
        <v>2552</v>
      </c>
    </row>
    <row x14ac:dyDescent="0.25" r="1958" customHeight="1" ht="17.25" hidden="1">
      <c r="A1958" s="112" t="s">
        <v>5856</v>
      </c>
      <c r="B1958" s="1" t="s">
        <v>2549</v>
      </c>
      <c r="C1958" s="1" t="s">
        <v>58</v>
      </c>
      <c r="D1958" s="1" t="s">
        <v>5857</v>
      </c>
      <c r="E1958" s="62">
        <v>19</v>
      </c>
      <c r="F1958" s="1" t="s">
        <v>2551</v>
      </c>
      <c r="G1958" s="1" t="s">
        <v>2552</v>
      </c>
    </row>
    <row x14ac:dyDescent="0.25" r="1959" customHeight="1" ht="17.25" hidden="1">
      <c r="A1959" s="112" t="s">
        <v>5858</v>
      </c>
      <c r="B1959" s="1" t="s">
        <v>2549</v>
      </c>
      <c r="C1959" s="1" t="s">
        <v>58</v>
      </c>
      <c r="D1959" s="1" t="s">
        <v>5859</v>
      </c>
      <c r="E1959" s="62">
        <v>18</v>
      </c>
      <c r="F1959" s="1" t="s">
        <v>2551</v>
      </c>
      <c r="G1959" s="1" t="s">
        <v>2552</v>
      </c>
    </row>
    <row x14ac:dyDescent="0.25" r="1960" customHeight="1" ht="17.25" hidden="1">
      <c r="A1960" s="112" t="s">
        <v>5858</v>
      </c>
      <c r="B1960" s="1" t="s">
        <v>2549</v>
      </c>
      <c r="C1960" s="1" t="s">
        <v>58</v>
      </c>
      <c r="D1960" s="1" t="s">
        <v>5860</v>
      </c>
      <c r="E1960" s="62">
        <v>33</v>
      </c>
      <c r="F1960" s="1" t="s">
        <v>2551</v>
      </c>
      <c r="G1960" s="1" t="s">
        <v>2552</v>
      </c>
    </row>
    <row x14ac:dyDescent="0.25" r="1961" customHeight="1" ht="17.25" hidden="1">
      <c r="A1961" s="112" t="s">
        <v>905</v>
      </c>
      <c r="B1961" s="1" t="s">
        <v>2549</v>
      </c>
      <c r="C1961" s="1" t="s">
        <v>58</v>
      </c>
      <c r="D1961" s="1" t="s">
        <v>5861</v>
      </c>
      <c r="E1961" s="62">
        <v>25</v>
      </c>
      <c r="F1961" s="1" t="s">
        <v>2551</v>
      </c>
      <c r="G1961" s="1" t="s">
        <v>2552</v>
      </c>
    </row>
    <row x14ac:dyDescent="0.25" r="1962" customHeight="1" ht="17.25" hidden="1">
      <c r="A1962" s="112" t="s">
        <v>5862</v>
      </c>
      <c r="B1962" s="1" t="s">
        <v>2549</v>
      </c>
      <c r="C1962" s="1" t="s">
        <v>58</v>
      </c>
      <c r="D1962" s="1" t="s">
        <v>5863</v>
      </c>
      <c r="E1962" s="62">
        <v>39</v>
      </c>
      <c r="F1962" s="1" t="s">
        <v>2551</v>
      </c>
      <c r="G1962" s="1" t="s">
        <v>2555</v>
      </c>
    </row>
    <row x14ac:dyDescent="0.25" r="1963" customHeight="1" ht="17.25" hidden="1">
      <c r="A1963" s="112" t="s">
        <v>5864</v>
      </c>
      <c r="B1963" s="1" t="s">
        <v>2549</v>
      </c>
      <c r="C1963" s="1" t="s">
        <v>58</v>
      </c>
      <c r="D1963" s="1" t="s">
        <v>5865</v>
      </c>
      <c r="E1963" s="62">
        <v>36</v>
      </c>
      <c r="F1963" s="1" t="s">
        <v>2561</v>
      </c>
      <c r="G1963" s="1" t="s">
        <v>2558</v>
      </c>
    </row>
    <row x14ac:dyDescent="0.25" r="1964" customHeight="1" ht="17.25" hidden="1">
      <c r="A1964" s="112" t="s">
        <v>5866</v>
      </c>
      <c r="B1964" s="1" t="s">
        <v>2549</v>
      </c>
      <c r="C1964" s="1" t="s">
        <v>58</v>
      </c>
      <c r="D1964" s="1" t="s">
        <v>5867</v>
      </c>
      <c r="E1964" s="62">
        <v>76</v>
      </c>
      <c r="F1964" s="1" t="s">
        <v>2551</v>
      </c>
      <c r="G1964" s="1" t="s">
        <v>2555</v>
      </c>
    </row>
    <row x14ac:dyDescent="0.25" r="1965" customHeight="1" ht="17.25" hidden="1">
      <c r="A1965" s="112" t="s">
        <v>5868</v>
      </c>
      <c r="B1965" s="1" t="s">
        <v>2549</v>
      </c>
      <c r="C1965" s="1" t="s">
        <v>58</v>
      </c>
      <c r="D1965" s="1" t="s">
        <v>5869</v>
      </c>
      <c r="E1965" s="62">
        <v>27</v>
      </c>
      <c r="F1965" s="1" t="s">
        <v>2551</v>
      </c>
      <c r="G1965" s="1" t="s">
        <v>2552</v>
      </c>
    </row>
    <row x14ac:dyDescent="0.25" r="1966" customHeight="1" ht="17.25" hidden="1">
      <c r="A1966" s="112" t="s">
        <v>5870</v>
      </c>
      <c r="B1966" s="1" t="s">
        <v>2549</v>
      </c>
      <c r="C1966" s="1" t="s">
        <v>58</v>
      </c>
      <c r="D1966" s="1" t="s">
        <v>5871</v>
      </c>
      <c r="E1966" s="62">
        <v>36</v>
      </c>
      <c r="F1966" s="1" t="s">
        <v>2551</v>
      </c>
      <c r="G1966" s="1" t="s">
        <v>2555</v>
      </c>
    </row>
    <row x14ac:dyDescent="0.25" r="1967" customHeight="1" ht="17.25" hidden="1">
      <c r="A1967" s="112" t="s">
        <v>5872</v>
      </c>
      <c r="B1967" s="1" t="s">
        <v>2549</v>
      </c>
      <c r="C1967" s="1" t="s">
        <v>58</v>
      </c>
      <c r="D1967" s="1" t="s">
        <v>5873</v>
      </c>
      <c r="E1967" s="62">
        <v>27</v>
      </c>
      <c r="F1967" s="1" t="s">
        <v>2551</v>
      </c>
      <c r="G1967" s="1" t="s">
        <v>2552</v>
      </c>
    </row>
    <row x14ac:dyDescent="0.25" r="1968" customHeight="1" ht="17.25" hidden="1">
      <c r="A1968" s="112" t="s">
        <v>5874</v>
      </c>
      <c r="B1968" s="1" t="s">
        <v>2549</v>
      </c>
      <c r="C1968" s="1" t="s">
        <v>58</v>
      </c>
      <c r="D1968" s="1" t="s">
        <v>5875</v>
      </c>
      <c r="E1968" s="54" t="s">
        <v>2571</v>
      </c>
      <c r="F1968" s="1" t="s">
        <v>2561</v>
      </c>
      <c r="G1968" s="1" t="s">
        <v>2555</v>
      </c>
    </row>
    <row x14ac:dyDescent="0.25" r="1969" customHeight="1" ht="17.25" hidden="1">
      <c r="A1969" s="112" t="s">
        <v>5876</v>
      </c>
      <c r="B1969" s="1" t="s">
        <v>2549</v>
      </c>
      <c r="C1969" s="1" t="s">
        <v>59</v>
      </c>
      <c r="D1969" s="1" t="s">
        <v>5877</v>
      </c>
      <c r="E1969" s="62">
        <v>28</v>
      </c>
      <c r="F1969" s="1" t="s">
        <v>2551</v>
      </c>
      <c r="G1969" s="1" t="s">
        <v>2558</v>
      </c>
    </row>
    <row x14ac:dyDescent="0.25" r="1970" customHeight="1" ht="17.25" hidden="1">
      <c r="A1970" s="112" t="s">
        <v>5878</v>
      </c>
      <c r="B1970" s="1" t="s">
        <v>2549</v>
      </c>
      <c r="C1970" s="1" t="s">
        <v>59</v>
      </c>
      <c r="D1970" s="1" t="s">
        <v>5879</v>
      </c>
      <c r="E1970" s="62">
        <v>18</v>
      </c>
      <c r="F1970" s="1" t="s">
        <v>2551</v>
      </c>
      <c r="G1970" s="1" t="s">
        <v>2555</v>
      </c>
    </row>
    <row x14ac:dyDescent="0.25" r="1971" customHeight="1" ht="17.25" hidden="1">
      <c r="A1971" s="112" t="s">
        <v>5880</v>
      </c>
      <c r="B1971" s="1" t="s">
        <v>2549</v>
      </c>
      <c r="C1971" s="1" t="s">
        <v>59</v>
      </c>
      <c r="D1971" s="1" t="s">
        <v>5881</v>
      </c>
      <c r="E1971" s="62">
        <v>19</v>
      </c>
      <c r="F1971" s="1" t="s">
        <v>2551</v>
      </c>
      <c r="G1971" s="1" t="s">
        <v>2552</v>
      </c>
    </row>
    <row x14ac:dyDescent="0.25" r="1972" customHeight="1" ht="17.25" hidden="1">
      <c r="A1972" s="112" t="s">
        <v>5882</v>
      </c>
      <c r="B1972" s="1" t="s">
        <v>2549</v>
      </c>
      <c r="C1972" s="1" t="s">
        <v>59</v>
      </c>
      <c r="D1972" s="1" t="s">
        <v>5883</v>
      </c>
      <c r="E1972" s="62">
        <v>38</v>
      </c>
      <c r="F1972" s="1" t="s">
        <v>2551</v>
      </c>
      <c r="G1972" s="1" t="s">
        <v>2552</v>
      </c>
    </row>
    <row x14ac:dyDescent="0.25" r="1973" customHeight="1" ht="17.25" hidden="1">
      <c r="A1973" s="112" t="s">
        <v>5884</v>
      </c>
      <c r="B1973" s="1" t="s">
        <v>2549</v>
      </c>
      <c r="C1973" s="1" t="s">
        <v>59</v>
      </c>
      <c r="D1973" s="1" t="s">
        <v>5885</v>
      </c>
      <c r="E1973" s="62">
        <v>36</v>
      </c>
      <c r="F1973" s="1" t="s">
        <v>2551</v>
      </c>
      <c r="G1973" s="1" t="s">
        <v>2555</v>
      </c>
    </row>
    <row x14ac:dyDescent="0.25" r="1974" customHeight="1" ht="17.25" hidden="1">
      <c r="A1974" s="112" t="s">
        <v>5884</v>
      </c>
      <c r="B1974" s="1" t="s">
        <v>2549</v>
      </c>
      <c r="C1974" s="1" t="s">
        <v>59</v>
      </c>
      <c r="D1974" s="1" t="s">
        <v>5886</v>
      </c>
      <c r="E1974" s="62">
        <v>45</v>
      </c>
      <c r="F1974" s="1" t="s">
        <v>2551</v>
      </c>
      <c r="G1974" s="1" t="s">
        <v>2552</v>
      </c>
    </row>
    <row x14ac:dyDescent="0.25" r="1975" customHeight="1" ht="17.25" hidden="1">
      <c r="A1975" s="112" t="s">
        <v>5887</v>
      </c>
      <c r="B1975" s="1" t="s">
        <v>2549</v>
      </c>
      <c r="C1975" s="1" t="s">
        <v>59</v>
      </c>
      <c r="D1975" s="1" t="s">
        <v>5888</v>
      </c>
      <c r="E1975" s="62">
        <v>48</v>
      </c>
      <c r="F1975" s="1" t="s">
        <v>2551</v>
      </c>
      <c r="G1975" s="1" t="s">
        <v>2555</v>
      </c>
    </row>
    <row x14ac:dyDescent="0.25" r="1976" customHeight="1" ht="17.25" hidden="1">
      <c r="A1976" s="112" t="s">
        <v>5889</v>
      </c>
      <c r="B1976" s="1" t="s">
        <v>2549</v>
      </c>
      <c r="C1976" s="1" t="s">
        <v>59</v>
      </c>
      <c r="D1976" s="1" t="s">
        <v>5890</v>
      </c>
      <c r="E1976" s="62">
        <v>26</v>
      </c>
      <c r="F1976" s="1" t="s">
        <v>2551</v>
      </c>
      <c r="G1976" s="1" t="s">
        <v>2555</v>
      </c>
    </row>
    <row x14ac:dyDescent="0.25" r="1977" customHeight="1" ht="17.25" hidden="1">
      <c r="A1977" s="112" t="s">
        <v>839</v>
      </c>
      <c r="B1977" s="1" t="s">
        <v>2549</v>
      </c>
      <c r="C1977" s="1" t="s">
        <v>59</v>
      </c>
      <c r="D1977" s="1" t="s">
        <v>841</v>
      </c>
      <c r="E1977" s="62">
        <v>41</v>
      </c>
      <c r="F1977" s="1" t="s">
        <v>2551</v>
      </c>
      <c r="G1977" s="1" t="s">
        <v>2552</v>
      </c>
    </row>
    <row x14ac:dyDescent="0.25" r="1978" customHeight="1" ht="17.25" hidden="1">
      <c r="A1978" s="112" t="s">
        <v>5891</v>
      </c>
      <c r="B1978" s="1" t="s">
        <v>2549</v>
      </c>
      <c r="C1978" s="1" t="s">
        <v>59</v>
      </c>
      <c r="D1978" s="1" t="s">
        <v>5892</v>
      </c>
      <c r="E1978" s="62">
        <v>26</v>
      </c>
      <c r="F1978" s="1" t="s">
        <v>2551</v>
      </c>
      <c r="G1978" s="1" t="s">
        <v>2552</v>
      </c>
    </row>
    <row x14ac:dyDescent="0.25" r="1979" customHeight="1" ht="17.25" hidden="1">
      <c r="A1979" s="112" t="s">
        <v>5893</v>
      </c>
      <c r="B1979" s="1" t="s">
        <v>2549</v>
      </c>
      <c r="C1979" s="1" t="s">
        <v>59</v>
      </c>
      <c r="D1979" s="1" t="s">
        <v>5894</v>
      </c>
      <c r="E1979" s="62">
        <v>20</v>
      </c>
      <c r="F1979" s="1" t="s">
        <v>2551</v>
      </c>
      <c r="G1979" s="1" t="s">
        <v>2552</v>
      </c>
    </row>
    <row x14ac:dyDescent="0.25" r="1980" customHeight="1" ht="17.25" hidden="1">
      <c r="A1980" s="112" t="s">
        <v>5895</v>
      </c>
      <c r="B1980" s="1" t="s">
        <v>2549</v>
      </c>
      <c r="C1980" s="1" t="s">
        <v>59</v>
      </c>
      <c r="D1980" s="1" t="s">
        <v>5896</v>
      </c>
      <c r="E1980" s="62">
        <v>43</v>
      </c>
      <c r="F1980" s="1" t="s">
        <v>2551</v>
      </c>
      <c r="G1980" s="1" t="s">
        <v>2552</v>
      </c>
    </row>
    <row x14ac:dyDescent="0.25" r="1981" customHeight="1" ht="17.25" hidden="1">
      <c r="A1981" s="112" t="s">
        <v>5895</v>
      </c>
      <c r="B1981" s="1" t="s">
        <v>2549</v>
      </c>
      <c r="C1981" s="1" t="s">
        <v>59</v>
      </c>
      <c r="D1981" s="1" t="s">
        <v>5897</v>
      </c>
      <c r="E1981" s="62">
        <v>22</v>
      </c>
      <c r="F1981" s="1" t="s">
        <v>2561</v>
      </c>
      <c r="G1981" s="1" t="s">
        <v>2552</v>
      </c>
    </row>
    <row x14ac:dyDescent="0.25" r="1982" customHeight="1" ht="17.25" hidden="1">
      <c r="A1982" s="112" t="s">
        <v>5895</v>
      </c>
      <c r="B1982" s="1" t="s">
        <v>2549</v>
      </c>
      <c r="C1982" s="1" t="s">
        <v>59</v>
      </c>
      <c r="D1982" s="1" t="s">
        <v>5898</v>
      </c>
      <c r="E1982" s="62">
        <v>23</v>
      </c>
      <c r="F1982" s="1" t="s">
        <v>2551</v>
      </c>
      <c r="G1982" s="1" t="s">
        <v>2552</v>
      </c>
    </row>
    <row x14ac:dyDescent="0.25" r="1983" customHeight="1" ht="17.25" hidden="1">
      <c r="A1983" s="112" t="s">
        <v>5899</v>
      </c>
      <c r="B1983" s="1" t="s">
        <v>2549</v>
      </c>
      <c r="C1983" s="1" t="s">
        <v>59</v>
      </c>
      <c r="D1983" s="1" t="s">
        <v>5900</v>
      </c>
      <c r="E1983" s="62">
        <v>34</v>
      </c>
      <c r="F1983" s="1" t="s">
        <v>2551</v>
      </c>
      <c r="G1983" s="1" t="s">
        <v>2552</v>
      </c>
    </row>
    <row x14ac:dyDescent="0.25" r="1984" customHeight="1" ht="17.25" hidden="1">
      <c r="A1984" s="112" t="s">
        <v>5901</v>
      </c>
      <c r="B1984" s="1" t="s">
        <v>2549</v>
      </c>
      <c r="C1984" s="1" t="s">
        <v>59</v>
      </c>
      <c r="D1984" s="1" t="s">
        <v>5902</v>
      </c>
      <c r="E1984" s="62">
        <v>19</v>
      </c>
      <c r="F1984" s="1" t="s">
        <v>2551</v>
      </c>
      <c r="G1984" s="1" t="s">
        <v>4578</v>
      </c>
    </row>
    <row x14ac:dyDescent="0.25" r="1985" customHeight="1" ht="17.25" hidden="1">
      <c r="A1985" s="112" t="s">
        <v>5903</v>
      </c>
      <c r="B1985" s="1" t="s">
        <v>2549</v>
      </c>
      <c r="C1985" s="1" t="s">
        <v>59</v>
      </c>
      <c r="D1985" s="1" t="s">
        <v>5904</v>
      </c>
      <c r="E1985" s="62">
        <v>18</v>
      </c>
      <c r="F1985" s="1" t="s">
        <v>2551</v>
      </c>
      <c r="G1985" s="1" t="s">
        <v>2558</v>
      </c>
    </row>
    <row x14ac:dyDescent="0.25" r="1986" customHeight="1" ht="17.25" hidden="1">
      <c r="A1986" s="112" t="s">
        <v>5905</v>
      </c>
      <c r="B1986" s="1" t="s">
        <v>2549</v>
      </c>
      <c r="C1986" s="1" t="s">
        <v>59</v>
      </c>
      <c r="D1986" s="1" t="s">
        <v>5906</v>
      </c>
      <c r="E1986" s="62">
        <v>31</v>
      </c>
      <c r="F1986" s="1" t="s">
        <v>2551</v>
      </c>
      <c r="G1986" s="1" t="s">
        <v>2555</v>
      </c>
    </row>
    <row x14ac:dyDescent="0.25" r="1987" customHeight="1" ht="17.25" hidden="1">
      <c r="A1987" s="112" t="s">
        <v>5907</v>
      </c>
      <c r="B1987" s="1" t="s">
        <v>2549</v>
      </c>
      <c r="C1987" s="1" t="s">
        <v>59</v>
      </c>
      <c r="D1987" s="1" t="s">
        <v>5908</v>
      </c>
      <c r="E1987" s="62">
        <v>25</v>
      </c>
      <c r="F1987" s="1" t="s">
        <v>2551</v>
      </c>
      <c r="G1987" s="1" t="s">
        <v>2555</v>
      </c>
    </row>
    <row x14ac:dyDescent="0.25" r="1988" customHeight="1" ht="17.25" hidden="1">
      <c r="A1988" s="112" t="s">
        <v>5909</v>
      </c>
      <c r="B1988" s="1" t="s">
        <v>2549</v>
      </c>
      <c r="C1988" s="1" t="s">
        <v>59</v>
      </c>
      <c r="D1988" s="1" t="s">
        <v>5910</v>
      </c>
      <c r="E1988" s="62">
        <v>18</v>
      </c>
      <c r="F1988" s="1" t="s">
        <v>2551</v>
      </c>
      <c r="G1988" s="1" t="s">
        <v>2555</v>
      </c>
    </row>
    <row x14ac:dyDescent="0.25" r="1989" customHeight="1" ht="17.25" hidden="1">
      <c r="A1989" s="112" t="s">
        <v>5911</v>
      </c>
      <c r="B1989" s="1" t="s">
        <v>2549</v>
      </c>
      <c r="C1989" s="1" t="s">
        <v>59</v>
      </c>
      <c r="D1989" s="1" t="s">
        <v>5912</v>
      </c>
      <c r="E1989" s="62">
        <v>36</v>
      </c>
      <c r="F1989" s="1" t="s">
        <v>2551</v>
      </c>
      <c r="G1989" s="1" t="s">
        <v>2558</v>
      </c>
    </row>
    <row x14ac:dyDescent="0.25" r="1990" customHeight="1" ht="17.25" hidden="1">
      <c r="A1990" s="112" t="s">
        <v>5913</v>
      </c>
      <c r="B1990" s="1" t="s">
        <v>2549</v>
      </c>
      <c r="C1990" s="1" t="s">
        <v>59</v>
      </c>
      <c r="D1990" s="1" t="s">
        <v>5914</v>
      </c>
      <c r="E1990" s="62">
        <v>31</v>
      </c>
      <c r="F1990" s="1" t="s">
        <v>2551</v>
      </c>
      <c r="G1990" s="1" t="s">
        <v>2555</v>
      </c>
    </row>
    <row x14ac:dyDescent="0.25" r="1991" customHeight="1" ht="17.25" hidden="1">
      <c r="A1991" s="112" t="s">
        <v>5913</v>
      </c>
      <c r="B1991" s="1" t="s">
        <v>2549</v>
      </c>
      <c r="C1991" s="1" t="s">
        <v>59</v>
      </c>
      <c r="D1991" s="1" t="s">
        <v>5915</v>
      </c>
      <c r="E1991" s="62">
        <v>18</v>
      </c>
      <c r="F1991" s="1" t="s">
        <v>2551</v>
      </c>
      <c r="G1991" s="1" t="s">
        <v>2555</v>
      </c>
    </row>
    <row x14ac:dyDescent="0.25" r="1992" customHeight="1" ht="17.25" hidden="1">
      <c r="A1992" s="112" t="s">
        <v>5913</v>
      </c>
      <c r="B1992" s="1" t="s">
        <v>2549</v>
      </c>
      <c r="C1992" s="1" t="s">
        <v>59</v>
      </c>
      <c r="D1992" s="1" t="s">
        <v>5916</v>
      </c>
      <c r="E1992" s="62">
        <v>25</v>
      </c>
      <c r="F1992" s="1" t="s">
        <v>2551</v>
      </c>
      <c r="G1992" s="1" t="s">
        <v>2555</v>
      </c>
    </row>
    <row x14ac:dyDescent="0.25" r="1993" customHeight="1" ht="17.25" hidden="1">
      <c r="A1993" s="112" t="s">
        <v>2457</v>
      </c>
      <c r="B1993" s="1" t="s">
        <v>2549</v>
      </c>
      <c r="C1993" s="1" t="s">
        <v>59</v>
      </c>
      <c r="D1993" s="1" t="s">
        <v>2459</v>
      </c>
      <c r="E1993" s="62">
        <v>31</v>
      </c>
      <c r="F1993" s="1" t="s">
        <v>2551</v>
      </c>
      <c r="G1993" s="1" t="s">
        <v>2555</v>
      </c>
    </row>
    <row x14ac:dyDescent="0.25" r="1994" customHeight="1" ht="17.25" hidden="1">
      <c r="A1994" s="112" t="s">
        <v>5917</v>
      </c>
      <c r="B1994" s="1" t="s">
        <v>2549</v>
      </c>
      <c r="C1994" s="1" t="s">
        <v>59</v>
      </c>
      <c r="D1994" s="1" t="s">
        <v>5918</v>
      </c>
      <c r="E1994" s="62">
        <v>18</v>
      </c>
      <c r="F1994" s="1" t="s">
        <v>2551</v>
      </c>
      <c r="G1994" s="1" t="s">
        <v>2552</v>
      </c>
    </row>
    <row x14ac:dyDescent="0.25" r="1995" customHeight="1" ht="17.25" hidden="1">
      <c r="A1995" s="112" t="s">
        <v>5919</v>
      </c>
      <c r="B1995" s="1" t="s">
        <v>2549</v>
      </c>
      <c r="C1995" s="1" t="s">
        <v>59</v>
      </c>
      <c r="D1995" s="1" t="s">
        <v>5920</v>
      </c>
      <c r="E1995" s="62">
        <v>18</v>
      </c>
      <c r="F1995" s="1" t="s">
        <v>2551</v>
      </c>
      <c r="G1995" s="1" t="s">
        <v>2555</v>
      </c>
    </row>
    <row x14ac:dyDescent="0.25" r="1996" customHeight="1" ht="17.25" hidden="1">
      <c r="A1996" s="112" t="s">
        <v>5921</v>
      </c>
      <c r="B1996" s="1" t="s">
        <v>2549</v>
      </c>
      <c r="C1996" s="1" t="s">
        <v>59</v>
      </c>
      <c r="D1996" s="1" t="s">
        <v>5922</v>
      </c>
      <c r="E1996" s="62">
        <v>46</v>
      </c>
      <c r="F1996" s="1" t="s">
        <v>2551</v>
      </c>
      <c r="G1996" s="1" t="s">
        <v>2555</v>
      </c>
    </row>
    <row x14ac:dyDescent="0.25" r="1997" customHeight="1" ht="17.25" hidden="1">
      <c r="A1997" s="112" t="s">
        <v>5923</v>
      </c>
      <c r="B1997" s="1" t="s">
        <v>2549</v>
      </c>
      <c r="C1997" s="1" t="s">
        <v>59</v>
      </c>
      <c r="D1997" s="1" t="s">
        <v>5924</v>
      </c>
      <c r="E1997" s="62">
        <v>41</v>
      </c>
      <c r="F1997" s="1" t="s">
        <v>2551</v>
      </c>
      <c r="G1997" s="1" t="s">
        <v>2555</v>
      </c>
    </row>
    <row x14ac:dyDescent="0.25" r="1998" customHeight="1" ht="17.25" hidden="1">
      <c r="A1998" s="112" t="s">
        <v>5925</v>
      </c>
      <c r="B1998" s="1" t="s">
        <v>2549</v>
      </c>
      <c r="C1998" s="1" t="s">
        <v>59</v>
      </c>
      <c r="D1998" s="1" t="s">
        <v>5926</v>
      </c>
      <c r="E1998" s="62">
        <v>35</v>
      </c>
      <c r="F1998" s="1" t="s">
        <v>2551</v>
      </c>
      <c r="G1998" s="1" t="s">
        <v>2555</v>
      </c>
    </row>
    <row x14ac:dyDescent="0.25" r="1999" customHeight="1" ht="17.25" hidden="1">
      <c r="A1999" s="112" t="s">
        <v>5927</v>
      </c>
      <c r="B1999" s="1" t="s">
        <v>2549</v>
      </c>
      <c r="C1999" s="1" t="s">
        <v>59</v>
      </c>
      <c r="D1999" s="1" t="s">
        <v>3085</v>
      </c>
      <c r="E1999" s="62">
        <v>18</v>
      </c>
      <c r="F1999" s="1" t="s">
        <v>2551</v>
      </c>
      <c r="G1999" s="1" t="s">
        <v>2552</v>
      </c>
    </row>
    <row x14ac:dyDescent="0.25" r="2000" customHeight="1" ht="17.25" hidden="1">
      <c r="A2000" s="112" t="s">
        <v>5928</v>
      </c>
      <c r="B2000" s="1" t="s">
        <v>2549</v>
      </c>
      <c r="C2000" s="1" t="s">
        <v>59</v>
      </c>
      <c r="D2000" s="1" t="s">
        <v>5929</v>
      </c>
      <c r="E2000" s="62">
        <v>18</v>
      </c>
      <c r="F2000" s="1" t="s">
        <v>2551</v>
      </c>
      <c r="G2000" s="1" t="s">
        <v>2552</v>
      </c>
    </row>
    <row x14ac:dyDescent="0.25" r="2001" customHeight="1" ht="17.25" hidden="1">
      <c r="A2001" s="112" t="s">
        <v>5928</v>
      </c>
      <c r="B2001" s="1" t="s">
        <v>2549</v>
      </c>
      <c r="C2001" s="1" t="s">
        <v>59</v>
      </c>
      <c r="D2001" s="1" t="s">
        <v>5930</v>
      </c>
      <c r="E2001" s="62">
        <v>19</v>
      </c>
      <c r="F2001" s="1" t="s">
        <v>2551</v>
      </c>
      <c r="G2001" s="1" t="s">
        <v>2552</v>
      </c>
    </row>
    <row x14ac:dyDescent="0.25" r="2002" customHeight="1" ht="17.25" hidden="1">
      <c r="A2002" s="112" t="s">
        <v>5928</v>
      </c>
      <c r="B2002" s="1" t="s">
        <v>2549</v>
      </c>
      <c r="C2002" s="1" t="s">
        <v>59</v>
      </c>
      <c r="D2002" s="1" t="s">
        <v>5931</v>
      </c>
      <c r="E2002" s="62">
        <v>33</v>
      </c>
      <c r="F2002" s="1" t="s">
        <v>2551</v>
      </c>
      <c r="G2002" s="1" t="s">
        <v>2558</v>
      </c>
    </row>
    <row x14ac:dyDescent="0.25" r="2003" customHeight="1" ht="17.25" hidden="1">
      <c r="A2003" s="112" t="s">
        <v>5932</v>
      </c>
      <c r="B2003" s="1" t="s">
        <v>2549</v>
      </c>
      <c r="C2003" s="1" t="s">
        <v>59</v>
      </c>
      <c r="D2003" s="1" t="s">
        <v>5933</v>
      </c>
      <c r="E2003" s="62">
        <v>19</v>
      </c>
      <c r="F2003" s="1" t="s">
        <v>2551</v>
      </c>
      <c r="G2003" s="1" t="s">
        <v>2552</v>
      </c>
    </row>
    <row x14ac:dyDescent="0.25" r="2004" customHeight="1" ht="17.25" hidden="1">
      <c r="A2004" s="112" t="s">
        <v>1469</v>
      </c>
      <c r="B2004" s="1" t="s">
        <v>2549</v>
      </c>
      <c r="C2004" s="1" t="s">
        <v>59</v>
      </c>
      <c r="D2004" s="1" t="s">
        <v>1471</v>
      </c>
      <c r="E2004" s="62">
        <v>48</v>
      </c>
      <c r="F2004" s="1" t="s">
        <v>2551</v>
      </c>
      <c r="G2004" s="1" t="s">
        <v>2555</v>
      </c>
    </row>
    <row x14ac:dyDescent="0.25" r="2005" customHeight="1" ht="17.25" hidden="1">
      <c r="A2005" s="112" t="s">
        <v>1469</v>
      </c>
      <c r="B2005" s="1" t="s">
        <v>2549</v>
      </c>
      <c r="C2005" s="1" t="s">
        <v>59</v>
      </c>
      <c r="D2005" s="1" t="s">
        <v>5934</v>
      </c>
      <c r="E2005" s="62">
        <v>38</v>
      </c>
      <c r="F2005" s="1" t="s">
        <v>2551</v>
      </c>
      <c r="G2005" s="1" t="s">
        <v>2552</v>
      </c>
    </row>
    <row x14ac:dyDescent="0.25" r="2006" customHeight="1" ht="17.25" hidden="1">
      <c r="A2006" s="112" t="s">
        <v>5935</v>
      </c>
      <c r="B2006" s="1" t="s">
        <v>2549</v>
      </c>
      <c r="C2006" s="1" t="s">
        <v>59</v>
      </c>
      <c r="D2006" s="1" t="s">
        <v>5936</v>
      </c>
      <c r="E2006" s="62">
        <v>20</v>
      </c>
      <c r="F2006" s="1" t="s">
        <v>2551</v>
      </c>
      <c r="G2006" s="1" t="s">
        <v>2571</v>
      </c>
    </row>
    <row x14ac:dyDescent="0.25" r="2007" customHeight="1" ht="17.25" hidden="1">
      <c r="A2007" s="112" t="s">
        <v>5935</v>
      </c>
      <c r="B2007" s="1" t="s">
        <v>2549</v>
      </c>
      <c r="C2007" s="1" t="s">
        <v>59</v>
      </c>
      <c r="D2007" s="1" t="s">
        <v>5937</v>
      </c>
      <c r="E2007" s="62">
        <v>27</v>
      </c>
      <c r="F2007" s="1" t="s">
        <v>2551</v>
      </c>
      <c r="G2007" s="1" t="s">
        <v>2552</v>
      </c>
    </row>
    <row x14ac:dyDescent="0.25" r="2008" customHeight="1" ht="17.25" hidden="1">
      <c r="A2008" s="112" t="s">
        <v>1322</v>
      </c>
      <c r="B2008" s="1" t="s">
        <v>2549</v>
      </c>
      <c r="C2008" s="1" t="s">
        <v>59</v>
      </c>
      <c r="D2008" s="1" t="s">
        <v>1323</v>
      </c>
      <c r="E2008" s="62">
        <v>29</v>
      </c>
      <c r="F2008" s="1" t="s">
        <v>2551</v>
      </c>
      <c r="G2008" s="1" t="s">
        <v>2552</v>
      </c>
    </row>
    <row x14ac:dyDescent="0.25" r="2009" customHeight="1" ht="17.25" hidden="1">
      <c r="A2009" s="112" t="s">
        <v>2094</v>
      </c>
      <c r="B2009" s="1" t="s">
        <v>2549</v>
      </c>
      <c r="C2009" s="1" t="s">
        <v>59</v>
      </c>
      <c r="D2009" s="1" t="s">
        <v>2095</v>
      </c>
      <c r="E2009" s="62">
        <v>27</v>
      </c>
      <c r="F2009" s="1" t="s">
        <v>2551</v>
      </c>
      <c r="G2009" s="1" t="s">
        <v>2552</v>
      </c>
    </row>
    <row x14ac:dyDescent="0.25" r="2010" customHeight="1" ht="17.25" hidden="1">
      <c r="A2010" s="112" t="s">
        <v>5938</v>
      </c>
      <c r="B2010" s="1" t="s">
        <v>2549</v>
      </c>
      <c r="C2010" s="1" t="s">
        <v>59</v>
      </c>
      <c r="D2010" s="1" t="s">
        <v>5939</v>
      </c>
      <c r="E2010" s="62">
        <v>20</v>
      </c>
      <c r="F2010" s="1" t="s">
        <v>2551</v>
      </c>
      <c r="G2010" s="1" t="s">
        <v>2552</v>
      </c>
    </row>
    <row x14ac:dyDescent="0.25" r="2011" customHeight="1" ht="17.25" hidden="1">
      <c r="A2011" s="112" t="s">
        <v>5940</v>
      </c>
      <c r="B2011" s="1" t="s">
        <v>2549</v>
      </c>
      <c r="C2011" s="1" t="s">
        <v>59</v>
      </c>
      <c r="D2011" s="1" t="s">
        <v>5941</v>
      </c>
      <c r="E2011" s="62">
        <v>30</v>
      </c>
      <c r="F2011" s="1" t="s">
        <v>2551</v>
      </c>
      <c r="G2011" s="1" t="s">
        <v>2552</v>
      </c>
    </row>
    <row x14ac:dyDescent="0.25" r="2012" customHeight="1" ht="17.25" hidden="1">
      <c r="A2012" s="112" t="s">
        <v>5940</v>
      </c>
      <c r="B2012" s="1" t="s">
        <v>2549</v>
      </c>
      <c r="C2012" s="1" t="s">
        <v>59</v>
      </c>
      <c r="D2012" s="1" t="s">
        <v>5942</v>
      </c>
      <c r="E2012" s="62">
        <v>25</v>
      </c>
      <c r="F2012" s="1" t="s">
        <v>2551</v>
      </c>
      <c r="G2012" s="1" t="s">
        <v>2555</v>
      </c>
    </row>
    <row x14ac:dyDescent="0.25" r="2013" customHeight="1" ht="17.25" hidden="1">
      <c r="A2013" s="112" t="s">
        <v>5940</v>
      </c>
      <c r="B2013" s="1" t="s">
        <v>2549</v>
      </c>
      <c r="C2013" s="1" t="s">
        <v>59</v>
      </c>
      <c r="D2013" s="1" t="s">
        <v>5943</v>
      </c>
      <c r="E2013" s="62">
        <v>21</v>
      </c>
      <c r="F2013" s="1" t="s">
        <v>2551</v>
      </c>
      <c r="G2013" s="1" t="s">
        <v>2571</v>
      </c>
    </row>
    <row x14ac:dyDescent="0.25" r="2014" customHeight="1" ht="17.25" hidden="1">
      <c r="A2014" s="112" t="s">
        <v>5944</v>
      </c>
      <c r="B2014" s="1" t="s">
        <v>2549</v>
      </c>
      <c r="C2014" s="1" t="s">
        <v>59</v>
      </c>
      <c r="D2014" s="1" t="s">
        <v>5945</v>
      </c>
      <c r="E2014" s="62">
        <v>29</v>
      </c>
      <c r="F2014" s="1" t="s">
        <v>2551</v>
      </c>
      <c r="G2014" s="1" t="s">
        <v>2552</v>
      </c>
    </row>
    <row x14ac:dyDescent="0.25" r="2015" customHeight="1" ht="17.25" hidden="1">
      <c r="A2015" s="112" t="s">
        <v>5946</v>
      </c>
      <c r="B2015" s="1" t="s">
        <v>2549</v>
      </c>
      <c r="C2015" s="1" t="s">
        <v>59</v>
      </c>
      <c r="D2015" s="1" t="s">
        <v>5947</v>
      </c>
      <c r="E2015" s="62">
        <v>27</v>
      </c>
      <c r="F2015" s="1" t="s">
        <v>2551</v>
      </c>
      <c r="G2015" s="1" t="s">
        <v>2552</v>
      </c>
    </row>
    <row x14ac:dyDescent="0.25" r="2016" customHeight="1" ht="17.25" hidden="1">
      <c r="A2016" s="112" t="s">
        <v>5948</v>
      </c>
      <c r="B2016" s="1" t="s">
        <v>2549</v>
      </c>
      <c r="C2016" s="1" t="s">
        <v>59</v>
      </c>
      <c r="D2016" s="1" t="s">
        <v>5949</v>
      </c>
      <c r="E2016" s="62">
        <v>24</v>
      </c>
      <c r="F2016" s="1" t="s">
        <v>2551</v>
      </c>
      <c r="G2016" s="1" t="s">
        <v>2552</v>
      </c>
    </row>
    <row x14ac:dyDescent="0.25" r="2017" customHeight="1" ht="17.25" hidden="1">
      <c r="A2017" s="112" t="s">
        <v>5950</v>
      </c>
      <c r="B2017" s="1" t="s">
        <v>2549</v>
      </c>
      <c r="C2017" s="1" t="s">
        <v>59</v>
      </c>
      <c r="D2017" s="1" t="s">
        <v>5951</v>
      </c>
      <c r="E2017" s="62">
        <v>28</v>
      </c>
      <c r="F2017" s="1" t="s">
        <v>2551</v>
      </c>
      <c r="G2017" s="1" t="s">
        <v>2552</v>
      </c>
    </row>
    <row x14ac:dyDescent="0.25" r="2018" customHeight="1" ht="17.25" hidden="1">
      <c r="A2018" s="112" t="s">
        <v>5952</v>
      </c>
      <c r="B2018" s="1" t="s">
        <v>2549</v>
      </c>
      <c r="C2018" s="1" t="s">
        <v>59</v>
      </c>
      <c r="D2018" s="1" t="s">
        <v>5953</v>
      </c>
      <c r="E2018" s="62">
        <v>27</v>
      </c>
      <c r="F2018" s="1" t="s">
        <v>2561</v>
      </c>
      <c r="G2018" s="1" t="s">
        <v>2555</v>
      </c>
    </row>
    <row x14ac:dyDescent="0.25" r="2019" customHeight="1" ht="17.25" hidden="1">
      <c r="A2019" s="112" t="s">
        <v>5954</v>
      </c>
      <c r="B2019" s="1" t="s">
        <v>2549</v>
      </c>
      <c r="C2019" s="1" t="s">
        <v>59</v>
      </c>
      <c r="D2019" s="1" t="s">
        <v>5955</v>
      </c>
      <c r="E2019" s="62">
        <v>26</v>
      </c>
      <c r="F2019" s="1" t="s">
        <v>2551</v>
      </c>
      <c r="G2019" s="1" t="s">
        <v>2552</v>
      </c>
    </row>
    <row x14ac:dyDescent="0.25" r="2020" customHeight="1" ht="17.25" hidden="1">
      <c r="A2020" s="112" t="s">
        <v>5956</v>
      </c>
      <c r="B2020" s="1" t="s">
        <v>2549</v>
      </c>
      <c r="C2020" s="1" t="s">
        <v>59</v>
      </c>
      <c r="D2020" s="1" t="s">
        <v>5957</v>
      </c>
      <c r="E2020" s="62">
        <v>50</v>
      </c>
      <c r="F2020" s="1" t="s">
        <v>2551</v>
      </c>
      <c r="G2020" s="1" t="s">
        <v>2552</v>
      </c>
    </row>
    <row x14ac:dyDescent="0.25" r="2021" customHeight="1" ht="17.25" hidden="1">
      <c r="A2021" s="112" t="s">
        <v>5958</v>
      </c>
      <c r="B2021" s="1" t="s">
        <v>2549</v>
      </c>
      <c r="C2021" s="1" t="s">
        <v>59</v>
      </c>
      <c r="D2021" s="1" t="s">
        <v>5959</v>
      </c>
      <c r="E2021" s="62">
        <v>30</v>
      </c>
      <c r="F2021" s="1" t="s">
        <v>2551</v>
      </c>
      <c r="G2021" s="1" t="s">
        <v>2552</v>
      </c>
    </row>
    <row x14ac:dyDescent="0.25" r="2022" customHeight="1" ht="17.25" hidden="1">
      <c r="A2022" s="112" t="s">
        <v>5960</v>
      </c>
      <c r="B2022" s="1" t="s">
        <v>2549</v>
      </c>
      <c r="C2022" s="1" t="s">
        <v>59</v>
      </c>
      <c r="D2022" s="1" t="s">
        <v>5961</v>
      </c>
      <c r="E2022" s="54" t="s">
        <v>2571</v>
      </c>
      <c r="F2022" s="1" t="s">
        <v>2551</v>
      </c>
      <c r="G2022" s="1" t="s">
        <v>2555</v>
      </c>
    </row>
    <row x14ac:dyDescent="0.25" r="2023" customHeight="1" ht="17.25" hidden="1">
      <c r="A2023" s="112" t="s">
        <v>5962</v>
      </c>
      <c r="B2023" s="1" t="s">
        <v>2549</v>
      </c>
      <c r="C2023" s="1" t="s">
        <v>59</v>
      </c>
      <c r="D2023" s="1" t="s">
        <v>5963</v>
      </c>
      <c r="E2023" s="62">
        <v>47</v>
      </c>
      <c r="F2023" s="1" t="s">
        <v>2551</v>
      </c>
      <c r="G2023" s="1" t="s">
        <v>2552</v>
      </c>
    </row>
    <row x14ac:dyDescent="0.25" r="2024" customHeight="1" ht="17.25" hidden="1">
      <c r="A2024" s="112" t="s">
        <v>5964</v>
      </c>
      <c r="B2024" s="1" t="s">
        <v>2549</v>
      </c>
      <c r="C2024" s="1" t="s">
        <v>59</v>
      </c>
      <c r="D2024" s="1" t="s">
        <v>5965</v>
      </c>
      <c r="E2024" s="62">
        <v>22</v>
      </c>
      <c r="F2024" s="1" t="s">
        <v>2551</v>
      </c>
      <c r="G2024" s="1" t="s">
        <v>2552</v>
      </c>
    </row>
    <row x14ac:dyDescent="0.25" r="2025" customHeight="1" ht="17.25" hidden="1">
      <c r="A2025" s="112" t="s">
        <v>5966</v>
      </c>
      <c r="B2025" s="1" t="s">
        <v>2549</v>
      </c>
      <c r="C2025" s="1" t="s">
        <v>59</v>
      </c>
      <c r="D2025" s="1" t="s">
        <v>5967</v>
      </c>
      <c r="E2025" s="62">
        <v>35</v>
      </c>
      <c r="F2025" s="1" t="s">
        <v>2551</v>
      </c>
      <c r="G2025" s="1" t="s">
        <v>2555</v>
      </c>
    </row>
    <row x14ac:dyDescent="0.25" r="2026" customHeight="1" ht="17.25" hidden="1">
      <c r="A2026" s="112" t="s">
        <v>5968</v>
      </c>
      <c r="B2026" s="1" t="s">
        <v>2549</v>
      </c>
      <c r="C2026" s="1" t="s">
        <v>59</v>
      </c>
      <c r="D2026" s="1" t="s">
        <v>5969</v>
      </c>
      <c r="E2026" s="62">
        <v>21</v>
      </c>
      <c r="F2026" s="1" t="s">
        <v>2551</v>
      </c>
      <c r="G2026" s="1" t="s">
        <v>2555</v>
      </c>
    </row>
    <row x14ac:dyDescent="0.25" r="2027" customHeight="1" ht="17.25" hidden="1">
      <c r="A2027" s="112" t="s">
        <v>5970</v>
      </c>
      <c r="B2027" s="1" t="s">
        <v>2549</v>
      </c>
      <c r="C2027" s="1" t="s">
        <v>59</v>
      </c>
      <c r="D2027" s="1" t="s">
        <v>5971</v>
      </c>
      <c r="E2027" s="62">
        <v>27</v>
      </c>
      <c r="F2027" s="1" t="s">
        <v>2551</v>
      </c>
      <c r="G2027" s="1" t="s">
        <v>2552</v>
      </c>
    </row>
    <row x14ac:dyDescent="0.25" r="2028" customHeight="1" ht="17.25" hidden="1">
      <c r="A2028" s="112" t="s">
        <v>408</v>
      </c>
      <c r="B2028" s="1" t="s">
        <v>2549</v>
      </c>
      <c r="C2028" s="1" t="s">
        <v>59</v>
      </c>
      <c r="D2028" s="1" t="s">
        <v>5972</v>
      </c>
      <c r="E2028" s="62">
        <v>43</v>
      </c>
      <c r="F2028" s="1" t="s">
        <v>2551</v>
      </c>
      <c r="G2028" s="1" t="s">
        <v>2552</v>
      </c>
    </row>
    <row x14ac:dyDescent="0.25" r="2029" customHeight="1" ht="17.25" hidden="1">
      <c r="A2029" s="112" t="s">
        <v>408</v>
      </c>
      <c r="B2029" s="1" t="s">
        <v>2549</v>
      </c>
      <c r="C2029" s="1" t="s">
        <v>59</v>
      </c>
      <c r="D2029" s="1" t="s">
        <v>1931</v>
      </c>
      <c r="E2029" s="62">
        <v>24</v>
      </c>
      <c r="F2029" s="1" t="s">
        <v>2551</v>
      </c>
      <c r="G2029" s="1" t="s">
        <v>2552</v>
      </c>
    </row>
    <row x14ac:dyDescent="0.25" r="2030" customHeight="1" ht="17.25" hidden="1">
      <c r="A2030" s="112" t="s">
        <v>5973</v>
      </c>
      <c r="B2030" s="1" t="s">
        <v>2549</v>
      </c>
      <c r="C2030" s="1" t="s">
        <v>59</v>
      </c>
      <c r="D2030" s="1" t="s">
        <v>5974</v>
      </c>
      <c r="E2030" s="62">
        <v>19</v>
      </c>
      <c r="F2030" s="1" t="s">
        <v>2551</v>
      </c>
      <c r="G2030" s="1" t="s">
        <v>2555</v>
      </c>
    </row>
    <row x14ac:dyDescent="0.25" r="2031" customHeight="1" ht="17.25" hidden="1">
      <c r="A2031" s="112" t="s">
        <v>5975</v>
      </c>
      <c r="B2031" s="1" t="s">
        <v>2549</v>
      </c>
      <c r="C2031" s="1" t="s">
        <v>59</v>
      </c>
      <c r="D2031" s="1" t="s">
        <v>5976</v>
      </c>
      <c r="E2031" s="62">
        <v>37</v>
      </c>
      <c r="F2031" s="1" t="s">
        <v>2551</v>
      </c>
      <c r="G2031" s="1" t="s">
        <v>2555</v>
      </c>
    </row>
    <row x14ac:dyDescent="0.25" r="2032" customHeight="1" ht="17.25" hidden="1">
      <c r="A2032" s="112" t="s">
        <v>5977</v>
      </c>
      <c r="B2032" s="1" t="s">
        <v>2549</v>
      </c>
      <c r="C2032" s="1" t="s">
        <v>59</v>
      </c>
      <c r="D2032" s="1" t="s">
        <v>5978</v>
      </c>
      <c r="E2032" s="62">
        <v>29</v>
      </c>
      <c r="F2032" s="1" t="s">
        <v>2551</v>
      </c>
      <c r="G2032" s="1" t="s">
        <v>2552</v>
      </c>
    </row>
    <row x14ac:dyDescent="0.25" r="2033" customHeight="1" ht="17.25" hidden="1">
      <c r="A2033" s="112" t="s">
        <v>5979</v>
      </c>
      <c r="B2033" s="1" t="s">
        <v>2549</v>
      </c>
      <c r="C2033" s="1" t="s">
        <v>59</v>
      </c>
      <c r="D2033" s="1" t="s">
        <v>5980</v>
      </c>
      <c r="E2033" s="62">
        <v>24</v>
      </c>
      <c r="F2033" s="1" t="s">
        <v>2551</v>
      </c>
      <c r="G2033" s="1" t="s">
        <v>2552</v>
      </c>
    </row>
    <row x14ac:dyDescent="0.25" r="2034" customHeight="1" ht="17.25" hidden="1">
      <c r="A2034" s="112" t="s">
        <v>5981</v>
      </c>
      <c r="B2034" s="1" t="s">
        <v>2549</v>
      </c>
      <c r="C2034" s="1" t="s">
        <v>59</v>
      </c>
      <c r="D2034" s="1" t="s">
        <v>5982</v>
      </c>
      <c r="E2034" s="62">
        <v>24</v>
      </c>
      <c r="F2034" s="1" t="s">
        <v>2551</v>
      </c>
      <c r="G2034" s="1" t="s">
        <v>2552</v>
      </c>
    </row>
    <row x14ac:dyDescent="0.25" r="2035" customHeight="1" ht="17.25" hidden="1">
      <c r="A2035" s="112" t="s">
        <v>5983</v>
      </c>
      <c r="B2035" s="1" t="s">
        <v>2549</v>
      </c>
      <c r="C2035" s="1" t="s">
        <v>59</v>
      </c>
      <c r="D2035" s="1" t="s">
        <v>5984</v>
      </c>
      <c r="E2035" s="62">
        <v>30</v>
      </c>
      <c r="F2035" s="1" t="s">
        <v>2551</v>
      </c>
      <c r="G2035" s="1" t="s">
        <v>2555</v>
      </c>
    </row>
    <row x14ac:dyDescent="0.25" r="2036" customHeight="1" ht="17.25" hidden="1">
      <c r="A2036" s="112" t="s">
        <v>5985</v>
      </c>
      <c r="B2036" s="1" t="s">
        <v>2549</v>
      </c>
      <c r="C2036" s="1" t="s">
        <v>59</v>
      </c>
      <c r="D2036" s="1" t="s">
        <v>5986</v>
      </c>
      <c r="E2036" s="62">
        <v>21</v>
      </c>
      <c r="F2036" s="1" t="s">
        <v>2551</v>
      </c>
      <c r="G2036" s="1" t="s">
        <v>2555</v>
      </c>
    </row>
    <row x14ac:dyDescent="0.25" r="2037" customHeight="1" ht="17.25" hidden="1">
      <c r="A2037" s="112" t="s">
        <v>5987</v>
      </c>
      <c r="B2037" s="1" t="s">
        <v>2549</v>
      </c>
      <c r="C2037" s="1" t="s">
        <v>59</v>
      </c>
      <c r="D2037" s="1" t="s">
        <v>5988</v>
      </c>
      <c r="E2037" s="62">
        <v>37</v>
      </c>
      <c r="F2037" s="1" t="s">
        <v>2551</v>
      </c>
      <c r="G2037" s="1" t="s">
        <v>2555</v>
      </c>
    </row>
    <row x14ac:dyDescent="0.25" r="2038" customHeight="1" ht="17.25" hidden="1">
      <c r="A2038" s="112" t="s">
        <v>1899</v>
      </c>
      <c r="B2038" s="1" t="s">
        <v>2549</v>
      </c>
      <c r="C2038" s="1" t="s">
        <v>59</v>
      </c>
      <c r="D2038" s="1" t="s">
        <v>1900</v>
      </c>
      <c r="E2038" s="62">
        <v>45</v>
      </c>
      <c r="F2038" s="1" t="s">
        <v>2551</v>
      </c>
      <c r="G2038" s="1" t="s">
        <v>2558</v>
      </c>
    </row>
    <row x14ac:dyDescent="0.25" r="2039" customHeight="1" ht="17.25" hidden="1">
      <c r="A2039" s="112" t="s">
        <v>5989</v>
      </c>
      <c r="B2039" s="1" t="s">
        <v>2549</v>
      </c>
      <c r="C2039" s="1" t="s">
        <v>59</v>
      </c>
      <c r="D2039" s="1" t="s">
        <v>5990</v>
      </c>
      <c r="E2039" s="62">
        <v>45</v>
      </c>
      <c r="F2039" s="1" t="s">
        <v>2551</v>
      </c>
      <c r="G2039" s="1" t="s">
        <v>2552</v>
      </c>
    </row>
    <row x14ac:dyDescent="0.25" r="2040" customHeight="1" ht="17.25" hidden="1">
      <c r="A2040" s="112" t="s">
        <v>5991</v>
      </c>
      <c r="B2040" s="1" t="s">
        <v>2549</v>
      </c>
      <c r="C2040" s="1" t="s">
        <v>59</v>
      </c>
      <c r="D2040" s="1" t="s">
        <v>5992</v>
      </c>
      <c r="E2040" s="62">
        <v>57</v>
      </c>
      <c r="F2040" s="1" t="s">
        <v>2551</v>
      </c>
      <c r="G2040" s="1" t="s">
        <v>2558</v>
      </c>
    </row>
    <row x14ac:dyDescent="0.25" r="2041" customHeight="1" ht="17.25" hidden="1">
      <c r="A2041" s="112" t="s">
        <v>5993</v>
      </c>
      <c r="B2041" s="1" t="s">
        <v>2549</v>
      </c>
      <c r="C2041" s="1" t="s">
        <v>59</v>
      </c>
      <c r="D2041" s="1" t="s">
        <v>5994</v>
      </c>
      <c r="E2041" s="62">
        <v>44</v>
      </c>
      <c r="F2041" s="1" t="s">
        <v>2551</v>
      </c>
      <c r="G2041" s="1" t="s">
        <v>2555</v>
      </c>
    </row>
    <row x14ac:dyDescent="0.25" r="2042" customHeight="1" ht="17.25" hidden="1">
      <c r="A2042" s="112" t="s">
        <v>5993</v>
      </c>
      <c r="B2042" s="1" t="s">
        <v>2549</v>
      </c>
      <c r="C2042" s="1" t="s">
        <v>59</v>
      </c>
      <c r="D2042" s="1" t="s">
        <v>5995</v>
      </c>
      <c r="E2042" s="62">
        <v>19</v>
      </c>
      <c r="F2042" s="1" t="s">
        <v>2551</v>
      </c>
      <c r="G2042" s="1" t="s">
        <v>2555</v>
      </c>
    </row>
    <row x14ac:dyDescent="0.25" r="2043" customHeight="1" ht="17.25" hidden="1">
      <c r="A2043" s="112" t="s">
        <v>5996</v>
      </c>
      <c r="B2043" s="1" t="s">
        <v>2549</v>
      </c>
      <c r="C2043" s="1" t="s">
        <v>59</v>
      </c>
      <c r="D2043" s="1" t="s">
        <v>5997</v>
      </c>
      <c r="E2043" s="62">
        <v>22</v>
      </c>
      <c r="F2043" s="1" t="s">
        <v>2551</v>
      </c>
      <c r="G2043" s="1" t="s">
        <v>2555</v>
      </c>
    </row>
    <row x14ac:dyDescent="0.25" r="2044" customHeight="1" ht="17.25" hidden="1">
      <c r="A2044" s="112" t="s">
        <v>2133</v>
      </c>
      <c r="B2044" s="1" t="s">
        <v>2549</v>
      </c>
      <c r="C2044" s="1" t="s">
        <v>59</v>
      </c>
      <c r="D2044" s="1" t="s">
        <v>2134</v>
      </c>
      <c r="E2044" s="62">
        <v>25</v>
      </c>
      <c r="F2044" s="1" t="s">
        <v>2551</v>
      </c>
      <c r="G2044" s="1" t="s">
        <v>2552</v>
      </c>
    </row>
    <row x14ac:dyDescent="0.25" r="2045" customHeight="1" ht="17.25" hidden="1">
      <c r="A2045" s="112" t="s">
        <v>5998</v>
      </c>
      <c r="B2045" s="1" t="s">
        <v>2549</v>
      </c>
      <c r="C2045" s="1" t="s">
        <v>59</v>
      </c>
      <c r="D2045" s="1" t="s">
        <v>5999</v>
      </c>
      <c r="E2045" s="62">
        <v>32</v>
      </c>
      <c r="F2045" s="1" t="s">
        <v>2551</v>
      </c>
      <c r="G2045" s="1" t="s">
        <v>2552</v>
      </c>
    </row>
    <row x14ac:dyDescent="0.25" r="2046" customHeight="1" ht="17.25" hidden="1">
      <c r="A2046" s="112" t="s">
        <v>6000</v>
      </c>
      <c r="B2046" s="1" t="s">
        <v>2549</v>
      </c>
      <c r="C2046" s="1" t="s">
        <v>59</v>
      </c>
      <c r="D2046" s="1" t="s">
        <v>6001</v>
      </c>
      <c r="E2046" s="62">
        <v>28</v>
      </c>
      <c r="F2046" s="1" t="s">
        <v>2551</v>
      </c>
      <c r="G2046" s="1" t="s">
        <v>2555</v>
      </c>
    </row>
    <row x14ac:dyDescent="0.25" r="2047" customHeight="1" ht="17.25" hidden="1">
      <c r="A2047" s="112" t="s">
        <v>6002</v>
      </c>
      <c r="B2047" s="1" t="s">
        <v>2549</v>
      </c>
      <c r="C2047" s="1" t="s">
        <v>59</v>
      </c>
      <c r="D2047" s="1" t="s">
        <v>6003</v>
      </c>
      <c r="E2047" s="62">
        <v>19</v>
      </c>
      <c r="F2047" s="1" t="s">
        <v>2551</v>
      </c>
      <c r="G2047" s="1" t="s">
        <v>2555</v>
      </c>
    </row>
    <row x14ac:dyDescent="0.25" r="2048" customHeight="1" ht="17.25" hidden="1">
      <c r="A2048" s="112" t="s">
        <v>6004</v>
      </c>
      <c r="B2048" s="1" t="s">
        <v>2549</v>
      </c>
      <c r="C2048" s="1" t="s">
        <v>59</v>
      </c>
      <c r="D2048" s="1" t="s">
        <v>6005</v>
      </c>
      <c r="E2048" s="62">
        <v>18</v>
      </c>
      <c r="F2048" s="1" t="s">
        <v>2561</v>
      </c>
      <c r="G2048" s="1" t="s">
        <v>2555</v>
      </c>
    </row>
    <row x14ac:dyDescent="0.25" r="2049" customHeight="1" ht="17.25" hidden="1">
      <c r="A2049" s="112" t="s">
        <v>6006</v>
      </c>
      <c r="B2049" s="1" t="s">
        <v>2549</v>
      </c>
      <c r="C2049" s="1" t="s">
        <v>59</v>
      </c>
      <c r="D2049" s="1" t="s">
        <v>6007</v>
      </c>
      <c r="E2049" s="62">
        <v>28</v>
      </c>
      <c r="F2049" s="1" t="s">
        <v>2551</v>
      </c>
      <c r="G2049" s="1" t="s">
        <v>2552</v>
      </c>
    </row>
    <row x14ac:dyDescent="0.25" r="2050" customHeight="1" ht="17.25" hidden="1">
      <c r="A2050" s="112" t="s">
        <v>6008</v>
      </c>
      <c r="B2050" s="1" t="s">
        <v>2549</v>
      </c>
      <c r="C2050" s="1" t="s">
        <v>59</v>
      </c>
      <c r="D2050" s="1" t="s">
        <v>6009</v>
      </c>
      <c r="E2050" s="62">
        <v>25</v>
      </c>
      <c r="F2050" s="1" t="s">
        <v>2551</v>
      </c>
      <c r="G2050" s="1" t="s">
        <v>2552</v>
      </c>
    </row>
    <row x14ac:dyDescent="0.25" r="2051" customHeight="1" ht="17.25" hidden="1">
      <c r="A2051" s="112" t="s">
        <v>2120</v>
      </c>
      <c r="B2051" s="1" t="s">
        <v>2549</v>
      </c>
      <c r="C2051" s="1" t="s">
        <v>59</v>
      </c>
      <c r="D2051" s="1" t="s">
        <v>2121</v>
      </c>
      <c r="E2051" s="62">
        <v>24</v>
      </c>
      <c r="F2051" s="1" t="s">
        <v>2551</v>
      </c>
      <c r="G2051" s="1" t="s">
        <v>2552</v>
      </c>
    </row>
    <row x14ac:dyDescent="0.25" r="2052" customHeight="1" ht="17.25" hidden="1">
      <c r="A2052" s="112" t="s">
        <v>6010</v>
      </c>
      <c r="B2052" s="1" t="s">
        <v>2549</v>
      </c>
      <c r="C2052" s="1" t="s">
        <v>59</v>
      </c>
      <c r="D2052" s="1" t="s">
        <v>6011</v>
      </c>
      <c r="E2052" s="62">
        <v>35</v>
      </c>
      <c r="F2052" s="1" t="s">
        <v>2551</v>
      </c>
      <c r="G2052" s="1" t="s">
        <v>2555</v>
      </c>
    </row>
    <row x14ac:dyDescent="0.25" r="2053" customHeight="1" ht="17.25" hidden="1">
      <c r="A2053" s="112" t="s">
        <v>6012</v>
      </c>
      <c r="B2053" s="1" t="s">
        <v>2549</v>
      </c>
      <c r="C2053" s="1" t="s">
        <v>59</v>
      </c>
      <c r="D2053" s="1" t="s">
        <v>6013</v>
      </c>
      <c r="E2053" s="62">
        <v>20</v>
      </c>
      <c r="F2053" s="1" t="s">
        <v>2551</v>
      </c>
      <c r="G2053" s="1" t="s">
        <v>2552</v>
      </c>
    </row>
    <row x14ac:dyDescent="0.25" r="2054" customHeight="1" ht="17.25" hidden="1">
      <c r="A2054" s="112" t="s">
        <v>6014</v>
      </c>
      <c r="B2054" s="1" t="s">
        <v>2549</v>
      </c>
      <c r="C2054" s="1" t="s">
        <v>59</v>
      </c>
      <c r="D2054" s="1" t="s">
        <v>6015</v>
      </c>
      <c r="E2054" s="62">
        <v>22</v>
      </c>
      <c r="F2054" s="1" t="s">
        <v>2551</v>
      </c>
      <c r="G2054" s="1" t="s">
        <v>2552</v>
      </c>
    </row>
    <row x14ac:dyDescent="0.25" r="2055" customHeight="1" ht="17.25" hidden="1">
      <c r="A2055" s="112" t="s">
        <v>6016</v>
      </c>
      <c r="B2055" s="1" t="s">
        <v>2549</v>
      </c>
      <c r="C2055" s="1" t="s">
        <v>59</v>
      </c>
      <c r="D2055" s="1" t="s">
        <v>6017</v>
      </c>
      <c r="E2055" s="62">
        <v>24</v>
      </c>
      <c r="F2055" s="1" t="s">
        <v>2551</v>
      </c>
      <c r="G2055" s="1" t="s">
        <v>2555</v>
      </c>
    </row>
    <row x14ac:dyDescent="0.25" r="2056" customHeight="1" ht="17.25" hidden="1">
      <c r="A2056" s="112" t="s">
        <v>6018</v>
      </c>
      <c r="B2056" s="1" t="s">
        <v>2549</v>
      </c>
      <c r="C2056" s="1" t="s">
        <v>59</v>
      </c>
      <c r="D2056" s="1" t="s">
        <v>6019</v>
      </c>
      <c r="E2056" s="62">
        <v>24</v>
      </c>
      <c r="F2056" s="1" t="s">
        <v>2551</v>
      </c>
      <c r="G2056" s="1" t="s">
        <v>2555</v>
      </c>
    </row>
    <row x14ac:dyDescent="0.25" r="2057" customHeight="1" ht="17.25" hidden="1">
      <c r="A2057" s="112" t="s">
        <v>6020</v>
      </c>
      <c r="B2057" s="1" t="s">
        <v>2549</v>
      </c>
      <c r="C2057" s="1" t="s">
        <v>59</v>
      </c>
      <c r="D2057" s="1" t="s">
        <v>6021</v>
      </c>
      <c r="E2057" s="62">
        <v>30</v>
      </c>
      <c r="F2057" s="1" t="s">
        <v>2551</v>
      </c>
      <c r="G2057" s="1" t="s">
        <v>2558</v>
      </c>
    </row>
    <row x14ac:dyDescent="0.25" r="2058" customHeight="1" ht="17.25" hidden="1">
      <c r="A2058" s="112" t="s">
        <v>6022</v>
      </c>
      <c r="B2058" s="1" t="s">
        <v>2549</v>
      </c>
      <c r="C2058" s="1" t="s">
        <v>59</v>
      </c>
      <c r="D2058" s="1" t="s">
        <v>6023</v>
      </c>
      <c r="E2058" s="54" t="s">
        <v>2571</v>
      </c>
      <c r="F2058" s="1" t="s">
        <v>2551</v>
      </c>
      <c r="G2058" s="1" t="s">
        <v>2552</v>
      </c>
    </row>
    <row x14ac:dyDescent="0.25" r="2059" customHeight="1" ht="17.25" hidden="1">
      <c r="A2059" s="112" t="s">
        <v>6024</v>
      </c>
      <c r="B2059" s="1" t="s">
        <v>2549</v>
      </c>
      <c r="C2059" s="1" t="s">
        <v>59</v>
      </c>
      <c r="D2059" s="1" t="s">
        <v>6025</v>
      </c>
      <c r="E2059" s="62">
        <v>18</v>
      </c>
      <c r="F2059" s="1" t="s">
        <v>2551</v>
      </c>
      <c r="G2059" s="1" t="s">
        <v>2552</v>
      </c>
    </row>
    <row x14ac:dyDescent="0.25" r="2060" customHeight="1" ht="17.25" hidden="1">
      <c r="A2060" s="112" t="s">
        <v>6026</v>
      </c>
      <c r="B2060" s="1" t="s">
        <v>2549</v>
      </c>
      <c r="C2060" s="1" t="s">
        <v>59</v>
      </c>
      <c r="D2060" s="1" t="s">
        <v>6027</v>
      </c>
      <c r="E2060" s="62">
        <v>33</v>
      </c>
      <c r="F2060" s="1" t="s">
        <v>2551</v>
      </c>
      <c r="G2060" s="1" t="s">
        <v>2552</v>
      </c>
    </row>
    <row x14ac:dyDescent="0.25" r="2061" customHeight="1" ht="17.25" hidden="1">
      <c r="A2061" s="112" t="s">
        <v>6028</v>
      </c>
      <c r="B2061" s="1" t="s">
        <v>2549</v>
      </c>
      <c r="C2061" s="1" t="s">
        <v>59</v>
      </c>
      <c r="D2061" s="1" t="s">
        <v>6029</v>
      </c>
      <c r="E2061" s="62">
        <v>18</v>
      </c>
      <c r="F2061" s="1" t="s">
        <v>2551</v>
      </c>
      <c r="G2061" s="1" t="s">
        <v>2552</v>
      </c>
    </row>
    <row x14ac:dyDescent="0.25" r="2062" customHeight="1" ht="17.25" hidden="1">
      <c r="A2062" s="112" t="s">
        <v>6030</v>
      </c>
      <c r="B2062" s="1" t="s">
        <v>2549</v>
      </c>
      <c r="C2062" s="1" t="s">
        <v>59</v>
      </c>
      <c r="D2062" s="1" t="s">
        <v>6031</v>
      </c>
      <c r="E2062" s="62">
        <v>19</v>
      </c>
      <c r="F2062" s="1" t="s">
        <v>2551</v>
      </c>
      <c r="G2062" s="1" t="s">
        <v>2555</v>
      </c>
    </row>
    <row x14ac:dyDescent="0.25" r="2063" customHeight="1" ht="17.25" hidden="1">
      <c r="A2063" s="112" t="s">
        <v>6032</v>
      </c>
      <c r="B2063" s="1" t="s">
        <v>2549</v>
      </c>
      <c r="C2063" s="1" t="s">
        <v>59</v>
      </c>
      <c r="D2063" s="1" t="s">
        <v>6033</v>
      </c>
      <c r="E2063" s="62">
        <v>21</v>
      </c>
      <c r="F2063" s="1" t="s">
        <v>2551</v>
      </c>
      <c r="G2063" s="1" t="s">
        <v>2555</v>
      </c>
    </row>
    <row x14ac:dyDescent="0.25" r="2064" customHeight="1" ht="17.25" hidden="1">
      <c r="A2064" s="112" t="s">
        <v>6034</v>
      </c>
      <c r="B2064" s="1" t="s">
        <v>2549</v>
      </c>
      <c r="C2064" s="1" t="s">
        <v>59</v>
      </c>
      <c r="D2064" s="1" t="s">
        <v>6035</v>
      </c>
      <c r="E2064" s="62">
        <v>31</v>
      </c>
      <c r="F2064" s="1" t="s">
        <v>2551</v>
      </c>
      <c r="G2064" s="1" t="s">
        <v>2555</v>
      </c>
    </row>
    <row x14ac:dyDescent="0.25" r="2065" customHeight="1" ht="17.25" hidden="1">
      <c r="A2065" s="112" t="s">
        <v>6036</v>
      </c>
      <c r="B2065" s="1" t="s">
        <v>2549</v>
      </c>
      <c r="C2065" s="1" t="s">
        <v>59</v>
      </c>
      <c r="D2065" s="1" t="s">
        <v>6037</v>
      </c>
      <c r="E2065" s="62">
        <v>37</v>
      </c>
      <c r="F2065" s="1" t="s">
        <v>2551</v>
      </c>
      <c r="G2065" s="1" t="s">
        <v>2555</v>
      </c>
    </row>
    <row x14ac:dyDescent="0.25" r="2066" customHeight="1" ht="17.25" hidden="1">
      <c r="A2066" s="112" t="s">
        <v>6038</v>
      </c>
      <c r="B2066" s="1" t="s">
        <v>2549</v>
      </c>
      <c r="C2066" s="1" t="s">
        <v>59</v>
      </c>
      <c r="D2066" s="1" t="s">
        <v>6039</v>
      </c>
      <c r="E2066" s="62">
        <v>25</v>
      </c>
      <c r="F2066" s="1" t="s">
        <v>2551</v>
      </c>
      <c r="G2066" s="1" t="s">
        <v>2552</v>
      </c>
    </row>
    <row x14ac:dyDescent="0.25" r="2067" customHeight="1" ht="17.25" hidden="1">
      <c r="A2067" s="112" t="s">
        <v>6040</v>
      </c>
      <c r="B2067" s="1" t="s">
        <v>2549</v>
      </c>
      <c r="C2067" s="1" t="s">
        <v>59</v>
      </c>
      <c r="D2067" s="1" t="s">
        <v>6041</v>
      </c>
      <c r="E2067" s="62">
        <v>21</v>
      </c>
      <c r="F2067" s="1" t="s">
        <v>2551</v>
      </c>
      <c r="G2067" s="1" t="s">
        <v>2558</v>
      </c>
    </row>
    <row x14ac:dyDescent="0.25" r="2068" customHeight="1" ht="17.25" hidden="1">
      <c r="A2068" s="112" t="s">
        <v>1450</v>
      </c>
      <c r="B2068" s="1" t="s">
        <v>2549</v>
      </c>
      <c r="C2068" s="1" t="s">
        <v>59</v>
      </c>
      <c r="D2068" s="1" t="s">
        <v>1451</v>
      </c>
      <c r="E2068" s="62">
        <v>22</v>
      </c>
      <c r="F2068" s="1" t="s">
        <v>2551</v>
      </c>
      <c r="G2068" s="1" t="s">
        <v>2555</v>
      </c>
    </row>
    <row x14ac:dyDescent="0.25" r="2069" customHeight="1" ht="17.25" hidden="1">
      <c r="A2069" s="112" t="s">
        <v>6042</v>
      </c>
      <c r="B2069" s="1" t="s">
        <v>2549</v>
      </c>
      <c r="C2069" s="1" t="s">
        <v>59</v>
      </c>
      <c r="D2069" s="1" t="s">
        <v>6043</v>
      </c>
      <c r="E2069" s="62">
        <v>31</v>
      </c>
      <c r="F2069" s="1" t="s">
        <v>2551</v>
      </c>
      <c r="G2069" s="1" t="s">
        <v>2552</v>
      </c>
    </row>
    <row x14ac:dyDescent="0.25" r="2070" customHeight="1" ht="17.25" hidden="1">
      <c r="A2070" s="112" t="s">
        <v>6044</v>
      </c>
      <c r="B2070" s="1" t="s">
        <v>2549</v>
      </c>
      <c r="C2070" s="1" t="s">
        <v>59</v>
      </c>
      <c r="D2070" s="1" t="s">
        <v>6045</v>
      </c>
      <c r="E2070" s="62">
        <v>27</v>
      </c>
      <c r="F2070" s="1" t="s">
        <v>2551</v>
      </c>
      <c r="G2070" s="1" t="s">
        <v>2552</v>
      </c>
    </row>
    <row x14ac:dyDescent="0.25" r="2071" customHeight="1" ht="17.25" hidden="1">
      <c r="A2071" s="112" t="s">
        <v>6046</v>
      </c>
      <c r="B2071" s="1" t="s">
        <v>2549</v>
      </c>
      <c r="C2071" s="1" t="s">
        <v>59</v>
      </c>
      <c r="D2071" s="1" t="s">
        <v>6047</v>
      </c>
      <c r="E2071" s="62">
        <v>33</v>
      </c>
      <c r="F2071" s="1" t="s">
        <v>2551</v>
      </c>
      <c r="G2071" s="1" t="s">
        <v>2552</v>
      </c>
    </row>
    <row x14ac:dyDescent="0.25" r="2072" customHeight="1" ht="17.25" hidden="1">
      <c r="A2072" s="112" t="s">
        <v>6048</v>
      </c>
      <c r="B2072" s="1" t="s">
        <v>2549</v>
      </c>
      <c r="C2072" s="1" t="s">
        <v>59</v>
      </c>
      <c r="D2072" s="1" t="s">
        <v>6049</v>
      </c>
      <c r="E2072" s="62">
        <v>19</v>
      </c>
      <c r="F2072" s="1" t="s">
        <v>2551</v>
      </c>
      <c r="G2072" s="1" t="s">
        <v>2552</v>
      </c>
    </row>
    <row x14ac:dyDescent="0.25" r="2073" customHeight="1" ht="17.25" hidden="1">
      <c r="A2073" s="112" t="s">
        <v>6050</v>
      </c>
      <c r="B2073" s="1" t="s">
        <v>2549</v>
      </c>
      <c r="C2073" s="1" t="s">
        <v>59</v>
      </c>
      <c r="D2073" s="1" t="s">
        <v>6051</v>
      </c>
      <c r="E2073" s="62">
        <v>24</v>
      </c>
      <c r="F2073" s="1" t="s">
        <v>2551</v>
      </c>
      <c r="G2073" s="1" t="s">
        <v>2555</v>
      </c>
    </row>
    <row x14ac:dyDescent="0.25" r="2074" customHeight="1" ht="17.25" hidden="1">
      <c r="A2074" s="112" t="s">
        <v>6052</v>
      </c>
      <c r="B2074" s="1" t="s">
        <v>2549</v>
      </c>
      <c r="C2074" s="1" t="s">
        <v>59</v>
      </c>
      <c r="D2074" s="1" t="s">
        <v>6053</v>
      </c>
      <c r="E2074" s="62">
        <v>25</v>
      </c>
      <c r="F2074" s="1" t="s">
        <v>2551</v>
      </c>
      <c r="G2074" s="1" t="s">
        <v>2558</v>
      </c>
    </row>
    <row x14ac:dyDescent="0.25" r="2075" customHeight="1" ht="17.25" hidden="1">
      <c r="A2075" s="112" t="s">
        <v>6054</v>
      </c>
      <c r="B2075" s="1" t="s">
        <v>2549</v>
      </c>
      <c r="C2075" s="1" t="s">
        <v>59</v>
      </c>
      <c r="D2075" s="1" t="s">
        <v>6055</v>
      </c>
      <c r="E2075" s="62">
        <v>24</v>
      </c>
      <c r="F2075" s="1" t="s">
        <v>2551</v>
      </c>
      <c r="G2075" s="1" t="s">
        <v>2552</v>
      </c>
    </row>
    <row x14ac:dyDescent="0.25" r="2076" customHeight="1" ht="17.25" hidden="1">
      <c r="A2076" s="112" t="s">
        <v>6054</v>
      </c>
      <c r="B2076" s="1" t="s">
        <v>2549</v>
      </c>
      <c r="C2076" s="1" t="s">
        <v>59</v>
      </c>
      <c r="D2076" s="1" t="s">
        <v>6056</v>
      </c>
      <c r="E2076" s="62">
        <v>20</v>
      </c>
      <c r="F2076" s="1" t="s">
        <v>2551</v>
      </c>
      <c r="G2076" s="1" t="s">
        <v>2558</v>
      </c>
    </row>
    <row x14ac:dyDescent="0.25" r="2077" customHeight="1" ht="17.25" hidden="1">
      <c r="A2077" s="112" t="s">
        <v>6057</v>
      </c>
      <c r="B2077" s="1" t="s">
        <v>2549</v>
      </c>
      <c r="C2077" s="1" t="s">
        <v>59</v>
      </c>
      <c r="D2077" s="1" t="s">
        <v>6058</v>
      </c>
      <c r="E2077" s="62">
        <v>21</v>
      </c>
      <c r="F2077" s="1" t="s">
        <v>2551</v>
      </c>
      <c r="G2077" s="1" t="s">
        <v>2555</v>
      </c>
    </row>
    <row x14ac:dyDescent="0.25" r="2078" customHeight="1" ht="17.25" hidden="1">
      <c r="A2078" s="112" t="s">
        <v>6057</v>
      </c>
      <c r="B2078" s="1" t="s">
        <v>2549</v>
      </c>
      <c r="C2078" s="1" t="s">
        <v>59</v>
      </c>
      <c r="D2078" s="1" t="s">
        <v>6059</v>
      </c>
      <c r="E2078" s="62">
        <v>26</v>
      </c>
      <c r="F2078" s="1" t="s">
        <v>2551</v>
      </c>
      <c r="G2078" s="1" t="s">
        <v>2555</v>
      </c>
    </row>
    <row x14ac:dyDescent="0.25" r="2079" customHeight="1" ht="17.25" hidden="1">
      <c r="A2079" s="112" t="s">
        <v>6060</v>
      </c>
      <c r="B2079" s="1" t="s">
        <v>2549</v>
      </c>
      <c r="C2079" s="1" t="s">
        <v>59</v>
      </c>
      <c r="D2079" s="1" t="s">
        <v>6061</v>
      </c>
      <c r="E2079" s="62">
        <v>38</v>
      </c>
      <c r="F2079" s="1" t="s">
        <v>2551</v>
      </c>
      <c r="G2079" s="1" t="s">
        <v>2555</v>
      </c>
    </row>
    <row x14ac:dyDescent="0.25" r="2080" customHeight="1" ht="17.25" hidden="1">
      <c r="A2080" s="112" t="s">
        <v>6062</v>
      </c>
      <c r="B2080" s="1" t="s">
        <v>2549</v>
      </c>
      <c r="C2080" s="1" t="s">
        <v>59</v>
      </c>
      <c r="D2080" s="1" t="s">
        <v>6063</v>
      </c>
      <c r="E2080" s="62">
        <v>29</v>
      </c>
      <c r="F2080" s="1" t="s">
        <v>2551</v>
      </c>
      <c r="G2080" s="1" t="s">
        <v>2552</v>
      </c>
    </row>
    <row x14ac:dyDescent="0.25" r="2081" customHeight="1" ht="17.25" hidden="1">
      <c r="A2081" s="112" t="s">
        <v>6064</v>
      </c>
      <c r="B2081" s="1" t="s">
        <v>2549</v>
      </c>
      <c r="C2081" s="1" t="s">
        <v>59</v>
      </c>
      <c r="D2081" s="1" t="s">
        <v>6065</v>
      </c>
      <c r="E2081" s="62">
        <v>20</v>
      </c>
      <c r="F2081" s="1" t="s">
        <v>2551</v>
      </c>
      <c r="G2081" s="1" t="s">
        <v>2555</v>
      </c>
    </row>
    <row x14ac:dyDescent="0.25" r="2082" customHeight="1" ht="17.25" hidden="1">
      <c r="A2082" s="112" t="s">
        <v>6064</v>
      </c>
      <c r="B2082" s="1" t="s">
        <v>2549</v>
      </c>
      <c r="C2082" s="1" t="s">
        <v>59</v>
      </c>
      <c r="D2082" s="1" t="s">
        <v>6066</v>
      </c>
      <c r="E2082" s="62">
        <v>36</v>
      </c>
      <c r="F2082" s="1" t="s">
        <v>2551</v>
      </c>
      <c r="G2082" s="1" t="s">
        <v>2552</v>
      </c>
    </row>
    <row x14ac:dyDescent="0.25" r="2083" customHeight="1" ht="17.25" hidden="1">
      <c r="A2083" s="112" t="s">
        <v>6067</v>
      </c>
      <c r="B2083" s="1" t="s">
        <v>2549</v>
      </c>
      <c r="C2083" s="1" t="s">
        <v>59</v>
      </c>
      <c r="D2083" s="1" t="s">
        <v>6068</v>
      </c>
      <c r="E2083" s="62">
        <v>37</v>
      </c>
      <c r="F2083" s="1" t="s">
        <v>2551</v>
      </c>
      <c r="G2083" s="1" t="s">
        <v>2555</v>
      </c>
    </row>
    <row x14ac:dyDescent="0.25" r="2084" customHeight="1" ht="17.25" hidden="1">
      <c r="A2084" s="112" t="s">
        <v>6067</v>
      </c>
      <c r="B2084" s="1" t="s">
        <v>2549</v>
      </c>
      <c r="C2084" s="1" t="s">
        <v>59</v>
      </c>
      <c r="D2084" s="1" t="s">
        <v>6069</v>
      </c>
      <c r="E2084" s="62">
        <v>33</v>
      </c>
      <c r="F2084" s="1" t="s">
        <v>2551</v>
      </c>
      <c r="G2084" s="1" t="s">
        <v>2552</v>
      </c>
    </row>
    <row x14ac:dyDescent="0.25" r="2085" customHeight="1" ht="17.25" hidden="1">
      <c r="A2085" s="112" t="s">
        <v>6067</v>
      </c>
      <c r="B2085" s="1" t="s">
        <v>2549</v>
      </c>
      <c r="C2085" s="1" t="s">
        <v>59</v>
      </c>
      <c r="D2085" s="1" t="s">
        <v>6070</v>
      </c>
      <c r="E2085" s="62">
        <v>31</v>
      </c>
      <c r="F2085" s="1" t="s">
        <v>2551</v>
      </c>
      <c r="G2085" s="1" t="s">
        <v>2555</v>
      </c>
    </row>
    <row x14ac:dyDescent="0.25" r="2086" customHeight="1" ht="17.25" hidden="1">
      <c r="A2086" s="112" t="s">
        <v>6071</v>
      </c>
      <c r="B2086" s="1" t="s">
        <v>2549</v>
      </c>
      <c r="C2086" s="1" t="s">
        <v>59</v>
      </c>
      <c r="D2086" s="1" t="s">
        <v>6072</v>
      </c>
      <c r="E2086" s="62">
        <v>23</v>
      </c>
      <c r="F2086" s="1" t="s">
        <v>2551</v>
      </c>
      <c r="G2086" s="1" t="s">
        <v>2552</v>
      </c>
    </row>
    <row x14ac:dyDescent="0.25" r="2087" customHeight="1" ht="17.25" hidden="1">
      <c r="A2087" s="112" t="s">
        <v>6073</v>
      </c>
      <c r="B2087" s="1" t="s">
        <v>2549</v>
      </c>
      <c r="C2087" s="1" t="s">
        <v>59</v>
      </c>
      <c r="D2087" s="1" t="s">
        <v>6074</v>
      </c>
      <c r="E2087" s="62">
        <v>35</v>
      </c>
      <c r="F2087" s="1" t="s">
        <v>2551</v>
      </c>
      <c r="G2087" s="1" t="s">
        <v>2552</v>
      </c>
    </row>
    <row x14ac:dyDescent="0.25" r="2088" customHeight="1" ht="17.25" hidden="1">
      <c r="A2088" s="112" t="s">
        <v>1173</v>
      </c>
      <c r="B2088" s="1" t="s">
        <v>2549</v>
      </c>
      <c r="C2088" s="1" t="s">
        <v>59</v>
      </c>
      <c r="D2088" s="1" t="s">
        <v>1175</v>
      </c>
      <c r="E2088" s="62">
        <v>34</v>
      </c>
      <c r="F2088" s="1" t="s">
        <v>2551</v>
      </c>
      <c r="G2088" s="1" t="s">
        <v>2555</v>
      </c>
    </row>
    <row x14ac:dyDescent="0.25" r="2089" customHeight="1" ht="17.25" hidden="1">
      <c r="A2089" s="112" t="s">
        <v>6075</v>
      </c>
      <c r="B2089" s="1" t="s">
        <v>2549</v>
      </c>
      <c r="C2089" s="1" t="s">
        <v>59</v>
      </c>
      <c r="D2089" s="1" t="s">
        <v>6076</v>
      </c>
      <c r="E2089" s="62">
        <v>19</v>
      </c>
      <c r="F2089" s="1" t="s">
        <v>2551</v>
      </c>
      <c r="G2089" s="1" t="s">
        <v>2552</v>
      </c>
    </row>
    <row x14ac:dyDescent="0.25" r="2090" customHeight="1" ht="17.25" hidden="1">
      <c r="A2090" s="112" t="s">
        <v>6077</v>
      </c>
      <c r="B2090" s="1" t="s">
        <v>2549</v>
      </c>
      <c r="C2090" s="1" t="s">
        <v>59</v>
      </c>
      <c r="D2090" s="1" t="s">
        <v>6078</v>
      </c>
      <c r="E2090" s="62">
        <v>40</v>
      </c>
      <c r="F2090" s="1" t="s">
        <v>2551</v>
      </c>
      <c r="G2090" s="1" t="s">
        <v>2555</v>
      </c>
    </row>
    <row x14ac:dyDescent="0.25" r="2091" customHeight="1" ht="17.25" hidden="1">
      <c r="A2091" s="112" t="s">
        <v>6079</v>
      </c>
      <c r="B2091" s="1" t="s">
        <v>2549</v>
      </c>
      <c r="C2091" s="1" t="s">
        <v>59</v>
      </c>
      <c r="D2091" s="1" t="s">
        <v>6080</v>
      </c>
      <c r="E2091" s="62">
        <v>27</v>
      </c>
      <c r="F2091" s="1" t="s">
        <v>2551</v>
      </c>
      <c r="G2091" s="1" t="s">
        <v>2552</v>
      </c>
    </row>
    <row x14ac:dyDescent="0.25" r="2092" customHeight="1" ht="17.25" hidden="1">
      <c r="A2092" s="112" t="s">
        <v>6079</v>
      </c>
      <c r="B2092" s="1" t="s">
        <v>2549</v>
      </c>
      <c r="C2092" s="1" t="s">
        <v>59</v>
      </c>
      <c r="D2092" s="1" t="s">
        <v>6081</v>
      </c>
      <c r="E2092" s="62">
        <v>20</v>
      </c>
      <c r="F2092" s="1" t="s">
        <v>2551</v>
      </c>
      <c r="G2092" s="1" t="s">
        <v>2552</v>
      </c>
    </row>
    <row x14ac:dyDescent="0.25" r="2093" customHeight="1" ht="17.25" hidden="1">
      <c r="A2093" s="112" t="s">
        <v>6079</v>
      </c>
      <c r="B2093" s="1" t="s">
        <v>2549</v>
      </c>
      <c r="C2093" s="1" t="s">
        <v>59</v>
      </c>
      <c r="D2093" s="1" t="s">
        <v>6082</v>
      </c>
      <c r="E2093" s="62">
        <v>28</v>
      </c>
      <c r="F2093" s="1" t="s">
        <v>2551</v>
      </c>
      <c r="G2093" s="1" t="s">
        <v>2558</v>
      </c>
    </row>
    <row x14ac:dyDescent="0.25" r="2094" customHeight="1" ht="17.25" hidden="1">
      <c r="A2094" s="112" t="s">
        <v>6079</v>
      </c>
      <c r="B2094" s="1" t="s">
        <v>2549</v>
      </c>
      <c r="C2094" s="1" t="s">
        <v>59</v>
      </c>
      <c r="D2094" s="1" t="s">
        <v>6083</v>
      </c>
      <c r="E2094" s="62">
        <v>31</v>
      </c>
      <c r="F2094" s="1" t="s">
        <v>2551</v>
      </c>
      <c r="G2094" s="1" t="s">
        <v>2552</v>
      </c>
    </row>
    <row x14ac:dyDescent="0.25" r="2095" customHeight="1" ht="17.25" hidden="1">
      <c r="A2095" s="112" t="s">
        <v>6079</v>
      </c>
      <c r="B2095" s="1" t="s">
        <v>2549</v>
      </c>
      <c r="C2095" s="1" t="s">
        <v>59</v>
      </c>
      <c r="D2095" s="1" t="s">
        <v>6084</v>
      </c>
      <c r="E2095" s="62">
        <v>25</v>
      </c>
      <c r="F2095" s="1" t="s">
        <v>2551</v>
      </c>
      <c r="G2095" s="1" t="s">
        <v>2552</v>
      </c>
    </row>
    <row x14ac:dyDescent="0.25" r="2096" customHeight="1" ht="17.25" hidden="1">
      <c r="A2096" s="112" t="s">
        <v>6079</v>
      </c>
      <c r="B2096" s="1" t="s">
        <v>2549</v>
      </c>
      <c r="C2096" s="1" t="s">
        <v>59</v>
      </c>
      <c r="D2096" s="1" t="s">
        <v>6085</v>
      </c>
      <c r="E2096" s="62">
        <v>23</v>
      </c>
      <c r="F2096" s="1" t="s">
        <v>2561</v>
      </c>
      <c r="G2096" s="1" t="s">
        <v>2555</v>
      </c>
    </row>
    <row x14ac:dyDescent="0.25" r="2097" customHeight="1" ht="17.25" hidden="1">
      <c r="A2097" s="112" t="s">
        <v>6079</v>
      </c>
      <c r="B2097" s="1" t="s">
        <v>2549</v>
      </c>
      <c r="C2097" s="1" t="s">
        <v>59</v>
      </c>
      <c r="D2097" s="1" t="s">
        <v>6086</v>
      </c>
      <c r="E2097" s="62">
        <v>21</v>
      </c>
      <c r="F2097" s="1" t="s">
        <v>2551</v>
      </c>
      <c r="G2097" s="1" t="s">
        <v>2552</v>
      </c>
    </row>
    <row x14ac:dyDescent="0.25" r="2098" customHeight="1" ht="17.25" hidden="1">
      <c r="A2098" s="112" t="s">
        <v>6079</v>
      </c>
      <c r="B2098" s="1" t="s">
        <v>2549</v>
      </c>
      <c r="C2098" s="1" t="s">
        <v>59</v>
      </c>
      <c r="D2098" s="1" t="s">
        <v>6087</v>
      </c>
      <c r="E2098" s="62">
        <v>19</v>
      </c>
      <c r="F2098" s="1" t="s">
        <v>2551</v>
      </c>
      <c r="G2098" s="1" t="s">
        <v>2552</v>
      </c>
    </row>
    <row x14ac:dyDescent="0.25" r="2099" customHeight="1" ht="17.25" hidden="1">
      <c r="A2099" s="112" t="s">
        <v>6088</v>
      </c>
      <c r="B2099" s="1" t="s">
        <v>2549</v>
      </c>
      <c r="C2099" s="1" t="s">
        <v>59</v>
      </c>
      <c r="D2099" s="1" t="s">
        <v>6089</v>
      </c>
      <c r="E2099" s="62">
        <v>20</v>
      </c>
      <c r="F2099" s="1" t="s">
        <v>2551</v>
      </c>
      <c r="G2099" s="1" t="s">
        <v>2552</v>
      </c>
    </row>
    <row x14ac:dyDescent="0.25" r="2100" customHeight="1" ht="17.25" hidden="1">
      <c r="A2100" s="112" t="s">
        <v>6090</v>
      </c>
      <c r="B2100" s="1" t="s">
        <v>2549</v>
      </c>
      <c r="C2100" s="1" t="s">
        <v>59</v>
      </c>
      <c r="D2100" s="1" t="s">
        <v>6091</v>
      </c>
      <c r="E2100" s="62">
        <v>23</v>
      </c>
      <c r="F2100" s="1" t="s">
        <v>2551</v>
      </c>
      <c r="G2100" s="1" t="s">
        <v>2558</v>
      </c>
    </row>
    <row x14ac:dyDescent="0.25" r="2101" customHeight="1" ht="17.25" hidden="1">
      <c r="A2101" s="112" t="s">
        <v>6092</v>
      </c>
      <c r="B2101" s="1" t="s">
        <v>2549</v>
      </c>
      <c r="C2101" s="1" t="s">
        <v>59</v>
      </c>
      <c r="D2101" s="1" t="s">
        <v>6093</v>
      </c>
      <c r="E2101" s="62">
        <v>20</v>
      </c>
      <c r="F2101" s="1" t="s">
        <v>2551</v>
      </c>
      <c r="G2101" s="1" t="s">
        <v>2552</v>
      </c>
    </row>
    <row x14ac:dyDescent="0.25" r="2102" customHeight="1" ht="17.25" hidden="1">
      <c r="A2102" s="112" t="s">
        <v>6094</v>
      </c>
      <c r="B2102" s="1" t="s">
        <v>2549</v>
      </c>
      <c r="C2102" s="1" t="s">
        <v>59</v>
      </c>
      <c r="D2102" s="1" t="s">
        <v>6095</v>
      </c>
      <c r="E2102" s="62">
        <v>33</v>
      </c>
      <c r="F2102" s="1" t="s">
        <v>2551</v>
      </c>
      <c r="G2102" s="1" t="s">
        <v>2555</v>
      </c>
    </row>
    <row x14ac:dyDescent="0.25" r="2103" customHeight="1" ht="17.25" hidden="1">
      <c r="A2103" s="112" t="s">
        <v>6096</v>
      </c>
      <c r="B2103" s="1" t="s">
        <v>2549</v>
      </c>
      <c r="C2103" s="1" t="s">
        <v>59</v>
      </c>
      <c r="D2103" s="1" t="s">
        <v>6097</v>
      </c>
      <c r="E2103" s="62">
        <v>18</v>
      </c>
      <c r="F2103" s="1" t="s">
        <v>2551</v>
      </c>
      <c r="G2103" s="1" t="s">
        <v>2558</v>
      </c>
    </row>
    <row x14ac:dyDescent="0.25" r="2104" customHeight="1" ht="17.25" hidden="1">
      <c r="A2104" s="112" t="s">
        <v>6098</v>
      </c>
      <c r="B2104" s="1" t="s">
        <v>2549</v>
      </c>
      <c r="C2104" s="1" t="s">
        <v>59</v>
      </c>
      <c r="D2104" s="1" t="s">
        <v>3686</v>
      </c>
      <c r="E2104" s="62">
        <v>34</v>
      </c>
      <c r="F2104" s="1" t="s">
        <v>2551</v>
      </c>
      <c r="G2104" s="1" t="s">
        <v>2558</v>
      </c>
    </row>
    <row x14ac:dyDescent="0.25" r="2105" customHeight="1" ht="17.25" hidden="1">
      <c r="A2105" s="112" t="s">
        <v>6099</v>
      </c>
      <c r="B2105" s="1" t="s">
        <v>2549</v>
      </c>
      <c r="C2105" s="1" t="s">
        <v>59</v>
      </c>
      <c r="D2105" s="1" t="s">
        <v>6100</v>
      </c>
      <c r="E2105" s="62">
        <v>21</v>
      </c>
      <c r="F2105" s="1" t="s">
        <v>2551</v>
      </c>
      <c r="G2105" s="1" t="s">
        <v>2552</v>
      </c>
    </row>
    <row x14ac:dyDescent="0.25" r="2106" customHeight="1" ht="17.25" hidden="1">
      <c r="A2106" s="112" t="s">
        <v>6099</v>
      </c>
      <c r="B2106" s="1" t="s">
        <v>2549</v>
      </c>
      <c r="C2106" s="1" t="s">
        <v>59</v>
      </c>
      <c r="D2106" s="1" t="s">
        <v>6101</v>
      </c>
      <c r="E2106" s="62">
        <v>29</v>
      </c>
      <c r="F2106" s="1" t="s">
        <v>2551</v>
      </c>
      <c r="G2106" s="1" t="s">
        <v>2552</v>
      </c>
    </row>
    <row x14ac:dyDescent="0.25" r="2107" customHeight="1" ht="17.25" hidden="1">
      <c r="A2107" s="112" t="s">
        <v>6102</v>
      </c>
      <c r="B2107" s="1" t="s">
        <v>2549</v>
      </c>
      <c r="C2107" s="1" t="s">
        <v>59</v>
      </c>
      <c r="D2107" s="1" t="s">
        <v>6103</v>
      </c>
      <c r="E2107" s="62">
        <v>20</v>
      </c>
      <c r="F2107" s="1" t="s">
        <v>2551</v>
      </c>
      <c r="G2107" s="1" t="s">
        <v>2558</v>
      </c>
    </row>
    <row x14ac:dyDescent="0.25" r="2108" customHeight="1" ht="17.25" hidden="1">
      <c r="A2108" s="112" t="s">
        <v>6104</v>
      </c>
      <c r="B2108" s="1" t="s">
        <v>2549</v>
      </c>
      <c r="C2108" s="1" t="s">
        <v>59</v>
      </c>
      <c r="D2108" s="1" t="s">
        <v>6105</v>
      </c>
      <c r="E2108" s="62">
        <v>22</v>
      </c>
      <c r="F2108" s="1" t="s">
        <v>2551</v>
      </c>
      <c r="G2108" s="1" t="s">
        <v>2552</v>
      </c>
    </row>
    <row x14ac:dyDescent="0.25" r="2109" customHeight="1" ht="17.25" hidden="1">
      <c r="A2109" s="112" t="s">
        <v>6106</v>
      </c>
      <c r="B2109" s="1" t="s">
        <v>2549</v>
      </c>
      <c r="C2109" s="1" t="s">
        <v>59</v>
      </c>
      <c r="D2109" s="1" t="s">
        <v>6107</v>
      </c>
      <c r="E2109" s="62">
        <v>25</v>
      </c>
      <c r="F2109" s="1" t="s">
        <v>2551</v>
      </c>
      <c r="G2109" s="1" t="s">
        <v>2552</v>
      </c>
    </row>
    <row x14ac:dyDescent="0.25" r="2110" customHeight="1" ht="17.25" hidden="1">
      <c r="A2110" s="112" t="s">
        <v>6108</v>
      </c>
      <c r="B2110" s="1" t="s">
        <v>2549</v>
      </c>
      <c r="C2110" s="1" t="s">
        <v>59</v>
      </c>
      <c r="D2110" s="1" t="s">
        <v>6109</v>
      </c>
      <c r="E2110" s="62">
        <v>18</v>
      </c>
      <c r="F2110" s="1" t="s">
        <v>2551</v>
      </c>
      <c r="G2110" s="1" t="s">
        <v>2555</v>
      </c>
    </row>
    <row x14ac:dyDescent="0.25" r="2111" customHeight="1" ht="17.25" hidden="1">
      <c r="A2111" s="112" t="s">
        <v>6108</v>
      </c>
      <c r="B2111" s="1" t="s">
        <v>2549</v>
      </c>
      <c r="C2111" s="1" t="s">
        <v>59</v>
      </c>
      <c r="D2111" s="1" t="s">
        <v>6110</v>
      </c>
      <c r="E2111" s="62">
        <v>26</v>
      </c>
      <c r="F2111" s="1" t="s">
        <v>2551</v>
      </c>
      <c r="G2111" s="1" t="s">
        <v>2555</v>
      </c>
    </row>
    <row x14ac:dyDescent="0.25" r="2112" customHeight="1" ht="17.25" hidden="1">
      <c r="A2112" s="112" t="s">
        <v>6111</v>
      </c>
      <c r="B2112" s="1" t="s">
        <v>2549</v>
      </c>
      <c r="C2112" s="1" t="s">
        <v>59</v>
      </c>
      <c r="D2112" s="1" t="s">
        <v>6112</v>
      </c>
      <c r="E2112" s="62">
        <v>38</v>
      </c>
      <c r="F2112" s="1" t="s">
        <v>2551</v>
      </c>
      <c r="G2112" s="1" t="s">
        <v>2552</v>
      </c>
    </row>
    <row x14ac:dyDescent="0.25" r="2113" customHeight="1" ht="17.25" hidden="1">
      <c r="A2113" s="112" t="s">
        <v>6113</v>
      </c>
      <c r="B2113" s="1" t="s">
        <v>2549</v>
      </c>
      <c r="C2113" s="1" t="s">
        <v>60</v>
      </c>
      <c r="D2113" s="1" t="s">
        <v>6114</v>
      </c>
      <c r="E2113" s="62">
        <v>20</v>
      </c>
      <c r="F2113" s="1" t="s">
        <v>2551</v>
      </c>
      <c r="G2113" s="1" t="s">
        <v>2555</v>
      </c>
    </row>
    <row x14ac:dyDescent="0.25" r="2114" customHeight="1" ht="17.25" hidden="1">
      <c r="A2114" s="112" t="s">
        <v>6113</v>
      </c>
      <c r="B2114" s="1" t="s">
        <v>2549</v>
      </c>
      <c r="C2114" s="1" t="s">
        <v>60</v>
      </c>
      <c r="D2114" s="1" t="s">
        <v>6115</v>
      </c>
      <c r="E2114" s="62">
        <v>26</v>
      </c>
      <c r="F2114" s="1" t="s">
        <v>2561</v>
      </c>
      <c r="G2114" s="1" t="s">
        <v>2555</v>
      </c>
    </row>
    <row x14ac:dyDescent="0.25" r="2115" customHeight="1" ht="17.25" hidden="1">
      <c r="A2115" s="112" t="s">
        <v>6116</v>
      </c>
      <c r="B2115" s="1" t="s">
        <v>2549</v>
      </c>
      <c r="C2115" s="1" t="s">
        <v>60</v>
      </c>
      <c r="D2115" s="1" t="s">
        <v>6117</v>
      </c>
      <c r="E2115" s="62">
        <v>20</v>
      </c>
      <c r="F2115" s="1" t="s">
        <v>2551</v>
      </c>
      <c r="G2115" s="1" t="s">
        <v>2552</v>
      </c>
    </row>
    <row x14ac:dyDescent="0.25" r="2116" customHeight="1" ht="17.25" hidden="1">
      <c r="A2116" s="112" t="s">
        <v>6118</v>
      </c>
      <c r="B2116" s="1" t="s">
        <v>2549</v>
      </c>
      <c r="C2116" s="1" t="s">
        <v>60</v>
      </c>
      <c r="D2116" s="1" t="s">
        <v>6119</v>
      </c>
      <c r="E2116" s="62">
        <v>30</v>
      </c>
      <c r="F2116" s="1" t="s">
        <v>2561</v>
      </c>
      <c r="G2116" s="1" t="s">
        <v>2552</v>
      </c>
    </row>
    <row x14ac:dyDescent="0.25" r="2117" customHeight="1" ht="17.25" hidden="1">
      <c r="A2117" s="112" t="s">
        <v>6120</v>
      </c>
      <c r="B2117" s="1" t="s">
        <v>2549</v>
      </c>
      <c r="C2117" s="1" t="s">
        <v>60</v>
      </c>
      <c r="D2117" s="1" t="s">
        <v>6121</v>
      </c>
      <c r="E2117" s="62">
        <v>36</v>
      </c>
      <c r="F2117" s="1" t="s">
        <v>2551</v>
      </c>
      <c r="G2117" s="1" t="s">
        <v>2555</v>
      </c>
    </row>
    <row x14ac:dyDescent="0.25" r="2118" customHeight="1" ht="17.25" hidden="1">
      <c r="A2118" s="112" t="s">
        <v>6122</v>
      </c>
      <c r="B2118" s="1" t="s">
        <v>2549</v>
      </c>
      <c r="C2118" s="1" t="s">
        <v>60</v>
      </c>
      <c r="D2118" s="1" t="s">
        <v>6123</v>
      </c>
      <c r="E2118" s="62">
        <v>24</v>
      </c>
      <c r="F2118" s="1" t="s">
        <v>2551</v>
      </c>
      <c r="G2118" s="1" t="s">
        <v>2552</v>
      </c>
    </row>
    <row x14ac:dyDescent="0.25" r="2119" customHeight="1" ht="17.25" hidden="1">
      <c r="A2119" s="112" t="s">
        <v>6124</v>
      </c>
      <c r="B2119" s="1" t="s">
        <v>2549</v>
      </c>
      <c r="C2119" s="1" t="s">
        <v>60</v>
      </c>
      <c r="D2119" s="1" t="s">
        <v>6125</v>
      </c>
      <c r="E2119" s="62">
        <v>37</v>
      </c>
      <c r="F2119" s="1" t="s">
        <v>2551</v>
      </c>
      <c r="G2119" s="1" t="s">
        <v>2552</v>
      </c>
    </row>
    <row x14ac:dyDescent="0.25" r="2120" customHeight="1" ht="17.25" hidden="1">
      <c r="A2120" s="112" t="s">
        <v>6124</v>
      </c>
      <c r="B2120" s="1" t="s">
        <v>2549</v>
      </c>
      <c r="C2120" s="1" t="s">
        <v>60</v>
      </c>
      <c r="D2120" s="1" t="s">
        <v>6126</v>
      </c>
      <c r="E2120" s="62">
        <v>30</v>
      </c>
      <c r="F2120" s="1" t="s">
        <v>2551</v>
      </c>
      <c r="G2120" s="1" t="s">
        <v>2571</v>
      </c>
    </row>
    <row x14ac:dyDescent="0.25" r="2121" customHeight="1" ht="17.25" hidden="1">
      <c r="A2121" s="112" t="s">
        <v>6127</v>
      </c>
      <c r="B2121" s="1" t="s">
        <v>2549</v>
      </c>
      <c r="C2121" s="1" t="s">
        <v>60</v>
      </c>
      <c r="D2121" s="1" t="s">
        <v>6128</v>
      </c>
      <c r="E2121" s="62">
        <v>20</v>
      </c>
      <c r="F2121" s="1" t="s">
        <v>2551</v>
      </c>
      <c r="G2121" s="1" t="s">
        <v>2558</v>
      </c>
    </row>
    <row x14ac:dyDescent="0.25" r="2122" customHeight="1" ht="17.25" hidden="1">
      <c r="A2122" s="112" t="s">
        <v>6129</v>
      </c>
      <c r="B2122" s="1" t="s">
        <v>2549</v>
      </c>
      <c r="C2122" s="1" t="s">
        <v>60</v>
      </c>
      <c r="D2122" s="1" t="s">
        <v>6130</v>
      </c>
      <c r="E2122" s="62">
        <v>26</v>
      </c>
      <c r="F2122" s="1" t="s">
        <v>2551</v>
      </c>
      <c r="G2122" s="1" t="s">
        <v>2558</v>
      </c>
    </row>
    <row x14ac:dyDescent="0.25" r="2123" customHeight="1" ht="17.25" hidden="1">
      <c r="A2123" s="112" t="s">
        <v>6129</v>
      </c>
      <c r="B2123" s="1" t="s">
        <v>2549</v>
      </c>
      <c r="C2123" s="1" t="s">
        <v>60</v>
      </c>
      <c r="D2123" s="1" t="s">
        <v>6131</v>
      </c>
      <c r="E2123" s="62">
        <v>27</v>
      </c>
      <c r="F2123" s="1" t="s">
        <v>2551</v>
      </c>
      <c r="G2123" s="1" t="s">
        <v>2555</v>
      </c>
    </row>
    <row x14ac:dyDescent="0.25" r="2124" customHeight="1" ht="17.25" hidden="1">
      <c r="A2124" s="112" t="s">
        <v>6132</v>
      </c>
      <c r="B2124" s="1" t="s">
        <v>2549</v>
      </c>
      <c r="C2124" s="1" t="s">
        <v>60</v>
      </c>
      <c r="D2124" s="1" t="s">
        <v>6133</v>
      </c>
      <c r="E2124" s="62">
        <v>32</v>
      </c>
      <c r="F2124" s="1" t="s">
        <v>2551</v>
      </c>
      <c r="G2124" s="1" t="s">
        <v>2552</v>
      </c>
    </row>
    <row x14ac:dyDescent="0.25" r="2125" customHeight="1" ht="17.25" hidden="1">
      <c r="A2125" s="112" t="s">
        <v>6132</v>
      </c>
      <c r="B2125" s="1" t="s">
        <v>2549</v>
      </c>
      <c r="C2125" s="1" t="s">
        <v>60</v>
      </c>
      <c r="D2125" s="1" t="s">
        <v>6134</v>
      </c>
      <c r="E2125" s="62">
        <v>31</v>
      </c>
      <c r="F2125" s="1" t="s">
        <v>2551</v>
      </c>
      <c r="G2125" s="1" t="s">
        <v>2558</v>
      </c>
    </row>
    <row x14ac:dyDescent="0.25" r="2126" customHeight="1" ht="17.25" hidden="1">
      <c r="A2126" s="112" t="s">
        <v>6135</v>
      </c>
      <c r="B2126" s="1" t="s">
        <v>2549</v>
      </c>
      <c r="C2126" s="1" t="s">
        <v>60</v>
      </c>
      <c r="D2126" s="1" t="s">
        <v>6136</v>
      </c>
      <c r="E2126" s="62">
        <v>36</v>
      </c>
      <c r="F2126" s="1" t="s">
        <v>2551</v>
      </c>
      <c r="G2126" s="1" t="s">
        <v>2552</v>
      </c>
    </row>
    <row x14ac:dyDescent="0.25" r="2127" customHeight="1" ht="17.25" hidden="1">
      <c r="A2127" s="112" t="s">
        <v>6137</v>
      </c>
      <c r="B2127" s="1" t="s">
        <v>2549</v>
      </c>
      <c r="C2127" s="1" t="s">
        <v>60</v>
      </c>
      <c r="D2127" s="1" t="s">
        <v>6138</v>
      </c>
      <c r="E2127" s="62">
        <v>22</v>
      </c>
      <c r="F2127" s="1" t="s">
        <v>2551</v>
      </c>
      <c r="G2127" s="1" t="s">
        <v>2555</v>
      </c>
    </row>
    <row x14ac:dyDescent="0.25" r="2128" customHeight="1" ht="17.25" hidden="1">
      <c r="A2128" s="112" t="s">
        <v>6139</v>
      </c>
      <c r="B2128" s="1" t="s">
        <v>2549</v>
      </c>
      <c r="C2128" s="1" t="s">
        <v>60</v>
      </c>
      <c r="D2128" s="1" t="s">
        <v>6140</v>
      </c>
      <c r="E2128" s="62">
        <v>18</v>
      </c>
      <c r="F2128" s="1" t="s">
        <v>2551</v>
      </c>
      <c r="G2128" s="1" t="s">
        <v>2552</v>
      </c>
    </row>
    <row x14ac:dyDescent="0.25" r="2129" customHeight="1" ht="17.25" hidden="1">
      <c r="A2129" s="112" t="s">
        <v>6141</v>
      </c>
      <c r="B2129" s="1" t="s">
        <v>2549</v>
      </c>
      <c r="C2129" s="1" t="s">
        <v>60</v>
      </c>
      <c r="D2129" s="1" t="s">
        <v>6142</v>
      </c>
      <c r="E2129" s="62">
        <v>23</v>
      </c>
      <c r="F2129" s="1" t="s">
        <v>2551</v>
      </c>
      <c r="G2129" s="1" t="s">
        <v>2552</v>
      </c>
    </row>
    <row x14ac:dyDescent="0.25" r="2130" customHeight="1" ht="17.25" hidden="1">
      <c r="A2130" s="112" t="s">
        <v>6143</v>
      </c>
      <c r="B2130" s="1" t="s">
        <v>2549</v>
      </c>
      <c r="C2130" s="1" t="s">
        <v>60</v>
      </c>
      <c r="D2130" s="1" t="s">
        <v>6144</v>
      </c>
      <c r="E2130" s="62">
        <v>32</v>
      </c>
      <c r="F2130" s="1" t="s">
        <v>2551</v>
      </c>
      <c r="G2130" s="1" t="s">
        <v>2558</v>
      </c>
    </row>
    <row x14ac:dyDescent="0.25" r="2131" customHeight="1" ht="17.25" hidden="1">
      <c r="A2131" s="112" t="s">
        <v>6145</v>
      </c>
      <c r="B2131" s="1" t="s">
        <v>2549</v>
      </c>
      <c r="C2131" s="1" t="s">
        <v>60</v>
      </c>
      <c r="D2131" s="1" t="s">
        <v>6146</v>
      </c>
      <c r="E2131" s="62">
        <v>23</v>
      </c>
      <c r="F2131" s="1" t="s">
        <v>2551</v>
      </c>
      <c r="G2131" s="1" t="s">
        <v>2552</v>
      </c>
    </row>
    <row x14ac:dyDescent="0.25" r="2132" customHeight="1" ht="17.25" hidden="1">
      <c r="A2132" s="112" t="s">
        <v>6147</v>
      </c>
      <c r="B2132" s="1" t="s">
        <v>2549</v>
      </c>
      <c r="C2132" s="1" t="s">
        <v>60</v>
      </c>
      <c r="D2132" s="1" t="s">
        <v>6148</v>
      </c>
      <c r="E2132" s="62">
        <v>21</v>
      </c>
      <c r="F2132" s="1" t="s">
        <v>2551</v>
      </c>
      <c r="G2132" s="1" t="s">
        <v>2552</v>
      </c>
    </row>
    <row x14ac:dyDescent="0.25" r="2133" customHeight="1" ht="17.25" hidden="1">
      <c r="A2133" s="112" t="s">
        <v>6149</v>
      </c>
      <c r="B2133" s="1" t="s">
        <v>2549</v>
      </c>
      <c r="C2133" s="1" t="s">
        <v>60</v>
      </c>
      <c r="D2133" s="1" t="s">
        <v>6150</v>
      </c>
      <c r="E2133" s="62">
        <v>18</v>
      </c>
      <c r="F2133" s="1" t="s">
        <v>2551</v>
      </c>
      <c r="G2133" s="1" t="s">
        <v>2552</v>
      </c>
    </row>
    <row x14ac:dyDescent="0.25" r="2134" customHeight="1" ht="17.25" hidden="1">
      <c r="A2134" s="112" t="s">
        <v>6151</v>
      </c>
      <c r="B2134" s="1" t="s">
        <v>2549</v>
      </c>
      <c r="C2134" s="1" t="s">
        <v>60</v>
      </c>
      <c r="D2134" s="1" t="s">
        <v>6152</v>
      </c>
      <c r="E2134" s="62">
        <v>18</v>
      </c>
      <c r="F2134" s="1" t="s">
        <v>2551</v>
      </c>
      <c r="G2134" s="1" t="s">
        <v>2555</v>
      </c>
    </row>
    <row x14ac:dyDescent="0.25" r="2135" customHeight="1" ht="17.25" hidden="1">
      <c r="A2135" s="112" t="s">
        <v>6153</v>
      </c>
      <c r="B2135" s="1" t="s">
        <v>2549</v>
      </c>
      <c r="C2135" s="1" t="s">
        <v>60</v>
      </c>
      <c r="D2135" s="1" t="s">
        <v>6154</v>
      </c>
      <c r="E2135" s="62">
        <v>25</v>
      </c>
      <c r="F2135" s="1" t="s">
        <v>2561</v>
      </c>
      <c r="G2135" s="1" t="s">
        <v>2552</v>
      </c>
    </row>
    <row x14ac:dyDescent="0.25" r="2136" customHeight="1" ht="17.25" hidden="1">
      <c r="A2136" s="112" t="s">
        <v>6155</v>
      </c>
      <c r="B2136" s="1" t="s">
        <v>2549</v>
      </c>
      <c r="C2136" s="1" t="s">
        <v>60</v>
      </c>
      <c r="D2136" s="1" t="s">
        <v>6156</v>
      </c>
      <c r="E2136" s="62">
        <v>18</v>
      </c>
      <c r="F2136" s="1" t="s">
        <v>2561</v>
      </c>
      <c r="G2136" s="1" t="s">
        <v>2552</v>
      </c>
    </row>
    <row x14ac:dyDescent="0.25" r="2137" customHeight="1" ht="17.25" hidden="1">
      <c r="A2137" s="112" t="s">
        <v>6155</v>
      </c>
      <c r="B2137" s="1" t="s">
        <v>2549</v>
      </c>
      <c r="C2137" s="1" t="s">
        <v>60</v>
      </c>
      <c r="D2137" s="1" t="s">
        <v>6157</v>
      </c>
      <c r="E2137" s="62">
        <v>23</v>
      </c>
      <c r="F2137" s="1" t="s">
        <v>2551</v>
      </c>
      <c r="G2137" s="1" t="s">
        <v>2552</v>
      </c>
    </row>
    <row x14ac:dyDescent="0.25" r="2138" customHeight="1" ht="17.25" hidden="1">
      <c r="A2138" s="112" t="s">
        <v>6158</v>
      </c>
      <c r="B2138" s="1" t="s">
        <v>2549</v>
      </c>
      <c r="C2138" s="1" t="s">
        <v>60</v>
      </c>
      <c r="D2138" s="1" t="s">
        <v>6159</v>
      </c>
      <c r="E2138" s="62">
        <v>47</v>
      </c>
      <c r="F2138" s="1" t="s">
        <v>2551</v>
      </c>
      <c r="G2138" s="1" t="s">
        <v>2558</v>
      </c>
    </row>
    <row x14ac:dyDescent="0.25" r="2139" customHeight="1" ht="17.25" hidden="1">
      <c r="A2139" s="112" t="s">
        <v>6160</v>
      </c>
      <c r="B2139" s="1" t="s">
        <v>2549</v>
      </c>
      <c r="C2139" s="1" t="s">
        <v>60</v>
      </c>
      <c r="D2139" s="1" t="s">
        <v>6161</v>
      </c>
      <c r="E2139" s="62">
        <v>27</v>
      </c>
      <c r="F2139" s="1" t="s">
        <v>2551</v>
      </c>
      <c r="G2139" s="1" t="s">
        <v>2555</v>
      </c>
    </row>
    <row x14ac:dyDescent="0.25" r="2140" customHeight="1" ht="17.25" hidden="1">
      <c r="A2140" s="112" t="s">
        <v>6162</v>
      </c>
      <c r="B2140" s="1" t="s">
        <v>2549</v>
      </c>
      <c r="C2140" s="1" t="s">
        <v>60</v>
      </c>
      <c r="D2140" s="1" t="s">
        <v>6163</v>
      </c>
      <c r="E2140" s="62">
        <v>19</v>
      </c>
      <c r="F2140" s="1" t="s">
        <v>2551</v>
      </c>
      <c r="G2140" s="1" t="s">
        <v>2552</v>
      </c>
    </row>
    <row x14ac:dyDescent="0.25" r="2141" customHeight="1" ht="17.25" hidden="1">
      <c r="A2141" s="112" t="s">
        <v>6164</v>
      </c>
      <c r="B2141" s="1" t="s">
        <v>2549</v>
      </c>
      <c r="C2141" s="1" t="s">
        <v>60</v>
      </c>
      <c r="D2141" s="1" t="s">
        <v>6165</v>
      </c>
      <c r="E2141" s="62">
        <v>22</v>
      </c>
      <c r="F2141" s="1" t="s">
        <v>2551</v>
      </c>
      <c r="G2141" s="1" t="s">
        <v>2555</v>
      </c>
    </row>
    <row x14ac:dyDescent="0.25" r="2142" customHeight="1" ht="17.25" hidden="1">
      <c r="A2142" s="112" t="s">
        <v>6166</v>
      </c>
      <c r="B2142" s="1" t="s">
        <v>2549</v>
      </c>
      <c r="C2142" s="1" t="s">
        <v>60</v>
      </c>
      <c r="D2142" s="1" t="s">
        <v>6167</v>
      </c>
      <c r="E2142" s="62">
        <v>36</v>
      </c>
      <c r="F2142" s="1" t="s">
        <v>2551</v>
      </c>
      <c r="G2142" s="1" t="s">
        <v>2555</v>
      </c>
    </row>
    <row x14ac:dyDescent="0.25" r="2143" customHeight="1" ht="17.25" hidden="1">
      <c r="A2143" s="112" t="s">
        <v>6168</v>
      </c>
      <c r="B2143" s="1" t="s">
        <v>2549</v>
      </c>
      <c r="C2143" s="1" t="s">
        <v>60</v>
      </c>
      <c r="D2143" s="1" t="s">
        <v>6169</v>
      </c>
      <c r="E2143" s="62">
        <v>27</v>
      </c>
      <c r="F2143" s="1" t="s">
        <v>2551</v>
      </c>
      <c r="G2143" s="1" t="s">
        <v>2552</v>
      </c>
    </row>
    <row x14ac:dyDescent="0.25" r="2144" customHeight="1" ht="17.25" hidden="1">
      <c r="A2144" s="112" t="s">
        <v>6168</v>
      </c>
      <c r="B2144" s="1" t="s">
        <v>2549</v>
      </c>
      <c r="C2144" s="1" t="s">
        <v>60</v>
      </c>
      <c r="D2144" s="1" t="s">
        <v>6170</v>
      </c>
      <c r="E2144" s="62">
        <v>22</v>
      </c>
      <c r="F2144" s="1" t="s">
        <v>2551</v>
      </c>
      <c r="G2144" s="1" t="s">
        <v>2552</v>
      </c>
    </row>
    <row x14ac:dyDescent="0.25" r="2145" customHeight="1" ht="17.25" hidden="1">
      <c r="A2145" s="112" t="s">
        <v>6171</v>
      </c>
      <c r="B2145" s="1" t="s">
        <v>2549</v>
      </c>
      <c r="C2145" s="1" t="s">
        <v>60</v>
      </c>
      <c r="D2145" s="1" t="s">
        <v>6172</v>
      </c>
      <c r="E2145" s="62">
        <v>29</v>
      </c>
      <c r="F2145" s="1" t="s">
        <v>2551</v>
      </c>
      <c r="G2145" s="1" t="s">
        <v>2552</v>
      </c>
    </row>
    <row x14ac:dyDescent="0.25" r="2146" customHeight="1" ht="17.25" hidden="1">
      <c r="A2146" s="112" t="s">
        <v>6173</v>
      </c>
      <c r="B2146" s="1" t="s">
        <v>2549</v>
      </c>
      <c r="C2146" s="1" t="s">
        <v>60</v>
      </c>
      <c r="D2146" s="1" t="s">
        <v>6174</v>
      </c>
      <c r="E2146" s="62">
        <v>32</v>
      </c>
      <c r="F2146" s="1" t="s">
        <v>2551</v>
      </c>
      <c r="G2146" s="1" t="s">
        <v>2555</v>
      </c>
    </row>
    <row x14ac:dyDescent="0.25" r="2147" customHeight="1" ht="17.25" hidden="1">
      <c r="A2147" s="112" t="s">
        <v>6175</v>
      </c>
      <c r="B2147" s="1" t="s">
        <v>2549</v>
      </c>
      <c r="C2147" s="1" t="s">
        <v>60</v>
      </c>
      <c r="D2147" s="1" t="s">
        <v>6176</v>
      </c>
      <c r="E2147" s="62">
        <v>31</v>
      </c>
      <c r="F2147" s="1" t="s">
        <v>2551</v>
      </c>
      <c r="G2147" s="1" t="s">
        <v>2552</v>
      </c>
    </row>
    <row x14ac:dyDescent="0.25" r="2148" customHeight="1" ht="17.25" hidden="1">
      <c r="A2148" s="112" t="s">
        <v>6177</v>
      </c>
      <c r="B2148" s="1" t="s">
        <v>2549</v>
      </c>
      <c r="C2148" s="1" t="s">
        <v>60</v>
      </c>
      <c r="D2148" s="1" t="s">
        <v>6178</v>
      </c>
      <c r="E2148" s="62">
        <v>30</v>
      </c>
      <c r="F2148" s="1" t="s">
        <v>2551</v>
      </c>
      <c r="G2148" s="1" t="s">
        <v>2555</v>
      </c>
    </row>
    <row x14ac:dyDescent="0.25" r="2149" customHeight="1" ht="17.25" hidden="1">
      <c r="A2149" s="112" t="s">
        <v>6179</v>
      </c>
      <c r="B2149" s="1" t="s">
        <v>2549</v>
      </c>
      <c r="C2149" s="1" t="s">
        <v>60</v>
      </c>
      <c r="D2149" s="1" t="s">
        <v>6180</v>
      </c>
      <c r="E2149" s="62">
        <v>29</v>
      </c>
      <c r="F2149" s="1" t="s">
        <v>2551</v>
      </c>
      <c r="G2149" s="1" t="s">
        <v>2552</v>
      </c>
    </row>
    <row x14ac:dyDescent="0.25" r="2150" customHeight="1" ht="17.25" hidden="1">
      <c r="A2150" s="112" t="s">
        <v>6181</v>
      </c>
      <c r="B2150" s="1" t="s">
        <v>2549</v>
      </c>
      <c r="C2150" s="1" t="s">
        <v>60</v>
      </c>
      <c r="D2150" s="1" t="s">
        <v>6182</v>
      </c>
      <c r="E2150" s="62">
        <v>18</v>
      </c>
      <c r="F2150" s="1" t="s">
        <v>2551</v>
      </c>
      <c r="G2150" s="1" t="s">
        <v>2558</v>
      </c>
    </row>
    <row x14ac:dyDescent="0.25" r="2151" customHeight="1" ht="17.25" hidden="1">
      <c r="A2151" s="112" t="s">
        <v>6183</v>
      </c>
      <c r="B2151" s="1" t="s">
        <v>2549</v>
      </c>
      <c r="C2151" s="1" t="s">
        <v>60</v>
      </c>
      <c r="D2151" s="1" t="s">
        <v>6184</v>
      </c>
      <c r="E2151" s="62">
        <v>36</v>
      </c>
      <c r="F2151" s="1" t="s">
        <v>2551</v>
      </c>
      <c r="G2151" s="1" t="s">
        <v>2552</v>
      </c>
    </row>
    <row x14ac:dyDescent="0.25" r="2152" customHeight="1" ht="17.25" hidden="1">
      <c r="A2152" s="112" t="s">
        <v>6185</v>
      </c>
      <c r="B2152" s="1" t="s">
        <v>2549</v>
      </c>
      <c r="C2152" s="1" t="s">
        <v>60</v>
      </c>
      <c r="D2152" s="1" t="s">
        <v>6186</v>
      </c>
      <c r="E2152" s="62">
        <v>34</v>
      </c>
      <c r="F2152" s="1" t="s">
        <v>2551</v>
      </c>
      <c r="G2152" s="1" t="s">
        <v>2552</v>
      </c>
    </row>
    <row x14ac:dyDescent="0.25" r="2153" customHeight="1" ht="17.25" hidden="1">
      <c r="A2153" s="112" t="s">
        <v>6187</v>
      </c>
      <c r="B2153" s="1" t="s">
        <v>2549</v>
      </c>
      <c r="C2153" s="1" t="s">
        <v>60</v>
      </c>
      <c r="D2153" s="1" t="s">
        <v>6188</v>
      </c>
      <c r="E2153" s="62">
        <v>37</v>
      </c>
      <c r="F2153" s="1" t="s">
        <v>2551</v>
      </c>
      <c r="G2153" s="1" t="s">
        <v>2552</v>
      </c>
    </row>
    <row x14ac:dyDescent="0.25" r="2154" customHeight="1" ht="17.25" hidden="1">
      <c r="A2154" s="112" t="s">
        <v>6189</v>
      </c>
      <c r="B2154" s="1" t="s">
        <v>2549</v>
      </c>
      <c r="C2154" s="1" t="s">
        <v>60</v>
      </c>
      <c r="D2154" s="1" t="s">
        <v>6190</v>
      </c>
      <c r="E2154" s="62">
        <v>28</v>
      </c>
      <c r="F2154" s="1" t="s">
        <v>2551</v>
      </c>
      <c r="G2154" s="1" t="s">
        <v>2555</v>
      </c>
    </row>
    <row x14ac:dyDescent="0.25" r="2155" customHeight="1" ht="17.25" hidden="1">
      <c r="A2155" s="112" t="s">
        <v>6191</v>
      </c>
      <c r="B2155" s="1" t="s">
        <v>2549</v>
      </c>
      <c r="C2155" s="1" t="s">
        <v>60</v>
      </c>
      <c r="D2155" s="1" t="s">
        <v>6192</v>
      </c>
      <c r="E2155" s="62">
        <v>18</v>
      </c>
      <c r="F2155" s="1" t="s">
        <v>2561</v>
      </c>
      <c r="G2155" s="1" t="s">
        <v>2552</v>
      </c>
    </row>
    <row x14ac:dyDescent="0.25" r="2156" customHeight="1" ht="17.25" hidden="1">
      <c r="A2156" s="112" t="s">
        <v>6193</v>
      </c>
      <c r="B2156" s="1" t="s">
        <v>2549</v>
      </c>
      <c r="C2156" s="1" t="s">
        <v>60</v>
      </c>
      <c r="D2156" s="1" t="s">
        <v>6194</v>
      </c>
      <c r="E2156" s="62">
        <v>18</v>
      </c>
      <c r="F2156" s="1" t="s">
        <v>2551</v>
      </c>
      <c r="G2156" s="1" t="s">
        <v>2552</v>
      </c>
    </row>
    <row x14ac:dyDescent="0.25" r="2157" customHeight="1" ht="17.25" hidden="1">
      <c r="A2157" s="112" t="s">
        <v>1870</v>
      </c>
      <c r="B2157" s="1" t="s">
        <v>2549</v>
      </c>
      <c r="C2157" s="1" t="s">
        <v>60</v>
      </c>
      <c r="D2157" s="1" t="s">
        <v>1871</v>
      </c>
      <c r="E2157" s="62">
        <v>30</v>
      </c>
      <c r="F2157" s="1" t="s">
        <v>2551</v>
      </c>
      <c r="G2157" s="1" t="s">
        <v>2552</v>
      </c>
    </row>
    <row x14ac:dyDescent="0.25" r="2158" customHeight="1" ht="17.25" hidden="1">
      <c r="A2158" s="112" t="s">
        <v>6195</v>
      </c>
      <c r="B2158" s="1" t="s">
        <v>2549</v>
      </c>
      <c r="C2158" s="1" t="s">
        <v>60</v>
      </c>
      <c r="D2158" s="1" t="s">
        <v>6196</v>
      </c>
      <c r="E2158" s="62">
        <v>27</v>
      </c>
      <c r="F2158" s="1" t="s">
        <v>2551</v>
      </c>
      <c r="G2158" s="1" t="s">
        <v>2558</v>
      </c>
    </row>
    <row x14ac:dyDescent="0.25" r="2159" customHeight="1" ht="17.25" hidden="1">
      <c r="A2159" s="112" t="s">
        <v>6197</v>
      </c>
      <c r="B2159" s="1" t="s">
        <v>2549</v>
      </c>
      <c r="C2159" s="1" t="s">
        <v>60</v>
      </c>
      <c r="D2159" s="1" t="s">
        <v>6198</v>
      </c>
      <c r="E2159" s="62">
        <v>43</v>
      </c>
      <c r="F2159" s="1" t="s">
        <v>2551</v>
      </c>
      <c r="G2159" s="1" t="s">
        <v>2555</v>
      </c>
    </row>
    <row x14ac:dyDescent="0.25" r="2160" customHeight="1" ht="17.25" hidden="1">
      <c r="A2160" s="112" t="s">
        <v>6199</v>
      </c>
      <c r="B2160" s="1" t="s">
        <v>2549</v>
      </c>
      <c r="C2160" s="1" t="s">
        <v>60</v>
      </c>
      <c r="D2160" s="1" t="s">
        <v>6200</v>
      </c>
      <c r="E2160" s="62">
        <v>26</v>
      </c>
      <c r="F2160" s="1" t="s">
        <v>2551</v>
      </c>
      <c r="G2160" s="1" t="s">
        <v>2552</v>
      </c>
    </row>
    <row x14ac:dyDescent="0.25" r="2161" customHeight="1" ht="17.25" hidden="1">
      <c r="A2161" s="112" t="s">
        <v>6201</v>
      </c>
      <c r="B2161" s="1" t="s">
        <v>2549</v>
      </c>
      <c r="C2161" s="1" t="s">
        <v>60</v>
      </c>
      <c r="D2161" s="1" t="s">
        <v>6202</v>
      </c>
      <c r="E2161" s="62">
        <v>25</v>
      </c>
      <c r="F2161" s="1" t="s">
        <v>2551</v>
      </c>
      <c r="G2161" s="1" t="s">
        <v>2558</v>
      </c>
    </row>
    <row x14ac:dyDescent="0.25" r="2162" customHeight="1" ht="17.25" hidden="1">
      <c r="A2162" s="112" t="s">
        <v>784</v>
      </c>
      <c r="B2162" s="1" t="s">
        <v>2549</v>
      </c>
      <c r="C2162" s="1" t="s">
        <v>60</v>
      </c>
      <c r="D2162" s="1" t="s">
        <v>6203</v>
      </c>
      <c r="E2162" s="62">
        <v>41</v>
      </c>
      <c r="F2162" s="1" t="s">
        <v>2551</v>
      </c>
      <c r="G2162" s="1" t="s">
        <v>2555</v>
      </c>
    </row>
    <row x14ac:dyDescent="0.25" r="2163" customHeight="1" ht="17.25" hidden="1">
      <c r="A2163" s="112" t="s">
        <v>784</v>
      </c>
      <c r="B2163" s="1" t="s">
        <v>2549</v>
      </c>
      <c r="C2163" s="1" t="s">
        <v>60</v>
      </c>
      <c r="D2163" s="1" t="s">
        <v>6204</v>
      </c>
      <c r="E2163" s="62">
        <v>19</v>
      </c>
      <c r="F2163" s="1" t="s">
        <v>2551</v>
      </c>
      <c r="G2163" s="1" t="s">
        <v>2555</v>
      </c>
    </row>
    <row x14ac:dyDescent="0.25" r="2164" customHeight="1" ht="17.25" hidden="1">
      <c r="A2164" s="112" t="s">
        <v>784</v>
      </c>
      <c r="B2164" s="1" t="s">
        <v>2549</v>
      </c>
      <c r="C2164" s="1" t="s">
        <v>60</v>
      </c>
      <c r="D2164" s="1" t="s">
        <v>785</v>
      </c>
      <c r="E2164" s="62">
        <v>18</v>
      </c>
      <c r="F2164" s="1" t="s">
        <v>2551</v>
      </c>
      <c r="G2164" s="1" t="s">
        <v>2555</v>
      </c>
    </row>
    <row x14ac:dyDescent="0.25" r="2165" customHeight="1" ht="17.25" hidden="1">
      <c r="A2165" s="112" t="s">
        <v>6205</v>
      </c>
      <c r="B2165" s="1" t="s">
        <v>2549</v>
      </c>
      <c r="C2165" s="1" t="s">
        <v>60</v>
      </c>
      <c r="D2165" s="1" t="s">
        <v>6206</v>
      </c>
      <c r="E2165" s="62">
        <v>25</v>
      </c>
      <c r="F2165" s="1" t="s">
        <v>2561</v>
      </c>
      <c r="G2165" s="1" t="s">
        <v>2552</v>
      </c>
    </row>
    <row x14ac:dyDescent="0.25" r="2166" customHeight="1" ht="17.25" hidden="1">
      <c r="A2166" s="112" t="s">
        <v>6207</v>
      </c>
      <c r="B2166" s="1" t="s">
        <v>2549</v>
      </c>
      <c r="C2166" s="1" t="s">
        <v>60</v>
      </c>
      <c r="D2166" s="1" t="s">
        <v>6208</v>
      </c>
      <c r="E2166" s="62">
        <v>19</v>
      </c>
      <c r="F2166" s="1" t="s">
        <v>2551</v>
      </c>
      <c r="G2166" s="1" t="s">
        <v>2552</v>
      </c>
    </row>
    <row x14ac:dyDescent="0.25" r="2167" customHeight="1" ht="17.25" hidden="1">
      <c r="A2167" s="112" t="s">
        <v>6209</v>
      </c>
      <c r="B2167" s="1" t="s">
        <v>2549</v>
      </c>
      <c r="C2167" s="1" t="s">
        <v>60</v>
      </c>
      <c r="D2167" s="1" t="s">
        <v>6210</v>
      </c>
      <c r="E2167" s="62">
        <v>22</v>
      </c>
      <c r="F2167" s="1" t="s">
        <v>2551</v>
      </c>
      <c r="G2167" s="1" t="s">
        <v>2555</v>
      </c>
    </row>
    <row x14ac:dyDescent="0.25" r="2168" customHeight="1" ht="17.25" hidden="1">
      <c r="A2168" s="112" t="s">
        <v>6211</v>
      </c>
      <c r="B2168" s="1" t="s">
        <v>2549</v>
      </c>
      <c r="C2168" s="1" t="s">
        <v>60</v>
      </c>
      <c r="D2168" s="1" t="s">
        <v>6212</v>
      </c>
      <c r="E2168" s="62">
        <v>24</v>
      </c>
      <c r="F2168" s="1" t="s">
        <v>2551</v>
      </c>
      <c r="G2168" s="1" t="s">
        <v>2555</v>
      </c>
    </row>
    <row x14ac:dyDescent="0.25" r="2169" customHeight="1" ht="17.25" hidden="1">
      <c r="A2169" s="112" t="s">
        <v>6213</v>
      </c>
      <c r="B2169" s="1" t="s">
        <v>2549</v>
      </c>
      <c r="C2169" s="1" t="s">
        <v>60</v>
      </c>
      <c r="D2169" s="1" t="s">
        <v>6214</v>
      </c>
      <c r="E2169" s="62">
        <v>22</v>
      </c>
      <c r="F2169" s="1" t="s">
        <v>2551</v>
      </c>
      <c r="G2169" s="1" t="s">
        <v>2552</v>
      </c>
    </row>
    <row x14ac:dyDescent="0.25" r="2170" customHeight="1" ht="17.25" hidden="1">
      <c r="A2170" s="112" t="s">
        <v>6215</v>
      </c>
      <c r="B2170" s="1" t="s">
        <v>2549</v>
      </c>
      <c r="C2170" s="1" t="s">
        <v>60</v>
      </c>
      <c r="D2170" s="1" t="s">
        <v>6216</v>
      </c>
      <c r="E2170" s="62">
        <v>20</v>
      </c>
      <c r="F2170" s="1" t="s">
        <v>2551</v>
      </c>
      <c r="G2170" s="1" t="s">
        <v>2552</v>
      </c>
    </row>
    <row x14ac:dyDescent="0.25" r="2171" customHeight="1" ht="17.25" hidden="1">
      <c r="A2171" s="112" t="s">
        <v>988</v>
      </c>
      <c r="B2171" s="1" t="s">
        <v>2549</v>
      </c>
      <c r="C2171" s="1" t="s">
        <v>60</v>
      </c>
      <c r="D2171" s="1" t="s">
        <v>990</v>
      </c>
      <c r="E2171" s="62">
        <v>18</v>
      </c>
      <c r="F2171" s="1" t="s">
        <v>2551</v>
      </c>
      <c r="G2171" s="1" t="s">
        <v>2552</v>
      </c>
    </row>
    <row x14ac:dyDescent="0.25" r="2172" customHeight="1" ht="17.25" hidden="1">
      <c r="A2172" s="112" t="s">
        <v>6217</v>
      </c>
      <c r="B2172" s="1" t="s">
        <v>2549</v>
      </c>
      <c r="C2172" s="1" t="s">
        <v>60</v>
      </c>
      <c r="D2172" s="1" t="s">
        <v>6218</v>
      </c>
      <c r="E2172" s="62">
        <v>20</v>
      </c>
      <c r="F2172" s="1" t="s">
        <v>2551</v>
      </c>
      <c r="G2172" s="1" t="s">
        <v>2552</v>
      </c>
    </row>
    <row x14ac:dyDescent="0.25" r="2173" customHeight="1" ht="17.25" hidden="1">
      <c r="A2173" s="112" t="s">
        <v>6219</v>
      </c>
      <c r="B2173" s="1" t="s">
        <v>2549</v>
      </c>
      <c r="C2173" s="1" t="s">
        <v>60</v>
      </c>
      <c r="D2173" s="1" t="s">
        <v>6220</v>
      </c>
      <c r="E2173" s="62">
        <v>20</v>
      </c>
      <c r="F2173" s="1" t="s">
        <v>2551</v>
      </c>
      <c r="G2173" s="1" t="s">
        <v>2558</v>
      </c>
    </row>
    <row x14ac:dyDescent="0.25" r="2174" customHeight="1" ht="17.25" hidden="1">
      <c r="A2174" s="112" t="s">
        <v>6221</v>
      </c>
      <c r="B2174" s="1" t="s">
        <v>2549</v>
      </c>
      <c r="C2174" s="1" t="s">
        <v>60</v>
      </c>
      <c r="D2174" s="1" t="s">
        <v>6222</v>
      </c>
      <c r="E2174" s="62">
        <v>18</v>
      </c>
      <c r="F2174" s="1" t="s">
        <v>2551</v>
      </c>
      <c r="G2174" s="1" t="s">
        <v>2558</v>
      </c>
    </row>
    <row x14ac:dyDescent="0.25" r="2175" customHeight="1" ht="17.25" hidden="1">
      <c r="A2175" s="112" t="s">
        <v>6223</v>
      </c>
      <c r="B2175" s="1" t="s">
        <v>2549</v>
      </c>
      <c r="C2175" s="1" t="s">
        <v>60</v>
      </c>
      <c r="D2175" s="1" t="s">
        <v>6224</v>
      </c>
      <c r="E2175" s="62">
        <v>29</v>
      </c>
      <c r="F2175" s="1" t="s">
        <v>2551</v>
      </c>
      <c r="G2175" s="1" t="s">
        <v>2555</v>
      </c>
    </row>
    <row x14ac:dyDescent="0.25" r="2176" customHeight="1" ht="17.25" hidden="1">
      <c r="A2176" s="112" t="s">
        <v>6225</v>
      </c>
      <c r="B2176" s="1" t="s">
        <v>2549</v>
      </c>
      <c r="C2176" s="1" t="s">
        <v>60</v>
      </c>
      <c r="D2176" s="1" t="s">
        <v>6226</v>
      </c>
      <c r="E2176" s="62">
        <v>25</v>
      </c>
      <c r="F2176" s="1" t="s">
        <v>2551</v>
      </c>
      <c r="G2176" s="1" t="s">
        <v>2552</v>
      </c>
    </row>
    <row x14ac:dyDescent="0.25" r="2177" customHeight="1" ht="17.25" hidden="1">
      <c r="A2177" s="112" t="s">
        <v>6227</v>
      </c>
      <c r="B2177" s="1" t="s">
        <v>2549</v>
      </c>
      <c r="C2177" s="1" t="s">
        <v>60</v>
      </c>
      <c r="D2177" s="1" t="s">
        <v>6228</v>
      </c>
      <c r="E2177" s="62">
        <v>27</v>
      </c>
      <c r="F2177" s="1" t="s">
        <v>2551</v>
      </c>
      <c r="G2177" s="1" t="s">
        <v>2552</v>
      </c>
    </row>
    <row x14ac:dyDescent="0.25" r="2178" customHeight="1" ht="17.25" hidden="1">
      <c r="A2178" s="112" t="s">
        <v>6229</v>
      </c>
      <c r="B2178" s="1" t="s">
        <v>2549</v>
      </c>
      <c r="C2178" s="1" t="s">
        <v>60</v>
      </c>
      <c r="D2178" s="1" t="s">
        <v>6230</v>
      </c>
      <c r="E2178" s="54" t="s">
        <v>2571</v>
      </c>
      <c r="F2178" s="1" t="s">
        <v>2551</v>
      </c>
      <c r="G2178" s="1" t="s">
        <v>2552</v>
      </c>
    </row>
    <row x14ac:dyDescent="0.25" r="2179" customHeight="1" ht="17.25" hidden="1">
      <c r="A2179" s="112" t="s">
        <v>6231</v>
      </c>
      <c r="B2179" s="1" t="s">
        <v>2549</v>
      </c>
      <c r="C2179" s="1" t="s">
        <v>60</v>
      </c>
      <c r="D2179" s="1" t="s">
        <v>6232</v>
      </c>
      <c r="E2179" s="62">
        <v>35</v>
      </c>
      <c r="F2179" s="1" t="s">
        <v>2551</v>
      </c>
      <c r="G2179" s="1" t="s">
        <v>2552</v>
      </c>
    </row>
    <row x14ac:dyDescent="0.25" r="2180" customHeight="1" ht="17.25" hidden="1">
      <c r="A2180" s="112" t="s">
        <v>6233</v>
      </c>
      <c r="B2180" s="1" t="s">
        <v>2549</v>
      </c>
      <c r="C2180" s="1" t="s">
        <v>60</v>
      </c>
      <c r="D2180" s="1" t="s">
        <v>6234</v>
      </c>
      <c r="E2180" s="62">
        <v>20</v>
      </c>
      <c r="F2180" s="1" t="s">
        <v>2551</v>
      </c>
      <c r="G2180" s="1" t="s">
        <v>2555</v>
      </c>
    </row>
    <row x14ac:dyDescent="0.25" r="2181" customHeight="1" ht="17.25" hidden="1">
      <c r="A2181" s="112" t="s">
        <v>6235</v>
      </c>
      <c r="B2181" s="1" t="s">
        <v>2549</v>
      </c>
      <c r="C2181" s="1" t="s">
        <v>60</v>
      </c>
      <c r="D2181" s="1" t="s">
        <v>6236</v>
      </c>
      <c r="E2181" s="62">
        <v>21</v>
      </c>
      <c r="F2181" s="1" t="s">
        <v>2551</v>
      </c>
      <c r="G2181" s="1" t="s">
        <v>2558</v>
      </c>
    </row>
    <row x14ac:dyDescent="0.25" r="2182" customHeight="1" ht="17.25" hidden="1">
      <c r="A2182" s="112" t="s">
        <v>6237</v>
      </c>
      <c r="B2182" s="1" t="s">
        <v>2549</v>
      </c>
      <c r="C2182" s="1" t="s">
        <v>60</v>
      </c>
      <c r="D2182" s="1" t="s">
        <v>6238</v>
      </c>
      <c r="E2182" s="62">
        <v>24</v>
      </c>
      <c r="F2182" s="1" t="s">
        <v>2551</v>
      </c>
      <c r="G2182" s="1" t="s">
        <v>2552</v>
      </c>
    </row>
    <row x14ac:dyDescent="0.25" r="2183" customHeight="1" ht="17.25" hidden="1">
      <c r="A2183" s="112" t="s">
        <v>6239</v>
      </c>
      <c r="B2183" s="1" t="s">
        <v>2549</v>
      </c>
      <c r="C2183" s="1" t="s">
        <v>60</v>
      </c>
      <c r="D2183" s="1" t="s">
        <v>6240</v>
      </c>
      <c r="E2183" s="62">
        <v>27</v>
      </c>
      <c r="F2183" s="1" t="s">
        <v>2551</v>
      </c>
      <c r="G2183" s="1" t="s">
        <v>2552</v>
      </c>
    </row>
    <row x14ac:dyDescent="0.25" r="2184" customHeight="1" ht="17.25" hidden="1">
      <c r="A2184" s="112" t="s">
        <v>6241</v>
      </c>
      <c r="B2184" s="1" t="s">
        <v>2549</v>
      </c>
      <c r="C2184" s="1" t="s">
        <v>60</v>
      </c>
      <c r="D2184" s="1" t="s">
        <v>6242</v>
      </c>
      <c r="E2184" s="62">
        <v>19</v>
      </c>
      <c r="F2184" s="1" t="s">
        <v>2551</v>
      </c>
      <c r="G2184" s="1" t="s">
        <v>2552</v>
      </c>
    </row>
    <row x14ac:dyDescent="0.25" r="2185" customHeight="1" ht="17.25" hidden="1">
      <c r="A2185" s="112" t="s">
        <v>6243</v>
      </c>
      <c r="B2185" s="1" t="s">
        <v>2549</v>
      </c>
      <c r="C2185" s="1" t="s">
        <v>60</v>
      </c>
      <c r="D2185" s="1" t="s">
        <v>6244</v>
      </c>
      <c r="E2185" s="62">
        <v>29</v>
      </c>
      <c r="F2185" s="1" t="s">
        <v>2551</v>
      </c>
      <c r="G2185" s="1" t="s">
        <v>2558</v>
      </c>
    </row>
    <row x14ac:dyDescent="0.25" r="2186" customHeight="1" ht="17.25" hidden="1">
      <c r="A2186" s="112" t="s">
        <v>6243</v>
      </c>
      <c r="B2186" s="1" t="s">
        <v>2549</v>
      </c>
      <c r="C2186" s="1" t="s">
        <v>60</v>
      </c>
      <c r="D2186" s="1" t="s">
        <v>6245</v>
      </c>
      <c r="E2186" s="54" t="s">
        <v>2571</v>
      </c>
      <c r="F2186" s="1" t="s">
        <v>2551</v>
      </c>
      <c r="G2186" s="1" t="s">
        <v>2552</v>
      </c>
    </row>
    <row x14ac:dyDescent="0.25" r="2187" customHeight="1" ht="17.25" hidden="1">
      <c r="A2187" s="112" t="s">
        <v>6243</v>
      </c>
      <c r="B2187" s="1" t="s">
        <v>2549</v>
      </c>
      <c r="C2187" s="1" t="s">
        <v>60</v>
      </c>
      <c r="D2187" s="1" t="s">
        <v>6246</v>
      </c>
      <c r="E2187" s="62">
        <v>37</v>
      </c>
      <c r="F2187" s="1" t="s">
        <v>2551</v>
      </c>
      <c r="G2187" s="1" t="s">
        <v>2555</v>
      </c>
    </row>
    <row x14ac:dyDescent="0.25" r="2188" customHeight="1" ht="17.25" hidden="1">
      <c r="A2188" s="112" t="s">
        <v>6243</v>
      </c>
      <c r="B2188" s="1" t="s">
        <v>2549</v>
      </c>
      <c r="C2188" s="1" t="s">
        <v>60</v>
      </c>
      <c r="D2188" s="1" t="s">
        <v>6247</v>
      </c>
      <c r="E2188" s="62">
        <v>27</v>
      </c>
      <c r="F2188" s="1" t="s">
        <v>2551</v>
      </c>
      <c r="G2188" s="1" t="s">
        <v>4578</v>
      </c>
    </row>
    <row x14ac:dyDescent="0.25" r="2189" customHeight="1" ht="17.25" hidden="1">
      <c r="A2189" s="112" t="s">
        <v>6248</v>
      </c>
      <c r="B2189" s="1" t="s">
        <v>2549</v>
      </c>
      <c r="C2189" s="1" t="s">
        <v>60</v>
      </c>
      <c r="D2189" s="1" t="s">
        <v>6249</v>
      </c>
      <c r="E2189" s="62">
        <v>19</v>
      </c>
      <c r="F2189" s="1" t="s">
        <v>2551</v>
      </c>
      <c r="G2189" s="1" t="s">
        <v>2552</v>
      </c>
    </row>
    <row x14ac:dyDescent="0.25" r="2190" customHeight="1" ht="17.25" hidden="1">
      <c r="A2190" s="112" t="s">
        <v>6250</v>
      </c>
      <c r="B2190" s="1" t="s">
        <v>2549</v>
      </c>
      <c r="C2190" s="1" t="s">
        <v>60</v>
      </c>
      <c r="D2190" s="1" t="s">
        <v>6251</v>
      </c>
      <c r="E2190" s="62">
        <v>18</v>
      </c>
      <c r="F2190" s="1" t="s">
        <v>2551</v>
      </c>
      <c r="G2190" s="1" t="s">
        <v>2552</v>
      </c>
    </row>
    <row x14ac:dyDescent="0.25" r="2191" customHeight="1" ht="17.25" hidden="1">
      <c r="A2191" s="112" t="s">
        <v>6252</v>
      </c>
      <c r="B2191" s="1" t="s">
        <v>2549</v>
      </c>
      <c r="C2191" s="1" t="s">
        <v>60</v>
      </c>
      <c r="D2191" s="1" t="s">
        <v>6253</v>
      </c>
      <c r="E2191" s="62">
        <v>20</v>
      </c>
      <c r="F2191" s="1" t="s">
        <v>2551</v>
      </c>
      <c r="G2191" s="1" t="s">
        <v>2555</v>
      </c>
    </row>
    <row x14ac:dyDescent="0.25" r="2192" customHeight="1" ht="17.25" hidden="1">
      <c r="A2192" s="112" t="s">
        <v>6254</v>
      </c>
      <c r="B2192" s="1" t="s">
        <v>2549</v>
      </c>
      <c r="C2192" s="1" t="s">
        <v>60</v>
      </c>
      <c r="D2192" s="1" t="s">
        <v>6255</v>
      </c>
      <c r="E2192" s="62">
        <v>22</v>
      </c>
      <c r="F2192" s="1" t="s">
        <v>2551</v>
      </c>
      <c r="G2192" s="1" t="s">
        <v>2555</v>
      </c>
    </row>
    <row x14ac:dyDescent="0.25" r="2193" customHeight="1" ht="17.25" hidden="1">
      <c r="A2193" s="112" t="s">
        <v>6256</v>
      </c>
      <c r="B2193" s="1" t="s">
        <v>2549</v>
      </c>
      <c r="C2193" s="1" t="s">
        <v>60</v>
      </c>
      <c r="D2193" s="1" t="s">
        <v>4117</v>
      </c>
      <c r="E2193" s="62">
        <v>21</v>
      </c>
      <c r="F2193" s="1" t="s">
        <v>2551</v>
      </c>
      <c r="G2193" s="1" t="s">
        <v>2552</v>
      </c>
    </row>
    <row x14ac:dyDescent="0.25" r="2194" customHeight="1" ht="17.25" hidden="1">
      <c r="A2194" s="112" t="s">
        <v>6257</v>
      </c>
      <c r="B2194" s="1" t="s">
        <v>2549</v>
      </c>
      <c r="C2194" s="1" t="s">
        <v>60</v>
      </c>
      <c r="D2194" s="1" t="s">
        <v>6258</v>
      </c>
      <c r="E2194" s="62">
        <v>30</v>
      </c>
      <c r="F2194" s="1" t="s">
        <v>2551</v>
      </c>
      <c r="G2194" s="1" t="s">
        <v>2552</v>
      </c>
    </row>
    <row x14ac:dyDescent="0.25" r="2195" customHeight="1" ht="17.25" hidden="1">
      <c r="A2195" s="112" t="s">
        <v>6259</v>
      </c>
      <c r="B2195" s="1" t="s">
        <v>2549</v>
      </c>
      <c r="C2195" s="1" t="s">
        <v>60</v>
      </c>
      <c r="D2195" s="1" t="s">
        <v>6260</v>
      </c>
      <c r="E2195" s="62">
        <v>22</v>
      </c>
      <c r="F2195" s="1" t="s">
        <v>2561</v>
      </c>
      <c r="G2195" s="1" t="s">
        <v>2555</v>
      </c>
    </row>
    <row x14ac:dyDescent="0.25" r="2196" customHeight="1" ht="17.25" hidden="1">
      <c r="A2196" s="112" t="s">
        <v>1764</v>
      </c>
      <c r="B2196" s="1" t="s">
        <v>2549</v>
      </c>
      <c r="C2196" s="1" t="s">
        <v>60</v>
      </c>
      <c r="D2196" s="1" t="s">
        <v>1766</v>
      </c>
      <c r="E2196" s="62">
        <v>32</v>
      </c>
      <c r="F2196" s="1" t="s">
        <v>2551</v>
      </c>
      <c r="G2196" s="1" t="s">
        <v>2555</v>
      </c>
    </row>
    <row x14ac:dyDescent="0.25" r="2197" customHeight="1" ht="17.25" hidden="1">
      <c r="A2197" s="112" t="s">
        <v>6261</v>
      </c>
      <c r="B2197" s="1" t="s">
        <v>2549</v>
      </c>
      <c r="C2197" s="1" t="s">
        <v>60</v>
      </c>
      <c r="D2197" s="1" t="s">
        <v>6262</v>
      </c>
      <c r="E2197" s="62">
        <v>36</v>
      </c>
      <c r="F2197" s="1" t="s">
        <v>2551</v>
      </c>
      <c r="G2197" s="1" t="s">
        <v>2571</v>
      </c>
    </row>
    <row x14ac:dyDescent="0.25" r="2198" customHeight="1" ht="17.25" hidden="1">
      <c r="A2198" s="112" t="s">
        <v>6263</v>
      </c>
      <c r="B2198" s="1" t="s">
        <v>2549</v>
      </c>
      <c r="C2198" s="1" t="s">
        <v>60</v>
      </c>
      <c r="D2198" s="1" t="s">
        <v>6264</v>
      </c>
      <c r="E2198" s="54" t="s">
        <v>2571</v>
      </c>
      <c r="F2198" s="1" t="s">
        <v>2551</v>
      </c>
      <c r="G2198" s="1" t="s">
        <v>2555</v>
      </c>
    </row>
    <row x14ac:dyDescent="0.25" r="2199" customHeight="1" ht="17.25" hidden="1">
      <c r="A2199" s="112" t="s">
        <v>6265</v>
      </c>
      <c r="B2199" s="1" t="s">
        <v>2549</v>
      </c>
      <c r="C2199" s="1" t="s">
        <v>60</v>
      </c>
      <c r="D2199" s="1" t="s">
        <v>6266</v>
      </c>
      <c r="E2199" s="62">
        <v>37</v>
      </c>
      <c r="F2199" s="1" t="s">
        <v>2561</v>
      </c>
      <c r="G2199" s="1" t="s">
        <v>2555</v>
      </c>
    </row>
    <row x14ac:dyDescent="0.25" r="2200" customHeight="1" ht="17.25" hidden="1">
      <c r="A2200" s="112" t="s">
        <v>6267</v>
      </c>
      <c r="B2200" s="1" t="s">
        <v>2549</v>
      </c>
      <c r="C2200" s="1" t="s">
        <v>60</v>
      </c>
      <c r="D2200" s="1" t="s">
        <v>6268</v>
      </c>
      <c r="E2200" s="62">
        <v>23</v>
      </c>
      <c r="F2200" s="1" t="s">
        <v>2561</v>
      </c>
      <c r="G2200" s="1" t="s">
        <v>2552</v>
      </c>
    </row>
    <row x14ac:dyDescent="0.25" r="2201" customHeight="1" ht="17.25" hidden="1">
      <c r="A2201" s="112" t="s">
        <v>6269</v>
      </c>
      <c r="B2201" s="1" t="s">
        <v>2549</v>
      </c>
      <c r="C2201" s="1" t="s">
        <v>60</v>
      </c>
      <c r="D2201" s="1" t="s">
        <v>6270</v>
      </c>
      <c r="E2201" s="62">
        <v>24</v>
      </c>
      <c r="F2201" s="1" t="s">
        <v>2551</v>
      </c>
      <c r="G2201" s="1" t="s">
        <v>2558</v>
      </c>
    </row>
    <row x14ac:dyDescent="0.25" r="2202" customHeight="1" ht="17.25" hidden="1">
      <c r="A2202" s="112" t="s">
        <v>6271</v>
      </c>
      <c r="B2202" s="1" t="s">
        <v>2549</v>
      </c>
      <c r="C2202" s="1" t="s">
        <v>60</v>
      </c>
      <c r="D2202" s="1" t="s">
        <v>6272</v>
      </c>
      <c r="E2202" s="62">
        <v>19</v>
      </c>
      <c r="F2202" s="1" t="s">
        <v>2551</v>
      </c>
      <c r="G2202" s="1" t="s">
        <v>2552</v>
      </c>
    </row>
    <row x14ac:dyDescent="0.25" r="2203" customHeight="1" ht="17.25" hidden="1">
      <c r="A2203" s="112" t="s">
        <v>6273</v>
      </c>
      <c r="B2203" s="1" t="s">
        <v>2549</v>
      </c>
      <c r="C2203" s="1" t="s">
        <v>60</v>
      </c>
      <c r="D2203" s="1" t="s">
        <v>6274</v>
      </c>
      <c r="E2203" s="62">
        <v>27</v>
      </c>
      <c r="F2203" s="1" t="s">
        <v>2551</v>
      </c>
      <c r="G2203" s="1" t="s">
        <v>2552</v>
      </c>
    </row>
    <row x14ac:dyDescent="0.25" r="2204" customHeight="1" ht="17.25" hidden="1">
      <c r="A2204" s="112" t="s">
        <v>6275</v>
      </c>
      <c r="B2204" s="1" t="s">
        <v>2549</v>
      </c>
      <c r="C2204" s="1" t="s">
        <v>60</v>
      </c>
      <c r="D2204" s="1" t="s">
        <v>6276</v>
      </c>
      <c r="E2204" s="62">
        <v>25</v>
      </c>
      <c r="F2204" s="1" t="s">
        <v>2551</v>
      </c>
      <c r="G2204" s="1" t="s">
        <v>2558</v>
      </c>
    </row>
    <row x14ac:dyDescent="0.25" r="2205" customHeight="1" ht="17.25" hidden="1">
      <c r="A2205" s="112" t="s">
        <v>1694</v>
      </c>
      <c r="B2205" s="1" t="s">
        <v>2549</v>
      </c>
      <c r="C2205" s="1" t="s">
        <v>60</v>
      </c>
      <c r="D2205" s="1" t="s">
        <v>1695</v>
      </c>
      <c r="E2205" s="62">
        <v>27</v>
      </c>
      <c r="F2205" s="1" t="s">
        <v>2551</v>
      </c>
      <c r="G2205" s="1" t="s">
        <v>2555</v>
      </c>
    </row>
    <row x14ac:dyDescent="0.25" r="2206" customHeight="1" ht="17.25" hidden="1">
      <c r="A2206" s="112" t="s">
        <v>6277</v>
      </c>
      <c r="B2206" s="1" t="s">
        <v>2549</v>
      </c>
      <c r="C2206" s="1" t="s">
        <v>60</v>
      </c>
      <c r="D2206" s="1" t="s">
        <v>6278</v>
      </c>
      <c r="E2206" s="62">
        <v>37</v>
      </c>
      <c r="F2206" s="1" t="s">
        <v>2551</v>
      </c>
      <c r="G2206" s="1" t="s">
        <v>2555</v>
      </c>
    </row>
    <row x14ac:dyDescent="0.25" r="2207" customHeight="1" ht="17.25" hidden="1">
      <c r="A2207" s="112" t="s">
        <v>6279</v>
      </c>
      <c r="B2207" s="1" t="s">
        <v>2549</v>
      </c>
      <c r="C2207" s="1" t="s">
        <v>60</v>
      </c>
      <c r="D2207" s="1" t="s">
        <v>6280</v>
      </c>
      <c r="E2207" s="62">
        <v>29</v>
      </c>
      <c r="F2207" s="1" t="s">
        <v>2551</v>
      </c>
      <c r="G2207" s="1" t="s">
        <v>2555</v>
      </c>
    </row>
    <row x14ac:dyDescent="0.25" r="2208" customHeight="1" ht="17.25" hidden="1">
      <c r="A2208" s="112" t="s">
        <v>6281</v>
      </c>
      <c r="B2208" s="1" t="s">
        <v>2549</v>
      </c>
      <c r="C2208" s="1" t="s">
        <v>60</v>
      </c>
      <c r="D2208" s="1" t="s">
        <v>6282</v>
      </c>
      <c r="E2208" s="62">
        <v>34</v>
      </c>
      <c r="F2208" s="1" t="s">
        <v>2551</v>
      </c>
      <c r="G2208" s="1" t="s">
        <v>2555</v>
      </c>
    </row>
    <row x14ac:dyDescent="0.25" r="2209" customHeight="1" ht="17.25" hidden="1">
      <c r="A2209" s="112" t="s">
        <v>6283</v>
      </c>
      <c r="B2209" s="1" t="s">
        <v>2549</v>
      </c>
      <c r="C2209" s="1" t="s">
        <v>60</v>
      </c>
      <c r="D2209" s="1" t="s">
        <v>6284</v>
      </c>
      <c r="E2209" s="62">
        <v>23</v>
      </c>
      <c r="F2209" s="1" t="s">
        <v>2551</v>
      </c>
      <c r="G2209" s="1" t="s">
        <v>4578</v>
      </c>
    </row>
    <row x14ac:dyDescent="0.25" r="2210" customHeight="1" ht="17.25" hidden="1">
      <c r="A2210" s="112" t="s">
        <v>6285</v>
      </c>
      <c r="B2210" s="1" t="s">
        <v>2549</v>
      </c>
      <c r="C2210" s="1" t="s">
        <v>60</v>
      </c>
      <c r="D2210" s="1" t="s">
        <v>6286</v>
      </c>
      <c r="E2210" s="62">
        <v>32</v>
      </c>
      <c r="F2210" s="1" t="s">
        <v>2551</v>
      </c>
      <c r="G2210" s="1" t="s">
        <v>2552</v>
      </c>
    </row>
    <row x14ac:dyDescent="0.25" r="2211" customHeight="1" ht="17.25" hidden="1">
      <c r="A2211" s="112" t="s">
        <v>6287</v>
      </c>
      <c r="B2211" s="1" t="s">
        <v>2549</v>
      </c>
      <c r="C2211" s="1" t="s">
        <v>60</v>
      </c>
      <c r="D2211" s="1" t="s">
        <v>1270</v>
      </c>
      <c r="E2211" s="62">
        <v>20</v>
      </c>
      <c r="F2211" s="1" t="s">
        <v>2551</v>
      </c>
      <c r="G2211" s="1" t="s">
        <v>2552</v>
      </c>
    </row>
    <row x14ac:dyDescent="0.25" r="2212" customHeight="1" ht="17.25" hidden="1">
      <c r="A2212" s="112" t="s">
        <v>1809</v>
      </c>
      <c r="B2212" s="1" t="s">
        <v>2549</v>
      </c>
      <c r="C2212" s="1" t="s">
        <v>60</v>
      </c>
      <c r="D2212" s="1" t="s">
        <v>1811</v>
      </c>
      <c r="E2212" s="62">
        <v>25</v>
      </c>
      <c r="F2212" s="1" t="s">
        <v>2551</v>
      </c>
      <c r="G2212" s="1" t="s">
        <v>2558</v>
      </c>
    </row>
    <row x14ac:dyDescent="0.25" r="2213" customHeight="1" ht="17.25" hidden="1">
      <c r="A2213" s="112" t="s">
        <v>1446</v>
      </c>
      <c r="B2213" s="1" t="s">
        <v>2549</v>
      </c>
      <c r="C2213" s="1" t="s">
        <v>60</v>
      </c>
      <c r="D2213" s="1" t="s">
        <v>1447</v>
      </c>
      <c r="E2213" s="62">
        <v>28</v>
      </c>
      <c r="F2213" s="1" t="s">
        <v>2551</v>
      </c>
      <c r="G2213" s="1" t="s">
        <v>2555</v>
      </c>
    </row>
    <row x14ac:dyDescent="0.25" r="2214" customHeight="1" ht="17.25" hidden="1">
      <c r="A2214" s="112" t="s">
        <v>434</v>
      </c>
      <c r="B2214" s="1" t="s">
        <v>2549</v>
      </c>
      <c r="C2214" s="1" t="s">
        <v>60</v>
      </c>
      <c r="D2214" s="1" t="s">
        <v>436</v>
      </c>
      <c r="E2214" s="62">
        <v>29</v>
      </c>
      <c r="F2214" s="1" t="s">
        <v>2551</v>
      </c>
      <c r="G2214" s="1" t="s">
        <v>2552</v>
      </c>
    </row>
    <row x14ac:dyDescent="0.25" r="2215" customHeight="1" ht="17.25" hidden="1">
      <c r="A2215" s="112" t="s">
        <v>6288</v>
      </c>
      <c r="B2215" s="1" t="s">
        <v>2549</v>
      </c>
      <c r="C2215" s="1" t="s">
        <v>60</v>
      </c>
      <c r="D2215" s="1" t="s">
        <v>6289</v>
      </c>
      <c r="E2215" s="62">
        <v>20</v>
      </c>
      <c r="F2215" s="1" t="s">
        <v>2551</v>
      </c>
      <c r="G2215" s="1" t="s">
        <v>2552</v>
      </c>
    </row>
    <row x14ac:dyDescent="0.25" r="2216" customHeight="1" ht="17.25" hidden="1">
      <c r="A2216" s="112" t="s">
        <v>6290</v>
      </c>
      <c r="B2216" s="1" t="s">
        <v>2549</v>
      </c>
      <c r="C2216" s="1" t="s">
        <v>60</v>
      </c>
      <c r="D2216" s="1" t="s">
        <v>6291</v>
      </c>
      <c r="E2216" s="62">
        <v>35</v>
      </c>
      <c r="F2216" s="1" t="s">
        <v>2551</v>
      </c>
      <c r="G2216" s="1" t="s">
        <v>2555</v>
      </c>
    </row>
    <row x14ac:dyDescent="0.25" r="2217" customHeight="1" ht="17.25" hidden="1">
      <c r="A2217" s="112" t="s">
        <v>6292</v>
      </c>
      <c r="B2217" s="1" t="s">
        <v>2549</v>
      </c>
      <c r="C2217" s="1" t="s">
        <v>60</v>
      </c>
      <c r="D2217" s="1" t="s">
        <v>6293</v>
      </c>
      <c r="E2217" s="62">
        <v>19</v>
      </c>
      <c r="F2217" s="1" t="s">
        <v>2551</v>
      </c>
      <c r="G2217" s="1" t="s">
        <v>2558</v>
      </c>
    </row>
    <row x14ac:dyDescent="0.25" r="2218" customHeight="1" ht="17.25" hidden="1">
      <c r="A2218" s="112" t="s">
        <v>6292</v>
      </c>
      <c r="B2218" s="1" t="s">
        <v>2549</v>
      </c>
      <c r="C2218" s="1" t="s">
        <v>60</v>
      </c>
      <c r="D2218" s="1" t="s">
        <v>6294</v>
      </c>
      <c r="E2218" s="62">
        <v>22</v>
      </c>
      <c r="F2218" s="1" t="s">
        <v>2551</v>
      </c>
      <c r="G2218" s="1" t="s">
        <v>2555</v>
      </c>
    </row>
    <row x14ac:dyDescent="0.25" r="2219" customHeight="1" ht="17.25" hidden="1">
      <c r="A2219" s="112" t="s">
        <v>1020</v>
      </c>
      <c r="B2219" s="1" t="s">
        <v>2549</v>
      </c>
      <c r="C2219" s="1" t="s">
        <v>60</v>
      </c>
      <c r="D2219" s="1" t="s">
        <v>1022</v>
      </c>
      <c r="E2219" s="62">
        <v>31</v>
      </c>
      <c r="F2219" s="1" t="s">
        <v>2561</v>
      </c>
      <c r="G2219" s="1" t="s">
        <v>2552</v>
      </c>
    </row>
    <row x14ac:dyDescent="0.25" r="2220" customHeight="1" ht="17.25" hidden="1">
      <c r="A2220" s="112" t="s">
        <v>6295</v>
      </c>
      <c r="B2220" s="1" t="s">
        <v>2549</v>
      </c>
      <c r="C2220" s="1" t="s">
        <v>60</v>
      </c>
      <c r="D2220" s="1" t="s">
        <v>6296</v>
      </c>
      <c r="E2220" s="62">
        <v>33</v>
      </c>
      <c r="F2220" s="1" t="s">
        <v>2551</v>
      </c>
      <c r="G2220" s="1" t="s">
        <v>2555</v>
      </c>
    </row>
    <row x14ac:dyDescent="0.25" r="2221" customHeight="1" ht="17.25" hidden="1">
      <c r="A2221" s="112" t="s">
        <v>6297</v>
      </c>
      <c r="B2221" s="1" t="s">
        <v>2549</v>
      </c>
      <c r="C2221" s="1" t="s">
        <v>60</v>
      </c>
      <c r="D2221" s="1" t="s">
        <v>6298</v>
      </c>
      <c r="E2221" s="62">
        <v>28</v>
      </c>
      <c r="F2221" s="1" t="s">
        <v>2551</v>
      </c>
      <c r="G2221" s="1" t="s">
        <v>2555</v>
      </c>
    </row>
    <row x14ac:dyDescent="0.25" r="2222" customHeight="1" ht="17.25" hidden="1">
      <c r="A2222" s="112" t="s">
        <v>6297</v>
      </c>
      <c r="B2222" s="1" t="s">
        <v>2549</v>
      </c>
      <c r="C2222" s="1" t="s">
        <v>60</v>
      </c>
      <c r="D2222" s="1" t="s">
        <v>6299</v>
      </c>
      <c r="E2222" s="62">
        <v>29</v>
      </c>
      <c r="F2222" s="1" t="s">
        <v>2561</v>
      </c>
      <c r="G2222" s="1" t="s">
        <v>2558</v>
      </c>
    </row>
    <row x14ac:dyDescent="0.25" r="2223" customHeight="1" ht="17.25" hidden="1">
      <c r="A2223" s="112" t="s">
        <v>6300</v>
      </c>
      <c r="B2223" s="1" t="s">
        <v>2549</v>
      </c>
      <c r="C2223" s="1" t="s">
        <v>60</v>
      </c>
      <c r="D2223" s="1" t="s">
        <v>6301</v>
      </c>
      <c r="E2223" s="62">
        <v>33</v>
      </c>
      <c r="F2223" s="1" t="s">
        <v>2551</v>
      </c>
      <c r="G2223" s="1" t="s">
        <v>2552</v>
      </c>
    </row>
    <row x14ac:dyDescent="0.25" r="2224" customHeight="1" ht="17.25" hidden="1">
      <c r="A2224" s="112" t="s">
        <v>6302</v>
      </c>
      <c r="B2224" s="1" t="s">
        <v>2549</v>
      </c>
      <c r="C2224" s="1" t="s">
        <v>60</v>
      </c>
      <c r="D2224" s="1" t="s">
        <v>6303</v>
      </c>
      <c r="E2224" s="62">
        <v>26</v>
      </c>
      <c r="F2224" s="1" t="s">
        <v>2551</v>
      </c>
      <c r="G2224" s="1" t="s">
        <v>2558</v>
      </c>
    </row>
    <row x14ac:dyDescent="0.25" r="2225" customHeight="1" ht="17.25" hidden="1">
      <c r="A2225" s="112" t="s">
        <v>6304</v>
      </c>
      <c r="B2225" s="1" t="s">
        <v>2549</v>
      </c>
      <c r="C2225" s="1" t="s">
        <v>60</v>
      </c>
      <c r="D2225" s="1" t="s">
        <v>2061</v>
      </c>
      <c r="E2225" s="62">
        <v>32</v>
      </c>
      <c r="F2225" s="1" t="s">
        <v>2551</v>
      </c>
      <c r="G2225" s="1" t="s">
        <v>2555</v>
      </c>
    </row>
    <row x14ac:dyDescent="0.25" r="2226" customHeight="1" ht="17.25" hidden="1">
      <c r="A2226" s="112" t="s">
        <v>6305</v>
      </c>
      <c r="B2226" s="1" t="s">
        <v>2549</v>
      </c>
      <c r="C2226" s="1" t="s">
        <v>60</v>
      </c>
      <c r="D2226" s="1" t="s">
        <v>6306</v>
      </c>
      <c r="E2226" s="62">
        <v>21</v>
      </c>
      <c r="F2226" s="1" t="s">
        <v>2551</v>
      </c>
      <c r="G2226" s="1" t="s">
        <v>2555</v>
      </c>
    </row>
    <row x14ac:dyDescent="0.25" r="2227" customHeight="1" ht="17.25" hidden="1">
      <c r="A2227" s="112" t="s">
        <v>6307</v>
      </c>
      <c r="B2227" s="1" t="s">
        <v>2549</v>
      </c>
      <c r="C2227" s="1" t="s">
        <v>60</v>
      </c>
      <c r="D2227" s="1" t="s">
        <v>6308</v>
      </c>
      <c r="E2227" s="62">
        <v>25</v>
      </c>
      <c r="F2227" s="1" t="s">
        <v>2561</v>
      </c>
      <c r="G2227" s="1" t="s">
        <v>2552</v>
      </c>
    </row>
    <row x14ac:dyDescent="0.25" r="2228" customHeight="1" ht="17.25" hidden="1">
      <c r="A2228" s="112" t="s">
        <v>6309</v>
      </c>
      <c r="B2228" s="1" t="s">
        <v>2549</v>
      </c>
      <c r="C2228" s="1" t="s">
        <v>60</v>
      </c>
      <c r="D2228" s="1" t="s">
        <v>6310</v>
      </c>
      <c r="E2228" s="62">
        <v>41</v>
      </c>
      <c r="F2228" s="1" t="s">
        <v>2551</v>
      </c>
      <c r="G2228" s="1" t="s">
        <v>2552</v>
      </c>
    </row>
    <row x14ac:dyDescent="0.25" r="2229" customHeight="1" ht="17.25" hidden="1">
      <c r="A2229" s="112" t="s">
        <v>6311</v>
      </c>
      <c r="B2229" s="1" t="s">
        <v>2549</v>
      </c>
      <c r="C2229" s="1" t="s">
        <v>60</v>
      </c>
      <c r="D2229" s="1" t="s">
        <v>6312</v>
      </c>
      <c r="E2229" s="62">
        <v>20</v>
      </c>
      <c r="F2229" s="1" t="s">
        <v>2551</v>
      </c>
      <c r="G2229" s="1" t="s">
        <v>2552</v>
      </c>
    </row>
    <row x14ac:dyDescent="0.25" r="2230" customHeight="1" ht="17.25" hidden="1">
      <c r="A2230" s="112" t="s">
        <v>6313</v>
      </c>
      <c r="B2230" s="1" t="s">
        <v>2549</v>
      </c>
      <c r="C2230" s="1" t="s">
        <v>60</v>
      </c>
      <c r="D2230" s="1" t="s">
        <v>6314</v>
      </c>
      <c r="E2230" s="62">
        <v>18</v>
      </c>
      <c r="F2230" s="1" t="s">
        <v>2551</v>
      </c>
      <c r="G2230" s="1" t="s">
        <v>2558</v>
      </c>
    </row>
    <row x14ac:dyDescent="0.25" r="2231" customHeight="1" ht="17.25" hidden="1">
      <c r="A2231" s="112" t="s">
        <v>6315</v>
      </c>
      <c r="B2231" s="1" t="s">
        <v>2549</v>
      </c>
      <c r="C2231" s="1" t="s">
        <v>60</v>
      </c>
      <c r="D2231" s="1" t="s">
        <v>6316</v>
      </c>
      <c r="E2231" s="62">
        <v>24</v>
      </c>
      <c r="F2231" s="1" t="s">
        <v>2551</v>
      </c>
      <c r="G2231" s="1" t="s">
        <v>2558</v>
      </c>
    </row>
    <row x14ac:dyDescent="0.25" r="2232" customHeight="1" ht="17.25" hidden="1">
      <c r="A2232" s="112" t="s">
        <v>6317</v>
      </c>
      <c r="B2232" s="1" t="s">
        <v>2549</v>
      </c>
      <c r="C2232" s="1" t="s">
        <v>60</v>
      </c>
      <c r="D2232" s="1" t="s">
        <v>6318</v>
      </c>
      <c r="E2232" s="62">
        <v>29</v>
      </c>
      <c r="F2232" s="1" t="s">
        <v>2551</v>
      </c>
      <c r="G2232" s="1" t="s">
        <v>2555</v>
      </c>
    </row>
    <row x14ac:dyDescent="0.25" r="2233" customHeight="1" ht="17.25" hidden="1">
      <c r="A2233" s="112" t="s">
        <v>6319</v>
      </c>
      <c r="B2233" s="1" t="s">
        <v>2549</v>
      </c>
      <c r="C2233" s="1" t="s">
        <v>60</v>
      </c>
      <c r="D2233" s="1" t="s">
        <v>6320</v>
      </c>
      <c r="E2233" s="62">
        <v>41</v>
      </c>
      <c r="F2233" s="1" t="s">
        <v>2551</v>
      </c>
      <c r="G2233" s="1" t="s">
        <v>2555</v>
      </c>
    </row>
    <row x14ac:dyDescent="0.25" r="2234" customHeight="1" ht="17.25" hidden="1">
      <c r="A2234" s="112" t="s">
        <v>6321</v>
      </c>
      <c r="B2234" s="1" t="s">
        <v>2549</v>
      </c>
      <c r="C2234" s="1" t="s">
        <v>60</v>
      </c>
      <c r="D2234" s="1" t="s">
        <v>6322</v>
      </c>
      <c r="E2234" s="62">
        <v>21</v>
      </c>
      <c r="F2234" s="1" t="s">
        <v>2551</v>
      </c>
      <c r="G2234" s="1" t="s">
        <v>2552</v>
      </c>
    </row>
    <row x14ac:dyDescent="0.25" r="2235" customHeight="1" ht="17.25" hidden="1">
      <c r="A2235" s="112" t="s">
        <v>6323</v>
      </c>
      <c r="B2235" s="1" t="s">
        <v>2549</v>
      </c>
      <c r="C2235" s="1" t="s">
        <v>60</v>
      </c>
      <c r="D2235" s="1" t="s">
        <v>6324</v>
      </c>
      <c r="E2235" s="62">
        <v>40</v>
      </c>
      <c r="F2235" s="1" t="s">
        <v>2551</v>
      </c>
      <c r="G2235" s="1" t="s">
        <v>2571</v>
      </c>
    </row>
    <row x14ac:dyDescent="0.25" r="2236" customHeight="1" ht="17.25" hidden="1">
      <c r="A2236" s="112" t="s">
        <v>6325</v>
      </c>
      <c r="B2236" s="1" t="s">
        <v>2549</v>
      </c>
      <c r="C2236" s="1" t="s">
        <v>60</v>
      </c>
      <c r="D2236" s="1" t="s">
        <v>6326</v>
      </c>
      <c r="E2236" s="62">
        <v>43</v>
      </c>
      <c r="F2236" s="1" t="s">
        <v>2551</v>
      </c>
      <c r="G2236" s="1" t="s">
        <v>2552</v>
      </c>
    </row>
    <row x14ac:dyDescent="0.25" r="2237" customHeight="1" ht="17.25" hidden="1">
      <c r="A2237" s="112" t="s">
        <v>6327</v>
      </c>
      <c r="B2237" s="1" t="s">
        <v>2549</v>
      </c>
      <c r="C2237" s="1" t="s">
        <v>60</v>
      </c>
      <c r="D2237" s="1" t="s">
        <v>6328</v>
      </c>
      <c r="E2237" s="62">
        <v>18</v>
      </c>
      <c r="F2237" s="1" t="s">
        <v>2551</v>
      </c>
      <c r="G2237" s="1" t="s">
        <v>2558</v>
      </c>
    </row>
    <row x14ac:dyDescent="0.25" r="2238" customHeight="1" ht="17.25" hidden="1">
      <c r="A2238" s="112" t="s">
        <v>6329</v>
      </c>
      <c r="B2238" s="1" t="s">
        <v>2549</v>
      </c>
      <c r="C2238" s="1" t="s">
        <v>60</v>
      </c>
      <c r="D2238" s="1" t="s">
        <v>6330</v>
      </c>
      <c r="E2238" s="62">
        <v>29</v>
      </c>
      <c r="F2238" s="1" t="s">
        <v>2551</v>
      </c>
      <c r="G2238" s="1" t="s">
        <v>2552</v>
      </c>
    </row>
    <row x14ac:dyDescent="0.25" r="2239" customHeight="1" ht="17.25" hidden="1">
      <c r="A2239" s="112" t="s">
        <v>6331</v>
      </c>
      <c r="B2239" s="1" t="s">
        <v>2549</v>
      </c>
      <c r="C2239" s="1" t="s">
        <v>60</v>
      </c>
      <c r="D2239" s="1" t="s">
        <v>6332</v>
      </c>
      <c r="E2239" s="62">
        <v>18</v>
      </c>
      <c r="F2239" s="1" t="s">
        <v>2561</v>
      </c>
      <c r="G2239" s="1" t="s">
        <v>2552</v>
      </c>
    </row>
    <row x14ac:dyDescent="0.25" r="2240" customHeight="1" ht="17.25" hidden="1">
      <c r="A2240" s="112" t="s">
        <v>993</v>
      </c>
      <c r="B2240" s="1" t="s">
        <v>2549</v>
      </c>
      <c r="C2240" s="1" t="s">
        <v>60</v>
      </c>
      <c r="D2240" s="1" t="s">
        <v>6333</v>
      </c>
      <c r="E2240" s="62">
        <v>26</v>
      </c>
      <c r="F2240" s="1" t="s">
        <v>2551</v>
      </c>
      <c r="G2240" s="1" t="s">
        <v>2552</v>
      </c>
    </row>
    <row x14ac:dyDescent="0.25" r="2241" customHeight="1" ht="17.25" hidden="1">
      <c r="A2241" s="112" t="s">
        <v>993</v>
      </c>
      <c r="B2241" s="1" t="s">
        <v>2549</v>
      </c>
      <c r="C2241" s="1" t="s">
        <v>60</v>
      </c>
      <c r="D2241" s="1" t="s">
        <v>995</v>
      </c>
      <c r="E2241" s="62">
        <v>19</v>
      </c>
      <c r="F2241" s="1" t="s">
        <v>2551</v>
      </c>
      <c r="G2241" s="1" t="s">
        <v>2555</v>
      </c>
    </row>
    <row x14ac:dyDescent="0.25" r="2242" customHeight="1" ht="17.25" hidden="1">
      <c r="A2242" s="112" t="s">
        <v>6334</v>
      </c>
      <c r="B2242" s="1" t="s">
        <v>2549</v>
      </c>
      <c r="C2242" s="1" t="s">
        <v>60</v>
      </c>
      <c r="D2242" s="1" t="s">
        <v>6335</v>
      </c>
      <c r="E2242" s="62">
        <v>19</v>
      </c>
      <c r="F2242" s="1" t="s">
        <v>2551</v>
      </c>
      <c r="G2242" s="1" t="s">
        <v>2552</v>
      </c>
    </row>
    <row x14ac:dyDescent="0.25" r="2243" customHeight="1" ht="17.25" hidden="1">
      <c r="A2243" s="112" t="s">
        <v>6336</v>
      </c>
      <c r="B2243" s="1" t="s">
        <v>2549</v>
      </c>
      <c r="C2243" s="1" t="s">
        <v>60</v>
      </c>
      <c r="D2243" s="1" t="s">
        <v>6337</v>
      </c>
      <c r="E2243" s="62">
        <v>31</v>
      </c>
      <c r="F2243" s="1" t="s">
        <v>2561</v>
      </c>
      <c r="G2243" s="1" t="s">
        <v>2552</v>
      </c>
    </row>
    <row x14ac:dyDescent="0.25" r="2244" customHeight="1" ht="17.25" hidden="1">
      <c r="A2244" s="112" t="s">
        <v>6338</v>
      </c>
      <c r="B2244" s="1" t="s">
        <v>2549</v>
      </c>
      <c r="C2244" s="1" t="s">
        <v>60</v>
      </c>
      <c r="D2244" s="1" t="s">
        <v>6339</v>
      </c>
      <c r="E2244" s="62">
        <v>30</v>
      </c>
      <c r="F2244" s="1" t="s">
        <v>2551</v>
      </c>
      <c r="G2244" s="1" t="s">
        <v>2552</v>
      </c>
    </row>
    <row x14ac:dyDescent="0.25" r="2245" customHeight="1" ht="17.25" hidden="1">
      <c r="A2245" s="112" t="s">
        <v>6340</v>
      </c>
      <c r="B2245" s="1" t="s">
        <v>2549</v>
      </c>
      <c r="C2245" s="1" t="s">
        <v>60</v>
      </c>
      <c r="D2245" s="1" t="s">
        <v>6341</v>
      </c>
      <c r="E2245" s="62">
        <v>38</v>
      </c>
      <c r="F2245" s="1" t="s">
        <v>2551</v>
      </c>
      <c r="G2245" s="1" t="s">
        <v>2552</v>
      </c>
    </row>
    <row x14ac:dyDescent="0.25" r="2246" customHeight="1" ht="17.25" hidden="1">
      <c r="A2246" s="112" t="s">
        <v>6342</v>
      </c>
      <c r="B2246" s="1" t="s">
        <v>2549</v>
      </c>
      <c r="C2246" s="1" t="s">
        <v>60</v>
      </c>
      <c r="D2246" s="1" t="s">
        <v>6343</v>
      </c>
      <c r="E2246" s="62">
        <v>30</v>
      </c>
      <c r="F2246" s="1" t="s">
        <v>2551</v>
      </c>
      <c r="G2246" s="1" t="s">
        <v>2555</v>
      </c>
    </row>
    <row x14ac:dyDescent="0.25" r="2247" customHeight="1" ht="17.25" hidden="1">
      <c r="A2247" s="112" t="s">
        <v>6344</v>
      </c>
      <c r="B2247" s="1" t="s">
        <v>2549</v>
      </c>
      <c r="C2247" s="1" t="s">
        <v>60</v>
      </c>
      <c r="D2247" s="1" t="s">
        <v>6345</v>
      </c>
      <c r="E2247" s="62">
        <v>22</v>
      </c>
      <c r="F2247" s="1" t="s">
        <v>2551</v>
      </c>
      <c r="G2247" s="1" t="s">
        <v>2552</v>
      </c>
    </row>
    <row x14ac:dyDescent="0.25" r="2248" customHeight="1" ht="17.25" hidden="1">
      <c r="A2248" s="112" t="s">
        <v>6346</v>
      </c>
      <c r="B2248" s="1" t="s">
        <v>2549</v>
      </c>
      <c r="C2248" s="1" t="s">
        <v>60</v>
      </c>
      <c r="D2248" s="1" t="s">
        <v>6347</v>
      </c>
      <c r="E2248" s="62">
        <v>23</v>
      </c>
      <c r="F2248" s="1" t="s">
        <v>2551</v>
      </c>
      <c r="G2248" s="1" t="s">
        <v>2552</v>
      </c>
    </row>
    <row x14ac:dyDescent="0.25" r="2249" customHeight="1" ht="17.25" hidden="1">
      <c r="A2249" s="112" t="s">
        <v>6348</v>
      </c>
      <c r="B2249" s="1" t="s">
        <v>2549</v>
      </c>
      <c r="C2249" s="1" t="s">
        <v>60</v>
      </c>
      <c r="D2249" s="1" t="s">
        <v>6349</v>
      </c>
      <c r="E2249" s="62">
        <v>32</v>
      </c>
      <c r="F2249" s="1" t="s">
        <v>2551</v>
      </c>
      <c r="G2249" s="1" t="s">
        <v>2555</v>
      </c>
    </row>
    <row x14ac:dyDescent="0.25" r="2250" customHeight="1" ht="17.25" hidden="1">
      <c r="A2250" s="112" t="s">
        <v>6350</v>
      </c>
      <c r="B2250" s="1" t="s">
        <v>2549</v>
      </c>
      <c r="C2250" s="1" t="s">
        <v>60</v>
      </c>
      <c r="D2250" s="1" t="s">
        <v>6351</v>
      </c>
      <c r="E2250" s="62">
        <v>19</v>
      </c>
      <c r="F2250" s="1" t="s">
        <v>2551</v>
      </c>
      <c r="G2250" s="1" t="s">
        <v>2552</v>
      </c>
    </row>
    <row x14ac:dyDescent="0.25" r="2251" customHeight="1" ht="17.25" hidden="1">
      <c r="A2251" s="112" t="s">
        <v>6352</v>
      </c>
      <c r="B2251" s="1" t="s">
        <v>2549</v>
      </c>
      <c r="C2251" s="1" t="s">
        <v>60</v>
      </c>
      <c r="D2251" s="1" t="s">
        <v>6353</v>
      </c>
      <c r="E2251" s="62">
        <v>32</v>
      </c>
      <c r="F2251" s="1" t="s">
        <v>2551</v>
      </c>
      <c r="G2251" s="1" t="s">
        <v>2552</v>
      </c>
    </row>
    <row x14ac:dyDescent="0.25" r="2252" customHeight="1" ht="17.25" hidden="1">
      <c r="A2252" s="112" t="s">
        <v>6354</v>
      </c>
      <c r="B2252" s="1" t="s">
        <v>2549</v>
      </c>
      <c r="C2252" s="1" t="s">
        <v>60</v>
      </c>
      <c r="D2252" s="1" t="s">
        <v>6355</v>
      </c>
      <c r="E2252" s="62">
        <v>20</v>
      </c>
      <c r="F2252" s="1" t="s">
        <v>2551</v>
      </c>
      <c r="G2252" s="1" t="s">
        <v>2555</v>
      </c>
    </row>
    <row x14ac:dyDescent="0.25" r="2253" customHeight="1" ht="17.25" hidden="1">
      <c r="A2253" s="112" t="s">
        <v>6356</v>
      </c>
      <c r="B2253" s="1" t="s">
        <v>2549</v>
      </c>
      <c r="C2253" s="1" t="s">
        <v>60</v>
      </c>
      <c r="D2253" s="1" t="s">
        <v>6357</v>
      </c>
      <c r="E2253" s="62">
        <v>18</v>
      </c>
      <c r="F2253" s="1" t="s">
        <v>2551</v>
      </c>
      <c r="G2253" s="1" t="s">
        <v>2552</v>
      </c>
    </row>
    <row x14ac:dyDescent="0.25" r="2254" customHeight="1" ht="17.25" hidden="1">
      <c r="A2254" s="112" t="s">
        <v>6358</v>
      </c>
      <c r="B2254" s="1" t="s">
        <v>2549</v>
      </c>
      <c r="C2254" s="1" t="s">
        <v>60</v>
      </c>
      <c r="D2254" s="1" t="s">
        <v>6359</v>
      </c>
      <c r="E2254" s="54" t="s">
        <v>2571</v>
      </c>
      <c r="F2254" s="1" t="s">
        <v>2551</v>
      </c>
      <c r="G2254" s="1" t="s">
        <v>5094</v>
      </c>
    </row>
    <row x14ac:dyDescent="0.25" r="2255" customHeight="1" ht="17.25" hidden="1">
      <c r="A2255" s="112" t="s">
        <v>6360</v>
      </c>
      <c r="B2255" s="1" t="s">
        <v>2549</v>
      </c>
      <c r="C2255" s="1" t="s">
        <v>61</v>
      </c>
      <c r="D2255" s="1" t="s">
        <v>6361</v>
      </c>
      <c r="E2255" s="62">
        <v>25</v>
      </c>
      <c r="F2255" s="1" t="s">
        <v>2551</v>
      </c>
      <c r="G2255" s="1" t="s">
        <v>2552</v>
      </c>
    </row>
    <row x14ac:dyDescent="0.25" r="2256" customHeight="1" ht="17.25" hidden="1">
      <c r="A2256" s="112" t="s">
        <v>6362</v>
      </c>
      <c r="B2256" s="1" t="s">
        <v>2549</v>
      </c>
      <c r="C2256" s="1" t="s">
        <v>61</v>
      </c>
      <c r="D2256" s="1" t="s">
        <v>6363</v>
      </c>
      <c r="E2256" s="62">
        <v>27</v>
      </c>
      <c r="F2256" s="1" t="s">
        <v>2561</v>
      </c>
      <c r="G2256" s="1" t="s">
        <v>2558</v>
      </c>
    </row>
    <row x14ac:dyDescent="0.25" r="2257" customHeight="1" ht="17.25" hidden="1">
      <c r="A2257" s="112" t="s">
        <v>6364</v>
      </c>
      <c r="B2257" s="1" t="s">
        <v>2549</v>
      </c>
      <c r="C2257" s="1" t="s">
        <v>61</v>
      </c>
      <c r="D2257" s="1" t="s">
        <v>6365</v>
      </c>
      <c r="E2257" s="62">
        <v>20</v>
      </c>
      <c r="F2257" s="1" t="s">
        <v>2551</v>
      </c>
      <c r="G2257" s="1" t="s">
        <v>2555</v>
      </c>
    </row>
    <row x14ac:dyDescent="0.25" r="2258" customHeight="1" ht="17.25" hidden="1">
      <c r="A2258" s="112" t="s">
        <v>6366</v>
      </c>
      <c r="B2258" s="1" t="s">
        <v>2549</v>
      </c>
      <c r="C2258" s="1" t="s">
        <v>61</v>
      </c>
      <c r="D2258" s="1" t="s">
        <v>6367</v>
      </c>
      <c r="E2258" s="62">
        <v>21</v>
      </c>
      <c r="F2258" s="1" t="s">
        <v>2551</v>
      </c>
      <c r="G2258" s="1" t="s">
        <v>2552</v>
      </c>
    </row>
    <row x14ac:dyDescent="0.25" r="2259" customHeight="1" ht="17.25" hidden="1">
      <c r="A2259" s="112" t="s">
        <v>6366</v>
      </c>
      <c r="B2259" s="1" t="s">
        <v>2549</v>
      </c>
      <c r="C2259" s="1" t="s">
        <v>61</v>
      </c>
      <c r="D2259" s="1" t="s">
        <v>6368</v>
      </c>
      <c r="E2259" s="62">
        <v>22</v>
      </c>
      <c r="F2259" s="1" t="s">
        <v>2551</v>
      </c>
      <c r="G2259" s="1" t="s">
        <v>2552</v>
      </c>
    </row>
    <row x14ac:dyDescent="0.25" r="2260" customHeight="1" ht="17.25" hidden="1">
      <c r="A2260" s="112" t="s">
        <v>6369</v>
      </c>
      <c r="B2260" s="1" t="s">
        <v>2549</v>
      </c>
      <c r="C2260" s="1" t="s">
        <v>61</v>
      </c>
      <c r="D2260" s="1" t="s">
        <v>6370</v>
      </c>
      <c r="E2260" s="62">
        <v>19</v>
      </c>
      <c r="F2260" s="1" t="s">
        <v>2551</v>
      </c>
      <c r="G2260" s="1" t="s">
        <v>2552</v>
      </c>
    </row>
    <row x14ac:dyDescent="0.25" r="2261" customHeight="1" ht="17.25" hidden="1">
      <c r="A2261" s="112" t="s">
        <v>6371</v>
      </c>
      <c r="B2261" s="1" t="s">
        <v>2549</v>
      </c>
      <c r="C2261" s="1" t="s">
        <v>61</v>
      </c>
      <c r="D2261" s="1" t="s">
        <v>6372</v>
      </c>
      <c r="E2261" s="62">
        <v>33</v>
      </c>
      <c r="F2261" s="1" t="s">
        <v>2551</v>
      </c>
      <c r="G2261" s="1" t="s">
        <v>2552</v>
      </c>
    </row>
    <row x14ac:dyDescent="0.25" r="2262" customHeight="1" ht="17.25" hidden="1">
      <c r="A2262" s="112" t="s">
        <v>6373</v>
      </c>
      <c r="B2262" s="1" t="s">
        <v>2549</v>
      </c>
      <c r="C2262" s="1" t="s">
        <v>61</v>
      </c>
      <c r="D2262" s="1" t="s">
        <v>6374</v>
      </c>
      <c r="E2262" s="62">
        <v>25</v>
      </c>
      <c r="F2262" s="1" t="s">
        <v>2551</v>
      </c>
      <c r="G2262" s="1" t="s">
        <v>2558</v>
      </c>
    </row>
    <row x14ac:dyDescent="0.25" r="2263" customHeight="1" ht="17.25" hidden="1">
      <c r="A2263" s="112" t="s">
        <v>6375</v>
      </c>
      <c r="B2263" s="1" t="s">
        <v>2549</v>
      </c>
      <c r="C2263" s="1" t="s">
        <v>61</v>
      </c>
      <c r="D2263" s="1" t="s">
        <v>6376</v>
      </c>
      <c r="E2263" s="62">
        <v>27</v>
      </c>
      <c r="F2263" s="1" t="s">
        <v>2551</v>
      </c>
      <c r="G2263" s="1" t="s">
        <v>2555</v>
      </c>
    </row>
    <row x14ac:dyDescent="0.25" r="2264" customHeight="1" ht="17.25" hidden="1">
      <c r="A2264" s="112" t="s">
        <v>6377</v>
      </c>
      <c r="B2264" s="1" t="s">
        <v>2549</v>
      </c>
      <c r="C2264" s="1" t="s">
        <v>61</v>
      </c>
      <c r="D2264" s="1" t="s">
        <v>6378</v>
      </c>
      <c r="E2264" s="62">
        <v>25</v>
      </c>
      <c r="F2264" s="1" t="s">
        <v>2551</v>
      </c>
      <c r="G2264" s="1" t="s">
        <v>2558</v>
      </c>
    </row>
    <row x14ac:dyDescent="0.25" r="2265" customHeight="1" ht="17.25" hidden="1">
      <c r="A2265" s="112" t="s">
        <v>6379</v>
      </c>
      <c r="B2265" s="1" t="s">
        <v>2549</v>
      </c>
      <c r="C2265" s="1" t="s">
        <v>61</v>
      </c>
      <c r="D2265" s="1" t="s">
        <v>6380</v>
      </c>
      <c r="E2265" s="62">
        <v>32</v>
      </c>
      <c r="F2265" s="1" t="s">
        <v>2551</v>
      </c>
      <c r="G2265" s="1" t="s">
        <v>2555</v>
      </c>
    </row>
    <row x14ac:dyDescent="0.25" r="2266" customHeight="1" ht="17.25" hidden="1">
      <c r="A2266" s="112" t="s">
        <v>6381</v>
      </c>
      <c r="B2266" s="1" t="s">
        <v>2549</v>
      </c>
      <c r="C2266" s="1" t="s">
        <v>61</v>
      </c>
      <c r="D2266" s="1" t="s">
        <v>6382</v>
      </c>
      <c r="E2266" s="62">
        <v>18</v>
      </c>
      <c r="F2266" s="1" t="s">
        <v>2551</v>
      </c>
      <c r="G2266" s="1" t="s">
        <v>2555</v>
      </c>
    </row>
    <row x14ac:dyDescent="0.25" r="2267" customHeight="1" ht="17.25" hidden="1">
      <c r="A2267" s="112" t="s">
        <v>6381</v>
      </c>
      <c r="B2267" s="1" t="s">
        <v>2549</v>
      </c>
      <c r="C2267" s="1" t="s">
        <v>61</v>
      </c>
      <c r="D2267" s="1" t="s">
        <v>6383</v>
      </c>
      <c r="E2267" s="62">
        <v>25</v>
      </c>
      <c r="F2267" s="1" t="s">
        <v>2551</v>
      </c>
      <c r="G2267" s="1" t="s">
        <v>2552</v>
      </c>
    </row>
    <row x14ac:dyDescent="0.25" r="2268" customHeight="1" ht="17.25" hidden="1">
      <c r="A2268" s="112" t="s">
        <v>6384</v>
      </c>
      <c r="B2268" s="1" t="s">
        <v>2549</v>
      </c>
      <c r="C2268" s="1" t="s">
        <v>61</v>
      </c>
      <c r="D2268" s="1" t="s">
        <v>6385</v>
      </c>
      <c r="E2268" s="62">
        <v>33</v>
      </c>
      <c r="F2268" s="1" t="s">
        <v>2551</v>
      </c>
      <c r="G2268" s="1" t="s">
        <v>2555</v>
      </c>
    </row>
    <row x14ac:dyDescent="0.25" r="2269" customHeight="1" ht="17.25" hidden="1">
      <c r="A2269" s="112" t="s">
        <v>6386</v>
      </c>
      <c r="B2269" s="1" t="s">
        <v>2549</v>
      </c>
      <c r="C2269" s="1" t="s">
        <v>61</v>
      </c>
      <c r="D2269" s="1" t="s">
        <v>6387</v>
      </c>
      <c r="E2269" s="62">
        <v>25</v>
      </c>
      <c r="F2269" s="1" t="s">
        <v>2551</v>
      </c>
      <c r="G2269" s="1" t="s">
        <v>2558</v>
      </c>
    </row>
    <row x14ac:dyDescent="0.25" r="2270" customHeight="1" ht="17.25" hidden="1">
      <c r="A2270" s="112" t="s">
        <v>6386</v>
      </c>
      <c r="B2270" s="1" t="s">
        <v>2549</v>
      </c>
      <c r="C2270" s="1" t="s">
        <v>61</v>
      </c>
      <c r="D2270" s="1" t="s">
        <v>6388</v>
      </c>
      <c r="E2270" s="62">
        <v>21</v>
      </c>
      <c r="F2270" s="1" t="s">
        <v>2551</v>
      </c>
      <c r="G2270" s="1" t="s">
        <v>2555</v>
      </c>
    </row>
    <row x14ac:dyDescent="0.25" r="2271" customHeight="1" ht="17.25" hidden="1">
      <c r="A2271" s="112" t="s">
        <v>6386</v>
      </c>
      <c r="B2271" s="1" t="s">
        <v>2549</v>
      </c>
      <c r="C2271" s="1" t="s">
        <v>61</v>
      </c>
      <c r="D2271" s="1" t="s">
        <v>6389</v>
      </c>
      <c r="E2271" s="62">
        <v>50</v>
      </c>
      <c r="F2271" s="1" t="s">
        <v>2551</v>
      </c>
      <c r="G2271" s="1" t="s">
        <v>2552</v>
      </c>
    </row>
    <row x14ac:dyDescent="0.25" r="2272" customHeight="1" ht="17.25" hidden="1">
      <c r="A2272" s="112" t="s">
        <v>6390</v>
      </c>
      <c r="B2272" s="1" t="s">
        <v>2549</v>
      </c>
      <c r="C2272" s="1" t="s">
        <v>61</v>
      </c>
      <c r="D2272" s="1" t="s">
        <v>6391</v>
      </c>
      <c r="E2272" s="62">
        <v>18</v>
      </c>
      <c r="F2272" s="1" t="s">
        <v>2551</v>
      </c>
      <c r="G2272" s="1" t="s">
        <v>2555</v>
      </c>
    </row>
    <row x14ac:dyDescent="0.25" r="2273" customHeight="1" ht="17.25" hidden="1">
      <c r="A2273" s="112" t="s">
        <v>6392</v>
      </c>
      <c r="B2273" s="1" t="s">
        <v>2549</v>
      </c>
      <c r="C2273" s="1" t="s">
        <v>61</v>
      </c>
      <c r="D2273" s="1" t="s">
        <v>6393</v>
      </c>
      <c r="E2273" s="62">
        <v>21</v>
      </c>
      <c r="F2273" s="1" t="s">
        <v>2551</v>
      </c>
      <c r="G2273" s="1" t="s">
        <v>2555</v>
      </c>
    </row>
    <row x14ac:dyDescent="0.25" r="2274" customHeight="1" ht="17.25" hidden="1">
      <c r="A2274" s="112" t="s">
        <v>6394</v>
      </c>
      <c r="B2274" s="1" t="s">
        <v>2549</v>
      </c>
      <c r="C2274" s="1" t="s">
        <v>61</v>
      </c>
      <c r="D2274" s="1" t="s">
        <v>6395</v>
      </c>
      <c r="E2274" s="62">
        <v>28</v>
      </c>
      <c r="F2274" s="1" t="s">
        <v>2551</v>
      </c>
      <c r="G2274" s="1" t="s">
        <v>2558</v>
      </c>
    </row>
    <row x14ac:dyDescent="0.25" r="2275" customHeight="1" ht="17.25" hidden="1">
      <c r="A2275" s="112" t="s">
        <v>6396</v>
      </c>
      <c r="B2275" s="1" t="s">
        <v>2549</v>
      </c>
      <c r="C2275" s="1" t="s">
        <v>61</v>
      </c>
      <c r="D2275" s="1" t="s">
        <v>6397</v>
      </c>
      <c r="E2275" s="62">
        <v>26</v>
      </c>
      <c r="F2275" s="1" t="s">
        <v>2551</v>
      </c>
      <c r="G2275" s="1" t="s">
        <v>2552</v>
      </c>
    </row>
    <row x14ac:dyDescent="0.25" r="2276" customHeight="1" ht="17.25" hidden="1">
      <c r="A2276" s="112" t="s">
        <v>6398</v>
      </c>
      <c r="B2276" s="1" t="s">
        <v>2549</v>
      </c>
      <c r="C2276" s="1" t="s">
        <v>61</v>
      </c>
      <c r="D2276" s="1" t="s">
        <v>6399</v>
      </c>
      <c r="E2276" s="62">
        <v>18</v>
      </c>
      <c r="F2276" s="1" t="s">
        <v>2551</v>
      </c>
      <c r="G2276" s="1" t="s">
        <v>2555</v>
      </c>
    </row>
    <row x14ac:dyDescent="0.25" r="2277" customHeight="1" ht="17.25" hidden="1">
      <c r="A2277" s="112" t="s">
        <v>6400</v>
      </c>
      <c r="B2277" s="1" t="s">
        <v>2549</v>
      </c>
      <c r="C2277" s="1" t="s">
        <v>61</v>
      </c>
      <c r="D2277" s="1" t="s">
        <v>6401</v>
      </c>
      <c r="E2277" s="62">
        <v>23</v>
      </c>
      <c r="F2277" s="1" t="s">
        <v>2551</v>
      </c>
      <c r="G2277" s="1" t="s">
        <v>2552</v>
      </c>
    </row>
    <row x14ac:dyDescent="0.25" r="2278" customHeight="1" ht="17.25" hidden="1">
      <c r="A2278" s="112" t="s">
        <v>6400</v>
      </c>
      <c r="B2278" s="1" t="s">
        <v>2549</v>
      </c>
      <c r="C2278" s="1" t="s">
        <v>61</v>
      </c>
      <c r="D2278" s="1" t="s">
        <v>6402</v>
      </c>
      <c r="E2278" s="62">
        <v>31</v>
      </c>
      <c r="F2278" s="1" t="s">
        <v>2551</v>
      </c>
      <c r="G2278" s="1" t="s">
        <v>2552</v>
      </c>
    </row>
    <row x14ac:dyDescent="0.25" r="2279" customHeight="1" ht="17.25" hidden="1">
      <c r="A2279" s="112" t="s">
        <v>6403</v>
      </c>
      <c r="B2279" s="1" t="s">
        <v>2549</v>
      </c>
      <c r="C2279" s="1" t="s">
        <v>61</v>
      </c>
      <c r="D2279" s="1" t="s">
        <v>6404</v>
      </c>
      <c r="E2279" s="62">
        <v>18</v>
      </c>
      <c r="F2279" s="1" t="s">
        <v>2551</v>
      </c>
      <c r="G2279" s="1" t="s">
        <v>2552</v>
      </c>
    </row>
    <row x14ac:dyDescent="0.25" r="2280" customHeight="1" ht="17.25" hidden="1">
      <c r="A2280" s="112" t="s">
        <v>6405</v>
      </c>
      <c r="B2280" s="1" t="s">
        <v>2549</v>
      </c>
      <c r="C2280" s="1" t="s">
        <v>61</v>
      </c>
      <c r="D2280" s="1" t="s">
        <v>6406</v>
      </c>
      <c r="E2280" s="62">
        <v>19</v>
      </c>
      <c r="F2280" s="1" t="s">
        <v>2551</v>
      </c>
      <c r="G2280" s="1" t="s">
        <v>2552</v>
      </c>
    </row>
    <row x14ac:dyDescent="0.25" r="2281" customHeight="1" ht="17.25" hidden="1">
      <c r="A2281" s="112" t="s">
        <v>6405</v>
      </c>
      <c r="B2281" s="1" t="s">
        <v>2549</v>
      </c>
      <c r="C2281" s="1" t="s">
        <v>61</v>
      </c>
      <c r="D2281" s="1" t="s">
        <v>6407</v>
      </c>
      <c r="E2281" s="62">
        <v>18</v>
      </c>
      <c r="F2281" s="1" t="s">
        <v>2551</v>
      </c>
      <c r="G2281" s="1" t="s">
        <v>2552</v>
      </c>
    </row>
    <row x14ac:dyDescent="0.25" r="2282" customHeight="1" ht="17.25" hidden="1">
      <c r="A2282" s="112" t="s">
        <v>6408</v>
      </c>
      <c r="B2282" s="1" t="s">
        <v>2549</v>
      </c>
      <c r="C2282" s="1" t="s">
        <v>61</v>
      </c>
      <c r="D2282" s="1" t="s">
        <v>6409</v>
      </c>
      <c r="E2282" s="62">
        <v>23</v>
      </c>
      <c r="F2282" s="1" t="s">
        <v>2561</v>
      </c>
      <c r="G2282" s="1" t="s">
        <v>2555</v>
      </c>
    </row>
    <row x14ac:dyDescent="0.25" r="2283" customHeight="1" ht="17.25" hidden="1">
      <c r="A2283" s="112" t="s">
        <v>6410</v>
      </c>
      <c r="B2283" s="1" t="s">
        <v>2549</v>
      </c>
      <c r="C2283" s="1" t="s">
        <v>61</v>
      </c>
      <c r="D2283" s="1" t="s">
        <v>6411</v>
      </c>
      <c r="E2283" s="62">
        <v>21</v>
      </c>
      <c r="F2283" s="1" t="s">
        <v>2551</v>
      </c>
      <c r="G2283" s="1" t="s">
        <v>2552</v>
      </c>
    </row>
    <row x14ac:dyDescent="0.25" r="2284" customHeight="1" ht="17.25" hidden="1">
      <c r="A2284" s="112" t="s">
        <v>1207</v>
      </c>
      <c r="B2284" s="1" t="s">
        <v>2549</v>
      </c>
      <c r="C2284" s="1" t="s">
        <v>61</v>
      </c>
      <c r="D2284" s="1" t="s">
        <v>6412</v>
      </c>
      <c r="E2284" s="62">
        <v>36</v>
      </c>
      <c r="F2284" s="1" t="s">
        <v>2551</v>
      </c>
      <c r="G2284" s="1" t="s">
        <v>2552</v>
      </c>
    </row>
    <row x14ac:dyDescent="0.25" r="2285" customHeight="1" ht="17.25" hidden="1">
      <c r="A2285" s="112" t="s">
        <v>6413</v>
      </c>
      <c r="B2285" s="1" t="s">
        <v>2549</v>
      </c>
      <c r="C2285" s="1" t="s">
        <v>61</v>
      </c>
      <c r="D2285" s="1" t="s">
        <v>6414</v>
      </c>
      <c r="E2285" s="62">
        <v>22</v>
      </c>
      <c r="F2285" s="1" t="s">
        <v>2551</v>
      </c>
      <c r="G2285" s="1" t="s">
        <v>2552</v>
      </c>
    </row>
    <row x14ac:dyDescent="0.25" r="2286" customHeight="1" ht="17.25" hidden="1">
      <c r="A2286" s="112" t="s">
        <v>6415</v>
      </c>
      <c r="B2286" s="1" t="s">
        <v>2549</v>
      </c>
      <c r="C2286" s="1" t="s">
        <v>61</v>
      </c>
      <c r="D2286" s="1" t="s">
        <v>6416</v>
      </c>
      <c r="E2286" s="62">
        <v>34</v>
      </c>
      <c r="F2286" s="1" t="s">
        <v>2551</v>
      </c>
      <c r="G2286" s="1" t="s">
        <v>2555</v>
      </c>
    </row>
    <row x14ac:dyDescent="0.25" r="2287" customHeight="1" ht="17.25" hidden="1">
      <c r="A2287" s="112" t="s">
        <v>6417</v>
      </c>
      <c r="B2287" s="1" t="s">
        <v>2549</v>
      </c>
      <c r="C2287" s="1" t="s">
        <v>61</v>
      </c>
      <c r="D2287" s="1" t="s">
        <v>6418</v>
      </c>
      <c r="E2287" s="62">
        <v>31</v>
      </c>
      <c r="F2287" s="1" t="s">
        <v>2561</v>
      </c>
      <c r="G2287" s="1" t="s">
        <v>2558</v>
      </c>
    </row>
    <row x14ac:dyDescent="0.25" r="2288" customHeight="1" ht="17.25" hidden="1">
      <c r="A2288" s="112" t="s">
        <v>6419</v>
      </c>
      <c r="B2288" s="1" t="s">
        <v>2549</v>
      </c>
      <c r="C2288" s="1" t="s">
        <v>61</v>
      </c>
      <c r="D2288" s="1" t="s">
        <v>6420</v>
      </c>
      <c r="E2288" s="62">
        <v>22</v>
      </c>
      <c r="F2288" s="1" t="s">
        <v>2551</v>
      </c>
      <c r="G2288" s="1" t="s">
        <v>2552</v>
      </c>
    </row>
    <row x14ac:dyDescent="0.25" r="2289" customHeight="1" ht="17.25" hidden="1">
      <c r="A2289" s="112" t="s">
        <v>6421</v>
      </c>
      <c r="B2289" s="1" t="s">
        <v>2549</v>
      </c>
      <c r="C2289" s="1" t="s">
        <v>61</v>
      </c>
      <c r="D2289" s="1" t="s">
        <v>6422</v>
      </c>
      <c r="E2289" s="62">
        <v>20</v>
      </c>
      <c r="F2289" s="1" t="s">
        <v>2551</v>
      </c>
      <c r="G2289" s="1" t="s">
        <v>2558</v>
      </c>
    </row>
    <row x14ac:dyDescent="0.25" r="2290" customHeight="1" ht="17.25" hidden="1">
      <c r="A2290" s="112" t="s">
        <v>6423</v>
      </c>
      <c r="B2290" s="1" t="s">
        <v>2549</v>
      </c>
      <c r="C2290" s="1" t="s">
        <v>61</v>
      </c>
      <c r="D2290" s="1" t="s">
        <v>6424</v>
      </c>
      <c r="E2290" s="62">
        <v>25</v>
      </c>
      <c r="F2290" s="1" t="s">
        <v>2551</v>
      </c>
      <c r="G2290" s="1" t="s">
        <v>2552</v>
      </c>
    </row>
    <row x14ac:dyDescent="0.25" r="2291" customHeight="1" ht="17.25" hidden="1">
      <c r="A2291" s="112" t="s">
        <v>6425</v>
      </c>
      <c r="B2291" s="1" t="s">
        <v>2549</v>
      </c>
      <c r="C2291" s="1" t="s">
        <v>61</v>
      </c>
      <c r="D2291" s="1" t="s">
        <v>6426</v>
      </c>
      <c r="E2291" s="62">
        <v>36</v>
      </c>
      <c r="F2291" s="1" t="s">
        <v>2551</v>
      </c>
      <c r="G2291" s="1" t="s">
        <v>2555</v>
      </c>
    </row>
    <row x14ac:dyDescent="0.25" r="2292" customHeight="1" ht="17.25" hidden="1">
      <c r="A2292" s="112" t="s">
        <v>6427</v>
      </c>
      <c r="B2292" s="1" t="s">
        <v>2549</v>
      </c>
      <c r="C2292" s="1" t="s">
        <v>61</v>
      </c>
      <c r="D2292" s="1" t="s">
        <v>6428</v>
      </c>
      <c r="E2292" s="62">
        <v>28</v>
      </c>
      <c r="F2292" s="1" t="s">
        <v>2551</v>
      </c>
      <c r="G2292" s="1" t="s">
        <v>2571</v>
      </c>
    </row>
    <row x14ac:dyDescent="0.25" r="2293" customHeight="1" ht="17.25" hidden="1">
      <c r="A2293" s="112" t="s">
        <v>6429</v>
      </c>
      <c r="B2293" s="1" t="s">
        <v>2549</v>
      </c>
      <c r="C2293" s="1" t="s">
        <v>61</v>
      </c>
      <c r="D2293" s="1" t="s">
        <v>6430</v>
      </c>
      <c r="E2293" s="62">
        <v>40</v>
      </c>
      <c r="F2293" s="1" t="s">
        <v>2551</v>
      </c>
      <c r="G2293" s="1" t="s">
        <v>2555</v>
      </c>
    </row>
    <row x14ac:dyDescent="0.25" r="2294" customHeight="1" ht="17.25" hidden="1">
      <c r="A2294" s="112" t="s">
        <v>6431</v>
      </c>
      <c r="B2294" s="1" t="s">
        <v>2549</v>
      </c>
      <c r="C2294" s="1" t="s">
        <v>61</v>
      </c>
      <c r="D2294" s="1" t="s">
        <v>6432</v>
      </c>
      <c r="E2294" s="62">
        <v>34</v>
      </c>
      <c r="F2294" s="1" t="s">
        <v>2551</v>
      </c>
      <c r="G2294" s="1" t="s">
        <v>2571</v>
      </c>
    </row>
    <row x14ac:dyDescent="0.25" r="2295" customHeight="1" ht="17.25" hidden="1">
      <c r="A2295" s="112" t="s">
        <v>6431</v>
      </c>
      <c r="B2295" s="1" t="s">
        <v>2549</v>
      </c>
      <c r="C2295" s="1" t="s">
        <v>61</v>
      </c>
      <c r="D2295" s="1" t="s">
        <v>6433</v>
      </c>
      <c r="E2295" s="62">
        <v>21</v>
      </c>
      <c r="F2295" s="1" t="s">
        <v>2551</v>
      </c>
      <c r="G2295" s="1" t="s">
        <v>2552</v>
      </c>
    </row>
    <row x14ac:dyDescent="0.25" r="2296" customHeight="1" ht="17.25" hidden="1">
      <c r="A2296" s="112" t="s">
        <v>6434</v>
      </c>
      <c r="B2296" s="1" t="s">
        <v>2549</v>
      </c>
      <c r="C2296" s="1" t="s">
        <v>61</v>
      </c>
      <c r="D2296" s="1" t="s">
        <v>6435</v>
      </c>
      <c r="E2296" s="62">
        <v>35</v>
      </c>
      <c r="F2296" s="1" t="s">
        <v>2551</v>
      </c>
      <c r="G2296" s="1" t="s">
        <v>2555</v>
      </c>
    </row>
    <row x14ac:dyDescent="0.25" r="2297" customHeight="1" ht="17.25" hidden="1">
      <c r="A2297" s="112" t="s">
        <v>1888</v>
      </c>
      <c r="B2297" s="1" t="s">
        <v>2549</v>
      </c>
      <c r="C2297" s="1" t="s">
        <v>61</v>
      </c>
      <c r="D2297" s="1" t="s">
        <v>1889</v>
      </c>
      <c r="E2297" s="62">
        <v>27</v>
      </c>
      <c r="F2297" s="1" t="s">
        <v>2551</v>
      </c>
      <c r="G2297" s="1" t="s">
        <v>2552</v>
      </c>
    </row>
    <row x14ac:dyDescent="0.25" r="2298" customHeight="1" ht="17.25" hidden="1">
      <c r="A2298" s="112" t="s">
        <v>6436</v>
      </c>
      <c r="B2298" s="1" t="s">
        <v>2549</v>
      </c>
      <c r="C2298" s="1" t="s">
        <v>61</v>
      </c>
      <c r="D2298" s="1" t="s">
        <v>6437</v>
      </c>
      <c r="E2298" s="62">
        <v>19</v>
      </c>
      <c r="F2298" s="1" t="s">
        <v>2561</v>
      </c>
      <c r="G2298" s="1" t="s">
        <v>2552</v>
      </c>
    </row>
    <row x14ac:dyDescent="0.25" r="2299" customHeight="1" ht="17.25" hidden="1">
      <c r="A2299" s="112" t="s">
        <v>6438</v>
      </c>
      <c r="B2299" s="1" t="s">
        <v>2549</v>
      </c>
      <c r="C2299" s="1" t="s">
        <v>61</v>
      </c>
      <c r="D2299" s="1" t="s">
        <v>6439</v>
      </c>
      <c r="E2299" s="62">
        <v>26</v>
      </c>
      <c r="F2299" s="1" t="s">
        <v>2551</v>
      </c>
      <c r="G2299" s="1" t="s">
        <v>2555</v>
      </c>
    </row>
    <row x14ac:dyDescent="0.25" r="2300" customHeight="1" ht="17.25" hidden="1">
      <c r="A2300" s="112" t="s">
        <v>6440</v>
      </c>
      <c r="B2300" s="1" t="s">
        <v>2549</v>
      </c>
      <c r="C2300" s="1" t="s">
        <v>61</v>
      </c>
      <c r="D2300" s="1" t="s">
        <v>6441</v>
      </c>
      <c r="E2300" s="62">
        <v>34</v>
      </c>
      <c r="F2300" s="1" t="s">
        <v>2551</v>
      </c>
      <c r="G2300" s="1" t="s">
        <v>2552</v>
      </c>
    </row>
    <row x14ac:dyDescent="0.25" r="2301" customHeight="1" ht="17.25" hidden="1">
      <c r="A2301" s="112" t="s">
        <v>6442</v>
      </c>
      <c r="B2301" s="1" t="s">
        <v>2549</v>
      </c>
      <c r="C2301" s="1" t="s">
        <v>61</v>
      </c>
      <c r="D2301" s="1" t="s">
        <v>6443</v>
      </c>
      <c r="E2301" s="62">
        <v>36</v>
      </c>
      <c r="F2301" s="1" t="s">
        <v>2551</v>
      </c>
      <c r="G2301" s="1" t="s">
        <v>2552</v>
      </c>
    </row>
    <row x14ac:dyDescent="0.25" r="2302" customHeight="1" ht="17.25" hidden="1">
      <c r="A2302" s="112" t="s">
        <v>6444</v>
      </c>
      <c r="B2302" s="1" t="s">
        <v>2549</v>
      </c>
      <c r="C2302" s="1" t="s">
        <v>61</v>
      </c>
      <c r="D2302" s="1" t="s">
        <v>6445</v>
      </c>
      <c r="E2302" s="62">
        <v>19</v>
      </c>
      <c r="F2302" s="1" t="s">
        <v>2551</v>
      </c>
      <c r="G2302" s="1" t="s">
        <v>2558</v>
      </c>
    </row>
    <row x14ac:dyDescent="0.25" r="2303" customHeight="1" ht="17.25" hidden="1">
      <c r="A2303" s="112" t="s">
        <v>6446</v>
      </c>
      <c r="B2303" s="1" t="s">
        <v>2549</v>
      </c>
      <c r="C2303" s="1" t="s">
        <v>61</v>
      </c>
      <c r="D2303" s="1" t="s">
        <v>6447</v>
      </c>
      <c r="E2303" s="62">
        <v>23</v>
      </c>
      <c r="F2303" s="1" t="s">
        <v>2551</v>
      </c>
      <c r="G2303" s="1" t="s">
        <v>2552</v>
      </c>
    </row>
    <row x14ac:dyDescent="0.25" r="2304" customHeight="1" ht="17.25" hidden="1">
      <c r="A2304" s="112" t="s">
        <v>2168</v>
      </c>
      <c r="B2304" s="1" t="s">
        <v>2549</v>
      </c>
      <c r="C2304" s="1" t="s">
        <v>61</v>
      </c>
      <c r="D2304" s="1" t="s">
        <v>2169</v>
      </c>
      <c r="E2304" s="62">
        <v>30</v>
      </c>
      <c r="F2304" s="1" t="s">
        <v>2551</v>
      </c>
      <c r="G2304" s="1" t="s">
        <v>2552</v>
      </c>
    </row>
    <row x14ac:dyDescent="0.25" r="2305" customHeight="1" ht="17.25" hidden="1">
      <c r="A2305" s="112" t="s">
        <v>6448</v>
      </c>
      <c r="B2305" s="1" t="s">
        <v>2549</v>
      </c>
      <c r="C2305" s="1" t="s">
        <v>61</v>
      </c>
      <c r="D2305" s="1" t="s">
        <v>6449</v>
      </c>
      <c r="E2305" s="62">
        <v>35</v>
      </c>
      <c r="F2305" s="1" t="s">
        <v>2551</v>
      </c>
      <c r="G2305" s="1" t="s">
        <v>2558</v>
      </c>
    </row>
    <row x14ac:dyDescent="0.25" r="2306" customHeight="1" ht="17.25" hidden="1">
      <c r="A2306" s="112" t="s">
        <v>6450</v>
      </c>
      <c r="B2306" s="1" t="s">
        <v>2549</v>
      </c>
      <c r="C2306" s="1" t="s">
        <v>61</v>
      </c>
      <c r="D2306" s="1" t="s">
        <v>6451</v>
      </c>
      <c r="E2306" s="62">
        <v>18</v>
      </c>
      <c r="F2306" s="1" t="s">
        <v>2551</v>
      </c>
      <c r="G2306" s="1" t="s">
        <v>2552</v>
      </c>
    </row>
    <row x14ac:dyDescent="0.25" r="2307" customHeight="1" ht="17.25" hidden="1">
      <c r="A2307" s="112" t="s">
        <v>6452</v>
      </c>
      <c r="B2307" s="1" t="s">
        <v>2549</v>
      </c>
      <c r="C2307" s="1" t="s">
        <v>61</v>
      </c>
      <c r="D2307" s="1" t="s">
        <v>6453</v>
      </c>
      <c r="E2307" s="62">
        <v>33</v>
      </c>
      <c r="F2307" s="1" t="s">
        <v>2551</v>
      </c>
      <c r="G2307" s="1" t="s">
        <v>2552</v>
      </c>
    </row>
    <row x14ac:dyDescent="0.25" r="2308" customHeight="1" ht="17.25" hidden="1">
      <c r="A2308" s="112" t="s">
        <v>1787</v>
      </c>
      <c r="B2308" s="1" t="s">
        <v>2549</v>
      </c>
      <c r="C2308" s="1" t="s">
        <v>61</v>
      </c>
      <c r="D2308" s="1" t="s">
        <v>1788</v>
      </c>
      <c r="E2308" s="62">
        <v>23</v>
      </c>
      <c r="F2308" s="1" t="s">
        <v>2551</v>
      </c>
      <c r="G2308" s="1" t="s">
        <v>2555</v>
      </c>
    </row>
    <row x14ac:dyDescent="0.25" r="2309" customHeight="1" ht="17.25" hidden="1">
      <c r="A2309" s="112" t="s">
        <v>6454</v>
      </c>
      <c r="B2309" s="1" t="s">
        <v>2549</v>
      </c>
      <c r="C2309" s="1" t="s">
        <v>61</v>
      </c>
      <c r="D2309" s="1" t="s">
        <v>6455</v>
      </c>
      <c r="E2309" s="62">
        <v>20</v>
      </c>
      <c r="F2309" s="1" t="s">
        <v>2551</v>
      </c>
      <c r="G2309" s="1" t="s">
        <v>2552</v>
      </c>
    </row>
    <row x14ac:dyDescent="0.25" r="2310" customHeight="1" ht="17.25" hidden="1">
      <c r="A2310" s="112" t="s">
        <v>6456</v>
      </c>
      <c r="B2310" s="1" t="s">
        <v>2549</v>
      </c>
      <c r="C2310" s="1" t="s">
        <v>61</v>
      </c>
      <c r="D2310" s="1" t="s">
        <v>6457</v>
      </c>
      <c r="E2310" s="62">
        <v>23</v>
      </c>
      <c r="F2310" s="1" t="s">
        <v>2551</v>
      </c>
      <c r="G2310" s="1" t="s">
        <v>2555</v>
      </c>
    </row>
    <row x14ac:dyDescent="0.25" r="2311" customHeight="1" ht="17.25" hidden="1">
      <c r="A2311" s="112" t="s">
        <v>6458</v>
      </c>
      <c r="B2311" s="1" t="s">
        <v>2549</v>
      </c>
      <c r="C2311" s="1" t="s">
        <v>61</v>
      </c>
      <c r="D2311" s="1" t="s">
        <v>6459</v>
      </c>
      <c r="E2311" s="62">
        <v>28</v>
      </c>
      <c r="F2311" s="1" t="s">
        <v>2551</v>
      </c>
      <c r="G2311" s="1" t="s">
        <v>2558</v>
      </c>
    </row>
    <row x14ac:dyDescent="0.25" r="2312" customHeight="1" ht="17.25" hidden="1">
      <c r="A2312" s="112" t="s">
        <v>6458</v>
      </c>
      <c r="B2312" s="1" t="s">
        <v>2549</v>
      </c>
      <c r="C2312" s="1" t="s">
        <v>61</v>
      </c>
      <c r="D2312" s="1" t="s">
        <v>6460</v>
      </c>
      <c r="E2312" s="62">
        <v>30</v>
      </c>
      <c r="F2312" s="1" t="s">
        <v>2551</v>
      </c>
      <c r="G2312" s="1" t="s">
        <v>2552</v>
      </c>
    </row>
    <row x14ac:dyDescent="0.25" r="2313" customHeight="1" ht="17.25" hidden="1">
      <c r="A2313" s="112" t="s">
        <v>6461</v>
      </c>
      <c r="B2313" s="1" t="s">
        <v>2549</v>
      </c>
      <c r="C2313" s="1" t="s">
        <v>61</v>
      </c>
      <c r="D2313" s="1" t="s">
        <v>6462</v>
      </c>
      <c r="E2313" s="62">
        <v>19</v>
      </c>
      <c r="F2313" s="1" t="s">
        <v>2551</v>
      </c>
      <c r="G2313" s="1" t="s">
        <v>2552</v>
      </c>
    </row>
    <row x14ac:dyDescent="0.25" r="2314" customHeight="1" ht="17.25" hidden="1">
      <c r="A2314" s="112" t="s">
        <v>1602</v>
      </c>
      <c r="B2314" s="1" t="s">
        <v>2549</v>
      </c>
      <c r="C2314" s="1" t="s">
        <v>61</v>
      </c>
      <c r="D2314" s="1" t="s">
        <v>6463</v>
      </c>
      <c r="E2314" s="62">
        <v>18</v>
      </c>
      <c r="F2314" s="1" t="s">
        <v>2551</v>
      </c>
      <c r="G2314" s="1" t="s">
        <v>2552</v>
      </c>
    </row>
    <row x14ac:dyDescent="0.25" r="2315" customHeight="1" ht="17.25" hidden="1">
      <c r="A2315" s="112" t="s">
        <v>6464</v>
      </c>
      <c r="B2315" s="1" t="s">
        <v>2549</v>
      </c>
      <c r="C2315" s="1" t="s">
        <v>61</v>
      </c>
      <c r="D2315" s="1" t="s">
        <v>6465</v>
      </c>
      <c r="E2315" s="62">
        <v>27</v>
      </c>
      <c r="F2315" s="1" t="s">
        <v>2551</v>
      </c>
      <c r="G2315" s="1" t="s">
        <v>2555</v>
      </c>
    </row>
    <row x14ac:dyDescent="0.25" r="2316" customHeight="1" ht="17.25" hidden="1">
      <c r="A2316" s="112" t="s">
        <v>6466</v>
      </c>
      <c r="B2316" s="1" t="s">
        <v>2549</v>
      </c>
      <c r="C2316" s="1" t="s">
        <v>61</v>
      </c>
      <c r="D2316" s="1" t="s">
        <v>6467</v>
      </c>
      <c r="E2316" s="62">
        <v>23</v>
      </c>
      <c r="F2316" s="1" t="s">
        <v>2551</v>
      </c>
      <c r="G2316" s="1" t="s">
        <v>2555</v>
      </c>
    </row>
    <row x14ac:dyDescent="0.25" r="2317" customHeight="1" ht="17.25" hidden="1">
      <c r="A2317" s="112" t="s">
        <v>6468</v>
      </c>
      <c r="B2317" s="1" t="s">
        <v>2549</v>
      </c>
      <c r="C2317" s="1" t="s">
        <v>61</v>
      </c>
      <c r="D2317" s="1" t="s">
        <v>6469</v>
      </c>
      <c r="E2317" s="62">
        <v>21</v>
      </c>
      <c r="F2317" s="1" t="s">
        <v>2551</v>
      </c>
      <c r="G2317" s="1" t="s">
        <v>2558</v>
      </c>
    </row>
    <row x14ac:dyDescent="0.25" r="2318" customHeight="1" ht="17.25" hidden="1">
      <c r="A2318" s="112" t="s">
        <v>6470</v>
      </c>
      <c r="B2318" s="1" t="s">
        <v>2549</v>
      </c>
      <c r="C2318" s="1" t="s">
        <v>61</v>
      </c>
      <c r="D2318" s="1" t="s">
        <v>6471</v>
      </c>
      <c r="E2318" s="62">
        <v>24</v>
      </c>
      <c r="F2318" s="1" t="s">
        <v>2551</v>
      </c>
      <c r="G2318" s="1" t="s">
        <v>2552</v>
      </c>
    </row>
    <row x14ac:dyDescent="0.25" r="2319" customHeight="1" ht="17.25" hidden="1">
      <c r="A2319" s="112" t="s">
        <v>1350</v>
      </c>
      <c r="B2319" s="1" t="s">
        <v>2549</v>
      </c>
      <c r="C2319" s="1" t="s">
        <v>61</v>
      </c>
      <c r="D2319" s="1" t="s">
        <v>1351</v>
      </c>
      <c r="E2319" s="62">
        <v>23</v>
      </c>
      <c r="F2319" s="1" t="s">
        <v>2561</v>
      </c>
      <c r="G2319" s="1" t="s">
        <v>2555</v>
      </c>
    </row>
    <row x14ac:dyDescent="0.25" r="2320" customHeight="1" ht="17.25" hidden="1">
      <c r="A2320" s="112" t="s">
        <v>1350</v>
      </c>
      <c r="B2320" s="1" t="s">
        <v>2549</v>
      </c>
      <c r="C2320" s="1" t="s">
        <v>61</v>
      </c>
      <c r="D2320" s="1" t="s">
        <v>1357</v>
      </c>
      <c r="E2320" s="62">
        <v>23</v>
      </c>
      <c r="F2320" s="1" t="s">
        <v>2551</v>
      </c>
      <c r="G2320" s="1" t="s">
        <v>2552</v>
      </c>
    </row>
    <row x14ac:dyDescent="0.25" r="2321" customHeight="1" ht="17.25" hidden="1">
      <c r="A2321" s="112" t="s">
        <v>1350</v>
      </c>
      <c r="B2321" s="1" t="s">
        <v>2549</v>
      </c>
      <c r="C2321" s="1" t="s">
        <v>61</v>
      </c>
      <c r="D2321" s="1" t="s">
        <v>1354</v>
      </c>
      <c r="E2321" s="62">
        <v>24</v>
      </c>
      <c r="F2321" s="1" t="s">
        <v>2551</v>
      </c>
      <c r="G2321" s="1" t="s">
        <v>2552</v>
      </c>
    </row>
    <row x14ac:dyDescent="0.25" r="2322" customHeight="1" ht="17.25" hidden="1">
      <c r="A2322" s="112" t="s">
        <v>6472</v>
      </c>
      <c r="B2322" s="1" t="s">
        <v>2549</v>
      </c>
      <c r="C2322" s="1" t="s">
        <v>61</v>
      </c>
      <c r="D2322" s="1" t="s">
        <v>6473</v>
      </c>
      <c r="E2322" s="62">
        <v>36</v>
      </c>
      <c r="F2322" s="1" t="s">
        <v>2551</v>
      </c>
      <c r="G2322" s="1" t="s">
        <v>2555</v>
      </c>
    </row>
    <row x14ac:dyDescent="0.25" r="2323" customHeight="1" ht="17.25" hidden="1">
      <c r="A2323" s="112" t="s">
        <v>6474</v>
      </c>
      <c r="B2323" s="1" t="s">
        <v>2549</v>
      </c>
      <c r="C2323" s="1" t="s">
        <v>61</v>
      </c>
      <c r="D2323" s="1" t="s">
        <v>6475</v>
      </c>
      <c r="E2323" s="62">
        <v>23</v>
      </c>
      <c r="F2323" s="1" t="s">
        <v>2551</v>
      </c>
      <c r="G2323" s="1" t="s">
        <v>2552</v>
      </c>
    </row>
    <row x14ac:dyDescent="0.25" r="2324" customHeight="1" ht="17.25" hidden="1">
      <c r="A2324" s="112" t="s">
        <v>2124</v>
      </c>
      <c r="B2324" s="1" t="s">
        <v>2549</v>
      </c>
      <c r="C2324" s="1" t="s">
        <v>61</v>
      </c>
      <c r="D2324" s="1" t="s">
        <v>2125</v>
      </c>
      <c r="E2324" s="62">
        <v>35</v>
      </c>
      <c r="F2324" s="1" t="s">
        <v>2551</v>
      </c>
      <c r="G2324" s="1" t="s">
        <v>2552</v>
      </c>
    </row>
    <row x14ac:dyDescent="0.25" r="2325" customHeight="1" ht="17.25" hidden="1">
      <c r="A2325" s="112" t="s">
        <v>6476</v>
      </c>
      <c r="B2325" s="1" t="s">
        <v>2549</v>
      </c>
      <c r="C2325" s="1" t="s">
        <v>61</v>
      </c>
      <c r="D2325" s="1" t="s">
        <v>6477</v>
      </c>
      <c r="E2325" s="62">
        <v>21</v>
      </c>
      <c r="F2325" s="1" t="s">
        <v>2551</v>
      </c>
      <c r="G2325" s="1" t="s">
        <v>2558</v>
      </c>
    </row>
    <row x14ac:dyDescent="0.25" r="2326" customHeight="1" ht="17.25" hidden="1">
      <c r="A2326" s="112" t="s">
        <v>1641</v>
      </c>
      <c r="B2326" s="1" t="s">
        <v>2549</v>
      </c>
      <c r="C2326" s="1" t="s">
        <v>61</v>
      </c>
      <c r="D2326" s="1" t="s">
        <v>1642</v>
      </c>
      <c r="E2326" s="62">
        <v>29</v>
      </c>
      <c r="F2326" s="1" t="s">
        <v>2551</v>
      </c>
      <c r="G2326" s="1" t="s">
        <v>2552</v>
      </c>
    </row>
    <row x14ac:dyDescent="0.25" r="2327" customHeight="1" ht="17.25" hidden="1">
      <c r="A2327" s="112" t="s">
        <v>6478</v>
      </c>
      <c r="B2327" s="1" t="s">
        <v>2549</v>
      </c>
      <c r="C2327" s="1" t="s">
        <v>61</v>
      </c>
      <c r="D2327" s="1" t="s">
        <v>6479</v>
      </c>
      <c r="E2327" s="62">
        <v>23</v>
      </c>
      <c r="F2327" s="1" t="s">
        <v>2551</v>
      </c>
      <c r="G2327" s="1" t="s">
        <v>2552</v>
      </c>
    </row>
    <row x14ac:dyDescent="0.25" r="2328" customHeight="1" ht="17.25" hidden="1">
      <c r="A2328" s="112" t="s">
        <v>6480</v>
      </c>
      <c r="B2328" s="1" t="s">
        <v>2549</v>
      </c>
      <c r="C2328" s="1" t="s">
        <v>61</v>
      </c>
      <c r="D2328" s="1" t="s">
        <v>6481</v>
      </c>
      <c r="E2328" s="62">
        <v>21</v>
      </c>
      <c r="F2328" s="1" t="s">
        <v>2551</v>
      </c>
      <c r="G2328" s="1" t="s">
        <v>2552</v>
      </c>
    </row>
    <row x14ac:dyDescent="0.25" r="2329" customHeight="1" ht="17.25" hidden="1">
      <c r="A2329" s="112" t="s">
        <v>6482</v>
      </c>
      <c r="B2329" s="1" t="s">
        <v>2549</v>
      </c>
      <c r="C2329" s="1" t="s">
        <v>61</v>
      </c>
      <c r="D2329" s="1" t="s">
        <v>6483</v>
      </c>
      <c r="E2329" s="62">
        <v>20</v>
      </c>
      <c r="F2329" s="1" t="s">
        <v>2551</v>
      </c>
      <c r="G2329" s="1" t="s">
        <v>2552</v>
      </c>
    </row>
    <row x14ac:dyDescent="0.25" r="2330" customHeight="1" ht="17.25" hidden="1">
      <c r="A2330" s="112" t="s">
        <v>6484</v>
      </c>
      <c r="B2330" s="1" t="s">
        <v>2549</v>
      </c>
      <c r="C2330" s="1" t="s">
        <v>61</v>
      </c>
      <c r="D2330" s="1" t="s">
        <v>6485</v>
      </c>
      <c r="E2330" s="62">
        <v>26</v>
      </c>
      <c r="F2330" s="1" t="s">
        <v>2551</v>
      </c>
      <c r="G2330" s="1" t="s">
        <v>2555</v>
      </c>
    </row>
    <row x14ac:dyDescent="0.25" r="2331" customHeight="1" ht="17.25" hidden="1">
      <c r="A2331" s="112" t="s">
        <v>6486</v>
      </c>
      <c r="B2331" s="1" t="s">
        <v>2549</v>
      </c>
      <c r="C2331" s="1" t="s">
        <v>61</v>
      </c>
      <c r="D2331" s="1" t="s">
        <v>6487</v>
      </c>
      <c r="E2331" s="62">
        <v>22</v>
      </c>
      <c r="F2331" s="1" t="s">
        <v>2551</v>
      </c>
      <c r="G2331" s="1" t="s">
        <v>2552</v>
      </c>
    </row>
    <row x14ac:dyDescent="0.25" r="2332" customHeight="1" ht="17.25" hidden="1">
      <c r="A2332" s="112" t="s">
        <v>6488</v>
      </c>
      <c r="B2332" s="1" t="s">
        <v>2549</v>
      </c>
      <c r="C2332" s="1" t="s">
        <v>61</v>
      </c>
      <c r="D2332" s="1" t="s">
        <v>6489</v>
      </c>
      <c r="E2332" s="62">
        <v>29</v>
      </c>
      <c r="F2332" s="1" t="s">
        <v>2551</v>
      </c>
      <c r="G2332" s="1" t="s">
        <v>2552</v>
      </c>
    </row>
    <row x14ac:dyDescent="0.25" r="2333" customHeight="1" ht="17.25" hidden="1">
      <c r="A2333" s="112" t="s">
        <v>6490</v>
      </c>
      <c r="B2333" s="1" t="s">
        <v>2549</v>
      </c>
      <c r="C2333" s="1" t="s">
        <v>61</v>
      </c>
      <c r="D2333" s="1" t="s">
        <v>6491</v>
      </c>
      <c r="E2333" s="62">
        <v>32</v>
      </c>
      <c r="F2333" s="1" t="s">
        <v>2551</v>
      </c>
      <c r="G2333" s="1" t="s">
        <v>2555</v>
      </c>
    </row>
    <row x14ac:dyDescent="0.25" r="2334" customHeight="1" ht="17.25" hidden="1">
      <c r="A2334" s="112" t="s">
        <v>6492</v>
      </c>
      <c r="B2334" s="1" t="s">
        <v>2549</v>
      </c>
      <c r="C2334" s="1" t="s">
        <v>61</v>
      </c>
      <c r="D2334" s="1" t="s">
        <v>6493</v>
      </c>
      <c r="E2334" s="62">
        <v>24</v>
      </c>
      <c r="F2334" s="1" t="s">
        <v>2551</v>
      </c>
      <c r="G2334" s="1" t="s">
        <v>2552</v>
      </c>
    </row>
    <row x14ac:dyDescent="0.25" r="2335" customHeight="1" ht="17.25" hidden="1">
      <c r="A2335" s="112" t="s">
        <v>6494</v>
      </c>
      <c r="B2335" s="1" t="s">
        <v>2549</v>
      </c>
      <c r="C2335" s="1" t="s">
        <v>61</v>
      </c>
      <c r="D2335" s="1" t="s">
        <v>6495</v>
      </c>
      <c r="E2335" s="62">
        <v>48</v>
      </c>
      <c r="F2335" s="1" t="s">
        <v>2551</v>
      </c>
      <c r="G2335" s="1" t="s">
        <v>2552</v>
      </c>
    </row>
    <row x14ac:dyDescent="0.25" r="2336" customHeight="1" ht="17.25" hidden="1">
      <c r="A2336" s="112" t="s">
        <v>6496</v>
      </c>
      <c r="B2336" s="1" t="s">
        <v>2549</v>
      </c>
      <c r="C2336" s="1" t="s">
        <v>61</v>
      </c>
      <c r="D2336" s="1" t="s">
        <v>6497</v>
      </c>
      <c r="E2336" s="62">
        <v>21</v>
      </c>
      <c r="F2336" s="1" t="s">
        <v>2551</v>
      </c>
      <c r="G2336" s="1" t="s">
        <v>2552</v>
      </c>
    </row>
    <row x14ac:dyDescent="0.25" r="2337" customHeight="1" ht="17.25" hidden="1">
      <c r="A2337" s="112" t="s">
        <v>6498</v>
      </c>
      <c r="B2337" s="1" t="s">
        <v>2549</v>
      </c>
      <c r="C2337" s="1" t="s">
        <v>61</v>
      </c>
      <c r="D2337" s="1" t="s">
        <v>1636</v>
      </c>
      <c r="E2337" s="62">
        <v>20</v>
      </c>
      <c r="F2337" s="1" t="s">
        <v>2551</v>
      </c>
      <c r="G2337" s="1" t="s">
        <v>2552</v>
      </c>
    </row>
    <row x14ac:dyDescent="0.25" r="2338" customHeight="1" ht="17.25" hidden="1">
      <c r="A2338" s="112" t="s">
        <v>6499</v>
      </c>
      <c r="B2338" s="1" t="s">
        <v>2549</v>
      </c>
      <c r="C2338" s="1" t="s">
        <v>61</v>
      </c>
      <c r="D2338" s="1" t="s">
        <v>6500</v>
      </c>
      <c r="E2338" s="62">
        <v>19</v>
      </c>
      <c r="F2338" s="1" t="s">
        <v>2551</v>
      </c>
      <c r="G2338" s="1" t="s">
        <v>2552</v>
      </c>
    </row>
    <row x14ac:dyDescent="0.25" r="2339" customHeight="1" ht="17.25" hidden="1">
      <c r="A2339" s="112" t="s">
        <v>6499</v>
      </c>
      <c r="B2339" s="1" t="s">
        <v>2549</v>
      </c>
      <c r="C2339" s="1" t="s">
        <v>61</v>
      </c>
      <c r="D2339" s="1" t="s">
        <v>6501</v>
      </c>
      <c r="E2339" s="62">
        <v>19</v>
      </c>
      <c r="F2339" s="1" t="s">
        <v>2551</v>
      </c>
      <c r="G2339" s="1" t="s">
        <v>2552</v>
      </c>
    </row>
    <row x14ac:dyDescent="0.25" r="2340" customHeight="1" ht="17.25" hidden="1">
      <c r="A2340" s="112" t="s">
        <v>6502</v>
      </c>
      <c r="B2340" s="1" t="s">
        <v>2549</v>
      </c>
      <c r="C2340" s="1" t="s">
        <v>61</v>
      </c>
      <c r="D2340" s="1" t="s">
        <v>6503</v>
      </c>
      <c r="E2340" s="62">
        <v>28</v>
      </c>
      <c r="F2340" s="1" t="s">
        <v>2551</v>
      </c>
      <c r="G2340" s="1" t="s">
        <v>2552</v>
      </c>
    </row>
    <row x14ac:dyDescent="0.25" r="2341" customHeight="1" ht="17.25" hidden="1">
      <c r="A2341" s="112" t="s">
        <v>6504</v>
      </c>
      <c r="B2341" s="1" t="s">
        <v>2549</v>
      </c>
      <c r="C2341" s="1" t="s">
        <v>61</v>
      </c>
      <c r="D2341" s="1" t="s">
        <v>6505</v>
      </c>
      <c r="E2341" s="62">
        <v>29</v>
      </c>
      <c r="F2341" s="1" t="s">
        <v>2551</v>
      </c>
      <c r="G2341" s="1" t="s">
        <v>2555</v>
      </c>
    </row>
    <row x14ac:dyDescent="0.25" r="2342" customHeight="1" ht="17.25" hidden="1">
      <c r="A2342" s="112" t="s">
        <v>6506</v>
      </c>
      <c r="B2342" s="1" t="s">
        <v>2549</v>
      </c>
      <c r="C2342" s="1" t="s">
        <v>61</v>
      </c>
      <c r="D2342" s="1" t="s">
        <v>6507</v>
      </c>
      <c r="E2342" s="62">
        <v>47</v>
      </c>
      <c r="F2342" s="1" t="s">
        <v>2551</v>
      </c>
      <c r="G2342" s="1" t="s">
        <v>2552</v>
      </c>
    </row>
    <row x14ac:dyDescent="0.25" r="2343" customHeight="1" ht="17.25" hidden="1">
      <c r="A2343" s="112" t="s">
        <v>6508</v>
      </c>
      <c r="B2343" s="1" t="s">
        <v>2549</v>
      </c>
      <c r="C2343" s="1" t="s">
        <v>61</v>
      </c>
      <c r="D2343" s="1" t="s">
        <v>6509</v>
      </c>
      <c r="E2343" s="62">
        <v>26</v>
      </c>
      <c r="F2343" s="1" t="s">
        <v>2551</v>
      </c>
      <c r="G2343" s="1" t="s">
        <v>2552</v>
      </c>
    </row>
    <row x14ac:dyDescent="0.25" r="2344" customHeight="1" ht="17.25" hidden="1">
      <c r="A2344" s="112" t="s">
        <v>6510</v>
      </c>
      <c r="B2344" s="1" t="s">
        <v>2549</v>
      </c>
      <c r="C2344" s="1" t="s">
        <v>61</v>
      </c>
      <c r="D2344" s="1" t="s">
        <v>6511</v>
      </c>
      <c r="E2344" s="62">
        <v>34</v>
      </c>
      <c r="F2344" s="1" t="s">
        <v>2551</v>
      </c>
      <c r="G2344" s="1" t="s">
        <v>2552</v>
      </c>
    </row>
    <row x14ac:dyDescent="0.25" r="2345" customHeight="1" ht="17.25" hidden="1">
      <c r="A2345" s="112" t="s">
        <v>6512</v>
      </c>
      <c r="B2345" s="1" t="s">
        <v>2549</v>
      </c>
      <c r="C2345" s="1" t="s">
        <v>61</v>
      </c>
      <c r="D2345" s="1" t="s">
        <v>6513</v>
      </c>
      <c r="E2345" s="62">
        <v>18</v>
      </c>
      <c r="F2345" s="1" t="s">
        <v>2551</v>
      </c>
      <c r="G2345" s="1" t="s">
        <v>2552</v>
      </c>
    </row>
    <row x14ac:dyDescent="0.25" r="2346" customHeight="1" ht="17.25" hidden="1">
      <c r="A2346" s="112" t="s">
        <v>6514</v>
      </c>
      <c r="B2346" s="1" t="s">
        <v>2549</v>
      </c>
      <c r="C2346" s="1" t="s">
        <v>61</v>
      </c>
      <c r="D2346" s="1" t="s">
        <v>6515</v>
      </c>
      <c r="E2346" s="62">
        <v>18</v>
      </c>
      <c r="F2346" s="1" t="s">
        <v>2551</v>
      </c>
      <c r="G2346" s="1" t="s">
        <v>4578</v>
      </c>
    </row>
    <row x14ac:dyDescent="0.25" r="2347" customHeight="1" ht="17.25" hidden="1">
      <c r="A2347" s="112" t="s">
        <v>6514</v>
      </c>
      <c r="B2347" s="1" t="s">
        <v>2549</v>
      </c>
      <c r="C2347" s="1" t="s">
        <v>61</v>
      </c>
      <c r="D2347" s="1" t="s">
        <v>6516</v>
      </c>
      <c r="E2347" s="62">
        <v>33</v>
      </c>
      <c r="F2347" s="1" t="s">
        <v>2551</v>
      </c>
      <c r="G2347" s="1" t="s">
        <v>2555</v>
      </c>
    </row>
    <row x14ac:dyDescent="0.25" r="2348" customHeight="1" ht="17.25" hidden="1">
      <c r="A2348" s="112" t="s">
        <v>6517</v>
      </c>
      <c r="B2348" s="1" t="s">
        <v>2549</v>
      </c>
      <c r="C2348" s="1" t="s">
        <v>61</v>
      </c>
      <c r="D2348" s="1" t="s">
        <v>6518</v>
      </c>
      <c r="E2348" s="62">
        <v>18</v>
      </c>
      <c r="F2348" s="1" t="s">
        <v>2551</v>
      </c>
      <c r="G2348" s="1" t="s">
        <v>2552</v>
      </c>
    </row>
    <row x14ac:dyDescent="0.25" r="2349" customHeight="1" ht="17.25" hidden="1">
      <c r="A2349" s="112" t="s">
        <v>6519</v>
      </c>
      <c r="B2349" s="1" t="s">
        <v>2549</v>
      </c>
      <c r="C2349" s="1" t="s">
        <v>61</v>
      </c>
      <c r="D2349" s="1" t="s">
        <v>6520</v>
      </c>
      <c r="E2349" s="62">
        <v>27</v>
      </c>
      <c r="F2349" s="1" t="s">
        <v>2551</v>
      </c>
      <c r="G2349" s="1" t="s">
        <v>2552</v>
      </c>
    </row>
    <row x14ac:dyDescent="0.25" r="2350" customHeight="1" ht="17.25" hidden="1">
      <c r="A2350" s="112" t="s">
        <v>6521</v>
      </c>
      <c r="B2350" s="1" t="s">
        <v>2549</v>
      </c>
      <c r="C2350" s="1" t="s">
        <v>61</v>
      </c>
      <c r="D2350" s="1" t="s">
        <v>6522</v>
      </c>
      <c r="E2350" s="62">
        <v>20</v>
      </c>
      <c r="F2350" s="1" t="s">
        <v>2561</v>
      </c>
      <c r="G2350" s="1" t="s">
        <v>2552</v>
      </c>
    </row>
    <row x14ac:dyDescent="0.25" r="2351" customHeight="1" ht="17.25" hidden="1">
      <c r="A2351" s="112" t="s">
        <v>6523</v>
      </c>
      <c r="B2351" s="1" t="s">
        <v>2549</v>
      </c>
      <c r="C2351" s="1" t="s">
        <v>61</v>
      </c>
      <c r="D2351" s="1" t="s">
        <v>6524</v>
      </c>
      <c r="E2351" s="62">
        <v>22</v>
      </c>
      <c r="F2351" s="1" t="s">
        <v>2551</v>
      </c>
      <c r="G2351" s="1" t="s">
        <v>2552</v>
      </c>
    </row>
    <row x14ac:dyDescent="0.25" r="2352" customHeight="1" ht="17.25" hidden="1">
      <c r="A2352" s="112" t="s">
        <v>6525</v>
      </c>
      <c r="B2352" s="1" t="s">
        <v>2549</v>
      </c>
      <c r="C2352" s="1" t="s">
        <v>61</v>
      </c>
      <c r="D2352" s="1" t="s">
        <v>6526</v>
      </c>
      <c r="E2352" s="62">
        <v>40</v>
      </c>
      <c r="F2352" s="1" t="s">
        <v>2551</v>
      </c>
      <c r="G2352" s="1" t="s">
        <v>2555</v>
      </c>
    </row>
    <row x14ac:dyDescent="0.25" r="2353" customHeight="1" ht="17.25" hidden="1">
      <c r="A2353" s="112" t="s">
        <v>1119</v>
      </c>
      <c r="B2353" s="1" t="s">
        <v>2549</v>
      </c>
      <c r="C2353" s="1" t="s">
        <v>61</v>
      </c>
      <c r="D2353" s="1" t="s">
        <v>1120</v>
      </c>
      <c r="E2353" s="62">
        <v>18</v>
      </c>
      <c r="F2353" s="1" t="s">
        <v>2551</v>
      </c>
      <c r="G2353" s="1" t="s">
        <v>2558</v>
      </c>
    </row>
    <row x14ac:dyDescent="0.25" r="2354" customHeight="1" ht="17.25" hidden="1">
      <c r="A2354" s="112" t="s">
        <v>6527</v>
      </c>
      <c r="B2354" s="1" t="s">
        <v>2549</v>
      </c>
      <c r="C2354" s="1" t="s">
        <v>61</v>
      </c>
      <c r="D2354" s="1" t="s">
        <v>6528</v>
      </c>
      <c r="E2354" s="62">
        <v>22</v>
      </c>
      <c r="F2354" s="1" t="s">
        <v>2551</v>
      </c>
      <c r="G2354" s="1" t="s">
        <v>2552</v>
      </c>
    </row>
    <row x14ac:dyDescent="0.25" r="2355" customHeight="1" ht="17.25" hidden="1">
      <c r="A2355" s="112" t="s">
        <v>6529</v>
      </c>
      <c r="B2355" s="1" t="s">
        <v>2549</v>
      </c>
      <c r="C2355" s="1" t="s">
        <v>61</v>
      </c>
      <c r="D2355" s="1" t="s">
        <v>3261</v>
      </c>
      <c r="E2355" s="62">
        <v>19</v>
      </c>
      <c r="F2355" s="1" t="s">
        <v>2551</v>
      </c>
      <c r="G2355" s="1" t="s">
        <v>2552</v>
      </c>
    </row>
    <row x14ac:dyDescent="0.25" r="2356" customHeight="1" ht="17.25" hidden="1">
      <c r="A2356" s="112" t="s">
        <v>6530</v>
      </c>
      <c r="B2356" s="1" t="s">
        <v>2549</v>
      </c>
      <c r="C2356" s="1" t="s">
        <v>61</v>
      </c>
      <c r="D2356" s="1" t="s">
        <v>6531</v>
      </c>
      <c r="E2356" s="62">
        <v>20</v>
      </c>
      <c r="F2356" s="1" t="s">
        <v>2551</v>
      </c>
      <c r="G2356" s="1" t="s">
        <v>2552</v>
      </c>
    </row>
    <row x14ac:dyDescent="0.25" r="2357" customHeight="1" ht="17.25" hidden="1">
      <c r="A2357" s="112" t="s">
        <v>6532</v>
      </c>
      <c r="B2357" s="1" t="s">
        <v>2549</v>
      </c>
      <c r="C2357" s="1" t="s">
        <v>61</v>
      </c>
      <c r="D2357" s="1" t="s">
        <v>6533</v>
      </c>
      <c r="E2357" s="62">
        <v>22</v>
      </c>
      <c r="F2357" s="1" t="s">
        <v>2551</v>
      </c>
      <c r="G2357" s="1" t="s">
        <v>2558</v>
      </c>
    </row>
    <row x14ac:dyDescent="0.25" r="2358" customHeight="1" ht="17.25" hidden="1">
      <c r="A2358" s="112" t="s">
        <v>6534</v>
      </c>
      <c r="B2358" s="1" t="s">
        <v>2549</v>
      </c>
      <c r="C2358" s="1" t="s">
        <v>61</v>
      </c>
      <c r="D2358" s="1" t="s">
        <v>6535</v>
      </c>
      <c r="E2358" s="62">
        <v>30</v>
      </c>
      <c r="F2358" s="1" t="s">
        <v>2551</v>
      </c>
      <c r="G2358" s="1" t="s">
        <v>2555</v>
      </c>
    </row>
    <row x14ac:dyDescent="0.25" r="2359" customHeight="1" ht="17.25" hidden="1">
      <c r="A2359" s="112" t="s">
        <v>6536</v>
      </c>
      <c r="B2359" s="1" t="s">
        <v>2549</v>
      </c>
      <c r="C2359" s="1" t="s">
        <v>61</v>
      </c>
      <c r="D2359" s="1" t="s">
        <v>6537</v>
      </c>
      <c r="E2359" s="62">
        <v>35</v>
      </c>
      <c r="F2359" s="1" t="s">
        <v>2551</v>
      </c>
      <c r="G2359" s="1" t="s">
        <v>2555</v>
      </c>
    </row>
    <row x14ac:dyDescent="0.25" r="2360" customHeight="1" ht="17.25" hidden="1">
      <c r="A2360" s="112" t="s">
        <v>6538</v>
      </c>
      <c r="B2360" s="1" t="s">
        <v>2549</v>
      </c>
      <c r="C2360" s="1" t="s">
        <v>61</v>
      </c>
      <c r="D2360" s="1" t="s">
        <v>6539</v>
      </c>
      <c r="E2360" s="62">
        <v>21</v>
      </c>
      <c r="F2360" s="1" t="s">
        <v>2551</v>
      </c>
      <c r="G2360" s="1" t="s">
        <v>2558</v>
      </c>
    </row>
    <row x14ac:dyDescent="0.25" r="2361" customHeight="1" ht="17.25" hidden="1">
      <c r="A2361" s="112" t="s">
        <v>6540</v>
      </c>
      <c r="B2361" s="1" t="s">
        <v>2549</v>
      </c>
      <c r="C2361" s="1" t="s">
        <v>61</v>
      </c>
      <c r="D2361" s="1" t="s">
        <v>6541</v>
      </c>
      <c r="E2361" s="62">
        <v>18</v>
      </c>
      <c r="F2361" s="1" t="s">
        <v>2551</v>
      </c>
      <c r="G2361" s="1" t="s">
        <v>2552</v>
      </c>
    </row>
    <row x14ac:dyDescent="0.25" r="2362" customHeight="1" ht="17.25" hidden="1">
      <c r="A2362" s="112" t="s">
        <v>6542</v>
      </c>
      <c r="B2362" s="1" t="s">
        <v>2549</v>
      </c>
      <c r="C2362" s="1" t="s">
        <v>61</v>
      </c>
      <c r="D2362" s="1" t="s">
        <v>6543</v>
      </c>
      <c r="E2362" s="62">
        <v>26</v>
      </c>
      <c r="F2362" s="1" t="s">
        <v>2551</v>
      </c>
      <c r="G2362" s="1" t="s">
        <v>2558</v>
      </c>
    </row>
    <row x14ac:dyDescent="0.25" r="2363" customHeight="1" ht="17.25" hidden="1">
      <c r="A2363" s="112" t="s">
        <v>6542</v>
      </c>
      <c r="B2363" s="1" t="s">
        <v>2549</v>
      </c>
      <c r="C2363" s="1" t="s">
        <v>61</v>
      </c>
      <c r="D2363" s="1" t="s">
        <v>6544</v>
      </c>
      <c r="E2363" s="62">
        <v>21</v>
      </c>
      <c r="F2363" s="1" t="s">
        <v>2551</v>
      </c>
      <c r="G2363" s="1" t="s">
        <v>2555</v>
      </c>
    </row>
    <row x14ac:dyDescent="0.25" r="2364" customHeight="1" ht="17.25" hidden="1">
      <c r="A2364" s="112" t="s">
        <v>6545</v>
      </c>
      <c r="B2364" s="1" t="s">
        <v>2549</v>
      </c>
      <c r="C2364" s="1" t="s">
        <v>61</v>
      </c>
      <c r="D2364" s="1" t="s">
        <v>6546</v>
      </c>
      <c r="E2364" s="62">
        <v>28</v>
      </c>
      <c r="F2364" s="1" t="s">
        <v>2551</v>
      </c>
      <c r="G2364" s="1" t="s">
        <v>2552</v>
      </c>
    </row>
    <row x14ac:dyDescent="0.25" r="2365" customHeight="1" ht="17.25" hidden="1">
      <c r="A2365" s="112" t="s">
        <v>6547</v>
      </c>
      <c r="B2365" s="1" t="s">
        <v>2549</v>
      </c>
      <c r="C2365" s="1" t="s">
        <v>61</v>
      </c>
      <c r="D2365" s="1" t="s">
        <v>6548</v>
      </c>
      <c r="E2365" s="62">
        <v>18</v>
      </c>
      <c r="F2365" s="1" t="s">
        <v>2551</v>
      </c>
      <c r="G2365" s="1" t="s">
        <v>2552</v>
      </c>
    </row>
    <row x14ac:dyDescent="0.25" r="2366" customHeight="1" ht="17.25" hidden="1">
      <c r="A2366" s="112" t="s">
        <v>6549</v>
      </c>
      <c r="B2366" s="1" t="s">
        <v>2549</v>
      </c>
      <c r="C2366" s="1" t="s">
        <v>61</v>
      </c>
      <c r="D2366" s="1" t="s">
        <v>6550</v>
      </c>
      <c r="E2366" s="62">
        <v>26</v>
      </c>
      <c r="F2366" s="1" t="s">
        <v>2551</v>
      </c>
      <c r="G2366" s="1" t="s">
        <v>2558</v>
      </c>
    </row>
    <row x14ac:dyDescent="0.25" r="2367" customHeight="1" ht="17.25" hidden="1">
      <c r="A2367" s="112" t="s">
        <v>6549</v>
      </c>
      <c r="B2367" s="1" t="s">
        <v>2549</v>
      </c>
      <c r="C2367" s="1" t="s">
        <v>61</v>
      </c>
      <c r="D2367" s="1" t="s">
        <v>6551</v>
      </c>
      <c r="E2367" s="62">
        <v>19</v>
      </c>
      <c r="F2367" s="1" t="s">
        <v>2551</v>
      </c>
      <c r="G2367" s="1" t="s">
        <v>2552</v>
      </c>
    </row>
    <row x14ac:dyDescent="0.25" r="2368" customHeight="1" ht="17.25" hidden="1">
      <c r="A2368" s="112" t="s">
        <v>6552</v>
      </c>
      <c r="B2368" s="1" t="s">
        <v>2549</v>
      </c>
      <c r="C2368" s="1" t="s">
        <v>61</v>
      </c>
      <c r="D2368" s="1" t="s">
        <v>6553</v>
      </c>
      <c r="E2368" s="62">
        <v>34</v>
      </c>
      <c r="F2368" s="1" t="s">
        <v>2551</v>
      </c>
      <c r="G2368" s="1" t="s">
        <v>2552</v>
      </c>
    </row>
    <row x14ac:dyDescent="0.25" r="2369" customHeight="1" ht="17.25" hidden="1">
      <c r="A2369" s="112" t="s">
        <v>6554</v>
      </c>
      <c r="B2369" s="1" t="s">
        <v>2549</v>
      </c>
      <c r="C2369" s="1" t="s">
        <v>61</v>
      </c>
      <c r="D2369" s="1" t="s">
        <v>6555</v>
      </c>
      <c r="E2369" s="62">
        <v>20</v>
      </c>
      <c r="F2369" s="1" t="s">
        <v>2551</v>
      </c>
      <c r="G2369" s="1" t="s">
        <v>2552</v>
      </c>
    </row>
    <row x14ac:dyDescent="0.25" r="2370" customHeight="1" ht="17.25" hidden="1">
      <c r="A2370" s="112" t="s">
        <v>6556</v>
      </c>
      <c r="B2370" s="1" t="s">
        <v>2549</v>
      </c>
      <c r="C2370" s="1" t="s">
        <v>61</v>
      </c>
      <c r="D2370" s="1" t="s">
        <v>6557</v>
      </c>
      <c r="E2370" s="62">
        <v>22</v>
      </c>
      <c r="F2370" s="1" t="s">
        <v>2551</v>
      </c>
      <c r="G2370" s="1" t="s">
        <v>2552</v>
      </c>
    </row>
    <row x14ac:dyDescent="0.25" r="2371" customHeight="1" ht="17.25" hidden="1">
      <c r="A2371" s="112" t="s">
        <v>6558</v>
      </c>
      <c r="B2371" s="1" t="s">
        <v>2549</v>
      </c>
      <c r="C2371" s="1" t="s">
        <v>61</v>
      </c>
      <c r="D2371" s="1" t="s">
        <v>6559</v>
      </c>
      <c r="E2371" s="62">
        <v>24</v>
      </c>
      <c r="F2371" s="1" t="s">
        <v>2551</v>
      </c>
      <c r="G2371" s="1" t="s">
        <v>2558</v>
      </c>
    </row>
    <row x14ac:dyDescent="0.25" r="2372" customHeight="1" ht="17.25" hidden="1">
      <c r="A2372" s="112" t="s">
        <v>1369</v>
      </c>
      <c r="B2372" s="1" t="s">
        <v>2549</v>
      </c>
      <c r="C2372" s="1" t="s">
        <v>61</v>
      </c>
      <c r="D2372" s="1" t="s">
        <v>1370</v>
      </c>
      <c r="E2372" s="62">
        <v>18</v>
      </c>
      <c r="F2372" s="1" t="s">
        <v>2551</v>
      </c>
      <c r="G2372" s="1" t="s">
        <v>2552</v>
      </c>
    </row>
    <row x14ac:dyDescent="0.25" r="2373" customHeight="1" ht="17.25" hidden="1">
      <c r="A2373" s="112" t="s">
        <v>6560</v>
      </c>
      <c r="B2373" s="1" t="s">
        <v>2549</v>
      </c>
      <c r="C2373" s="1" t="s">
        <v>61</v>
      </c>
      <c r="D2373" s="1" t="s">
        <v>6561</v>
      </c>
      <c r="E2373" s="62">
        <v>20</v>
      </c>
      <c r="F2373" s="1" t="s">
        <v>2551</v>
      </c>
      <c r="G2373" s="1" t="s">
        <v>2558</v>
      </c>
    </row>
    <row x14ac:dyDescent="0.25" r="2374" customHeight="1" ht="17.25" hidden="1">
      <c r="A2374" s="112" t="s">
        <v>6562</v>
      </c>
      <c r="B2374" s="1" t="s">
        <v>2549</v>
      </c>
      <c r="C2374" s="1" t="s">
        <v>61</v>
      </c>
      <c r="D2374" s="1" t="s">
        <v>6563</v>
      </c>
      <c r="E2374" s="62">
        <v>38</v>
      </c>
      <c r="F2374" s="1" t="s">
        <v>2561</v>
      </c>
      <c r="G2374" s="1" t="s">
        <v>2558</v>
      </c>
    </row>
    <row x14ac:dyDescent="0.25" r="2375" customHeight="1" ht="17.25" hidden="1">
      <c r="A2375" s="112" t="s">
        <v>6564</v>
      </c>
      <c r="B2375" s="1" t="s">
        <v>2549</v>
      </c>
      <c r="C2375" s="1" t="s">
        <v>61</v>
      </c>
      <c r="D2375" s="1" t="s">
        <v>6565</v>
      </c>
      <c r="E2375" s="62">
        <v>22</v>
      </c>
      <c r="F2375" s="1" t="s">
        <v>2551</v>
      </c>
      <c r="G2375" s="1" t="s">
        <v>2555</v>
      </c>
    </row>
    <row x14ac:dyDescent="0.25" r="2376" customHeight="1" ht="17.25" hidden="1">
      <c r="A2376" s="112" t="s">
        <v>6566</v>
      </c>
      <c r="B2376" s="1" t="s">
        <v>2549</v>
      </c>
      <c r="C2376" s="1" t="s">
        <v>61</v>
      </c>
      <c r="D2376" s="1" t="s">
        <v>6567</v>
      </c>
      <c r="E2376" s="62">
        <v>51</v>
      </c>
      <c r="F2376" s="1" t="s">
        <v>2551</v>
      </c>
      <c r="G2376" s="1" t="s">
        <v>2555</v>
      </c>
    </row>
    <row x14ac:dyDescent="0.25" r="2377" customHeight="1" ht="17.25" hidden="1">
      <c r="A2377" s="112" t="s">
        <v>6566</v>
      </c>
      <c r="B2377" s="1" t="s">
        <v>2549</v>
      </c>
      <c r="C2377" s="1" t="s">
        <v>61</v>
      </c>
      <c r="D2377" s="1" t="s">
        <v>6568</v>
      </c>
      <c r="E2377" s="62">
        <v>37</v>
      </c>
      <c r="F2377" s="1" t="s">
        <v>2551</v>
      </c>
      <c r="G2377" s="1" t="s">
        <v>2555</v>
      </c>
    </row>
    <row x14ac:dyDescent="0.25" r="2378" customHeight="1" ht="17.25" hidden="1">
      <c r="A2378" s="112" t="s">
        <v>6569</v>
      </c>
      <c r="B2378" s="1" t="s">
        <v>2549</v>
      </c>
      <c r="C2378" s="1" t="s">
        <v>61</v>
      </c>
      <c r="D2378" s="1" t="s">
        <v>6570</v>
      </c>
      <c r="E2378" s="62">
        <v>29</v>
      </c>
      <c r="F2378" s="1" t="s">
        <v>2551</v>
      </c>
      <c r="G2378" s="1" t="s">
        <v>2558</v>
      </c>
    </row>
    <row x14ac:dyDescent="0.25" r="2379" customHeight="1" ht="17.25" hidden="1">
      <c r="A2379" s="112" t="s">
        <v>6571</v>
      </c>
      <c r="B2379" s="1" t="s">
        <v>2549</v>
      </c>
      <c r="C2379" s="1" t="s">
        <v>61</v>
      </c>
      <c r="D2379" s="1" t="s">
        <v>6572</v>
      </c>
      <c r="E2379" s="62">
        <v>27</v>
      </c>
      <c r="F2379" s="1" t="s">
        <v>2551</v>
      </c>
      <c r="G2379" s="1" t="s">
        <v>2555</v>
      </c>
    </row>
    <row x14ac:dyDescent="0.25" r="2380" customHeight="1" ht="17.25" hidden="1">
      <c r="A2380" s="112" t="s">
        <v>6573</v>
      </c>
      <c r="B2380" s="1" t="s">
        <v>2549</v>
      </c>
      <c r="C2380" s="1" t="s">
        <v>61</v>
      </c>
      <c r="D2380" s="1" t="s">
        <v>6574</v>
      </c>
      <c r="E2380" s="62">
        <v>34</v>
      </c>
      <c r="F2380" s="1" t="s">
        <v>2551</v>
      </c>
      <c r="G2380" s="1" t="s">
        <v>2555</v>
      </c>
    </row>
    <row x14ac:dyDescent="0.25" r="2381" customHeight="1" ht="17.25" hidden="1">
      <c r="A2381" s="112" t="s">
        <v>6573</v>
      </c>
      <c r="B2381" s="1" t="s">
        <v>2549</v>
      </c>
      <c r="C2381" s="1" t="s">
        <v>61</v>
      </c>
      <c r="D2381" s="1" t="s">
        <v>6575</v>
      </c>
      <c r="E2381" s="62">
        <v>30</v>
      </c>
      <c r="F2381" s="1" t="s">
        <v>2551</v>
      </c>
      <c r="G2381" s="1" t="s">
        <v>2552</v>
      </c>
    </row>
    <row x14ac:dyDescent="0.25" r="2382" customHeight="1" ht="17.25" hidden="1">
      <c r="A2382" s="112" t="s">
        <v>6576</v>
      </c>
      <c r="B2382" s="1" t="s">
        <v>2549</v>
      </c>
      <c r="C2382" s="1" t="s">
        <v>61</v>
      </c>
      <c r="D2382" s="1" t="s">
        <v>6577</v>
      </c>
      <c r="E2382" s="62">
        <v>21</v>
      </c>
      <c r="F2382" s="1" t="s">
        <v>2551</v>
      </c>
      <c r="G2382" s="1" t="s">
        <v>2558</v>
      </c>
    </row>
    <row x14ac:dyDescent="0.25" r="2383" customHeight="1" ht="17.25" hidden="1">
      <c r="A2383" s="112" t="s">
        <v>6578</v>
      </c>
      <c r="B2383" s="1" t="s">
        <v>2549</v>
      </c>
      <c r="C2383" s="1" t="s">
        <v>61</v>
      </c>
      <c r="D2383" s="1" t="s">
        <v>6579</v>
      </c>
      <c r="E2383" s="62">
        <v>26</v>
      </c>
      <c r="F2383" s="1" t="s">
        <v>2551</v>
      </c>
      <c r="G2383" s="1" t="s">
        <v>2555</v>
      </c>
    </row>
    <row x14ac:dyDescent="0.25" r="2384" customHeight="1" ht="17.25" hidden="1">
      <c r="A2384" s="112" t="s">
        <v>6580</v>
      </c>
      <c r="B2384" s="1" t="s">
        <v>2549</v>
      </c>
      <c r="C2384" s="1" t="s">
        <v>61</v>
      </c>
      <c r="D2384" s="1" t="s">
        <v>6581</v>
      </c>
      <c r="E2384" s="62">
        <v>39</v>
      </c>
      <c r="F2384" s="1" t="s">
        <v>2551</v>
      </c>
      <c r="G2384" s="1" t="s">
        <v>2552</v>
      </c>
    </row>
    <row x14ac:dyDescent="0.25" r="2385" customHeight="1" ht="17.25" hidden="1">
      <c r="A2385" s="112" t="s">
        <v>6582</v>
      </c>
      <c r="B2385" s="1" t="s">
        <v>2549</v>
      </c>
      <c r="C2385" s="1" t="s">
        <v>61</v>
      </c>
      <c r="D2385" s="1" t="s">
        <v>6583</v>
      </c>
      <c r="E2385" s="62">
        <v>37</v>
      </c>
      <c r="F2385" s="1" t="s">
        <v>2551</v>
      </c>
      <c r="G2385" s="1" t="s">
        <v>2552</v>
      </c>
    </row>
    <row x14ac:dyDescent="0.25" r="2386" customHeight="1" ht="17.25" hidden="1">
      <c r="A2386" s="112" t="s">
        <v>6582</v>
      </c>
      <c r="B2386" s="1" t="s">
        <v>2549</v>
      </c>
      <c r="C2386" s="1" t="s">
        <v>61</v>
      </c>
      <c r="D2386" s="1" t="s">
        <v>6584</v>
      </c>
      <c r="E2386" s="62">
        <v>20</v>
      </c>
      <c r="F2386" s="1" t="s">
        <v>2561</v>
      </c>
      <c r="G2386" s="1" t="s">
        <v>2555</v>
      </c>
    </row>
    <row x14ac:dyDescent="0.25" r="2387" customHeight="1" ht="17.25" hidden="1">
      <c r="A2387" s="112" t="s">
        <v>6585</v>
      </c>
      <c r="B2387" s="1" t="s">
        <v>2549</v>
      </c>
      <c r="C2387" s="1" t="s">
        <v>61</v>
      </c>
      <c r="D2387" s="1" t="s">
        <v>6586</v>
      </c>
      <c r="E2387" s="62">
        <v>21</v>
      </c>
      <c r="F2387" s="1" t="s">
        <v>2551</v>
      </c>
      <c r="G2387" s="1" t="s">
        <v>2558</v>
      </c>
    </row>
    <row x14ac:dyDescent="0.25" r="2388" customHeight="1" ht="17.25" hidden="1">
      <c r="A2388" s="112" t="s">
        <v>509</v>
      </c>
      <c r="B2388" s="1" t="s">
        <v>2549</v>
      </c>
      <c r="C2388" s="1" t="s">
        <v>61</v>
      </c>
      <c r="D2388" s="1" t="s">
        <v>6587</v>
      </c>
      <c r="E2388" s="62">
        <v>19</v>
      </c>
      <c r="F2388" s="1" t="s">
        <v>2551</v>
      </c>
      <c r="G2388" s="1" t="s">
        <v>2558</v>
      </c>
    </row>
    <row x14ac:dyDescent="0.25" r="2389" customHeight="1" ht="17.25" hidden="1">
      <c r="A2389" s="112" t="s">
        <v>6588</v>
      </c>
      <c r="B2389" s="1" t="s">
        <v>2549</v>
      </c>
      <c r="C2389" s="1" t="s">
        <v>61</v>
      </c>
      <c r="D2389" s="1" t="s">
        <v>6589</v>
      </c>
      <c r="E2389" s="62">
        <v>19</v>
      </c>
      <c r="F2389" s="1" t="s">
        <v>2551</v>
      </c>
      <c r="G2389" s="1" t="s">
        <v>2558</v>
      </c>
    </row>
    <row x14ac:dyDescent="0.25" r="2390" customHeight="1" ht="17.25" hidden="1">
      <c r="A2390" s="112" t="s">
        <v>6590</v>
      </c>
      <c r="B2390" s="1" t="s">
        <v>2549</v>
      </c>
      <c r="C2390" s="1" t="s">
        <v>61</v>
      </c>
      <c r="D2390" s="1" t="s">
        <v>6591</v>
      </c>
      <c r="E2390" s="62">
        <v>18</v>
      </c>
      <c r="F2390" s="1" t="s">
        <v>2551</v>
      </c>
      <c r="G2390" s="1" t="s">
        <v>2555</v>
      </c>
    </row>
    <row x14ac:dyDescent="0.25" r="2391" customHeight="1" ht="17.25" hidden="1">
      <c r="A2391" s="112" t="s">
        <v>6592</v>
      </c>
      <c r="B2391" s="1" t="s">
        <v>2549</v>
      </c>
      <c r="C2391" s="1" t="s">
        <v>61</v>
      </c>
      <c r="D2391" s="1" t="s">
        <v>6593</v>
      </c>
      <c r="E2391" s="62">
        <v>29</v>
      </c>
      <c r="F2391" s="1" t="s">
        <v>2551</v>
      </c>
      <c r="G2391" s="1" t="s">
        <v>2552</v>
      </c>
    </row>
    <row x14ac:dyDescent="0.25" r="2392" customHeight="1" ht="17.25" hidden="1">
      <c r="A2392" s="112" t="s">
        <v>6594</v>
      </c>
      <c r="B2392" s="1" t="s">
        <v>2549</v>
      </c>
      <c r="C2392" s="1" t="s">
        <v>61</v>
      </c>
      <c r="D2392" s="1" t="s">
        <v>6595</v>
      </c>
      <c r="E2392" s="62">
        <v>32</v>
      </c>
      <c r="F2392" s="1" t="s">
        <v>2561</v>
      </c>
      <c r="G2392" s="1" t="s">
        <v>2555</v>
      </c>
    </row>
    <row x14ac:dyDescent="0.25" r="2393" customHeight="1" ht="17.25" hidden="1">
      <c r="A2393" s="112" t="s">
        <v>6596</v>
      </c>
      <c r="B2393" s="1" t="s">
        <v>2549</v>
      </c>
      <c r="C2393" s="1" t="s">
        <v>61</v>
      </c>
      <c r="D2393" s="1" t="s">
        <v>6597</v>
      </c>
      <c r="E2393" s="62">
        <v>21</v>
      </c>
      <c r="F2393" s="1" t="s">
        <v>2551</v>
      </c>
      <c r="G2393" s="1" t="s">
        <v>2552</v>
      </c>
    </row>
    <row x14ac:dyDescent="0.25" r="2394" customHeight="1" ht="17.25" hidden="1">
      <c r="A2394" s="112" t="s">
        <v>6596</v>
      </c>
      <c r="B2394" s="1" t="s">
        <v>2549</v>
      </c>
      <c r="C2394" s="1" t="s">
        <v>61</v>
      </c>
      <c r="D2394" s="1" t="s">
        <v>6598</v>
      </c>
      <c r="E2394" s="62">
        <v>18</v>
      </c>
      <c r="F2394" s="1" t="s">
        <v>2551</v>
      </c>
      <c r="G2394" s="1" t="s">
        <v>2555</v>
      </c>
    </row>
    <row x14ac:dyDescent="0.25" r="2395" customHeight="1" ht="17.25" hidden="1">
      <c r="A2395" s="112" t="s">
        <v>6599</v>
      </c>
      <c r="B2395" s="1" t="s">
        <v>2549</v>
      </c>
      <c r="C2395" s="1" t="s">
        <v>61</v>
      </c>
      <c r="D2395" s="1" t="s">
        <v>6600</v>
      </c>
      <c r="E2395" s="62">
        <v>25</v>
      </c>
      <c r="F2395" s="1" t="s">
        <v>2551</v>
      </c>
      <c r="G2395" s="1" t="s">
        <v>2555</v>
      </c>
    </row>
    <row x14ac:dyDescent="0.25" r="2396" customHeight="1" ht="17.25" hidden="1">
      <c r="A2396" s="112" t="s">
        <v>6601</v>
      </c>
      <c r="B2396" s="1" t="s">
        <v>2549</v>
      </c>
      <c r="C2396" s="1" t="s">
        <v>61</v>
      </c>
      <c r="D2396" s="1" t="s">
        <v>6602</v>
      </c>
      <c r="E2396" s="62">
        <v>28</v>
      </c>
      <c r="F2396" s="1" t="s">
        <v>2561</v>
      </c>
      <c r="G2396" s="1" t="s">
        <v>2552</v>
      </c>
    </row>
    <row x14ac:dyDescent="0.25" r="2397" customHeight="1" ht="17.25" hidden="1">
      <c r="A2397" s="112" t="s">
        <v>6601</v>
      </c>
      <c r="B2397" s="1" t="s">
        <v>2549</v>
      </c>
      <c r="C2397" s="1" t="s">
        <v>61</v>
      </c>
      <c r="D2397" s="1" t="s">
        <v>6603</v>
      </c>
      <c r="E2397" s="62">
        <v>34</v>
      </c>
      <c r="F2397" s="1" t="s">
        <v>2551</v>
      </c>
      <c r="G2397" s="1" t="s">
        <v>2552</v>
      </c>
    </row>
    <row x14ac:dyDescent="0.25" r="2398" customHeight="1" ht="17.25" hidden="1">
      <c r="A2398" s="112" t="s">
        <v>6604</v>
      </c>
      <c r="B2398" s="1" t="s">
        <v>2549</v>
      </c>
      <c r="C2398" s="1" t="s">
        <v>61</v>
      </c>
      <c r="D2398" s="1" t="s">
        <v>6605</v>
      </c>
      <c r="E2398" s="62">
        <v>39</v>
      </c>
      <c r="F2398" s="1" t="s">
        <v>2551</v>
      </c>
      <c r="G2398" s="1" t="s">
        <v>2552</v>
      </c>
    </row>
    <row x14ac:dyDescent="0.25" r="2399" customHeight="1" ht="17.25" hidden="1">
      <c r="A2399" s="112" t="s">
        <v>6606</v>
      </c>
      <c r="B2399" s="1" t="s">
        <v>2549</v>
      </c>
      <c r="C2399" s="1" t="s">
        <v>61</v>
      </c>
      <c r="D2399" s="1" t="s">
        <v>6607</v>
      </c>
      <c r="E2399" s="62">
        <v>27</v>
      </c>
      <c r="F2399" s="1" t="s">
        <v>2551</v>
      </c>
      <c r="G2399" s="1" t="s">
        <v>2552</v>
      </c>
    </row>
    <row x14ac:dyDescent="0.25" r="2400" customHeight="1" ht="17.25" hidden="1">
      <c r="A2400" s="112" t="s">
        <v>1996</v>
      </c>
      <c r="B2400" s="1" t="s">
        <v>2549</v>
      </c>
      <c r="C2400" s="1" t="s">
        <v>61</v>
      </c>
      <c r="D2400" s="1" t="s">
        <v>1997</v>
      </c>
      <c r="E2400" s="62">
        <v>24</v>
      </c>
      <c r="F2400" s="1" t="s">
        <v>2551</v>
      </c>
      <c r="G2400" s="1" t="s">
        <v>2558</v>
      </c>
    </row>
    <row x14ac:dyDescent="0.25" r="2401" customHeight="1" ht="17.25" hidden="1">
      <c r="A2401" s="112" t="s">
        <v>6608</v>
      </c>
      <c r="B2401" s="1" t="s">
        <v>2549</v>
      </c>
      <c r="C2401" s="1" t="s">
        <v>61</v>
      </c>
      <c r="D2401" s="1" t="s">
        <v>6609</v>
      </c>
      <c r="E2401" s="62">
        <v>31</v>
      </c>
      <c r="F2401" s="1" t="s">
        <v>2551</v>
      </c>
      <c r="G2401" s="1" t="s">
        <v>2552</v>
      </c>
    </row>
    <row x14ac:dyDescent="0.25" r="2402" customHeight="1" ht="17.25" hidden="1">
      <c r="A2402" s="112" t="s">
        <v>6610</v>
      </c>
      <c r="B2402" s="1" t="s">
        <v>2549</v>
      </c>
      <c r="C2402" s="1" t="s">
        <v>61</v>
      </c>
      <c r="D2402" s="1" t="s">
        <v>6611</v>
      </c>
      <c r="E2402" s="62">
        <v>19</v>
      </c>
      <c r="F2402" s="1" t="s">
        <v>2551</v>
      </c>
      <c r="G2402" s="1" t="s">
        <v>2555</v>
      </c>
    </row>
    <row x14ac:dyDescent="0.25" r="2403" customHeight="1" ht="17.25" hidden="1">
      <c r="A2403" s="112" t="s">
        <v>6612</v>
      </c>
      <c r="B2403" s="1" t="s">
        <v>2549</v>
      </c>
      <c r="C2403" s="1" t="s">
        <v>61</v>
      </c>
      <c r="D2403" s="1" t="s">
        <v>6613</v>
      </c>
      <c r="E2403" s="62">
        <v>32</v>
      </c>
      <c r="F2403" s="1" t="s">
        <v>2551</v>
      </c>
      <c r="G2403" s="1" t="s">
        <v>2552</v>
      </c>
    </row>
    <row x14ac:dyDescent="0.25" r="2404" customHeight="1" ht="17.25" hidden="1">
      <c r="A2404" s="112" t="s">
        <v>6614</v>
      </c>
      <c r="B2404" s="1" t="s">
        <v>2549</v>
      </c>
      <c r="C2404" s="1" t="s">
        <v>61</v>
      </c>
      <c r="D2404" s="1" t="s">
        <v>6615</v>
      </c>
      <c r="E2404" s="62">
        <v>30</v>
      </c>
      <c r="F2404" s="1" t="s">
        <v>2551</v>
      </c>
      <c r="G2404" s="1" t="s">
        <v>2552</v>
      </c>
    </row>
    <row x14ac:dyDescent="0.25" r="2405" customHeight="1" ht="17.25" hidden="1">
      <c r="A2405" s="112" t="s">
        <v>6616</v>
      </c>
      <c r="B2405" s="1" t="s">
        <v>2549</v>
      </c>
      <c r="C2405" s="1" t="s">
        <v>61</v>
      </c>
      <c r="D2405" s="1" t="s">
        <v>6617</v>
      </c>
      <c r="E2405" s="62">
        <v>18</v>
      </c>
      <c r="F2405" s="1" t="s">
        <v>2551</v>
      </c>
      <c r="G2405" s="1" t="s">
        <v>2552</v>
      </c>
    </row>
    <row x14ac:dyDescent="0.25" r="2406" customHeight="1" ht="17.25" hidden="1">
      <c r="A2406" s="112" t="s">
        <v>6618</v>
      </c>
      <c r="B2406" s="1" t="s">
        <v>2549</v>
      </c>
      <c r="C2406" s="1" t="s">
        <v>61</v>
      </c>
      <c r="D2406" s="1" t="s">
        <v>6619</v>
      </c>
      <c r="E2406" s="62">
        <v>23</v>
      </c>
      <c r="F2406" s="1" t="s">
        <v>2551</v>
      </c>
      <c r="G2406" s="1" t="s">
        <v>2555</v>
      </c>
    </row>
    <row x14ac:dyDescent="0.25" r="2407" customHeight="1" ht="17.25" hidden="1">
      <c r="A2407" s="112" t="s">
        <v>6620</v>
      </c>
      <c r="B2407" s="1" t="s">
        <v>2549</v>
      </c>
      <c r="C2407" s="1" t="s">
        <v>61</v>
      </c>
      <c r="D2407" s="1" t="s">
        <v>6621</v>
      </c>
      <c r="E2407" s="62">
        <v>28</v>
      </c>
      <c r="F2407" s="1" t="s">
        <v>2551</v>
      </c>
      <c r="G2407" s="1" t="s">
        <v>2552</v>
      </c>
    </row>
    <row x14ac:dyDescent="0.25" r="2408" customHeight="1" ht="17.25" hidden="1">
      <c r="A2408" s="112" t="s">
        <v>6622</v>
      </c>
      <c r="B2408" s="1" t="s">
        <v>2549</v>
      </c>
      <c r="C2408" s="1" t="s">
        <v>61</v>
      </c>
      <c r="D2408" s="1" t="s">
        <v>6623</v>
      </c>
      <c r="E2408" s="62">
        <v>18</v>
      </c>
      <c r="F2408" s="1" t="s">
        <v>2551</v>
      </c>
      <c r="G2408" s="1" t="s">
        <v>2552</v>
      </c>
    </row>
    <row x14ac:dyDescent="0.25" r="2409" customHeight="1" ht="17.25" hidden="1">
      <c r="A2409" s="112" t="s">
        <v>6622</v>
      </c>
      <c r="B2409" s="1" t="s">
        <v>2549</v>
      </c>
      <c r="C2409" s="1" t="s">
        <v>61</v>
      </c>
      <c r="D2409" s="1" t="s">
        <v>6624</v>
      </c>
      <c r="E2409" s="62">
        <v>40</v>
      </c>
      <c r="F2409" s="1" t="s">
        <v>2551</v>
      </c>
      <c r="G2409" s="1" t="s">
        <v>2555</v>
      </c>
    </row>
    <row x14ac:dyDescent="0.25" r="2410" customHeight="1" ht="17.25" hidden="1">
      <c r="A2410" s="112" t="s">
        <v>6622</v>
      </c>
      <c r="B2410" s="1" t="s">
        <v>2549</v>
      </c>
      <c r="C2410" s="1" t="s">
        <v>61</v>
      </c>
      <c r="D2410" s="1" t="s">
        <v>6625</v>
      </c>
      <c r="E2410" s="62">
        <v>18</v>
      </c>
      <c r="F2410" s="1" t="s">
        <v>2551</v>
      </c>
      <c r="G2410" s="1" t="s">
        <v>2555</v>
      </c>
    </row>
    <row x14ac:dyDescent="0.25" r="2411" customHeight="1" ht="17.25" hidden="1">
      <c r="A2411" s="112" t="s">
        <v>6626</v>
      </c>
      <c r="B2411" s="1" t="s">
        <v>2549</v>
      </c>
      <c r="C2411" s="1" t="s">
        <v>61</v>
      </c>
      <c r="D2411" s="1" t="s">
        <v>6627</v>
      </c>
      <c r="E2411" s="62">
        <v>20</v>
      </c>
      <c r="F2411" s="1" t="s">
        <v>2551</v>
      </c>
      <c r="G2411" s="1" t="s">
        <v>2552</v>
      </c>
    </row>
    <row x14ac:dyDescent="0.25" r="2412" customHeight="1" ht="17.25" hidden="1">
      <c r="A2412" s="112" t="s">
        <v>6628</v>
      </c>
      <c r="B2412" s="1" t="s">
        <v>2549</v>
      </c>
      <c r="C2412" s="1" t="s">
        <v>61</v>
      </c>
      <c r="D2412" s="1" t="s">
        <v>6629</v>
      </c>
      <c r="E2412" s="62">
        <v>19</v>
      </c>
      <c r="F2412" s="1" t="s">
        <v>2551</v>
      </c>
      <c r="G2412" s="1" t="s">
        <v>2552</v>
      </c>
    </row>
    <row x14ac:dyDescent="0.25" r="2413" customHeight="1" ht="17.25" hidden="1">
      <c r="A2413" s="112" t="s">
        <v>6630</v>
      </c>
      <c r="B2413" s="1" t="s">
        <v>2549</v>
      </c>
      <c r="C2413" s="1" t="s">
        <v>61</v>
      </c>
      <c r="D2413" s="1" t="s">
        <v>4935</v>
      </c>
      <c r="E2413" s="62">
        <v>35</v>
      </c>
      <c r="F2413" s="1" t="s">
        <v>2551</v>
      </c>
      <c r="G2413" s="1" t="s">
        <v>2558</v>
      </c>
    </row>
    <row x14ac:dyDescent="0.25" r="2414" customHeight="1" ht="17.25" hidden="1">
      <c r="A2414" s="112" t="s">
        <v>6631</v>
      </c>
      <c r="B2414" s="1" t="s">
        <v>2549</v>
      </c>
      <c r="C2414" s="1" t="s">
        <v>61</v>
      </c>
      <c r="D2414" s="1" t="s">
        <v>6632</v>
      </c>
      <c r="E2414" s="62">
        <v>56</v>
      </c>
      <c r="F2414" s="1" t="s">
        <v>2551</v>
      </c>
      <c r="G2414" s="1" t="s">
        <v>2555</v>
      </c>
    </row>
    <row x14ac:dyDescent="0.25" r="2415" customHeight="1" ht="17.25" hidden="1">
      <c r="A2415" s="112" t="s">
        <v>6633</v>
      </c>
      <c r="B2415" s="1" t="s">
        <v>2549</v>
      </c>
      <c r="C2415" s="1" t="s">
        <v>61</v>
      </c>
      <c r="D2415" s="1" t="s">
        <v>6634</v>
      </c>
      <c r="E2415" s="62">
        <v>26</v>
      </c>
      <c r="F2415" s="1" t="s">
        <v>2551</v>
      </c>
      <c r="G2415" s="1" t="s">
        <v>2571</v>
      </c>
    </row>
    <row x14ac:dyDescent="0.25" r="2416" customHeight="1" ht="17.25" hidden="1">
      <c r="A2416" s="112" t="s">
        <v>6635</v>
      </c>
      <c r="B2416" s="1" t="s">
        <v>2549</v>
      </c>
      <c r="C2416" s="1" t="s">
        <v>61</v>
      </c>
      <c r="D2416" s="1" t="s">
        <v>6636</v>
      </c>
      <c r="E2416" s="62">
        <v>28</v>
      </c>
      <c r="F2416" s="1" t="s">
        <v>2561</v>
      </c>
      <c r="G2416" s="1" t="s">
        <v>2555</v>
      </c>
    </row>
    <row x14ac:dyDescent="0.25" r="2417" customHeight="1" ht="17.25" hidden="1">
      <c r="A2417" s="112" t="s">
        <v>6635</v>
      </c>
      <c r="B2417" s="1" t="s">
        <v>2549</v>
      </c>
      <c r="C2417" s="1" t="s">
        <v>61</v>
      </c>
      <c r="D2417" s="1" t="s">
        <v>6637</v>
      </c>
      <c r="E2417" s="62">
        <v>43</v>
      </c>
      <c r="F2417" s="1" t="s">
        <v>2551</v>
      </c>
      <c r="G2417" s="1" t="s">
        <v>2558</v>
      </c>
    </row>
    <row x14ac:dyDescent="0.25" r="2418" customHeight="1" ht="17.25" hidden="1">
      <c r="A2418" s="112" t="s">
        <v>6635</v>
      </c>
      <c r="B2418" s="1" t="s">
        <v>2549</v>
      </c>
      <c r="C2418" s="1" t="s">
        <v>61</v>
      </c>
      <c r="D2418" s="1" t="s">
        <v>6638</v>
      </c>
      <c r="E2418" s="62">
        <v>27</v>
      </c>
      <c r="F2418" s="1" t="s">
        <v>2561</v>
      </c>
      <c r="G2418" s="1" t="s">
        <v>2558</v>
      </c>
    </row>
    <row x14ac:dyDescent="0.25" r="2419" customHeight="1" ht="17.25" hidden="1">
      <c r="A2419" s="112" t="s">
        <v>6635</v>
      </c>
      <c r="B2419" s="1" t="s">
        <v>2549</v>
      </c>
      <c r="C2419" s="1" t="s">
        <v>61</v>
      </c>
      <c r="D2419" s="1" t="s">
        <v>6639</v>
      </c>
      <c r="E2419" s="62">
        <v>26</v>
      </c>
      <c r="F2419" s="1" t="s">
        <v>2561</v>
      </c>
      <c r="G2419" s="1" t="s">
        <v>2558</v>
      </c>
    </row>
    <row x14ac:dyDescent="0.25" r="2420" customHeight="1" ht="17.25" hidden="1">
      <c r="A2420" s="112" t="s">
        <v>1333</v>
      </c>
      <c r="B2420" s="1" t="s">
        <v>2549</v>
      </c>
      <c r="C2420" s="1" t="s">
        <v>62</v>
      </c>
      <c r="D2420" s="1" t="s">
        <v>1334</v>
      </c>
      <c r="E2420" s="62">
        <v>27</v>
      </c>
      <c r="F2420" s="1" t="s">
        <v>2551</v>
      </c>
      <c r="G2420" s="1" t="s">
        <v>2552</v>
      </c>
    </row>
    <row x14ac:dyDescent="0.25" r="2421" customHeight="1" ht="17.25" hidden="1">
      <c r="A2421" s="112" t="s">
        <v>868</v>
      </c>
      <c r="B2421" s="1" t="s">
        <v>2549</v>
      </c>
      <c r="C2421" s="1" t="s">
        <v>62</v>
      </c>
      <c r="D2421" s="1" t="s">
        <v>869</v>
      </c>
      <c r="E2421" s="62">
        <v>26</v>
      </c>
      <c r="F2421" s="1" t="s">
        <v>2551</v>
      </c>
      <c r="G2421" s="1" t="s">
        <v>2552</v>
      </c>
    </row>
    <row x14ac:dyDescent="0.25" r="2422" customHeight="1" ht="17.25" hidden="1">
      <c r="A2422" s="112" t="s">
        <v>6640</v>
      </c>
      <c r="B2422" s="1" t="s">
        <v>2549</v>
      </c>
      <c r="C2422" s="1" t="s">
        <v>62</v>
      </c>
      <c r="D2422" s="1" t="s">
        <v>6641</v>
      </c>
      <c r="E2422" s="62">
        <v>20</v>
      </c>
      <c r="F2422" s="1" t="s">
        <v>2551</v>
      </c>
      <c r="G2422" s="1" t="s">
        <v>2552</v>
      </c>
    </row>
    <row x14ac:dyDescent="0.25" r="2423" customHeight="1" ht="17.25" hidden="1">
      <c r="A2423" s="112" t="s">
        <v>6640</v>
      </c>
      <c r="B2423" s="1" t="s">
        <v>2549</v>
      </c>
      <c r="C2423" s="1" t="s">
        <v>62</v>
      </c>
      <c r="D2423" s="1" t="s">
        <v>6642</v>
      </c>
      <c r="E2423" s="62">
        <v>28</v>
      </c>
      <c r="F2423" s="1" t="s">
        <v>2551</v>
      </c>
      <c r="G2423" s="1" t="s">
        <v>2555</v>
      </c>
    </row>
    <row x14ac:dyDescent="0.25" r="2424" customHeight="1" ht="17.25" hidden="1">
      <c r="A2424" s="112" t="s">
        <v>1952</v>
      </c>
      <c r="B2424" s="1" t="s">
        <v>2549</v>
      </c>
      <c r="C2424" s="1" t="s">
        <v>62</v>
      </c>
      <c r="D2424" s="1" t="s">
        <v>2221</v>
      </c>
      <c r="E2424" s="62">
        <v>28</v>
      </c>
      <c r="F2424" s="1" t="s">
        <v>2551</v>
      </c>
      <c r="G2424" s="1" t="s">
        <v>2555</v>
      </c>
    </row>
    <row x14ac:dyDescent="0.25" r="2425" customHeight="1" ht="17.25" hidden="1">
      <c r="A2425" s="112" t="s">
        <v>1952</v>
      </c>
      <c r="B2425" s="1" t="s">
        <v>2549</v>
      </c>
      <c r="C2425" s="1" t="s">
        <v>62</v>
      </c>
      <c r="D2425" s="1" t="s">
        <v>6643</v>
      </c>
      <c r="E2425" s="62">
        <v>18</v>
      </c>
      <c r="F2425" s="1" t="s">
        <v>2551</v>
      </c>
      <c r="G2425" s="1" t="s">
        <v>2555</v>
      </c>
    </row>
    <row x14ac:dyDescent="0.25" r="2426" customHeight="1" ht="17.25" hidden="1">
      <c r="A2426" s="112" t="s">
        <v>6644</v>
      </c>
      <c r="B2426" s="1" t="s">
        <v>2549</v>
      </c>
      <c r="C2426" s="1" t="s">
        <v>62</v>
      </c>
      <c r="D2426" s="1" t="s">
        <v>6645</v>
      </c>
      <c r="E2426" s="62">
        <v>37</v>
      </c>
      <c r="F2426" s="1" t="s">
        <v>2551</v>
      </c>
      <c r="G2426" s="1" t="s">
        <v>2555</v>
      </c>
    </row>
    <row x14ac:dyDescent="0.25" r="2427" customHeight="1" ht="17.25" hidden="1">
      <c r="A2427" s="112" t="s">
        <v>6646</v>
      </c>
      <c r="B2427" s="1" t="s">
        <v>2549</v>
      </c>
      <c r="C2427" s="1" t="s">
        <v>62</v>
      </c>
      <c r="D2427" s="1" t="s">
        <v>6647</v>
      </c>
      <c r="E2427" s="62">
        <v>31</v>
      </c>
      <c r="F2427" s="1" t="s">
        <v>2551</v>
      </c>
      <c r="G2427" s="1" t="s">
        <v>2552</v>
      </c>
    </row>
    <row x14ac:dyDescent="0.25" r="2428" customHeight="1" ht="17.25" hidden="1">
      <c r="A2428" s="112" t="s">
        <v>6648</v>
      </c>
      <c r="B2428" s="1" t="s">
        <v>2549</v>
      </c>
      <c r="C2428" s="1" t="s">
        <v>62</v>
      </c>
      <c r="D2428" s="1" t="s">
        <v>6649</v>
      </c>
      <c r="E2428" s="62">
        <v>22</v>
      </c>
      <c r="F2428" s="1" t="s">
        <v>2551</v>
      </c>
      <c r="G2428" s="1" t="s">
        <v>2552</v>
      </c>
    </row>
    <row x14ac:dyDescent="0.25" r="2429" customHeight="1" ht="17.25" hidden="1">
      <c r="A2429" s="112" t="s">
        <v>2106</v>
      </c>
      <c r="B2429" s="1" t="s">
        <v>2549</v>
      </c>
      <c r="C2429" s="1" t="s">
        <v>62</v>
      </c>
      <c r="D2429" s="1" t="s">
        <v>2108</v>
      </c>
      <c r="E2429" s="62">
        <v>33</v>
      </c>
      <c r="F2429" s="1" t="s">
        <v>2561</v>
      </c>
      <c r="G2429" s="1" t="s">
        <v>2555</v>
      </c>
    </row>
    <row x14ac:dyDescent="0.25" r="2430" customHeight="1" ht="17.25" hidden="1">
      <c r="A2430" s="112" t="s">
        <v>6650</v>
      </c>
      <c r="B2430" s="1" t="s">
        <v>2549</v>
      </c>
      <c r="C2430" s="1" t="s">
        <v>62</v>
      </c>
      <c r="D2430" s="1" t="s">
        <v>6651</v>
      </c>
      <c r="E2430" s="62">
        <v>18</v>
      </c>
      <c r="F2430" s="1" t="s">
        <v>2551</v>
      </c>
      <c r="G2430" s="1" t="s">
        <v>2558</v>
      </c>
    </row>
    <row x14ac:dyDescent="0.25" r="2431" customHeight="1" ht="17.25" hidden="1">
      <c r="A2431" s="112" t="s">
        <v>6652</v>
      </c>
      <c r="B2431" s="1" t="s">
        <v>2549</v>
      </c>
      <c r="C2431" s="1" t="s">
        <v>62</v>
      </c>
      <c r="D2431" s="1" t="s">
        <v>6653</v>
      </c>
      <c r="E2431" s="62">
        <v>28</v>
      </c>
      <c r="F2431" s="1" t="s">
        <v>2551</v>
      </c>
      <c r="G2431" s="1" t="s">
        <v>2552</v>
      </c>
    </row>
    <row x14ac:dyDescent="0.25" r="2432" customHeight="1" ht="17.25" hidden="1">
      <c r="A2432" s="112" t="s">
        <v>6654</v>
      </c>
      <c r="B2432" s="1" t="s">
        <v>2549</v>
      </c>
      <c r="C2432" s="1" t="s">
        <v>62</v>
      </c>
      <c r="D2432" s="1" t="s">
        <v>6655</v>
      </c>
      <c r="E2432" s="62">
        <v>25</v>
      </c>
      <c r="F2432" s="1" t="s">
        <v>2551</v>
      </c>
      <c r="G2432" s="1" t="s">
        <v>2552</v>
      </c>
    </row>
    <row x14ac:dyDescent="0.25" r="2433" customHeight="1" ht="17.25" hidden="1">
      <c r="A2433" s="112" t="s">
        <v>6656</v>
      </c>
      <c r="B2433" s="1" t="s">
        <v>2549</v>
      </c>
      <c r="C2433" s="1" t="s">
        <v>62</v>
      </c>
      <c r="D2433" s="1" t="s">
        <v>6657</v>
      </c>
      <c r="E2433" s="62">
        <v>22</v>
      </c>
      <c r="F2433" s="1" t="s">
        <v>2551</v>
      </c>
      <c r="G2433" s="1" t="s">
        <v>2555</v>
      </c>
    </row>
    <row x14ac:dyDescent="0.25" r="2434" customHeight="1" ht="17.25" hidden="1">
      <c r="A2434" s="112" t="s">
        <v>6658</v>
      </c>
      <c r="B2434" s="1" t="s">
        <v>2549</v>
      </c>
      <c r="C2434" s="1" t="s">
        <v>62</v>
      </c>
      <c r="D2434" s="1" t="s">
        <v>6659</v>
      </c>
      <c r="E2434" s="62">
        <v>42</v>
      </c>
      <c r="F2434" s="1" t="s">
        <v>2551</v>
      </c>
      <c r="G2434" s="1" t="s">
        <v>2552</v>
      </c>
    </row>
    <row x14ac:dyDescent="0.25" r="2435" customHeight="1" ht="17.25" hidden="1">
      <c r="A2435" s="112" t="s">
        <v>6660</v>
      </c>
      <c r="B2435" s="1" t="s">
        <v>2549</v>
      </c>
      <c r="C2435" s="1" t="s">
        <v>62</v>
      </c>
      <c r="D2435" s="1" t="s">
        <v>6661</v>
      </c>
      <c r="E2435" s="62">
        <v>33</v>
      </c>
      <c r="F2435" s="1" t="s">
        <v>2551</v>
      </c>
      <c r="G2435" s="1" t="s">
        <v>2555</v>
      </c>
    </row>
    <row x14ac:dyDescent="0.25" r="2436" customHeight="1" ht="17.25" hidden="1">
      <c r="A2436" s="112" t="s">
        <v>6662</v>
      </c>
      <c r="B2436" s="1" t="s">
        <v>2549</v>
      </c>
      <c r="C2436" s="1" t="s">
        <v>62</v>
      </c>
      <c r="D2436" s="1" t="s">
        <v>6663</v>
      </c>
      <c r="E2436" s="62">
        <v>33</v>
      </c>
      <c r="F2436" s="1" t="s">
        <v>2551</v>
      </c>
      <c r="G2436" s="1" t="s">
        <v>2552</v>
      </c>
    </row>
    <row x14ac:dyDescent="0.25" r="2437" customHeight="1" ht="17.25" hidden="1">
      <c r="A2437" s="112" t="s">
        <v>6664</v>
      </c>
      <c r="B2437" s="1" t="s">
        <v>2549</v>
      </c>
      <c r="C2437" s="1" t="s">
        <v>62</v>
      </c>
      <c r="D2437" s="1" t="s">
        <v>6665</v>
      </c>
      <c r="E2437" s="62">
        <v>19</v>
      </c>
      <c r="F2437" s="1" t="s">
        <v>2551</v>
      </c>
      <c r="G2437" s="1" t="s">
        <v>2555</v>
      </c>
    </row>
    <row x14ac:dyDescent="0.25" r="2438" customHeight="1" ht="17.25" hidden="1">
      <c r="A2438" s="112" t="s">
        <v>6666</v>
      </c>
      <c r="B2438" s="1" t="s">
        <v>2549</v>
      </c>
      <c r="C2438" s="1" t="s">
        <v>62</v>
      </c>
      <c r="D2438" s="1" t="s">
        <v>6667</v>
      </c>
      <c r="E2438" s="62">
        <v>44</v>
      </c>
      <c r="F2438" s="1" t="s">
        <v>2551</v>
      </c>
      <c r="G2438" s="1" t="s">
        <v>2558</v>
      </c>
    </row>
    <row x14ac:dyDescent="0.25" r="2439" customHeight="1" ht="17.25" hidden="1">
      <c r="A2439" s="112" t="s">
        <v>6668</v>
      </c>
      <c r="B2439" s="1" t="s">
        <v>2549</v>
      </c>
      <c r="C2439" s="1" t="s">
        <v>62</v>
      </c>
      <c r="D2439" s="1" t="s">
        <v>6669</v>
      </c>
      <c r="E2439" s="62">
        <v>24</v>
      </c>
      <c r="F2439" s="1" t="s">
        <v>2551</v>
      </c>
      <c r="G2439" s="1" t="s">
        <v>2555</v>
      </c>
    </row>
    <row x14ac:dyDescent="0.25" r="2440" customHeight="1" ht="17.25" hidden="1">
      <c r="A2440" s="112" t="s">
        <v>6668</v>
      </c>
      <c r="B2440" s="1" t="s">
        <v>2549</v>
      </c>
      <c r="C2440" s="1" t="s">
        <v>62</v>
      </c>
      <c r="D2440" s="1" t="s">
        <v>6670</v>
      </c>
      <c r="E2440" s="62">
        <v>24</v>
      </c>
      <c r="F2440" s="1" t="s">
        <v>2551</v>
      </c>
      <c r="G2440" s="1" t="s">
        <v>2555</v>
      </c>
    </row>
    <row x14ac:dyDescent="0.25" r="2441" customHeight="1" ht="17.25" hidden="1">
      <c r="A2441" s="112" t="s">
        <v>6668</v>
      </c>
      <c r="B2441" s="1" t="s">
        <v>2549</v>
      </c>
      <c r="C2441" s="1" t="s">
        <v>62</v>
      </c>
      <c r="D2441" s="1" t="s">
        <v>6671</v>
      </c>
      <c r="E2441" s="62">
        <v>20</v>
      </c>
      <c r="F2441" s="1" t="s">
        <v>2551</v>
      </c>
      <c r="G2441" s="1" t="s">
        <v>2555</v>
      </c>
    </row>
    <row x14ac:dyDescent="0.25" r="2442" customHeight="1" ht="17.25" hidden="1">
      <c r="A2442" s="112" t="s">
        <v>6672</v>
      </c>
      <c r="B2442" s="1" t="s">
        <v>2549</v>
      </c>
      <c r="C2442" s="1" t="s">
        <v>62</v>
      </c>
      <c r="D2442" s="1" t="s">
        <v>6673</v>
      </c>
      <c r="E2442" s="62">
        <v>21</v>
      </c>
      <c r="F2442" s="1" t="s">
        <v>2551</v>
      </c>
      <c r="G2442" s="1" t="s">
        <v>2558</v>
      </c>
    </row>
    <row x14ac:dyDescent="0.25" r="2443" customHeight="1" ht="17.25" hidden="1">
      <c r="A2443" s="112" t="s">
        <v>6672</v>
      </c>
      <c r="B2443" s="1" t="s">
        <v>2549</v>
      </c>
      <c r="C2443" s="1" t="s">
        <v>62</v>
      </c>
      <c r="D2443" s="1" t="s">
        <v>6674</v>
      </c>
      <c r="E2443" s="62">
        <v>24</v>
      </c>
      <c r="F2443" s="1" t="s">
        <v>2551</v>
      </c>
      <c r="G2443" s="1" t="s">
        <v>2552</v>
      </c>
    </row>
    <row x14ac:dyDescent="0.25" r="2444" customHeight="1" ht="17.25" hidden="1">
      <c r="A2444" s="112" t="s">
        <v>2084</v>
      </c>
      <c r="B2444" s="1" t="s">
        <v>2549</v>
      </c>
      <c r="C2444" s="1" t="s">
        <v>62</v>
      </c>
      <c r="D2444" s="1" t="s">
        <v>2085</v>
      </c>
      <c r="E2444" s="62">
        <v>33</v>
      </c>
      <c r="F2444" s="1" t="s">
        <v>2551</v>
      </c>
      <c r="G2444" s="1" t="s">
        <v>2552</v>
      </c>
    </row>
    <row x14ac:dyDescent="0.25" r="2445" customHeight="1" ht="17.25" hidden="1">
      <c r="A2445" s="112" t="s">
        <v>6675</v>
      </c>
      <c r="B2445" s="1" t="s">
        <v>2549</v>
      </c>
      <c r="C2445" s="1" t="s">
        <v>62</v>
      </c>
      <c r="D2445" s="1" t="s">
        <v>6676</v>
      </c>
      <c r="E2445" s="62">
        <v>19</v>
      </c>
      <c r="F2445" s="1" t="s">
        <v>2551</v>
      </c>
      <c r="G2445" s="1" t="s">
        <v>2558</v>
      </c>
    </row>
    <row x14ac:dyDescent="0.25" r="2446" customHeight="1" ht="17.25" hidden="1">
      <c r="A2446" s="112" t="s">
        <v>6677</v>
      </c>
      <c r="B2446" s="1" t="s">
        <v>2549</v>
      </c>
      <c r="C2446" s="1" t="s">
        <v>62</v>
      </c>
      <c r="D2446" s="1" t="s">
        <v>6678</v>
      </c>
      <c r="E2446" s="62">
        <v>25</v>
      </c>
      <c r="F2446" s="1" t="s">
        <v>2551</v>
      </c>
      <c r="G2446" s="1" t="s">
        <v>2552</v>
      </c>
    </row>
    <row x14ac:dyDescent="0.25" r="2447" customHeight="1" ht="17.25" hidden="1">
      <c r="A2447" s="112" t="s">
        <v>6679</v>
      </c>
      <c r="B2447" s="1" t="s">
        <v>2549</v>
      </c>
      <c r="C2447" s="1" t="s">
        <v>62</v>
      </c>
      <c r="D2447" s="1" t="s">
        <v>6680</v>
      </c>
      <c r="E2447" s="62">
        <v>43</v>
      </c>
      <c r="F2447" s="1" t="s">
        <v>2551</v>
      </c>
      <c r="G2447" s="1" t="s">
        <v>2552</v>
      </c>
    </row>
    <row x14ac:dyDescent="0.25" r="2448" customHeight="1" ht="17.25" hidden="1">
      <c r="A2448" s="112" t="s">
        <v>6681</v>
      </c>
      <c r="B2448" s="1" t="s">
        <v>2549</v>
      </c>
      <c r="C2448" s="1" t="s">
        <v>62</v>
      </c>
      <c r="D2448" s="1" t="s">
        <v>4101</v>
      </c>
      <c r="E2448" s="62">
        <v>32</v>
      </c>
      <c r="F2448" s="1" t="s">
        <v>2551</v>
      </c>
      <c r="G2448" s="1" t="s">
        <v>2552</v>
      </c>
    </row>
    <row x14ac:dyDescent="0.25" r="2449" customHeight="1" ht="17.25" hidden="1">
      <c r="A2449" s="112" t="s">
        <v>6682</v>
      </c>
      <c r="B2449" s="1" t="s">
        <v>2549</v>
      </c>
      <c r="C2449" s="1" t="s">
        <v>62</v>
      </c>
      <c r="D2449" s="1" t="s">
        <v>6683</v>
      </c>
      <c r="E2449" s="62">
        <v>20</v>
      </c>
      <c r="F2449" s="1" t="s">
        <v>2551</v>
      </c>
      <c r="G2449" s="1" t="s">
        <v>2552</v>
      </c>
    </row>
    <row x14ac:dyDescent="0.25" r="2450" customHeight="1" ht="17.25" hidden="1">
      <c r="A2450" s="112" t="s">
        <v>6684</v>
      </c>
      <c r="B2450" s="1" t="s">
        <v>2549</v>
      </c>
      <c r="C2450" s="1" t="s">
        <v>62</v>
      </c>
      <c r="D2450" s="1" t="s">
        <v>6685</v>
      </c>
      <c r="E2450" s="62">
        <v>36</v>
      </c>
      <c r="F2450" s="1" t="s">
        <v>2561</v>
      </c>
      <c r="G2450" s="1" t="s">
        <v>2558</v>
      </c>
    </row>
    <row x14ac:dyDescent="0.25" r="2451" customHeight="1" ht="17.25" hidden="1">
      <c r="A2451" s="112" t="s">
        <v>6686</v>
      </c>
      <c r="B2451" s="1" t="s">
        <v>2549</v>
      </c>
      <c r="C2451" s="1" t="s">
        <v>62</v>
      </c>
      <c r="D2451" s="1" t="s">
        <v>6687</v>
      </c>
      <c r="E2451" s="62">
        <v>31</v>
      </c>
      <c r="F2451" s="1" t="s">
        <v>2551</v>
      </c>
      <c r="G2451" s="1" t="s">
        <v>2558</v>
      </c>
    </row>
    <row x14ac:dyDescent="0.25" r="2452" customHeight="1" ht="17.25" hidden="1">
      <c r="A2452" s="112" t="s">
        <v>6688</v>
      </c>
      <c r="B2452" s="1" t="s">
        <v>2549</v>
      </c>
      <c r="C2452" s="1" t="s">
        <v>62</v>
      </c>
      <c r="D2452" s="1" t="s">
        <v>6689</v>
      </c>
      <c r="E2452" s="62">
        <v>24</v>
      </c>
      <c r="F2452" s="1" t="s">
        <v>2551</v>
      </c>
      <c r="G2452" s="1" t="s">
        <v>2552</v>
      </c>
    </row>
    <row x14ac:dyDescent="0.25" r="2453" customHeight="1" ht="17.25" hidden="1">
      <c r="A2453" s="112" t="s">
        <v>6690</v>
      </c>
      <c r="B2453" s="1" t="s">
        <v>2549</v>
      </c>
      <c r="C2453" s="1" t="s">
        <v>62</v>
      </c>
      <c r="D2453" s="1" t="s">
        <v>6691</v>
      </c>
      <c r="E2453" s="62">
        <v>25</v>
      </c>
      <c r="F2453" s="1" t="s">
        <v>2551</v>
      </c>
      <c r="G2453" s="1" t="s">
        <v>2552</v>
      </c>
    </row>
    <row x14ac:dyDescent="0.25" r="2454" customHeight="1" ht="17.25" hidden="1">
      <c r="A2454" s="112" t="s">
        <v>6692</v>
      </c>
      <c r="B2454" s="1" t="s">
        <v>2549</v>
      </c>
      <c r="C2454" s="1" t="s">
        <v>62</v>
      </c>
      <c r="D2454" s="1" t="s">
        <v>6693</v>
      </c>
      <c r="E2454" s="62">
        <v>24</v>
      </c>
      <c r="F2454" s="1" t="s">
        <v>2561</v>
      </c>
      <c r="G2454" s="1" t="s">
        <v>2555</v>
      </c>
    </row>
    <row x14ac:dyDescent="0.25" r="2455" customHeight="1" ht="17.25" hidden="1">
      <c r="A2455" s="112" t="s">
        <v>6694</v>
      </c>
      <c r="B2455" s="1" t="s">
        <v>2549</v>
      </c>
      <c r="C2455" s="1" t="s">
        <v>62</v>
      </c>
      <c r="D2455" s="1" t="s">
        <v>6695</v>
      </c>
      <c r="E2455" s="62">
        <v>20</v>
      </c>
      <c r="F2455" s="1" t="s">
        <v>2551</v>
      </c>
      <c r="G2455" s="1" t="s">
        <v>2552</v>
      </c>
    </row>
    <row x14ac:dyDescent="0.25" r="2456" customHeight="1" ht="17.25" hidden="1">
      <c r="A2456" s="112" t="s">
        <v>6694</v>
      </c>
      <c r="B2456" s="1" t="s">
        <v>2549</v>
      </c>
      <c r="C2456" s="1" t="s">
        <v>62</v>
      </c>
      <c r="D2456" s="1" t="s">
        <v>4966</v>
      </c>
      <c r="E2456" s="62">
        <v>21</v>
      </c>
      <c r="F2456" s="1" t="s">
        <v>2551</v>
      </c>
      <c r="G2456" s="1" t="s">
        <v>2552</v>
      </c>
    </row>
    <row x14ac:dyDescent="0.25" r="2457" customHeight="1" ht="17.25" hidden="1">
      <c r="A2457" s="112" t="s">
        <v>6694</v>
      </c>
      <c r="B2457" s="1" t="s">
        <v>2549</v>
      </c>
      <c r="C2457" s="1" t="s">
        <v>62</v>
      </c>
      <c r="D2457" s="1" t="s">
        <v>6696</v>
      </c>
      <c r="E2457" s="62">
        <v>21</v>
      </c>
      <c r="F2457" s="1" t="s">
        <v>2551</v>
      </c>
      <c r="G2457" s="1" t="s">
        <v>2552</v>
      </c>
    </row>
    <row x14ac:dyDescent="0.25" r="2458" customHeight="1" ht="17.25" hidden="1">
      <c r="A2458" s="112" t="s">
        <v>6694</v>
      </c>
      <c r="B2458" s="1" t="s">
        <v>2549</v>
      </c>
      <c r="C2458" s="1" t="s">
        <v>62</v>
      </c>
      <c r="D2458" s="1" t="s">
        <v>4792</v>
      </c>
      <c r="E2458" s="62">
        <v>22</v>
      </c>
      <c r="F2458" s="1" t="s">
        <v>2551</v>
      </c>
      <c r="G2458" s="1" t="s">
        <v>2555</v>
      </c>
    </row>
    <row x14ac:dyDescent="0.25" r="2459" customHeight="1" ht="17.25" hidden="1">
      <c r="A2459" s="112" t="s">
        <v>6697</v>
      </c>
      <c r="B2459" s="1" t="s">
        <v>2549</v>
      </c>
      <c r="C2459" s="1" t="s">
        <v>62</v>
      </c>
      <c r="D2459" s="1" t="s">
        <v>6698</v>
      </c>
      <c r="E2459" s="62">
        <v>26</v>
      </c>
      <c r="F2459" s="1" t="s">
        <v>2551</v>
      </c>
      <c r="G2459" s="1" t="s">
        <v>2552</v>
      </c>
    </row>
    <row x14ac:dyDescent="0.25" r="2460" customHeight="1" ht="17.25" hidden="1">
      <c r="A2460" s="112" t="s">
        <v>6699</v>
      </c>
      <c r="B2460" s="1" t="s">
        <v>2549</v>
      </c>
      <c r="C2460" s="1" t="s">
        <v>62</v>
      </c>
      <c r="D2460" s="1" t="s">
        <v>6700</v>
      </c>
      <c r="E2460" s="62">
        <v>27</v>
      </c>
      <c r="F2460" s="1" t="s">
        <v>2551</v>
      </c>
      <c r="G2460" s="1" t="s">
        <v>2552</v>
      </c>
    </row>
    <row x14ac:dyDescent="0.25" r="2461" customHeight="1" ht="17.25" hidden="1">
      <c r="A2461" s="112" t="s">
        <v>6701</v>
      </c>
      <c r="B2461" s="1" t="s">
        <v>2549</v>
      </c>
      <c r="C2461" s="1" t="s">
        <v>62</v>
      </c>
      <c r="D2461" s="1" t="s">
        <v>6702</v>
      </c>
      <c r="E2461" s="62">
        <v>42</v>
      </c>
      <c r="F2461" s="1" t="s">
        <v>2551</v>
      </c>
      <c r="G2461" s="1" t="s">
        <v>2555</v>
      </c>
    </row>
    <row x14ac:dyDescent="0.25" r="2462" customHeight="1" ht="17.25" hidden="1">
      <c r="A2462" s="112" t="s">
        <v>6703</v>
      </c>
      <c r="B2462" s="1" t="s">
        <v>2549</v>
      </c>
      <c r="C2462" s="1" t="s">
        <v>62</v>
      </c>
      <c r="D2462" s="1" t="s">
        <v>6704</v>
      </c>
      <c r="E2462" s="62">
        <v>22</v>
      </c>
      <c r="F2462" s="1" t="s">
        <v>2551</v>
      </c>
      <c r="G2462" s="1" t="s">
        <v>2552</v>
      </c>
    </row>
    <row x14ac:dyDescent="0.25" r="2463" customHeight="1" ht="17.25" hidden="1">
      <c r="A2463" s="112" t="s">
        <v>6705</v>
      </c>
      <c r="B2463" s="1" t="s">
        <v>2549</v>
      </c>
      <c r="C2463" s="1" t="s">
        <v>62</v>
      </c>
      <c r="D2463" s="1" t="s">
        <v>6706</v>
      </c>
      <c r="E2463" s="62">
        <v>29</v>
      </c>
      <c r="F2463" s="1" t="s">
        <v>2551</v>
      </c>
      <c r="G2463" s="1" t="s">
        <v>2552</v>
      </c>
    </row>
    <row x14ac:dyDescent="0.25" r="2464" customHeight="1" ht="17.25" hidden="1">
      <c r="A2464" s="112" t="s">
        <v>6707</v>
      </c>
      <c r="B2464" s="1" t="s">
        <v>2549</v>
      </c>
      <c r="C2464" s="1" t="s">
        <v>62</v>
      </c>
      <c r="D2464" s="1" t="s">
        <v>6708</v>
      </c>
      <c r="E2464" s="62">
        <v>22</v>
      </c>
      <c r="F2464" s="1" t="s">
        <v>2551</v>
      </c>
      <c r="G2464" s="1" t="s">
        <v>2555</v>
      </c>
    </row>
    <row x14ac:dyDescent="0.25" r="2465" customHeight="1" ht="17.25" hidden="1">
      <c r="A2465" s="112" t="s">
        <v>6709</v>
      </c>
      <c r="B2465" s="1" t="s">
        <v>2549</v>
      </c>
      <c r="C2465" s="1" t="s">
        <v>62</v>
      </c>
      <c r="D2465" s="1" t="s">
        <v>6710</v>
      </c>
      <c r="E2465" s="62">
        <v>40</v>
      </c>
      <c r="F2465" s="1" t="s">
        <v>2551</v>
      </c>
      <c r="G2465" s="1" t="s">
        <v>2552</v>
      </c>
    </row>
    <row x14ac:dyDescent="0.25" r="2466" customHeight="1" ht="17.25" hidden="1">
      <c r="A2466" s="112" t="s">
        <v>6711</v>
      </c>
      <c r="B2466" s="1" t="s">
        <v>2549</v>
      </c>
      <c r="C2466" s="1" t="s">
        <v>62</v>
      </c>
      <c r="D2466" s="1" t="s">
        <v>6712</v>
      </c>
      <c r="E2466" s="62">
        <v>29</v>
      </c>
      <c r="F2466" s="1" t="s">
        <v>2551</v>
      </c>
      <c r="G2466" s="1" t="s">
        <v>2552</v>
      </c>
    </row>
    <row x14ac:dyDescent="0.25" r="2467" customHeight="1" ht="17.25" hidden="1">
      <c r="A2467" s="112" t="s">
        <v>6713</v>
      </c>
      <c r="B2467" s="1" t="s">
        <v>2549</v>
      </c>
      <c r="C2467" s="1" t="s">
        <v>62</v>
      </c>
      <c r="D2467" s="1" t="s">
        <v>6714</v>
      </c>
      <c r="E2467" s="62">
        <v>28</v>
      </c>
      <c r="F2467" s="1" t="s">
        <v>2551</v>
      </c>
      <c r="G2467" s="1" t="s">
        <v>2552</v>
      </c>
    </row>
    <row x14ac:dyDescent="0.25" r="2468" customHeight="1" ht="17.25" hidden="1">
      <c r="A2468" s="112" t="s">
        <v>6713</v>
      </c>
      <c r="B2468" s="1" t="s">
        <v>2549</v>
      </c>
      <c r="C2468" s="1" t="s">
        <v>62</v>
      </c>
      <c r="D2468" s="1" t="s">
        <v>6715</v>
      </c>
      <c r="E2468" s="62">
        <v>31</v>
      </c>
      <c r="F2468" s="1" t="s">
        <v>2561</v>
      </c>
      <c r="G2468" s="1" t="s">
        <v>2555</v>
      </c>
    </row>
    <row x14ac:dyDescent="0.25" r="2469" customHeight="1" ht="17.25" hidden="1">
      <c r="A2469" s="112" t="s">
        <v>6716</v>
      </c>
      <c r="B2469" s="1" t="s">
        <v>2549</v>
      </c>
      <c r="C2469" s="1" t="s">
        <v>62</v>
      </c>
      <c r="D2469" s="1" t="s">
        <v>6717</v>
      </c>
      <c r="E2469" s="62">
        <v>29</v>
      </c>
      <c r="F2469" s="1" t="s">
        <v>2551</v>
      </c>
      <c r="G2469" s="1" t="s">
        <v>2552</v>
      </c>
    </row>
    <row x14ac:dyDescent="0.25" r="2470" customHeight="1" ht="17.25" hidden="1">
      <c r="A2470" s="112" t="s">
        <v>6718</v>
      </c>
      <c r="B2470" s="1" t="s">
        <v>2549</v>
      </c>
      <c r="C2470" s="1" t="s">
        <v>62</v>
      </c>
      <c r="D2470" s="1" t="s">
        <v>6719</v>
      </c>
      <c r="E2470" s="62">
        <v>21</v>
      </c>
      <c r="F2470" s="1" t="s">
        <v>2551</v>
      </c>
      <c r="G2470" s="1" t="s">
        <v>2558</v>
      </c>
    </row>
    <row x14ac:dyDescent="0.25" r="2471" customHeight="1" ht="17.25" hidden="1">
      <c r="A2471" s="112" t="s">
        <v>6720</v>
      </c>
      <c r="B2471" s="1" t="s">
        <v>2549</v>
      </c>
      <c r="C2471" s="1" t="s">
        <v>62</v>
      </c>
      <c r="D2471" s="1" t="s">
        <v>6721</v>
      </c>
      <c r="E2471" s="62">
        <v>18</v>
      </c>
      <c r="F2471" s="1" t="s">
        <v>2551</v>
      </c>
      <c r="G2471" s="1" t="s">
        <v>2552</v>
      </c>
    </row>
    <row x14ac:dyDescent="0.25" r="2472" customHeight="1" ht="17.25" hidden="1">
      <c r="A2472" s="112" t="s">
        <v>6720</v>
      </c>
      <c r="B2472" s="1" t="s">
        <v>2549</v>
      </c>
      <c r="C2472" s="1" t="s">
        <v>62</v>
      </c>
      <c r="D2472" s="1" t="s">
        <v>6722</v>
      </c>
      <c r="E2472" s="62">
        <v>21</v>
      </c>
      <c r="F2472" s="1" t="s">
        <v>2551</v>
      </c>
      <c r="G2472" s="1" t="s">
        <v>2552</v>
      </c>
    </row>
    <row x14ac:dyDescent="0.25" r="2473" customHeight="1" ht="17.25" hidden="1">
      <c r="A2473" s="112" t="s">
        <v>1179</v>
      </c>
      <c r="B2473" s="1" t="s">
        <v>2549</v>
      </c>
      <c r="C2473" s="1" t="s">
        <v>62</v>
      </c>
      <c r="D2473" s="1" t="s">
        <v>6723</v>
      </c>
      <c r="E2473" s="62">
        <v>21</v>
      </c>
      <c r="F2473" s="1" t="s">
        <v>2551</v>
      </c>
      <c r="G2473" s="1" t="s">
        <v>2552</v>
      </c>
    </row>
    <row x14ac:dyDescent="0.25" r="2474" customHeight="1" ht="17.25" hidden="1">
      <c r="A2474" s="112" t="s">
        <v>1179</v>
      </c>
      <c r="B2474" s="1" t="s">
        <v>2549</v>
      </c>
      <c r="C2474" s="1" t="s">
        <v>62</v>
      </c>
      <c r="D2474" s="1" t="s">
        <v>6724</v>
      </c>
      <c r="E2474" s="62">
        <v>18</v>
      </c>
      <c r="F2474" s="1" t="s">
        <v>2561</v>
      </c>
      <c r="G2474" s="1" t="s">
        <v>2555</v>
      </c>
    </row>
    <row x14ac:dyDescent="0.25" r="2475" customHeight="1" ht="17.25" hidden="1">
      <c r="A2475" s="112" t="s">
        <v>564</v>
      </c>
      <c r="B2475" s="1" t="s">
        <v>2549</v>
      </c>
      <c r="C2475" s="1" t="s">
        <v>62</v>
      </c>
      <c r="D2475" s="1" t="s">
        <v>6725</v>
      </c>
      <c r="E2475" s="62">
        <v>23</v>
      </c>
      <c r="F2475" s="1" t="s">
        <v>2551</v>
      </c>
      <c r="G2475" s="1" t="s">
        <v>2555</v>
      </c>
    </row>
    <row x14ac:dyDescent="0.25" r="2476" customHeight="1" ht="17.25" hidden="1">
      <c r="A2476" s="112" t="s">
        <v>564</v>
      </c>
      <c r="B2476" s="1" t="s">
        <v>2549</v>
      </c>
      <c r="C2476" s="1" t="s">
        <v>62</v>
      </c>
      <c r="D2476" s="1" t="s">
        <v>6726</v>
      </c>
      <c r="E2476" s="62">
        <v>19</v>
      </c>
      <c r="F2476" s="1" t="s">
        <v>2561</v>
      </c>
      <c r="G2476" s="1" t="s">
        <v>2552</v>
      </c>
    </row>
    <row x14ac:dyDescent="0.25" r="2477" customHeight="1" ht="17.25" hidden="1">
      <c r="A2477" s="112" t="s">
        <v>6727</v>
      </c>
      <c r="B2477" s="1" t="s">
        <v>2549</v>
      </c>
      <c r="C2477" s="1" t="s">
        <v>62</v>
      </c>
      <c r="D2477" s="1" t="s">
        <v>6728</v>
      </c>
      <c r="E2477" s="62">
        <v>43</v>
      </c>
      <c r="F2477" s="1" t="s">
        <v>2551</v>
      </c>
      <c r="G2477" s="1" t="s">
        <v>2555</v>
      </c>
    </row>
    <row x14ac:dyDescent="0.25" r="2478" customHeight="1" ht="17.25" hidden="1">
      <c r="A2478" s="112" t="s">
        <v>6729</v>
      </c>
      <c r="B2478" s="1" t="s">
        <v>2549</v>
      </c>
      <c r="C2478" s="1" t="s">
        <v>62</v>
      </c>
      <c r="D2478" s="1" t="s">
        <v>6730</v>
      </c>
      <c r="E2478" s="62">
        <v>33</v>
      </c>
      <c r="F2478" s="1" t="s">
        <v>2551</v>
      </c>
      <c r="G2478" s="1" t="s">
        <v>2558</v>
      </c>
    </row>
    <row x14ac:dyDescent="0.25" r="2479" customHeight="1" ht="17.25" hidden="1">
      <c r="A2479" s="112" t="s">
        <v>6731</v>
      </c>
      <c r="B2479" s="1" t="s">
        <v>2549</v>
      </c>
      <c r="C2479" s="1" t="s">
        <v>62</v>
      </c>
      <c r="D2479" s="1" t="s">
        <v>6732</v>
      </c>
      <c r="E2479" s="62">
        <v>33</v>
      </c>
      <c r="F2479" s="1" t="s">
        <v>2551</v>
      </c>
      <c r="G2479" s="1" t="s">
        <v>2555</v>
      </c>
    </row>
    <row x14ac:dyDescent="0.25" r="2480" customHeight="1" ht="17.25" hidden="1">
      <c r="A2480" s="112" t="s">
        <v>6733</v>
      </c>
      <c r="B2480" s="1" t="s">
        <v>2549</v>
      </c>
      <c r="C2480" s="1" t="s">
        <v>62</v>
      </c>
      <c r="D2480" s="1" t="s">
        <v>6734</v>
      </c>
      <c r="E2480" s="62">
        <v>23</v>
      </c>
      <c r="F2480" s="1" t="s">
        <v>2551</v>
      </c>
      <c r="G2480" s="1" t="s">
        <v>2552</v>
      </c>
    </row>
    <row x14ac:dyDescent="0.25" r="2481" customHeight="1" ht="17.25" hidden="1">
      <c r="A2481" s="112" t="s">
        <v>6735</v>
      </c>
      <c r="B2481" s="1" t="s">
        <v>2549</v>
      </c>
      <c r="C2481" s="1" t="s">
        <v>62</v>
      </c>
      <c r="D2481" s="1" t="s">
        <v>6736</v>
      </c>
      <c r="E2481" s="62">
        <v>23</v>
      </c>
      <c r="F2481" s="1" t="s">
        <v>2551</v>
      </c>
      <c r="G2481" s="1" t="s">
        <v>2552</v>
      </c>
    </row>
    <row x14ac:dyDescent="0.25" r="2482" customHeight="1" ht="17.25" hidden="1">
      <c r="A2482" s="112" t="s">
        <v>6737</v>
      </c>
      <c r="B2482" s="1" t="s">
        <v>2549</v>
      </c>
      <c r="C2482" s="1" t="s">
        <v>62</v>
      </c>
      <c r="D2482" s="1" t="s">
        <v>6738</v>
      </c>
      <c r="E2482" s="62">
        <v>21</v>
      </c>
      <c r="F2482" s="1" t="s">
        <v>2551</v>
      </c>
      <c r="G2482" s="1" t="s">
        <v>2555</v>
      </c>
    </row>
    <row x14ac:dyDescent="0.25" r="2483" customHeight="1" ht="17.25" hidden="1">
      <c r="A2483" s="112" t="s">
        <v>6739</v>
      </c>
      <c r="B2483" s="1" t="s">
        <v>2549</v>
      </c>
      <c r="C2483" s="1" t="s">
        <v>62</v>
      </c>
      <c r="D2483" s="1" t="s">
        <v>6740</v>
      </c>
      <c r="E2483" s="62">
        <v>18</v>
      </c>
      <c r="F2483" s="1" t="s">
        <v>2551</v>
      </c>
      <c r="G2483" s="1" t="s">
        <v>2552</v>
      </c>
    </row>
    <row x14ac:dyDescent="0.25" r="2484" customHeight="1" ht="17.25" hidden="1">
      <c r="A2484" s="112" t="s">
        <v>6741</v>
      </c>
      <c r="B2484" s="1" t="s">
        <v>2549</v>
      </c>
      <c r="C2484" s="1" t="s">
        <v>62</v>
      </c>
      <c r="D2484" s="1" t="s">
        <v>6742</v>
      </c>
      <c r="E2484" s="62">
        <v>33</v>
      </c>
      <c r="F2484" s="1" t="s">
        <v>2551</v>
      </c>
      <c r="G2484" s="1" t="s">
        <v>2558</v>
      </c>
    </row>
    <row x14ac:dyDescent="0.25" r="2485" customHeight="1" ht="17.25" hidden="1">
      <c r="A2485" s="112" t="s">
        <v>6743</v>
      </c>
      <c r="B2485" s="1" t="s">
        <v>2549</v>
      </c>
      <c r="C2485" s="1" t="s">
        <v>62</v>
      </c>
      <c r="D2485" s="1" t="s">
        <v>6744</v>
      </c>
      <c r="E2485" s="62">
        <v>23</v>
      </c>
      <c r="F2485" s="1" t="s">
        <v>2551</v>
      </c>
      <c r="G2485" s="1" t="s">
        <v>2552</v>
      </c>
    </row>
    <row x14ac:dyDescent="0.25" r="2486" customHeight="1" ht="17.25" hidden="1">
      <c r="A2486" s="112" t="s">
        <v>6745</v>
      </c>
      <c r="B2486" s="1" t="s">
        <v>2549</v>
      </c>
      <c r="C2486" s="1" t="s">
        <v>62</v>
      </c>
      <c r="D2486" s="1" t="s">
        <v>6746</v>
      </c>
      <c r="E2486" s="62">
        <v>23</v>
      </c>
      <c r="F2486" s="1" t="s">
        <v>2551</v>
      </c>
      <c r="G2486" s="1" t="s">
        <v>2552</v>
      </c>
    </row>
    <row x14ac:dyDescent="0.25" r="2487" customHeight="1" ht="17.25" hidden="1">
      <c r="A2487" s="112" t="s">
        <v>6747</v>
      </c>
      <c r="B2487" s="1" t="s">
        <v>2549</v>
      </c>
      <c r="C2487" s="1" t="s">
        <v>62</v>
      </c>
      <c r="D2487" s="1" t="s">
        <v>6748</v>
      </c>
      <c r="E2487" s="62">
        <v>20</v>
      </c>
      <c r="F2487" s="1" t="s">
        <v>2551</v>
      </c>
      <c r="G2487" s="1" t="s">
        <v>2552</v>
      </c>
    </row>
    <row x14ac:dyDescent="0.25" r="2488" customHeight="1" ht="17.25" hidden="1">
      <c r="A2488" s="112" t="s">
        <v>6749</v>
      </c>
      <c r="B2488" s="1" t="s">
        <v>2549</v>
      </c>
      <c r="C2488" s="1" t="s">
        <v>62</v>
      </c>
      <c r="D2488" s="1" t="s">
        <v>6750</v>
      </c>
      <c r="E2488" s="62">
        <v>34</v>
      </c>
      <c r="F2488" s="1" t="s">
        <v>2551</v>
      </c>
      <c r="G2488" s="1" t="s">
        <v>2552</v>
      </c>
    </row>
    <row x14ac:dyDescent="0.25" r="2489" customHeight="1" ht="17.25" hidden="1">
      <c r="A2489" s="112" t="s">
        <v>6751</v>
      </c>
      <c r="B2489" s="1" t="s">
        <v>2549</v>
      </c>
      <c r="C2489" s="1" t="s">
        <v>62</v>
      </c>
      <c r="D2489" s="1" t="s">
        <v>6752</v>
      </c>
      <c r="E2489" s="62">
        <v>35</v>
      </c>
      <c r="F2489" s="1" t="s">
        <v>2551</v>
      </c>
      <c r="G2489" s="1" t="s">
        <v>2552</v>
      </c>
    </row>
    <row x14ac:dyDescent="0.25" r="2490" customHeight="1" ht="17.25" hidden="1">
      <c r="A2490" s="112" t="s">
        <v>6753</v>
      </c>
      <c r="B2490" s="1" t="s">
        <v>2549</v>
      </c>
      <c r="C2490" s="1" t="s">
        <v>62</v>
      </c>
      <c r="D2490" s="1" t="s">
        <v>6754</v>
      </c>
      <c r="E2490" s="62">
        <v>25</v>
      </c>
      <c r="F2490" s="1" t="s">
        <v>2551</v>
      </c>
      <c r="G2490" s="1" t="s">
        <v>2558</v>
      </c>
    </row>
    <row x14ac:dyDescent="0.25" r="2491" customHeight="1" ht="17.25" hidden="1">
      <c r="A2491" s="112" t="s">
        <v>6755</v>
      </c>
      <c r="B2491" s="1" t="s">
        <v>2549</v>
      </c>
      <c r="C2491" s="1" t="s">
        <v>62</v>
      </c>
      <c r="D2491" s="1" t="s">
        <v>6756</v>
      </c>
      <c r="E2491" s="62">
        <v>28</v>
      </c>
      <c r="F2491" s="1" t="s">
        <v>2551</v>
      </c>
      <c r="G2491" s="1" t="s">
        <v>2555</v>
      </c>
    </row>
    <row x14ac:dyDescent="0.25" r="2492" customHeight="1" ht="17.25" hidden="1">
      <c r="A2492" s="112" t="s">
        <v>6757</v>
      </c>
      <c r="B2492" s="1" t="s">
        <v>2549</v>
      </c>
      <c r="C2492" s="1" t="s">
        <v>62</v>
      </c>
      <c r="D2492" s="1" t="s">
        <v>6758</v>
      </c>
      <c r="E2492" s="62">
        <v>38</v>
      </c>
      <c r="F2492" s="1" t="s">
        <v>2561</v>
      </c>
      <c r="G2492" s="1" t="s">
        <v>2555</v>
      </c>
    </row>
    <row x14ac:dyDescent="0.25" r="2493" customHeight="1" ht="17.25" hidden="1">
      <c r="A2493" s="112" t="s">
        <v>6759</v>
      </c>
      <c r="B2493" s="1" t="s">
        <v>2549</v>
      </c>
      <c r="C2493" s="1" t="s">
        <v>62</v>
      </c>
      <c r="D2493" s="1" t="s">
        <v>6760</v>
      </c>
      <c r="E2493" s="62">
        <v>23</v>
      </c>
      <c r="F2493" s="1" t="s">
        <v>2551</v>
      </c>
      <c r="G2493" s="1" t="s">
        <v>2552</v>
      </c>
    </row>
    <row x14ac:dyDescent="0.25" r="2494" customHeight="1" ht="17.25" hidden="1">
      <c r="A2494" s="112" t="s">
        <v>6761</v>
      </c>
      <c r="B2494" s="1" t="s">
        <v>2549</v>
      </c>
      <c r="C2494" s="1" t="s">
        <v>62</v>
      </c>
      <c r="D2494" s="1" t="s">
        <v>6762</v>
      </c>
      <c r="E2494" s="62">
        <v>32</v>
      </c>
      <c r="F2494" s="1" t="s">
        <v>2551</v>
      </c>
      <c r="G2494" s="1" t="s">
        <v>2555</v>
      </c>
    </row>
    <row x14ac:dyDescent="0.25" r="2495" customHeight="1" ht="17.25" hidden="1">
      <c r="A2495" s="112" t="s">
        <v>6761</v>
      </c>
      <c r="B2495" s="1" t="s">
        <v>2549</v>
      </c>
      <c r="C2495" s="1" t="s">
        <v>62</v>
      </c>
      <c r="D2495" s="1" t="s">
        <v>6763</v>
      </c>
      <c r="E2495" s="62">
        <v>26</v>
      </c>
      <c r="F2495" s="1" t="s">
        <v>2551</v>
      </c>
      <c r="G2495" s="1" t="s">
        <v>2555</v>
      </c>
    </row>
    <row x14ac:dyDescent="0.25" r="2496" customHeight="1" ht="17.25" hidden="1">
      <c r="A2496" s="112" t="s">
        <v>6761</v>
      </c>
      <c r="B2496" s="1" t="s">
        <v>2549</v>
      </c>
      <c r="C2496" s="1" t="s">
        <v>62</v>
      </c>
      <c r="D2496" s="1" t="s">
        <v>6764</v>
      </c>
      <c r="E2496" s="62">
        <v>32</v>
      </c>
      <c r="F2496" s="1" t="s">
        <v>2551</v>
      </c>
      <c r="G2496" s="1" t="s">
        <v>2571</v>
      </c>
    </row>
    <row x14ac:dyDescent="0.25" r="2497" customHeight="1" ht="17.25" hidden="1">
      <c r="A2497" s="112" t="s">
        <v>6761</v>
      </c>
      <c r="B2497" s="1" t="s">
        <v>2549</v>
      </c>
      <c r="C2497" s="1" t="s">
        <v>62</v>
      </c>
      <c r="D2497" s="1" t="s">
        <v>6765</v>
      </c>
      <c r="E2497" s="62">
        <v>27</v>
      </c>
      <c r="F2497" s="1" t="s">
        <v>2551</v>
      </c>
      <c r="G2497" s="1" t="s">
        <v>2555</v>
      </c>
    </row>
    <row x14ac:dyDescent="0.25" r="2498" customHeight="1" ht="17.25" hidden="1">
      <c r="A2498" s="112" t="s">
        <v>6766</v>
      </c>
      <c r="B2498" s="1" t="s">
        <v>2549</v>
      </c>
      <c r="C2498" s="1" t="s">
        <v>62</v>
      </c>
      <c r="D2498" s="1" t="s">
        <v>6767</v>
      </c>
      <c r="E2498" s="62">
        <v>23</v>
      </c>
      <c r="F2498" s="1" t="s">
        <v>2551</v>
      </c>
      <c r="G2498" s="1" t="s">
        <v>2552</v>
      </c>
    </row>
    <row x14ac:dyDescent="0.25" r="2499" customHeight="1" ht="17.25" hidden="1">
      <c r="A2499" s="112" t="s">
        <v>6768</v>
      </c>
      <c r="B2499" s="1" t="s">
        <v>2549</v>
      </c>
      <c r="C2499" s="1" t="s">
        <v>62</v>
      </c>
      <c r="D2499" s="1" t="s">
        <v>6769</v>
      </c>
      <c r="E2499" s="62">
        <v>22</v>
      </c>
      <c r="F2499" s="1" t="s">
        <v>2551</v>
      </c>
      <c r="G2499" s="1" t="s">
        <v>2558</v>
      </c>
    </row>
    <row x14ac:dyDescent="0.25" r="2500" customHeight="1" ht="17.25" hidden="1">
      <c r="A2500" s="112" t="s">
        <v>6770</v>
      </c>
      <c r="B2500" s="1" t="s">
        <v>2549</v>
      </c>
      <c r="C2500" s="1" t="s">
        <v>62</v>
      </c>
      <c r="D2500" s="1" t="s">
        <v>2902</v>
      </c>
      <c r="E2500" s="62">
        <v>55</v>
      </c>
      <c r="F2500" s="1" t="s">
        <v>2551</v>
      </c>
      <c r="G2500" s="1" t="s">
        <v>2552</v>
      </c>
    </row>
    <row x14ac:dyDescent="0.25" r="2501" customHeight="1" ht="17.25" hidden="1">
      <c r="A2501" s="112" t="s">
        <v>6771</v>
      </c>
      <c r="B2501" s="1" t="s">
        <v>2549</v>
      </c>
      <c r="C2501" s="1" t="s">
        <v>62</v>
      </c>
      <c r="D2501" s="1" t="s">
        <v>6772</v>
      </c>
      <c r="E2501" s="62">
        <v>31</v>
      </c>
      <c r="F2501" s="1" t="s">
        <v>2551</v>
      </c>
      <c r="G2501" s="1" t="s">
        <v>2552</v>
      </c>
    </row>
    <row x14ac:dyDescent="0.25" r="2502" customHeight="1" ht="17.25" hidden="1">
      <c r="A2502" s="112" t="s">
        <v>6773</v>
      </c>
      <c r="B2502" s="1" t="s">
        <v>2549</v>
      </c>
      <c r="C2502" s="1" t="s">
        <v>62</v>
      </c>
      <c r="D2502" s="1" t="s">
        <v>6774</v>
      </c>
      <c r="E2502" s="62">
        <v>27</v>
      </c>
      <c r="F2502" s="1" t="s">
        <v>2551</v>
      </c>
      <c r="G2502" s="1" t="s">
        <v>2552</v>
      </c>
    </row>
    <row x14ac:dyDescent="0.25" r="2503" customHeight="1" ht="17.25" hidden="1">
      <c r="A2503" s="112" t="s">
        <v>6775</v>
      </c>
      <c r="B2503" s="1" t="s">
        <v>2549</v>
      </c>
      <c r="C2503" s="1" t="s">
        <v>62</v>
      </c>
      <c r="D2503" s="1" t="s">
        <v>6776</v>
      </c>
      <c r="E2503" s="62">
        <v>27</v>
      </c>
      <c r="F2503" s="1" t="s">
        <v>2551</v>
      </c>
      <c r="G2503" s="1" t="s">
        <v>2555</v>
      </c>
    </row>
    <row x14ac:dyDescent="0.25" r="2504" customHeight="1" ht="17.25" hidden="1">
      <c r="A2504" s="112" t="s">
        <v>6777</v>
      </c>
      <c r="B2504" s="1" t="s">
        <v>2549</v>
      </c>
      <c r="C2504" s="1" t="s">
        <v>62</v>
      </c>
      <c r="D2504" s="1" t="s">
        <v>6778</v>
      </c>
      <c r="E2504" s="62">
        <v>26</v>
      </c>
      <c r="F2504" s="1" t="s">
        <v>2551</v>
      </c>
      <c r="G2504" s="1" t="s">
        <v>2558</v>
      </c>
    </row>
    <row x14ac:dyDescent="0.25" r="2505" customHeight="1" ht="17.25" hidden="1">
      <c r="A2505" s="112" t="s">
        <v>6779</v>
      </c>
      <c r="B2505" s="1" t="s">
        <v>2549</v>
      </c>
      <c r="C2505" s="1" t="s">
        <v>62</v>
      </c>
      <c r="D2505" s="1" t="s">
        <v>6780</v>
      </c>
      <c r="E2505" s="62">
        <v>43</v>
      </c>
      <c r="F2505" s="1" t="s">
        <v>2551</v>
      </c>
      <c r="G2505" s="1" t="s">
        <v>2552</v>
      </c>
    </row>
    <row x14ac:dyDescent="0.25" r="2506" customHeight="1" ht="17.25" hidden="1">
      <c r="A2506" s="112" t="s">
        <v>6779</v>
      </c>
      <c r="B2506" s="1" t="s">
        <v>2549</v>
      </c>
      <c r="C2506" s="1" t="s">
        <v>62</v>
      </c>
      <c r="D2506" s="1" t="s">
        <v>6781</v>
      </c>
      <c r="E2506" s="62">
        <v>33</v>
      </c>
      <c r="F2506" s="1" t="s">
        <v>2551</v>
      </c>
      <c r="G2506" s="1" t="s">
        <v>2555</v>
      </c>
    </row>
    <row x14ac:dyDescent="0.25" r="2507" customHeight="1" ht="17.25" hidden="1">
      <c r="A2507" s="112" t="s">
        <v>6779</v>
      </c>
      <c r="B2507" s="1" t="s">
        <v>2549</v>
      </c>
      <c r="C2507" s="1" t="s">
        <v>62</v>
      </c>
      <c r="D2507" s="1" t="s">
        <v>6782</v>
      </c>
      <c r="E2507" s="62">
        <v>29</v>
      </c>
      <c r="F2507" s="1" t="s">
        <v>2551</v>
      </c>
      <c r="G2507" s="1" t="s">
        <v>2552</v>
      </c>
    </row>
    <row x14ac:dyDescent="0.25" r="2508" customHeight="1" ht="17.25" hidden="1">
      <c r="A2508" s="112" t="s">
        <v>6783</v>
      </c>
      <c r="B2508" s="1" t="s">
        <v>2549</v>
      </c>
      <c r="C2508" s="1" t="s">
        <v>62</v>
      </c>
      <c r="D2508" s="1" t="s">
        <v>6784</v>
      </c>
      <c r="E2508" s="62">
        <v>21</v>
      </c>
      <c r="F2508" s="1" t="s">
        <v>2551</v>
      </c>
      <c r="G2508" s="1" t="s">
        <v>2552</v>
      </c>
    </row>
    <row x14ac:dyDescent="0.25" r="2509" customHeight="1" ht="17.25" hidden="1">
      <c r="A2509" s="112" t="s">
        <v>6783</v>
      </c>
      <c r="B2509" s="1" t="s">
        <v>2549</v>
      </c>
      <c r="C2509" s="1" t="s">
        <v>62</v>
      </c>
      <c r="D2509" s="1" t="s">
        <v>6785</v>
      </c>
      <c r="E2509" s="62">
        <v>18</v>
      </c>
      <c r="F2509" s="1" t="s">
        <v>2551</v>
      </c>
      <c r="G2509" s="1" t="s">
        <v>2552</v>
      </c>
    </row>
    <row x14ac:dyDescent="0.25" r="2510" customHeight="1" ht="17.25" hidden="1">
      <c r="A2510" s="112" t="s">
        <v>6786</v>
      </c>
      <c r="B2510" s="1" t="s">
        <v>2549</v>
      </c>
      <c r="C2510" s="1" t="s">
        <v>62</v>
      </c>
      <c r="D2510" s="1" t="s">
        <v>6787</v>
      </c>
      <c r="E2510" s="62">
        <v>21</v>
      </c>
      <c r="F2510" s="1" t="s">
        <v>2551</v>
      </c>
      <c r="G2510" s="1" t="s">
        <v>2552</v>
      </c>
    </row>
    <row x14ac:dyDescent="0.25" r="2511" customHeight="1" ht="17.25" hidden="1">
      <c r="A2511" s="112" t="s">
        <v>6788</v>
      </c>
      <c r="B2511" s="1" t="s">
        <v>2549</v>
      </c>
      <c r="C2511" s="1" t="s">
        <v>62</v>
      </c>
      <c r="D2511" s="1" t="s">
        <v>6789</v>
      </c>
      <c r="E2511" s="62">
        <v>21</v>
      </c>
      <c r="F2511" s="1" t="s">
        <v>2551</v>
      </c>
      <c r="G2511" s="1" t="s">
        <v>2555</v>
      </c>
    </row>
    <row x14ac:dyDescent="0.25" r="2512" customHeight="1" ht="17.25" hidden="1">
      <c r="A2512" s="112" t="s">
        <v>6790</v>
      </c>
      <c r="B2512" s="1" t="s">
        <v>2549</v>
      </c>
      <c r="C2512" s="1" t="s">
        <v>62</v>
      </c>
      <c r="D2512" s="1" t="s">
        <v>6791</v>
      </c>
      <c r="E2512" s="62">
        <v>50</v>
      </c>
      <c r="F2512" s="1" t="s">
        <v>2551</v>
      </c>
      <c r="G2512" s="1" t="s">
        <v>2558</v>
      </c>
    </row>
    <row x14ac:dyDescent="0.25" r="2513" customHeight="1" ht="17.25" hidden="1">
      <c r="A2513" s="112" t="s">
        <v>6792</v>
      </c>
      <c r="B2513" s="1" t="s">
        <v>2549</v>
      </c>
      <c r="C2513" s="1" t="s">
        <v>62</v>
      </c>
      <c r="D2513" s="1" t="s">
        <v>6793</v>
      </c>
      <c r="E2513" s="62">
        <v>30</v>
      </c>
      <c r="F2513" s="1" t="s">
        <v>2551</v>
      </c>
      <c r="G2513" s="1" t="s">
        <v>2555</v>
      </c>
    </row>
    <row x14ac:dyDescent="0.25" r="2514" customHeight="1" ht="17.25" hidden="1">
      <c r="A2514" s="112" t="s">
        <v>6792</v>
      </c>
      <c r="B2514" s="1" t="s">
        <v>2549</v>
      </c>
      <c r="C2514" s="1" t="s">
        <v>62</v>
      </c>
      <c r="D2514" s="1" t="s">
        <v>6794</v>
      </c>
      <c r="E2514" s="62">
        <v>29</v>
      </c>
      <c r="F2514" s="1" t="s">
        <v>2551</v>
      </c>
      <c r="G2514" s="1" t="s">
        <v>2552</v>
      </c>
    </row>
    <row x14ac:dyDescent="0.25" r="2515" customHeight="1" ht="17.25" hidden="1">
      <c r="A2515" s="112" t="s">
        <v>6795</v>
      </c>
      <c r="B2515" s="1" t="s">
        <v>2549</v>
      </c>
      <c r="C2515" s="1" t="s">
        <v>62</v>
      </c>
      <c r="D2515" s="1" t="s">
        <v>6796</v>
      </c>
      <c r="E2515" s="62">
        <v>41</v>
      </c>
      <c r="F2515" s="1" t="s">
        <v>2551</v>
      </c>
      <c r="G2515" s="1" t="s">
        <v>2552</v>
      </c>
    </row>
    <row x14ac:dyDescent="0.25" r="2516" customHeight="1" ht="17.25" hidden="1">
      <c r="A2516" s="112" t="s">
        <v>6795</v>
      </c>
      <c r="B2516" s="1" t="s">
        <v>2549</v>
      </c>
      <c r="C2516" s="1" t="s">
        <v>62</v>
      </c>
      <c r="D2516" s="1" t="s">
        <v>6797</v>
      </c>
      <c r="E2516" s="62">
        <v>26</v>
      </c>
      <c r="F2516" s="1" t="s">
        <v>2551</v>
      </c>
      <c r="G2516" s="1" t="s">
        <v>2552</v>
      </c>
    </row>
    <row x14ac:dyDescent="0.25" r="2517" customHeight="1" ht="17.25" hidden="1">
      <c r="A2517" s="112" t="s">
        <v>6798</v>
      </c>
      <c r="B2517" s="1" t="s">
        <v>2549</v>
      </c>
      <c r="C2517" s="1" t="s">
        <v>62</v>
      </c>
      <c r="D2517" s="1" t="s">
        <v>6799</v>
      </c>
      <c r="E2517" s="62">
        <v>28</v>
      </c>
      <c r="F2517" s="1" t="s">
        <v>2551</v>
      </c>
      <c r="G2517" s="1" t="s">
        <v>2555</v>
      </c>
    </row>
    <row x14ac:dyDescent="0.25" r="2518" customHeight="1" ht="17.25" hidden="1">
      <c r="A2518" s="112" t="s">
        <v>6800</v>
      </c>
      <c r="B2518" s="1" t="s">
        <v>2549</v>
      </c>
      <c r="C2518" s="1" t="s">
        <v>62</v>
      </c>
      <c r="D2518" s="1" t="s">
        <v>6801</v>
      </c>
      <c r="E2518" s="62">
        <v>27</v>
      </c>
      <c r="F2518" s="1" t="s">
        <v>2551</v>
      </c>
      <c r="G2518" s="1" t="s">
        <v>2552</v>
      </c>
    </row>
    <row x14ac:dyDescent="0.25" r="2519" customHeight="1" ht="17.25" hidden="1">
      <c r="A2519" s="112" t="s">
        <v>1080</v>
      </c>
      <c r="B2519" s="1" t="s">
        <v>2549</v>
      </c>
      <c r="C2519" s="1" t="s">
        <v>62</v>
      </c>
      <c r="D2519" s="1" t="s">
        <v>1082</v>
      </c>
      <c r="E2519" s="62">
        <v>31</v>
      </c>
      <c r="F2519" s="1" t="s">
        <v>2551</v>
      </c>
      <c r="G2519" s="1" t="s">
        <v>2555</v>
      </c>
    </row>
    <row x14ac:dyDescent="0.25" r="2520" customHeight="1" ht="17.25" hidden="1">
      <c r="A2520" s="112" t="s">
        <v>6802</v>
      </c>
      <c r="B2520" s="1" t="s">
        <v>2549</v>
      </c>
      <c r="C2520" s="1" t="s">
        <v>62</v>
      </c>
      <c r="D2520" s="1" t="s">
        <v>6803</v>
      </c>
      <c r="E2520" s="62">
        <v>37</v>
      </c>
      <c r="F2520" s="1" t="s">
        <v>2551</v>
      </c>
      <c r="G2520" s="1" t="s">
        <v>2555</v>
      </c>
    </row>
    <row x14ac:dyDescent="0.25" r="2521" customHeight="1" ht="17.25" hidden="1">
      <c r="A2521" s="112" t="s">
        <v>6804</v>
      </c>
      <c r="B2521" s="1" t="s">
        <v>2549</v>
      </c>
      <c r="C2521" s="1" t="s">
        <v>62</v>
      </c>
      <c r="D2521" s="1" t="s">
        <v>6805</v>
      </c>
      <c r="E2521" s="62">
        <v>28</v>
      </c>
      <c r="F2521" s="1" t="s">
        <v>2551</v>
      </c>
      <c r="G2521" s="1" t="s">
        <v>2552</v>
      </c>
    </row>
    <row x14ac:dyDescent="0.25" r="2522" customHeight="1" ht="17.25" hidden="1">
      <c r="A2522" s="112" t="s">
        <v>6806</v>
      </c>
      <c r="B2522" s="1" t="s">
        <v>2549</v>
      </c>
      <c r="C2522" s="1" t="s">
        <v>62</v>
      </c>
      <c r="D2522" s="1" t="s">
        <v>6807</v>
      </c>
      <c r="E2522" s="62">
        <v>31</v>
      </c>
      <c r="F2522" s="1" t="s">
        <v>2551</v>
      </c>
      <c r="G2522" s="1" t="s">
        <v>2555</v>
      </c>
    </row>
    <row x14ac:dyDescent="0.25" r="2523" customHeight="1" ht="17.25" hidden="1">
      <c r="A2523" s="112" t="s">
        <v>2064</v>
      </c>
      <c r="B2523" s="1" t="s">
        <v>2549</v>
      </c>
      <c r="C2523" s="1" t="s">
        <v>62</v>
      </c>
      <c r="D2523" s="1" t="s">
        <v>2065</v>
      </c>
      <c r="E2523" s="62">
        <v>20</v>
      </c>
      <c r="F2523" s="1" t="s">
        <v>2551</v>
      </c>
      <c r="G2523" s="1" t="s">
        <v>2555</v>
      </c>
    </row>
    <row x14ac:dyDescent="0.25" r="2524" customHeight="1" ht="17.25" hidden="1">
      <c r="A2524" s="112" t="s">
        <v>2155</v>
      </c>
      <c r="B2524" s="1" t="s">
        <v>2549</v>
      </c>
      <c r="C2524" s="1" t="s">
        <v>62</v>
      </c>
      <c r="D2524" s="1" t="s">
        <v>2156</v>
      </c>
      <c r="E2524" s="62">
        <v>25</v>
      </c>
      <c r="F2524" s="1" t="s">
        <v>2551</v>
      </c>
      <c r="G2524" s="1" t="s">
        <v>2555</v>
      </c>
    </row>
    <row x14ac:dyDescent="0.25" r="2525" customHeight="1" ht="17.25" hidden="1">
      <c r="A2525" s="112" t="s">
        <v>6808</v>
      </c>
      <c r="B2525" s="1" t="s">
        <v>2549</v>
      </c>
      <c r="C2525" s="1" t="s">
        <v>62</v>
      </c>
      <c r="D2525" s="1" t="s">
        <v>6809</v>
      </c>
      <c r="E2525" s="62">
        <v>21</v>
      </c>
      <c r="F2525" s="1" t="s">
        <v>2561</v>
      </c>
      <c r="G2525" s="1" t="s">
        <v>2552</v>
      </c>
    </row>
    <row x14ac:dyDescent="0.25" r="2526" customHeight="1" ht="17.25" hidden="1">
      <c r="A2526" s="112" t="s">
        <v>6810</v>
      </c>
      <c r="B2526" s="1" t="s">
        <v>2549</v>
      </c>
      <c r="C2526" s="1" t="s">
        <v>62</v>
      </c>
      <c r="D2526" s="1" t="s">
        <v>6811</v>
      </c>
      <c r="E2526" s="62">
        <v>18</v>
      </c>
      <c r="F2526" s="1" t="s">
        <v>2551</v>
      </c>
      <c r="G2526" s="1" t="s">
        <v>2552</v>
      </c>
    </row>
    <row x14ac:dyDescent="0.25" r="2527" customHeight="1" ht="17.25" hidden="1">
      <c r="A2527" s="112" t="s">
        <v>6812</v>
      </c>
      <c r="B2527" s="1" t="s">
        <v>2549</v>
      </c>
      <c r="C2527" s="1" t="s">
        <v>62</v>
      </c>
      <c r="D2527" s="1" t="s">
        <v>6813</v>
      </c>
      <c r="E2527" s="62">
        <v>25</v>
      </c>
      <c r="F2527" s="1" t="s">
        <v>2551</v>
      </c>
      <c r="G2527" s="1" t="s">
        <v>2552</v>
      </c>
    </row>
    <row x14ac:dyDescent="0.25" r="2528" customHeight="1" ht="17.25" hidden="1">
      <c r="A2528" s="112" t="s">
        <v>6814</v>
      </c>
      <c r="B2528" s="1" t="s">
        <v>2549</v>
      </c>
      <c r="C2528" s="1" t="s">
        <v>62</v>
      </c>
      <c r="D2528" s="1" t="s">
        <v>6815</v>
      </c>
      <c r="E2528" s="62">
        <v>19</v>
      </c>
      <c r="F2528" s="1" t="s">
        <v>2551</v>
      </c>
      <c r="G2528" s="1" t="s">
        <v>2552</v>
      </c>
    </row>
    <row x14ac:dyDescent="0.25" r="2529" customHeight="1" ht="17.25" hidden="1">
      <c r="A2529" s="112" t="s">
        <v>6816</v>
      </c>
      <c r="B2529" s="1" t="s">
        <v>2549</v>
      </c>
      <c r="C2529" s="1" t="s">
        <v>62</v>
      </c>
      <c r="D2529" s="1" t="s">
        <v>6817</v>
      </c>
      <c r="E2529" s="62">
        <v>32</v>
      </c>
      <c r="F2529" s="1" t="s">
        <v>2551</v>
      </c>
      <c r="G2529" s="1" t="s">
        <v>2555</v>
      </c>
    </row>
    <row x14ac:dyDescent="0.25" r="2530" customHeight="1" ht="17.25" hidden="1">
      <c r="A2530" s="112" t="s">
        <v>6818</v>
      </c>
      <c r="B2530" s="1" t="s">
        <v>2549</v>
      </c>
      <c r="C2530" s="1" t="s">
        <v>62</v>
      </c>
      <c r="D2530" s="1" t="s">
        <v>6819</v>
      </c>
      <c r="E2530" s="62">
        <v>36</v>
      </c>
      <c r="F2530" s="1" t="s">
        <v>2551</v>
      </c>
      <c r="G2530" s="1" t="s">
        <v>2558</v>
      </c>
    </row>
    <row x14ac:dyDescent="0.25" r="2531" customHeight="1" ht="17.25" hidden="1">
      <c r="A2531" s="112" t="s">
        <v>6820</v>
      </c>
      <c r="B2531" s="1" t="s">
        <v>2549</v>
      </c>
      <c r="C2531" s="1" t="s">
        <v>62</v>
      </c>
      <c r="D2531" s="1" t="s">
        <v>6821</v>
      </c>
      <c r="E2531" s="62">
        <v>20</v>
      </c>
      <c r="F2531" s="1" t="s">
        <v>2551</v>
      </c>
      <c r="G2531" s="1" t="s">
        <v>2552</v>
      </c>
    </row>
    <row x14ac:dyDescent="0.25" r="2532" customHeight="1" ht="17.25" hidden="1">
      <c r="A2532" s="112" t="s">
        <v>6822</v>
      </c>
      <c r="B2532" s="1" t="s">
        <v>2549</v>
      </c>
      <c r="C2532" s="1" t="s">
        <v>62</v>
      </c>
      <c r="D2532" s="1" t="s">
        <v>6823</v>
      </c>
      <c r="E2532" s="62">
        <v>18</v>
      </c>
      <c r="F2532" s="1" t="s">
        <v>2551</v>
      </c>
      <c r="G2532" s="1" t="s">
        <v>2552</v>
      </c>
    </row>
    <row x14ac:dyDescent="0.25" r="2533" customHeight="1" ht="17.25" hidden="1">
      <c r="A2533" s="112" t="s">
        <v>6824</v>
      </c>
      <c r="B2533" s="1" t="s">
        <v>2549</v>
      </c>
      <c r="C2533" s="1" t="s">
        <v>62</v>
      </c>
      <c r="D2533" s="1" t="s">
        <v>6825</v>
      </c>
      <c r="E2533" s="62">
        <v>22</v>
      </c>
      <c r="F2533" s="1" t="s">
        <v>2551</v>
      </c>
      <c r="G2533" s="1" t="s">
        <v>2552</v>
      </c>
    </row>
    <row x14ac:dyDescent="0.25" r="2534" customHeight="1" ht="17.25" hidden="1">
      <c r="A2534" s="112" t="s">
        <v>6826</v>
      </c>
      <c r="B2534" s="1" t="s">
        <v>2549</v>
      </c>
      <c r="C2534" s="1" t="s">
        <v>62</v>
      </c>
      <c r="D2534" s="1" t="s">
        <v>6827</v>
      </c>
      <c r="E2534" s="62">
        <v>20</v>
      </c>
      <c r="F2534" s="1" t="s">
        <v>2551</v>
      </c>
      <c r="G2534" s="1" t="s">
        <v>2552</v>
      </c>
    </row>
    <row x14ac:dyDescent="0.25" r="2535" customHeight="1" ht="17.25" hidden="1">
      <c r="A2535" s="112" t="s">
        <v>6828</v>
      </c>
      <c r="B2535" s="1" t="s">
        <v>2549</v>
      </c>
      <c r="C2535" s="1" t="s">
        <v>62</v>
      </c>
      <c r="D2535" s="1" t="s">
        <v>6829</v>
      </c>
      <c r="E2535" s="62">
        <v>28</v>
      </c>
      <c r="F2535" s="1" t="s">
        <v>2551</v>
      </c>
      <c r="G2535" s="1" t="s">
        <v>2558</v>
      </c>
    </row>
    <row x14ac:dyDescent="0.25" r="2536" customHeight="1" ht="17.25" hidden="1">
      <c r="A2536" s="112" t="s">
        <v>6830</v>
      </c>
      <c r="B2536" s="1" t="s">
        <v>2549</v>
      </c>
      <c r="C2536" s="1" t="s">
        <v>62</v>
      </c>
      <c r="D2536" s="1" t="s">
        <v>6831</v>
      </c>
      <c r="E2536" s="62">
        <v>55</v>
      </c>
      <c r="F2536" s="1" t="s">
        <v>2551</v>
      </c>
      <c r="G2536" s="1" t="s">
        <v>2555</v>
      </c>
    </row>
    <row x14ac:dyDescent="0.25" r="2537" customHeight="1" ht="17.25" hidden="1">
      <c r="A2537" s="112" t="s">
        <v>6832</v>
      </c>
      <c r="B2537" s="1" t="s">
        <v>2549</v>
      </c>
      <c r="C2537" s="1" t="s">
        <v>62</v>
      </c>
      <c r="D2537" s="1" t="s">
        <v>6833</v>
      </c>
      <c r="E2537" s="62">
        <v>56</v>
      </c>
      <c r="F2537" s="1" t="s">
        <v>2551</v>
      </c>
      <c r="G2537" s="1" t="s">
        <v>2555</v>
      </c>
    </row>
    <row x14ac:dyDescent="0.25" r="2538" customHeight="1" ht="17.25" hidden="1">
      <c r="A2538" s="112" t="s">
        <v>6834</v>
      </c>
      <c r="B2538" s="1" t="s">
        <v>2549</v>
      </c>
      <c r="C2538" s="1" t="s">
        <v>62</v>
      </c>
      <c r="D2538" s="1" t="s">
        <v>6835</v>
      </c>
      <c r="E2538" s="62">
        <v>24</v>
      </c>
      <c r="F2538" s="1" t="s">
        <v>2551</v>
      </c>
      <c r="G2538" s="1" t="s">
        <v>2558</v>
      </c>
    </row>
    <row x14ac:dyDescent="0.25" r="2539" customHeight="1" ht="17.25" hidden="1">
      <c r="A2539" s="112" t="s">
        <v>6836</v>
      </c>
      <c r="B2539" s="1" t="s">
        <v>2549</v>
      </c>
      <c r="C2539" s="1" t="s">
        <v>62</v>
      </c>
      <c r="D2539" s="1" t="s">
        <v>6837</v>
      </c>
      <c r="E2539" s="62">
        <v>22</v>
      </c>
      <c r="F2539" s="1" t="s">
        <v>2551</v>
      </c>
      <c r="G2539" s="1" t="s">
        <v>2552</v>
      </c>
    </row>
    <row x14ac:dyDescent="0.25" r="2540" customHeight="1" ht="17.25" hidden="1">
      <c r="A2540" s="112" t="s">
        <v>6838</v>
      </c>
      <c r="B2540" s="1" t="s">
        <v>2549</v>
      </c>
      <c r="C2540" s="1" t="s">
        <v>62</v>
      </c>
      <c r="D2540" s="1" t="s">
        <v>6839</v>
      </c>
      <c r="E2540" s="62">
        <v>21</v>
      </c>
      <c r="F2540" s="1" t="s">
        <v>2551</v>
      </c>
      <c r="G2540" s="1" t="s">
        <v>2555</v>
      </c>
    </row>
    <row x14ac:dyDescent="0.25" r="2541" customHeight="1" ht="17.25" hidden="1">
      <c r="A2541" s="112" t="s">
        <v>6840</v>
      </c>
      <c r="B2541" s="1" t="s">
        <v>2549</v>
      </c>
      <c r="C2541" s="1" t="s">
        <v>62</v>
      </c>
      <c r="D2541" s="1" t="s">
        <v>6841</v>
      </c>
      <c r="E2541" s="62">
        <v>23</v>
      </c>
      <c r="F2541" s="1" t="s">
        <v>2551</v>
      </c>
      <c r="G2541" s="1" t="s">
        <v>2552</v>
      </c>
    </row>
    <row x14ac:dyDescent="0.25" r="2542" customHeight="1" ht="17.25" hidden="1">
      <c r="A2542" s="112" t="s">
        <v>6840</v>
      </c>
      <c r="B2542" s="1" t="s">
        <v>2549</v>
      </c>
      <c r="C2542" s="1" t="s">
        <v>62</v>
      </c>
      <c r="D2542" s="1" t="s">
        <v>6842</v>
      </c>
      <c r="E2542" s="62">
        <v>19</v>
      </c>
      <c r="F2542" s="1" t="s">
        <v>2551</v>
      </c>
      <c r="G2542" s="1" t="s">
        <v>2552</v>
      </c>
    </row>
    <row x14ac:dyDescent="0.25" r="2543" customHeight="1" ht="17.25" hidden="1">
      <c r="A2543" s="112" t="s">
        <v>6843</v>
      </c>
      <c r="B2543" s="1" t="s">
        <v>2549</v>
      </c>
      <c r="C2543" s="1" t="s">
        <v>62</v>
      </c>
      <c r="D2543" s="1" t="s">
        <v>6844</v>
      </c>
      <c r="E2543" s="62">
        <v>26</v>
      </c>
      <c r="F2543" s="1" t="s">
        <v>2551</v>
      </c>
      <c r="G2543" s="1" t="s">
        <v>2552</v>
      </c>
    </row>
    <row x14ac:dyDescent="0.25" r="2544" customHeight="1" ht="17.25" hidden="1">
      <c r="A2544" s="112" t="s">
        <v>6845</v>
      </c>
      <c r="B2544" s="1" t="s">
        <v>2549</v>
      </c>
      <c r="C2544" s="1" t="s">
        <v>62</v>
      </c>
      <c r="D2544" s="1" t="s">
        <v>6846</v>
      </c>
      <c r="E2544" s="62">
        <v>44</v>
      </c>
      <c r="F2544" s="1" t="s">
        <v>2551</v>
      </c>
      <c r="G2544" s="1" t="s">
        <v>2552</v>
      </c>
    </row>
    <row x14ac:dyDescent="0.25" r="2545" customHeight="1" ht="17.25" hidden="1">
      <c r="A2545" s="112" t="s">
        <v>6847</v>
      </c>
      <c r="B2545" s="1" t="s">
        <v>2549</v>
      </c>
      <c r="C2545" s="1" t="s">
        <v>62</v>
      </c>
      <c r="D2545" s="1" t="s">
        <v>6848</v>
      </c>
      <c r="E2545" s="62">
        <v>19</v>
      </c>
      <c r="F2545" s="1" t="s">
        <v>2561</v>
      </c>
      <c r="G2545" s="1" t="s">
        <v>2558</v>
      </c>
    </row>
    <row x14ac:dyDescent="0.25" r="2546" customHeight="1" ht="17.25" hidden="1">
      <c r="A2546" s="112" t="s">
        <v>6849</v>
      </c>
      <c r="B2546" s="1" t="s">
        <v>2549</v>
      </c>
      <c r="C2546" s="1" t="s">
        <v>62</v>
      </c>
      <c r="D2546" s="1" t="s">
        <v>6850</v>
      </c>
      <c r="E2546" s="62">
        <v>31</v>
      </c>
      <c r="F2546" s="1" t="s">
        <v>2551</v>
      </c>
      <c r="G2546" s="1" t="s">
        <v>2552</v>
      </c>
    </row>
    <row x14ac:dyDescent="0.25" r="2547" customHeight="1" ht="17.25" hidden="1">
      <c r="A2547" s="112" t="s">
        <v>6851</v>
      </c>
      <c r="B2547" s="1" t="s">
        <v>2549</v>
      </c>
      <c r="C2547" s="1" t="s">
        <v>62</v>
      </c>
      <c r="D2547" s="1" t="s">
        <v>6852</v>
      </c>
      <c r="E2547" s="62">
        <v>19</v>
      </c>
      <c r="F2547" s="1" t="s">
        <v>2551</v>
      </c>
      <c r="G2547" s="1" t="s">
        <v>2555</v>
      </c>
    </row>
    <row x14ac:dyDescent="0.25" r="2548" customHeight="1" ht="17.25" hidden="1">
      <c r="A2548" s="112" t="s">
        <v>6853</v>
      </c>
      <c r="B2548" s="1" t="s">
        <v>2549</v>
      </c>
      <c r="C2548" s="1" t="s">
        <v>62</v>
      </c>
      <c r="D2548" s="1" t="s">
        <v>6854</v>
      </c>
      <c r="E2548" s="62">
        <v>19</v>
      </c>
      <c r="F2548" s="1" t="s">
        <v>2551</v>
      </c>
      <c r="G2548" s="1" t="s">
        <v>2558</v>
      </c>
    </row>
    <row x14ac:dyDescent="0.25" r="2549" customHeight="1" ht="17.25" hidden="1">
      <c r="A2549" s="112" t="s">
        <v>6855</v>
      </c>
      <c r="B2549" s="1" t="s">
        <v>2549</v>
      </c>
      <c r="C2549" s="1" t="s">
        <v>62</v>
      </c>
      <c r="D2549" s="1" t="s">
        <v>6856</v>
      </c>
      <c r="E2549" s="62">
        <v>27</v>
      </c>
      <c r="F2549" s="1" t="s">
        <v>2551</v>
      </c>
      <c r="G2549" s="1" t="s">
        <v>2555</v>
      </c>
    </row>
    <row x14ac:dyDescent="0.25" r="2550" customHeight="1" ht="17.25" hidden="1">
      <c r="A2550" s="112" t="s">
        <v>6855</v>
      </c>
      <c r="B2550" s="1" t="s">
        <v>2549</v>
      </c>
      <c r="C2550" s="1" t="s">
        <v>62</v>
      </c>
      <c r="D2550" s="1" t="s">
        <v>6857</v>
      </c>
      <c r="E2550" s="62">
        <v>24</v>
      </c>
      <c r="F2550" s="1" t="s">
        <v>2551</v>
      </c>
      <c r="G2550" s="1" t="s">
        <v>2555</v>
      </c>
    </row>
    <row x14ac:dyDescent="0.25" r="2551" customHeight="1" ht="17.25" hidden="1">
      <c r="A2551" s="112" t="s">
        <v>6858</v>
      </c>
      <c r="B2551" s="1" t="s">
        <v>2549</v>
      </c>
      <c r="C2551" s="1" t="s">
        <v>62</v>
      </c>
      <c r="D2551" s="1" t="s">
        <v>6859</v>
      </c>
      <c r="E2551" s="62">
        <v>25</v>
      </c>
      <c r="F2551" s="1" t="s">
        <v>2551</v>
      </c>
      <c r="G2551" s="1" t="s">
        <v>2552</v>
      </c>
    </row>
    <row x14ac:dyDescent="0.25" r="2552" customHeight="1" ht="17.25" hidden="1">
      <c r="A2552" s="112" t="s">
        <v>6860</v>
      </c>
      <c r="B2552" s="1" t="s">
        <v>2549</v>
      </c>
      <c r="C2552" s="1" t="s">
        <v>62</v>
      </c>
      <c r="D2552" s="1" t="s">
        <v>6861</v>
      </c>
      <c r="E2552" s="62">
        <v>19</v>
      </c>
      <c r="F2552" s="1" t="s">
        <v>2551</v>
      </c>
      <c r="G2552" s="1" t="s">
        <v>2552</v>
      </c>
    </row>
    <row x14ac:dyDescent="0.25" r="2553" customHeight="1" ht="17.25" hidden="1">
      <c r="A2553" s="112" t="s">
        <v>6862</v>
      </c>
      <c r="B2553" s="1" t="s">
        <v>2549</v>
      </c>
      <c r="C2553" s="1" t="s">
        <v>62</v>
      </c>
      <c r="D2553" s="1" t="s">
        <v>6863</v>
      </c>
      <c r="E2553" s="62">
        <v>45</v>
      </c>
      <c r="F2553" s="1" t="s">
        <v>2561</v>
      </c>
      <c r="G2553" s="1" t="s">
        <v>2555</v>
      </c>
    </row>
    <row x14ac:dyDescent="0.25" r="2554" customHeight="1" ht="17.25" hidden="1">
      <c r="A2554" s="112" t="s">
        <v>6864</v>
      </c>
      <c r="B2554" s="1" t="s">
        <v>2549</v>
      </c>
      <c r="C2554" s="1" t="s">
        <v>62</v>
      </c>
      <c r="D2554" s="1" t="s">
        <v>6865</v>
      </c>
      <c r="E2554" s="62">
        <v>32</v>
      </c>
      <c r="F2554" s="1" t="s">
        <v>2561</v>
      </c>
      <c r="G2554" s="1" t="s">
        <v>2552</v>
      </c>
    </row>
    <row x14ac:dyDescent="0.25" r="2555" customHeight="1" ht="17.25" hidden="1">
      <c r="A2555" s="112" t="s">
        <v>6866</v>
      </c>
      <c r="B2555" s="1" t="s">
        <v>2549</v>
      </c>
      <c r="C2555" s="1" t="s">
        <v>62</v>
      </c>
      <c r="D2555" s="1" t="s">
        <v>6867</v>
      </c>
      <c r="E2555" s="62">
        <v>25</v>
      </c>
      <c r="F2555" s="1" t="s">
        <v>2551</v>
      </c>
      <c r="G2555" s="1" t="s">
        <v>2558</v>
      </c>
    </row>
    <row x14ac:dyDescent="0.25" r="2556" customHeight="1" ht="17.25" hidden="1">
      <c r="A2556" s="112" t="s">
        <v>6868</v>
      </c>
      <c r="B2556" s="1" t="s">
        <v>2549</v>
      </c>
      <c r="C2556" s="1" t="s">
        <v>62</v>
      </c>
      <c r="D2556" s="1" t="s">
        <v>6869</v>
      </c>
      <c r="E2556" s="62">
        <v>25</v>
      </c>
      <c r="F2556" s="1" t="s">
        <v>2551</v>
      </c>
      <c r="G2556" s="1" t="s">
        <v>2555</v>
      </c>
    </row>
    <row x14ac:dyDescent="0.25" r="2557" customHeight="1" ht="17.25" hidden="1">
      <c r="A2557" s="112" t="s">
        <v>6870</v>
      </c>
      <c r="B2557" s="1" t="s">
        <v>2549</v>
      </c>
      <c r="C2557" s="1" t="s">
        <v>62</v>
      </c>
      <c r="D2557" s="1" t="s">
        <v>6871</v>
      </c>
      <c r="E2557" s="62">
        <v>18</v>
      </c>
      <c r="F2557" s="1" t="s">
        <v>2551</v>
      </c>
      <c r="G2557" s="1" t="s">
        <v>2555</v>
      </c>
    </row>
    <row x14ac:dyDescent="0.25" r="2558" customHeight="1" ht="17.25" hidden="1">
      <c r="A2558" s="112" t="s">
        <v>6872</v>
      </c>
      <c r="B2558" s="1" t="s">
        <v>2549</v>
      </c>
      <c r="C2558" s="1" t="s">
        <v>62</v>
      </c>
      <c r="D2558" s="1" t="s">
        <v>6873</v>
      </c>
      <c r="E2558" s="62">
        <v>26</v>
      </c>
      <c r="F2558" s="1" t="s">
        <v>2551</v>
      </c>
      <c r="G2558" s="1" t="s">
        <v>2552</v>
      </c>
    </row>
    <row x14ac:dyDescent="0.25" r="2559" customHeight="1" ht="17.25" hidden="1">
      <c r="A2559" s="112" t="s">
        <v>6872</v>
      </c>
      <c r="B2559" s="1" t="s">
        <v>2549</v>
      </c>
      <c r="C2559" s="1" t="s">
        <v>62</v>
      </c>
      <c r="D2559" s="1" t="s">
        <v>6874</v>
      </c>
      <c r="E2559" s="62">
        <v>24</v>
      </c>
      <c r="F2559" s="1" t="s">
        <v>2551</v>
      </c>
      <c r="G2559" s="1" t="s">
        <v>2552</v>
      </c>
    </row>
    <row x14ac:dyDescent="0.25" r="2560" customHeight="1" ht="17.25" hidden="1">
      <c r="A2560" s="112" t="s">
        <v>6875</v>
      </c>
      <c r="B2560" s="1" t="s">
        <v>2549</v>
      </c>
      <c r="C2560" s="1" t="s">
        <v>62</v>
      </c>
      <c r="D2560" s="1" t="s">
        <v>6876</v>
      </c>
      <c r="E2560" s="62">
        <v>21</v>
      </c>
      <c r="F2560" s="1" t="s">
        <v>2551</v>
      </c>
      <c r="G2560" s="1" t="s">
        <v>2555</v>
      </c>
    </row>
    <row x14ac:dyDescent="0.25" r="2561" customHeight="1" ht="17.25" hidden="1">
      <c r="A2561" s="112" t="s">
        <v>6877</v>
      </c>
      <c r="B2561" s="1" t="s">
        <v>2549</v>
      </c>
      <c r="C2561" s="1" t="s">
        <v>63</v>
      </c>
      <c r="D2561" s="1" t="s">
        <v>6878</v>
      </c>
      <c r="E2561" s="62">
        <v>18</v>
      </c>
      <c r="F2561" s="1" t="s">
        <v>2551</v>
      </c>
      <c r="G2561" s="1" t="s">
        <v>2555</v>
      </c>
    </row>
    <row x14ac:dyDescent="0.25" r="2562" customHeight="1" ht="17.25" hidden="1">
      <c r="A2562" s="112" t="s">
        <v>6879</v>
      </c>
      <c r="B2562" s="1" t="s">
        <v>2549</v>
      </c>
      <c r="C2562" s="1" t="s">
        <v>63</v>
      </c>
      <c r="D2562" s="1" t="s">
        <v>6880</v>
      </c>
      <c r="E2562" s="62">
        <v>35</v>
      </c>
      <c r="F2562" s="1" t="s">
        <v>2551</v>
      </c>
      <c r="G2562" s="1" t="s">
        <v>2552</v>
      </c>
    </row>
    <row x14ac:dyDescent="0.25" r="2563" customHeight="1" ht="17.25" hidden="1">
      <c r="A2563" s="112" t="s">
        <v>6881</v>
      </c>
      <c r="B2563" s="1" t="s">
        <v>2549</v>
      </c>
      <c r="C2563" s="1" t="s">
        <v>63</v>
      </c>
      <c r="D2563" s="1" t="s">
        <v>6882</v>
      </c>
      <c r="E2563" s="62">
        <v>28</v>
      </c>
      <c r="F2563" s="1" t="s">
        <v>2551</v>
      </c>
      <c r="G2563" s="1" t="s">
        <v>2555</v>
      </c>
    </row>
    <row x14ac:dyDescent="0.25" r="2564" customHeight="1" ht="17.25" hidden="1">
      <c r="A2564" s="112" t="s">
        <v>6883</v>
      </c>
      <c r="B2564" s="1" t="s">
        <v>2549</v>
      </c>
      <c r="C2564" s="1" t="s">
        <v>63</v>
      </c>
      <c r="D2564" s="1" t="s">
        <v>6884</v>
      </c>
      <c r="E2564" s="62">
        <v>32</v>
      </c>
      <c r="F2564" s="1" t="s">
        <v>2551</v>
      </c>
      <c r="G2564" s="1" t="s">
        <v>2552</v>
      </c>
    </row>
    <row x14ac:dyDescent="0.25" r="2565" customHeight="1" ht="17.25" hidden="1">
      <c r="A2565" s="112" t="s">
        <v>6885</v>
      </c>
      <c r="B2565" s="1" t="s">
        <v>2549</v>
      </c>
      <c r="C2565" s="1" t="s">
        <v>63</v>
      </c>
      <c r="D2565" s="1" t="s">
        <v>6886</v>
      </c>
      <c r="E2565" s="62">
        <v>27</v>
      </c>
      <c r="F2565" s="1" t="s">
        <v>2551</v>
      </c>
      <c r="G2565" s="1" t="s">
        <v>2555</v>
      </c>
    </row>
    <row x14ac:dyDescent="0.25" r="2566" customHeight="1" ht="17.25" hidden="1">
      <c r="A2566" s="112" t="s">
        <v>6887</v>
      </c>
      <c r="B2566" s="1" t="s">
        <v>2549</v>
      </c>
      <c r="C2566" s="1" t="s">
        <v>63</v>
      </c>
      <c r="D2566" s="1" t="s">
        <v>6888</v>
      </c>
      <c r="E2566" s="62">
        <v>22</v>
      </c>
      <c r="F2566" s="1" t="s">
        <v>2551</v>
      </c>
      <c r="G2566" s="1" t="s">
        <v>2552</v>
      </c>
    </row>
    <row x14ac:dyDescent="0.25" r="2567" customHeight="1" ht="17.25" hidden="1">
      <c r="A2567" s="112" t="s">
        <v>6889</v>
      </c>
      <c r="B2567" s="1" t="s">
        <v>2549</v>
      </c>
      <c r="C2567" s="1" t="s">
        <v>63</v>
      </c>
      <c r="D2567" s="1" t="s">
        <v>6890</v>
      </c>
      <c r="E2567" s="62">
        <v>21</v>
      </c>
      <c r="F2567" s="1" t="s">
        <v>2551</v>
      </c>
      <c r="G2567" s="1" t="s">
        <v>2552</v>
      </c>
    </row>
    <row x14ac:dyDescent="0.25" r="2568" customHeight="1" ht="17.25" hidden="1">
      <c r="A2568" s="112" t="s">
        <v>6891</v>
      </c>
      <c r="B2568" s="1" t="s">
        <v>2549</v>
      </c>
      <c r="C2568" s="1" t="s">
        <v>63</v>
      </c>
      <c r="D2568" s="1" t="s">
        <v>6892</v>
      </c>
      <c r="E2568" s="62">
        <v>42</v>
      </c>
      <c r="F2568" s="1" t="s">
        <v>2551</v>
      </c>
      <c r="G2568" s="1" t="s">
        <v>2552</v>
      </c>
    </row>
    <row x14ac:dyDescent="0.25" r="2569" customHeight="1" ht="17.25" hidden="1">
      <c r="A2569" s="112" t="s">
        <v>6893</v>
      </c>
      <c r="B2569" s="1" t="s">
        <v>2549</v>
      </c>
      <c r="C2569" s="1" t="s">
        <v>63</v>
      </c>
      <c r="D2569" s="1" t="s">
        <v>6894</v>
      </c>
      <c r="E2569" s="62">
        <v>18</v>
      </c>
      <c r="F2569" s="1" t="s">
        <v>2551</v>
      </c>
      <c r="G2569" s="1" t="s">
        <v>2552</v>
      </c>
    </row>
    <row x14ac:dyDescent="0.25" r="2570" customHeight="1" ht="17.25" hidden="1">
      <c r="A2570" s="112" t="s">
        <v>6895</v>
      </c>
      <c r="B2570" s="1" t="s">
        <v>2549</v>
      </c>
      <c r="C2570" s="1" t="s">
        <v>63</v>
      </c>
      <c r="D2570" s="1" t="s">
        <v>6896</v>
      </c>
      <c r="E2570" s="62">
        <v>43</v>
      </c>
      <c r="F2570" s="1" t="s">
        <v>2551</v>
      </c>
      <c r="G2570" s="1" t="s">
        <v>2555</v>
      </c>
    </row>
    <row x14ac:dyDescent="0.25" r="2571" customHeight="1" ht="17.25" hidden="1">
      <c r="A2571" s="112" t="s">
        <v>6897</v>
      </c>
      <c r="B2571" s="1" t="s">
        <v>2549</v>
      </c>
      <c r="C2571" s="1" t="s">
        <v>63</v>
      </c>
      <c r="D2571" s="1" t="s">
        <v>6898</v>
      </c>
      <c r="E2571" s="62">
        <v>29</v>
      </c>
      <c r="F2571" s="1" t="s">
        <v>2551</v>
      </c>
      <c r="G2571" s="1" t="s">
        <v>2552</v>
      </c>
    </row>
    <row x14ac:dyDescent="0.25" r="2572" customHeight="1" ht="17.25" hidden="1">
      <c r="A2572" s="112" t="s">
        <v>6899</v>
      </c>
      <c r="B2572" s="1" t="s">
        <v>2549</v>
      </c>
      <c r="C2572" s="1" t="s">
        <v>63</v>
      </c>
      <c r="D2572" s="1" t="s">
        <v>6900</v>
      </c>
      <c r="E2572" s="62">
        <v>32</v>
      </c>
      <c r="F2572" s="1" t="s">
        <v>2551</v>
      </c>
      <c r="G2572" s="1" t="s">
        <v>2558</v>
      </c>
    </row>
    <row x14ac:dyDescent="0.25" r="2573" customHeight="1" ht="17.25" hidden="1">
      <c r="A2573" s="112" t="s">
        <v>6901</v>
      </c>
      <c r="B2573" s="1" t="s">
        <v>2549</v>
      </c>
      <c r="C2573" s="1" t="s">
        <v>63</v>
      </c>
      <c r="D2573" s="1" t="s">
        <v>6902</v>
      </c>
      <c r="E2573" s="62">
        <v>20</v>
      </c>
      <c r="F2573" s="1" t="s">
        <v>2551</v>
      </c>
      <c r="G2573" s="1" t="s">
        <v>2552</v>
      </c>
    </row>
    <row x14ac:dyDescent="0.25" r="2574" customHeight="1" ht="17.25" hidden="1">
      <c r="A2574" s="112" t="s">
        <v>6903</v>
      </c>
      <c r="B2574" s="1" t="s">
        <v>2549</v>
      </c>
      <c r="C2574" s="1" t="s">
        <v>63</v>
      </c>
      <c r="D2574" s="1" t="s">
        <v>6904</v>
      </c>
      <c r="E2574" s="62">
        <v>24</v>
      </c>
      <c r="F2574" s="1" t="s">
        <v>2561</v>
      </c>
      <c r="G2574" s="1" t="s">
        <v>2558</v>
      </c>
    </row>
    <row x14ac:dyDescent="0.25" r="2575" customHeight="1" ht="17.25" hidden="1">
      <c r="A2575" s="112" t="s">
        <v>6905</v>
      </c>
      <c r="B2575" s="1" t="s">
        <v>2549</v>
      </c>
      <c r="C2575" s="1" t="s">
        <v>63</v>
      </c>
      <c r="D2575" s="1" t="s">
        <v>6906</v>
      </c>
      <c r="E2575" s="62">
        <v>22</v>
      </c>
      <c r="F2575" s="1" t="s">
        <v>2551</v>
      </c>
      <c r="G2575" s="1" t="s">
        <v>2555</v>
      </c>
    </row>
    <row x14ac:dyDescent="0.25" r="2576" customHeight="1" ht="17.25" hidden="1">
      <c r="A2576" s="112" t="s">
        <v>6907</v>
      </c>
      <c r="B2576" s="1" t="s">
        <v>2549</v>
      </c>
      <c r="C2576" s="1" t="s">
        <v>63</v>
      </c>
      <c r="D2576" s="1" t="s">
        <v>6908</v>
      </c>
      <c r="E2576" s="62">
        <v>40</v>
      </c>
      <c r="F2576" s="1" t="s">
        <v>2551</v>
      </c>
      <c r="G2576" s="1" t="s">
        <v>2552</v>
      </c>
    </row>
    <row x14ac:dyDescent="0.25" r="2577" customHeight="1" ht="17.25" hidden="1">
      <c r="A2577" s="112" t="s">
        <v>6909</v>
      </c>
      <c r="B2577" s="1" t="s">
        <v>2549</v>
      </c>
      <c r="C2577" s="1" t="s">
        <v>63</v>
      </c>
      <c r="D2577" s="1" t="s">
        <v>6910</v>
      </c>
      <c r="E2577" s="62">
        <v>22</v>
      </c>
      <c r="F2577" s="1" t="s">
        <v>2551</v>
      </c>
      <c r="G2577" s="1" t="s">
        <v>2558</v>
      </c>
    </row>
    <row x14ac:dyDescent="0.25" r="2578" customHeight="1" ht="17.25" hidden="1">
      <c r="A2578" s="112" t="s">
        <v>6911</v>
      </c>
      <c r="B2578" s="1" t="s">
        <v>2549</v>
      </c>
      <c r="C2578" s="1" t="s">
        <v>63</v>
      </c>
      <c r="D2578" s="1" t="s">
        <v>6912</v>
      </c>
      <c r="E2578" s="62">
        <v>20</v>
      </c>
      <c r="F2578" s="1" t="s">
        <v>2551</v>
      </c>
      <c r="G2578" s="1" t="s">
        <v>2552</v>
      </c>
    </row>
    <row x14ac:dyDescent="0.25" r="2579" customHeight="1" ht="17.25" hidden="1">
      <c r="A2579" s="112" t="s">
        <v>6913</v>
      </c>
      <c r="B2579" s="1" t="s">
        <v>2549</v>
      </c>
      <c r="C2579" s="1" t="s">
        <v>63</v>
      </c>
      <c r="D2579" s="1" t="s">
        <v>6914</v>
      </c>
      <c r="E2579" s="62">
        <v>29</v>
      </c>
      <c r="F2579" s="1" t="s">
        <v>2551</v>
      </c>
      <c r="G2579" s="1" t="s">
        <v>2555</v>
      </c>
    </row>
    <row x14ac:dyDescent="0.25" r="2580" customHeight="1" ht="17.25" hidden="1">
      <c r="A2580" s="112" t="s">
        <v>6915</v>
      </c>
      <c r="B2580" s="1" t="s">
        <v>2549</v>
      </c>
      <c r="C2580" s="1" t="s">
        <v>63</v>
      </c>
      <c r="D2580" s="1" t="s">
        <v>6916</v>
      </c>
      <c r="E2580" s="62">
        <v>21</v>
      </c>
      <c r="F2580" s="1" t="s">
        <v>2561</v>
      </c>
      <c r="G2580" s="1" t="s">
        <v>2552</v>
      </c>
    </row>
    <row x14ac:dyDescent="0.25" r="2581" customHeight="1" ht="17.25" hidden="1">
      <c r="A2581" s="112" t="s">
        <v>6917</v>
      </c>
      <c r="B2581" s="1" t="s">
        <v>2549</v>
      </c>
      <c r="C2581" s="1" t="s">
        <v>63</v>
      </c>
      <c r="D2581" s="1" t="s">
        <v>6918</v>
      </c>
      <c r="E2581" s="62">
        <v>56</v>
      </c>
      <c r="F2581" s="1" t="s">
        <v>2561</v>
      </c>
      <c r="G2581" s="1" t="s">
        <v>2555</v>
      </c>
    </row>
    <row x14ac:dyDescent="0.25" r="2582" customHeight="1" ht="17.25" hidden="1">
      <c r="A2582" s="112" t="s">
        <v>6919</v>
      </c>
      <c r="B2582" s="1" t="s">
        <v>2549</v>
      </c>
      <c r="C2582" s="1" t="s">
        <v>63</v>
      </c>
      <c r="D2582" s="1" t="s">
        <v>6920</v>
      </c>
      <c r="E2582" s="62">
        <v>27</v>
      </c>
      <c r="F2582" s="1" t="s">
        <v>2551</v>
      </c>
      <c r="G2582" s="1" t="s">
        <v>2552</v>
      </c>
    </row>
    <row x14ac:dyDescent="0.25" r="2583" customHeight="1" ht="17.25" hidden="1">
      <c r="A2583" s="112" t="s">
        <v>6921</v>
      </c>
      <c r="B2583" s="1" t="s">
        <v>2549</v>
      </c>
      <c r="C2583" s="1" t="s">
        <v>63</v>
      </c>
      <c r="D2583" s="1" t="s">
        <v>6922</v>
      </c>
      <c r="E2583" s="62">
        <v>24</v>
      </c>
      <c r="F2583" s="1" t="s">
        <v>2551</v>
      </c>
      <c r="G2583" s="1" t="s">
        <v>2558</v>
      </c>
    </row>
    <row x14ac:dyDescent="0.25" r="2584" customHeight="1" ht="17.25" hidden="1">
      <c r="A2584" s="112" t="s">
        <v>6923</v>
      </c>
      <c r="B2584" s="1" t="s">
        <v>2549</v>
      </c>
      <c r="C2584" s="1" t="s">
        <v>63</v>
      </c>
      <c r="D2584" s="1" t="s">
        <v>2732</v>
      </c>
      <c r="E2584" s="62">
        <v>32</v>
      </c>
      <c r="F2584" s="1" t="s">
        <v>2551</v>
      </c>
      <c r="G2584" s="1" t="s">
        <v>2555</v>
      </c>
    </row>
    <row x14ac:dyDescent="0.25" r="2585" customHeight="1" ht="17.25" hidden="1">
      <c r="A2585" s="112" t="s">
        <v>6924</v>
      </c>
      <c r="B2585" s="1" t="s">
        <v>2549</v>
      </c>
      <c r="C2585" s="1" t="s">
        <v>63</v>
      </c>
      <c r="D2585" s="1" t="s">
        <v>6925</v>
      </c>
      <c r="E2585" s="62">
        <v>19</v>
      </c>
      <c r="F2585" s="1" t="s">
        <v>2551</v>
      </c>
      <c r="G2585" s="1" t="s">
        <v>2555</v>
      </c>
    </row>
    <row x14ac:dyDescent="0.25" r="2586" customHeight="1" ht="17.25" hidden="1">
      <c r="A2586" s="112" t="s">
        <v>6926</v>
      </c>
      <c r="B2586" s="1" t="s">
        <v>2549</v>
      </c>
      <c r="C2586" s="1" t="s">
        <v>63</v>
      </c>
      <c r="D2586" s="1" t="s">
        <v>6927</v>
      </c>
      <c r="E2586" s="62">
        <v>29</v>
      </c>
      <c r="F2586" s="1" t="s">
        <v>2551</v>
      </c>
      <c r="G2586" s="1" t="s">
        <v>2552</v>
      </c>
    </row>
    <row x14ac:dyDescent="0.25" r="2587" customHeight="1" ht="17.25" hidden="1">
      <c r="A2587" s="112" t="s">
        <v>6928</v>
      </c>
      <c r="B2587" s="1" t="s">
        <v>2549</v>
      </c>
      <c r="C2587" s="1" t="s">
        <v>63</v>
      </c>
      <c r="D2587" s="1" t="s">
        <v>6929</v>
      </c>
      <c r="E2587" s="62">
        <v>21</v>
      </c>
      <c r="F2587" s="1" t="s">
        <v>2551</v>
      </c>
      <c r="G2587" s="1" t="s">
        <v>2552</v>
      </c>
    </row>
    <row x14ac:dyDescent="0.25" r="2588" customHeight="1" ht="17.25" hidden="1">
      <c r="A2588" s="112" t="s">
        <v>6930</v>
      </c>
      <c r="B2588" s="1" t="s">
        <v>2549</v>
      </c>
      <c r="C2588" s="1" t="s">
        <v>63</v>
      </c>
      <c r="D2588" s="1" t="s">
        <v>6931</v>
      </c>
      <c r="E2588" s="62">
        <v>35</v>
      </c>
      <c r="F2588" s="1" t="s">
        <v>2561</v>
      </c>
      <c r="G2588" s="1" t="s">
        <v>2552</v>
      </c>
    </row>
    <row x14ac:dyDescent="0.25" r="2589" customHeight="1" ht="17.25" hidden="1">
      <c r="A2589" s="112" t="s">
        <v>6932</v>
      </c>
      <c r="B2589" s="1" t="s">
        <v>2549</v>
      </c>
      <c r="C2589" s="1" t="s">
        <v>63</v>
      </c>
      <c r="D2589" s="1" t="s">
        <v>6933</v>
      </c>
      <c r="E2589" s="62">
        <v>31</v>
      </c>
      <c r="F2589" s="1" t="s">
        <v>2551</v>
      </c>
      <c r="G2589" s="1" t="s">
        <v>2571</v>
      </c>
    </row>
    <row x14ac:dyDescent="0.25" r="2590" customHeight="1" ht="17.25" hidden="1">
      <c r="A2590" s="112" t="s">
        <v>6934</v>
      </c>
      <c r="B2590" s="1" t="s">
        <v>2549</v>
      </c>
      <c r="C2590" s="1" t="s">
        <v>63</v>
      </c>
      <c r="D2590" s="1" t="s">
        <v>6935</v>
      </c>
      <c r="E2590" s="62">
        <v>18</v>
      </c>
      <c r="F2590" s="1" t="s">
        <v>2551</v>
      </c>
      <c r="G2590" s="1" t="s">
        <v>2558</v>
      </c>
    </row>
    <row x14ac:dyDescent="0.25" r="2591" customHeight="1" ht="17.25" hidden="1">
      <c r="A2591" s="112" t="s">
        <v>6936</v>
      </c>
      <c r="B2591" s="1" t="s">
        <v>2549</v>
      </c>
      <c r="C2591" s="1" t="s">
        <v>63</v>
      </c>
      <c r="D2591" s="1" t="s">
        <v>6937</v>
      </c>
      <c r="E2591" s="62">
        <v>21</v>
      </c>
      <c r="F2591" s="1" t="s">
        <v>2551</v>
      </c>
      <c r="G2591" s="1" t="s">
        <v>2552</v>
      </c>
    </row>
    <row x14ac:dyDescent="0.25" r="2592" customHeight="1" ht="17.25" hidden="1">
      <c r="A2592" s="112" t="s">
        <v>6938</v>
      </c>
      <c r="B2592" s="1" t="s">
        <v>2549</v>
      </c>
      <c r="C2592" s="1" t="s">
        <v>63</v>
      </c>
      <c r="D2592" s="1" t="s">
        <v>6939</v>
      </c>
      <c r="E2592" s="62">
        <v>22</v>
      </c>
      <c r="F2592" s="1" t="s">
        <v>2551</v>
      </c>
      <c r="G2592" s="1" t="s">
        <v>2555</v>
      </c>
    </row>
    <row x14ac:dyDescent="0.25" r="2593" customHeight="1" ht="17.25" hidden="1">
      <c r="A2593" s="112" t="s">
        <v>6940</v>
      </c>
      <c r="B2593" s="1" t="s">
        <v>2549</v>
      </c>
      <c r="C2593" s="1" t="s">
        <v>63</v>
      </c>
      <c r="D2593" s="1" t="s">
        <v>6941</v>
      </c>
      <c r="E2593" s="62">
        <v>33</v>
      </c>
      <c r="F2593" s="1" t="s">
        <v>2551</v>
      </c>
      <c r="G2593" s="1" t="s">
        <v>2555</v>
      </c>
    </row>
    <row x14ac:dyDescent="0.25" r="2594" customHeight="1" ht="17.25" hidden="1">
      <c r="A2594" s="112" t="s">
        <v>6940</v>
      </c>
      <c r="B2594" s="1" t="s">
        <v>2549</v>
      </c>
      <c r="C2594" s="1" t="s">
        <v>63</v>
      </c>
      <c r="D2594" s="1" t="s">
        <v>6942</v>
      </c>
      <c r="E2594" s="62">
        <v>30</v>
      </c>
      <c r="F2594" s="1" t="s">
        <v>2561</v>
      </c>
      <c r="G2594" s="1" t="s">
        <v>2558</v>
      </c>
    </row>
    <row x14ac:dyDescent="0.25" r="2595" customHeight="1" ht="17.25" hidden="1">
      <c r="A2595" s="112" t="s">
        <v>633</v>
      </c>
      <c r="B2595" s="1" t="s">
        <v>2549</v>
      </c>
      <c r="C2595" s="1" t="s">
        <v>63</v>
      </c>
      <c r="D2595" s="1" t="s">
        <v>634</v>
      </c>
      <c r="E2595" s="62">
        <v>18</v>
      </c>
      <c r="F2595" s="1" t="s">
        <v>2551</v>
      </c>
      <c r="G2595" s="1" t="s">
        <v>2555</v>
      </c>
    </row>
    <row x14ac:dyDescent="0.25" r="2596" customHeight="1" ht="17.25" hidden="1">
      <c r="A2596" s="112" t="s">
        <v>6943</v>
      </c>
      <c r="B2596" s="1" t="s">
        <v>2549</v>
      </c>
      <c r="C2596" s="1" t="s">
        <v>63</v>
      </c>
      <c r="D2596" s="1" t="s">
        <v>6944</v>
      </c>
      <c r="E2596" s="62">
        <v>33</v>
      </c>
      <c r="F2596" s="1" t="s">
        <v>2551</v>
      </c>
      <c r="G2596" s="1" t="s">
        <v>2552</v>
      </c>
    </row>
    <row x14ac:dyDescent="0.25" r="2597" customHeight="1" ht="17.25" hidden="1">
      <c r="A2597" s="112" t="s">
        <v>6945</v>
      </c>
      <c r="B2597" s="1" t="s">
        <v>2549</v>
      </c>
      <c r="C2597" s="1" t="s">
        <v>63</v>
      </c>
      <c r="D2597" s="1" t="s">
        <v>6946</v>
      </c>
      <c r="E2597" s="62">
        <v>29</v>
      </c>
      <c r="F2597" s="1" t="s">
        <v>2551</v>
      </c>
      <c r="G2597" s="1" t="s">
        <v>2552</v>
      </c>
    </row>
    <row x14ac:dyDescent="0.25" r="2598" customHeight="1" ht="17.25" hidden="1">
      <c r="A2598" s="112" t="s">
        <v>6947</v>
      </c>
      <c r="B2598" s="1" t="s">
        <v>2549</v>
      </c>
      <c r="C2598" s="1" t="s">
        <v>63</v>
      </c>
      <c r="D2598" s="1" t="s">
        <v>6948</v>
      </c>
      <c r="E2598" s="62">
        <v>32</v>
      </c>
      <c r="F2598" s="1" t="s">
        <v>2551</v>
      </c>
      <c r="G2598" s="1" t="s">
        <v>2552</v>
      </c>
    </row>
    <row x14ac:dyDescent="0.25" r="2599" customHeight="1" ht="17.25" hidden="1">
      <c r="A2599" s="112" t="s">
        <v>6949</v>
      </c>
      <c r="B2599" s="1" t="s">
        <v>2549</v>
      </c>
      <c r="C2599" s="1" t="s">
        <v>63</v>
      </c>
      <c r="D2599" s="1" t="s">
        <v>6950</v>
      </c>
      <c r="E2599" s="62">
        <v>22</v>
      </c>
      <c r="F2599" s="1" t="s">
        <v>2551</v>
      </c>
      <c r="G2599" s="1" t="s">
        <v>2552</v>
      </c>
    </row>
    <row x14ac:dyDescent="0.25" r="2600" customHeight="1" ht="17.25" hidden="1">
      <c r="A2600" s="112" t="s">
        <v>6951</v>
      </c>
      <c r="B2600" s="1" t="s">
        <v>2549</v>
      </c>
      <c r="C2600" s="1" t="s">
        <v>63</v>
      </c>
      <c r="D2600" s="1" t="s">
        <v>6952</v>
      </c>
      <c r="E2600" s="62">
        <v>20</v>
      </c>
      <c r="F2600" s="1" t="s">
        <v>2551</v>
      </c>
      <c r="G2600" s="1" t="s">
        <v>2552</v>
      </c>
    </row>
    <row x14ac:dyDescent="0.25" r="2601" customHeight="1" ht="17.25" hidden="1">
      <c r="A2601" s="112" t="s">
        <v>6953</v>
      </c>
      <c r="B2601" s="1" t="s">
        <v>2549</v>
      </c>
      <c r="C2601" s="1" t="s">
        <v>63</v>
      </c>
      <c r="D2601" s="1" t="s">
        <v>6954</v>
      </c>
      <c r="E2601" s="62">
        <v>19</v>
      </c>
      <c r="F2601" s="1" t="s">
        <v>2551</v>
      </c>
      <c r="G2601" s="1" t="s">
        <v>2552</v>
      </c>
    </row>
    <row x14ac:dyDescent="0.25" r="2602" customHeight="1" ht="17.25" hidden="1">
      <c r="A2602" s="112" t="s">
        <v>6955</v>
      </c>
      <c r="B2602" s="1" t="s">
        <v>2549</v>
      </c>
      <c r="C2602" s="1" t="s">
        <v>63</v>
      </c>
      <c r="D2602" s="1" t="s">
        <v>6956</v>
      </c>
      <c r="E2602" s="62">
        <v>35</v>
      </c>
      <c r="F2602" s="1" t="s">
        <v>2551</v>
      </c>
      <c r="G2602" s="1" t="s">
        <v>2555</v>
      </c>
    </row>
    <row x14ac:dyDescent="0.25" r="2603" customHeight="1" ht="17.25" hidden="1">
      <c r="A2603" s="112" t="s">
        <v>1823</v>
      </c>
      <c r="B2603" s="1" t="s">
        <v>2549</v>
      </c>
      <c r="C2603" s="1" t="s">
        <v>63</v>
      </c>
      <c r="D2603" s="1" t="s">
        <v>1824</v>
      </c>
      <c r="E2603" s="62">
        <v>24</v>
      </c>
      <c r="F2603" s="1" t="s">
        <v>2551</v>
      </c>
      <c r="G2603" s="1" t="s">
        <v>2552</v>
      </c>
    </row>
    <row x14ac:dyDescent="0.25" r="2604" customHeight="1" ht="17.25" hidden="1">
      <c r="A2604" s="112" t="s">
        <v>6957</v>
      </c>
      <c r="B2604" s="1" t="s">
        <v>2549</v>
      </c>
      <c r="C2604" s="1" t="s">
        <v>63</v>
      </c>
      <c r="D2604" s="1" t="s">
        <v>6958</v>
      </c>
      <c r="E2604" s="62">
        <v>34</v>
      </c>
      <c r="F2604" s="1" t="s">
        <v>2551</v>
      </c>
      <c r="G2604" s="1" t="s">
        <v>2552</v>
      </c>
    </row>
    <row x14ac:dyDescent="0.25" r="2605" customHeight="1" ht="17.25" hidden="1">
      <c r="A2605" s="112" t="s">
        <v>6959</v>
      </c>
      <c r="B2605" s="1" t="s">
        <v>2549</v>
      </c>
      <c r="C2605" s="1" t="s">
        <v>63</v>
      </c>
      <c r="D2605" s="1" t="s">
        <v>6960</v>
      </c>
      <c r="E2605" s="62">
        <v>18</v>
      </c>
      <c r="F2605" s="1" t="s">
        <v>2551</v>
      </c>
      <c r="G2605" s="1" t="s">
        <v>2555</v>
      </c>
    </row>
    <row x14ac:dyDescent="0.25" r="2606" customHeight="1" ht="17.25" hidden="1">
      <c r="A2606" s="112" t="s">
        <v>854</v>
      </c>
      <c r="B2606" s="1" t="s">
        <v>2549</v>
      </c>
      <c r="C2606" s="1" t="s">
        <v>63</v>
      </c>
      <c r="D2606" s="1" t="s">
        <v>6961</v>
      </c>
      <c r="E2606" s="62">
        <v>23</v>
      </c>
      <c r="F2606" s="1" t="s">
        <v>2561</v>
      </c>
      <c r="G2606" s="1" t="s">
        <v>2552</v>
      </c>
    </row>
    <row x14ac:dyDescent="0.25" r="2607" customHeight="1" ht="17.25" hidden="1">
      <c r="A2607" s="112" t="s">
        <v>6962</v>
      </c>
      <c r="B2607" s="1" t="s">
        <v>2549</v>
      </c>
      <c r="C2607" s="1" t="s">
        <v>63</v>
      </c>
      <c r="D2607" s="1" t="s">
        <v>6963</v>
      </c>
      <c r="E2607" s="62">
        <v>21</v>
      </c>
      <c r="F2607" s="1" t="s">
        <v>2551</v>
      </c>
      <c r="G2607" s="1" t="s">
        <v>2555</v>
      </c>
    </row>
    <row x14ac:dyDescent="0.25" r="2608" customHeight="1" ht="17.25" hidden="1">
      <c r="A2608" s="112" t="s">
        <v>6964</v>
      </c>
      <c r="B2608" s="1" t="s">
        <v>2549</v>
      </c>
      <c r="C2608" s="1" t="s">
        <v>63</v>
      </c>
      <c r="D2608" s="1" t="s">
        <v>6965</v>
      </c>
      <c r="E2608" s="62">
        <v>18</v>
      </c>
      <c r="F2608" s="1" t="s">
        <v>2551</v>
      </c>
      <c r="G2608" s="1" t="s">
        <v>2555</v>
      </c>
    </row>
    <row x14ac:dyDescent="0.25" r="2609" customHeight="1" ht="17.25" hidden="1">
      <c r="A2609" s="112" t="s">
        <v>6966</v>
      </c>
      <c r="B2609" s="1" t="s">
        <v>2549</v>
      </c>
      <c r="C2609" s="1" t="s">
        <v>63</v>
      </c>
      <c r="D2609" s="1" t="s">
        <v>6967</v>
      </c>
      <c r="E2609" s="62">
        <v>40</v>
      </c>
      <c r="F2609" s="1" t="s">
        <v>2551</v>
      </c>
      <c r="G2609" s="1" t="s">
        <v>2571</v>
      </c>
    </row>
    <row x14ac:dyDescent="0.25" r="2610" customHeight="1" ht="17.25" hidden="1">
      <c r="A2610" s="112" t="s">
        <v>6966</v>
      </c>
      <c r="B2610" s="1" t="s">
        <v>2549</v>
      </c>
      <c r="C2610" s="1" t="s">
        <v>63</v>
      </c>
      <c r="D2610" s="1" t="s">
        <v>6968</v>
      </c>
      <c r="E2610" s="62">
        <v>36</v>
      </c>
      <c r="F2610" s="1" t="s">
        <v>2551</v>
      </c>
      <c r="G2610" s="1" t="s">
        <v>2571</v>
      </c>
    </row>
    <row x14ac:dyDescent="0.25" r="2611" customHeight="1" ht="17.25" hidden="1">
      <c r="A2611" s="112" t="s">
        <v>6966</v>
      </c>
      <c r="B2611" s="1" t="s">
        <v>2549</v>
      </c>
      <c r="C2611" s="1" t="s">
        <v>63</v>
      </c>
      <c r="D2611" s="1" t="s">
        <v>6969</v>
      </c>
      <c r="E2611" s="62">
        <v>36</v>
      </c>
      <c r="F2611" s="1" t="s">
        <v>2551</v>
      </c>
      <c r="G2611" s="1" t="s">
        <v>2571</v>
      </c>
    </row>
    <row x14ac:dyDescent="0.25" r="2612" customHeight="1" ht="17.25" hidden="1">
      <c r="A2612" s="112" t="s">
        <v>6966</v>
      </c>
      <c r="B2612" s="1" t="s">
        <v>2549</v>
      </c>
      <c r="C2612" s="1" t="s">
        <v>63</v>
      </c>
      <c r="D2612" s="1" t="s">
        <v>6970</v>
      </c>
      <c r="E2612" s="62">
        <v>43</v>
      </c>
      <c r="F2612" s="1" t="s">
        <v>2551</v>
      </c>
      <c r="G2612" s="1" t="s">
        <v>2571</v>
      </c>
    </row>
    <row x14ac:dyDescent="0.25" r="2613" customHeight="1" ht="17.25" hidden="1">
      <c r="A2613" s="112" t="s">
        <v>6971</v>
      </c>
      <c r="B2613" s="1" t="s">
        <v>2549</v>
      </c>
      <c r="C2613" s="1" t="s">
        <v>63</v>
      </c>
      <c r="D2613" s="1" t="s">
        <v>6972</v>
      </c>
      <c r="E2613" s="62">
        <v>20</v>
      </c>
      <c r="F2613" s="1" t="s">
        <v>2551</v>
      </c>
      <c r="G2613" s="1" t="s">
        <v>2552</v>
      </c>
    </row>
    <row x14ac:dyDescent="0.25" r="2614" customHeight="1" ht="17.25" hidden="1">
      <c r="A2614" s="112" t="s">
        <v>6973</v>
      </c>
      <c r="B2614" s="1" t="s">
        <v>2549</v>
      </c>
      <c r="C2614" s="1" t="s">
        <v>63</v>
      </c>
      <c r="D2614" s="1" t="s">
        <v>6974</v>
      </c>
      <c r="E2614" s="62">
        <v>22</v>
      </c>
      <c r="F2614" s="1" t="s">
        <v>2551</v>
      </c>
      <c r="G2614" s="1" t="s">
        <v>2558</v>
      </c>
    </row>
    <row x14ac:dyDescent="0.25" r="2615" customHeight="1" ht="17.25" hidden="1">
      <c r="A2615" s="112" t="s">
        <v>6973</v>
      </c>
      <c r="B2615" s="1" t="s">
        <v>2549</v>
      </c>
      <c r="C2615" s="1" t="s">
        <v>63</v>
      </c>
      <c r="D2615" s="1" t="s">
        <v>6975</v>
      </c>
      <c r="E2615" s="62">
        <v>20</v>
      </c>
      <c r="F2615" s="1" t="s">
        <v>2551</v>
      </c>
      <c r="G2615" s="1" t="s">
        <v>2552</v>
      </c>
    </row>
    <row x14ac:dyDescent="0.25" r="2616" customHeight="1" ht="17.25" hidden="1">
      <c r="A2616" s="112" t="s">
        <v>6976</v>
      </c>
      <c r="B2616" s="1" t="s">
        <v>2549</v>
      </c>
      <c r="C2616" s="1" t="s">
        <v>63</v>
      </c>
      <c r="D2616" s="1" t="s">
        <v>6977</v>
      </c>
      <c r="E2616" s="62">
        <v>22</v>
      </c>
      <c r="F2616" s="1" t="s">
        <v>2561</v>
      </c>
      <c r="G2616" s="1" t="s">
        <v>2964</v>
      </c>
    </row>
    <row x14ac:dyDescent="0.25" r="2617" customHeight="1" ht="17.25" hidden="1">
      <c r="A2617" s="112" t="s">
        <v>6978</v>
      </c>
      <c r="B2617" s="1" t="s">
        <v>2549</v>
      </c>
      <c r="C2617" s="1" t="s">
        <v>63</v>
      </c>
      <c r="D2617" s="1" t="s">
        <v>6979</v>
      </c>
      <c r="E2617" s="62">
        <v>18</v>
      </c>
      <c r="F2617" s="1" t="s">
        <v>2551</v>
      </c>
      <c r="G2617" s="1" t="s">
        <v>2555</v>
      </c>
    </row>
    <row x14ac:dyDescent="0.25" r="2618" customHeight="1" ht="17.25" hidden="1">
      <c r="A2618" s="112" t="s">
        <v>6980</v>
      </c>
      <c r="B2618" s="1" t="s">
        <v>2549</v>
      </c>
      <c r="C2618" s="1" t="s">
        <v>63</v>
      </c>
      <c r="D2618" s="1" t="s">
        <v>6981</v>
      </c>
      <c r="E2618" s="62">
        <v>25</v>
      </c>
      <c r="F2618" s="1" t="s">
        <v>2561</v>
      </c>
      <c r="G2618" s="1" t="s">
        <v>2555</v>
      </c>
    </row>
    <row x14ac:dyDescent="0.25" r="2619" customHeight="1" ht="17.25" hidden="1">
      <c r="A2619" s="112" t="s">
        <v>6982</v>
      </c>
      <c r="B2619" s="1" t="s">
        <v>2549</v>
      </c>
      <c r="C2619" s="1" t="s">
        <v>63</v>
      </c>
      <c r="D2619" s="1" t="s">
        <v>6983</v>
      </c>
      <c r="E2619" s="62">
        <v>19</v>
      </c>
      <c r="F2619" s="1" t="s">
        <v>2551</v>
      </c>
      <c r="G2619" s="1" t="s">
        <v>2552</v>
      </c>
    </row>
    <row x14ac:dyDescent="0.25" r="2620" customHeight="1" ht="17.25" hidden="1">
      <c r="A2620" s="112" t="s">
        <v>6984</v>
      </c>
      <c r="B2620" s="1" t="s">
        <v>2549</v>
      </c>
      <c r="C2620" s="1" t="s">
        <v>63</v>
      </c>
      <c r="D2620" s="1" t="s">
        <v>6985</v>
      </c>
      <c r="E2620" s="62">
        <v>36</v>
      </c>
      <c r="F2620" s="1" t="s">
        <v>2551</v>
      </c>
      <c r="G2620" s="1" t="s">
        <v>2555</v>
      </c>
    </row>
    <row x14ac:dyDescent="0.25" r="2621" customHeight="1" ht="17.25" hidden="1">
      <c r="A2621" s="112" t="s">
        <v>6986</v>
      </c>
      <c r="B2621" s="1" t="s">
        <v>2549</v>
      </c>
      <c r="C2621" s="1" t="s">
        <v>63</v>
      </c>
      <c r="D2621" s="1" t="s">
        <v>6987</v>
      </c>
      <c r="E2621" s="62">
        <v>20</v>
      </c>
      <c r="F2621" s="1" t="s">
        <v>2551</v>
      </c>
      <c r="G2621" s="1" t="s">
        <v>2555</v>
      </c>
    </row>
    <row x14ac:dyDescent="0.25" r="2622" customHeight="1" ht="17.25" hidden="1">
      <c r="A2622" s="112" t="s">
        <v>6988</v>
      </c>
      <c r="B2622" s="1" t="s">
        <v>2549</v>
      </c>
      <c r="C2622" s="1" t="s">
        <v>63</v>
      </c>
      <c r="D2622" s="1" t="s">
        <v>6989</v>
      </c>
      <c r="E2622" s="62">
        <v>34</v>
      </c>
      <c r="F2622" s="1" t="s">
        <v>2551</v>
      </c>
      <c r="G2622" s="1" t="s">
        <v>2571</v>
      </c>
    </row>
    <row x14ac:dyDescent="0.25" r="2623" customHeight="1" ht="17.25" hidden="1">
      <c r="A2623" s="112" t="s">
        <v>6988</v>
      </c>
      <c r="B2623" s="1" t="s">
        <v>2549</v>
      </c>
      <c r="C2623" s="1" t="s">
        <v>63</v>
      </c>
      <c r="D2623" s="1" t="s">
        <v>6990</v>
      </c>
      <c r="E2623" s="62">
        <v>40</v>
      </c>
      <c r="F2623" s="1" t="s">
        <v>2561</v>
      </c>
      <c r="G2623" s="1" t="s">
        <v>2555</v>
      </c>
    </row>
    <row x14ac:dyDescent="0.25" r="2624" customHeight="1" ht="17.25" hidden="1">
      <c r="A2624" s="112" t="s">
        <v>6988</v>
      </c>
      <c r="B2624" s="1" t="s">
        <v>2549</v>
      </c>
      <c r="C2624" s="1" t="s">
        <v>63</v>
      </c>
      <c r="D2624" s="1" t="s">
        <v>6991</v>
      </c>
      <c r="E2624" s="62">
        <v>31</v>
      </c>
      <c r="F2624" s="1" t="s">
        <v>2551</v>
      </c>
      <c r="G2624" s="1" t="s">
        <v>2558</v>
      </c>
    </row>
    <row x14ac:dyDescent="0.25" r="2625" customHeight="1" ht="17.25" hidden="1">
      <c r="A2625" s="112" t="s">
        <v>6988</v>
      </c>
      <c r="B2625" s="1" t="s">
        <v>2549</v>
      </c>
      <c r="C2625" s="1" t="s">
        <v>63</v>
      </c>
      <c r="D2625" s="1" t="s">
        <v>6992</v>
      </c>
      <c r="E2625" s="62">
        <v>30</v>
      </c>
      <c r="F2625" s="1" t="s">
        <v>2551</v>
      </c>
      <c r="G2625" s="1" t="s">
        <v>2558</v>
      </c>
    </row>
    <row x14ac:dyDescent="0.25" r="2626" customHeight="1" ht="17.25" hidden="1">
      <c r="A2626" s="112" t="s">
        <v>6988</v>
      </c>
      <c r="B2626" s="1" t="s">
        <v>2549</v>
      </c>
      <c r="C2626" s="1" t="s">
        <v>63</v>
      </c>
      <c r="D2626" s="1" t="s">
        <v>6993</v>
      </c>
      <c r="E2626" s="54" t="s">
        <v>2571</v>
      </c>
      <c r="F2626" s="1" t="s">
        <v>2551</v>
      </c>
      <c r="G2626" s="1" t="s">
        <v>2571</v>
      </c>
    </row>
    <row x14ac:dyDescent="0.25" r="2627" customHeight="1" ht="17.25" hidden="1">
      <c r="A2627" s="112" t="s">
        <v>6988</v>
      </c>
      <c r="B2627" s="1" t="s">
        <v>2549</v>
      </c>
      <c r="C2627" s="1" t="s">
        <v>63</v>
      </c>
      <c r="D2627" s="1" t="s">
        <v>6994</v>
      </c>
      <c r="E2627" s="62">
        <v>39</v>
      </c>
      <c r="F2627" s="1" t="s">
        <v>2561</v>
      </c>
      <c r="G2627" s="1" t="s">
        <v>2571</v>
      </c>
    </row>
    <row x14ac:dyDescent="0.25" r="2628" customHeight="1" ht="17.25" hidden="1">
      <c r="A2628" s="112" t="s">
        <v>6988</v>
      </c>
      <c r="B2628" s="1" t="s">
        <v>2549</v>
      </c>
      <c r="C2628" s="1" t="s">
        <v>63</v>
      </c>
      <c r="D2628" s="1" t="s">
        <v>6995</v>
      </c>
      <c r="E2628" s="62">
        <v>29</v>
      </c>
      <c r="F2628" s="1" t="s">
        <v>2561</v>
      </c>
      <c r="G2628" s="1" t="s">
        <v>2555</v>
      </c>
    </row>
    <row x14ac:dyDescent="0.25" r="2629" customHeight="1" ht="17.25" hidden="1">
      <c r="A2629" s="112" t="s">
        <v>6988</v>
      </c>
      <c r="B2629" s="1" t="s">
        <v>2549</v>
      </c>
      <c r="C2629" s="1" t="s">
        <v>63</v>
      </c>
      <c r="D2629" s="1" t="s">
        <v>6996</v>
      </c>
      <c r="E2629" s="54" t="s">
        <v>2571</v>
      </c>
      <c r="F2629" s="1" t="s">
        <v>2551</v>
      </c>
      <c r="G2629" s="1" t="s">
        <v>2555</v>
      </c>
    </row>
    <row x14ac:dyDescent="0.25" r="2630" customHeight="1" ht="17.25" hidden="1">
      <c r="A2630" s="112" t="s">
        <v>6988</v>
      </c>
      <c r="B2630" s="1" t="s">
        <v>2549</v>
      </c>
      <c r="C2630" s="1" t="s">
        <v>63</v>
      </c>
      <c r="D2630" s="1" t="s">
        <v>6997</v>
      </c>
      <c r="E2630" s="62">
        <v>33</v>
      </c>
      <c r="F2630" s="1" t="s">
        <v>2551</v>
      </c>
      <c r="G2630" s="1" t="s">
        <v>2571</v>
      </c>
    </row>
    <row x14ac:dyDescent="0.25" r="2631" customHeight="1" ht="17.25" hidden="1">
      <c r="A2631" s="112" t="s">
        <v>6988</v>
      </c>
      <c r="B2631" s="1" t="s">
        <v>2549</v>
      </c>
      <c r="C2631" s="1" t="s">
        <v>63</v>
      </c>
      <c r="D2631" s="1" t="s">
        <v>6998</v>
      </c>
      <c r="E2631" s="62">
        <v>23</v>
      </c>
      <c r="F2631" s="1" t="s">
        <v>2551</v>
      </c>
      <c r="G2631" s="1" t="s">
        <v>2552</v>
      </c>
    </row>
    <row x14ac:dyDescent="0.25" r="2632" customHeight="1" ht="17.25" hidden="1">
      <c r="A2632" s="112" t="s">
        <v>6988</v>
      </c>
      <c r="B2632" s="1" t="s">
        <v>2549</v>
      </c>
      <c r="C2632" s="1" t="s">
        <v>63</v>
      </c>
      <c r="D2632" s="1" t="s">
        <v>6999</v>
      </c>
      <c r="E2632" s="62">
        <v>46</v>
      </c>
      <c r="F2632" s="1" t="s">
        <v>2551</v>
      </c>
      <c r="G2632" s="1" t="s">
        <v>2552</v>
      </c>
    </row>
    <row x14ac:dyDescent="0.25" r="2633" customHeight="1" ht="17.25" hidden="1">
      <c r="A2633" s="112" t="s">
        <v>6988</v>
      </c>
      <c r="B2633" s="1" t="s">
        <v>2549</v>
      </c>
      <c r="C2633" s="1" t="s">
        <v>63</v>
      </c>
      <c r="D2633" s="1" t="s">
        <v>7000</v>
      </c>
      <c r="E2633" s="54" t="s">
        <v>2571</v>
      </c>
      <c r="F2633" s="1" t="s">
        <v>2551</v>
      </c>
      <c r="G2633" s="1" t="s">
        <v>2555</v>
      </c>
    </row>
    <row x14ac:dyDescent="0.25" r="2634" customHeight="1" ht="17.25" hidden="1">
      <c r="A2634" s="112" t="s">
        <v>6988</v>
      </c>
      <c r="B2634" s="1" t="s">
        <v>2549</v>
      </c>
      <c r="C2634" s="1" t="s">
        <v>63</v>
      </c>
      <c r="D2634" s="1" t="s">
        <v>7001</v>
      </c>
      <c r="E2634" s="62">
        <v>32</v>
      </c>
      <c r="F2634" s="1" t="s">
        <v>2551</v>
      </c>
      <c r="G2634" s="1" t="s">
        <v>2555</v>
      </c>
    </row>
    <row x14ac:dyDescent="0.25" r="2635" customHeight="1" ht="17.25" hidden="1">
      <c r="A2635" s="112" t="s">
        <v>6988</v>
      </c>
      <c r="B2635" s="1" t="s">
        <v>2549</v>
      </c>
      <c r="C2635" s="1" t="s">
        <v>63</v>
      </c>
      <c r="D2635" s="1" t="s">
        <v>7002</v>
      </c>
      <c r="E2635" s="54" t="s">
        <v>2571</v>
      </c>
      <c r="F2635" s="1" t="s">
        <v>2561</v>
      </c>
      <c r="G2635" s="1" t="s">
        <v>2555</v>
      </c>
    </row>
    <row x14ac:dyDescent="0.25" r="2636" customHeight="1" ht="17.25" hidden="1">
      <c r="A2636" s="112" t="s">
        <v>6988</v>
      </c>
      <c r="B2636" s="1" t="s">
        <v>2549</v>
      </c>
      <c r="C2636" s="1" t="s">
        <v>63</v>
      </c>
      <c r="D2636" s="1" t="s">
        <v>7003</v>
      </c>
      <c r="E2636" s="62">
        <v>28</v>
      </c>
      <c r="F2636" s="1" t="s">
        <v>2551</v>
      </c>
      <c r="G2636" s="1" t="s">
        <v>2571</v>
      </c>
    </row>
    <row x14ac:dyDescent="0.25" r="2637" customHeight="1" ht="17.25" hidden="1">
      <c r="A2637" s="112" t="s">
        <v>6988</v>
      </c>
      <c r="B2637" s="1" t="s">
        <v>2549</v>
      </c>
      <c r="C2637" s="1" t="s">
        <v>63</v>
      </c>
      <c r="D2637" s="1" t="s">
        <v>7004</v>
      </c>
      <c r="E2637" s="62">
        <v>39</v>
      </c>
      <c r="F2637" s="1" t="s">
        <v>2551</v>
      </c>
      <c r="G2637" s="1" t="s">
        <v>2555</v>
      </c>
    </row>
    <row x14ac:dyDescent="0.25" r="2638" customHeight="1" ht="17.25" hidden="1">
      <c r="A2638" s="112" t="s">
        <v>6988</v>
      </c>
      <c r="B2638" s="1" t="s">
        <v>2549</v>
      </c>
      <c r="C2638" s="1" t="s">
        <v>63</v>
      </c>
      <c r="D2638" s="1" t="s">
        <v>7005</v>
      </c>
      <c r="E2638" s="62">
        <v>29</v>
      </c>
      <c r="F2638" s="1" t="s">
        <v>2551</v>
      </c>
      <c r="G2638" s="1" t="s">
        <v>2552</v>
      </c>
    </row>
    <row x14ac:dyDescent="0.25" r="2639" customHeight="1" ht="17.25" hidden="1">
      <c r="A2639" s="112" t="s">
        <v>6988</v>
      </c>
      <c r="B2639" s="1" t="s">
        <v>2549</v>
      </c>
      <c r="C2639" s="1" t="s">
        <v>63</v>
      </c>
      <c r="D2639" s="1" t="s">
        <v>7006</v>
      </c>
      <c r="E2639" s="62">
        <v>29</v>
      </c>
      <c r="F2639" s="1" t="s">
        <v>2551</v>
      </c>
      <c r="G2639" s="1" t="s">
        <v>2558</v>
      </c>
    </row>
    <row x14ac:dyDescent="0.25" r="2640" customHeight="1" ht="17.25" hidden="1">
      <c r="A2640" s="112" t="s">
        <v>6988</v>
      </c>
      <c r="B2640" s="1" t="s">
        <v>2549</v>
      </c>
      <c r="C2640" s="1" t="s">
        <v>63</v>
      </c>
      <c r="D2640" s="1" t="s">
        <v>7007</v>
      </c>
      <c r="E2640" s="62">
        <v>31</v>
      </c>
      <c r="F2640" s="1" t="s">
        <v>2561</v>
      </c>
      <c r="G2640" s="1" t="s">
        <v>2571</v>
      </c>
    </row>
    <row x14ac:dyDescent="0.25" r="2641" customHeight="1" ht="17.25" hidden="1">
      <c r="A2641" s="112" t="s">
        <v>6988</v>
      </c>
      <c r="B2641" s="1" t="s">
        <v>2549</v>
      </c>
      <c r="C2641" s="1" t="s">
        <v>63</v>
      </c>
      <c r="D2641" s="1" t="s">
        <v>7008</v>
      </c>
      <c r="E2641" s="62">
        <v>33</v>
      </c>
      <c r="F2641" s="1" t="s">
        <v>2551</v>
      </c>
      <c r="G2641" s="1" t="s">
        <v>2555</v>
      </c>
    </row>
    <row x14ac:dyDescent="0.25" r="2642" customHeight="1" ht="17.25" hidden="1">
      <c r="A2642" s="112" t="s">
        <v>6988</v>
      </c>
      <c r="B2642" s="1" t="s">
        <v>2549</v>
      </c>
      <c r="C2642" s="1" t="s">
        <v>63</v>
      </c>
      <c r="D2642" s="1" t="s">
        <v>7009</v>
      </c>
      <c r="E2642" s="62">
        <v>40</v>
      </c>
      <c r="F2642" s="1" t="s">
        <v>2561</v>
      </c>
      <c r="G2642" s="1" t="s">
        <v>2555</v>
      </c>
    </row>
    <row x14ac:dyDescent="0.25" r="2643" customHeight="1" ht="17.25" hidden="1">
      <c r="A2643" s="112" t="s">
        <v>6988</v>
      </c>
      <c r="B2643" s="1" t="s">
        <v>2549</v>
      </c>
      <c r="C2643" s="1" t="s">
        <v>63</v>
      </c>
      <c r="D2643" s="1" t="s">
        <v>7010</v>
      </c>
      <c r="E2643" s="62">
        <v>39</v>
      </c>
      <c r="F2643" s="1" t="s">
        <v>2551</v>
      </c>
      <c r="G2643" s="1" t="s">
        <v>2555</v>
      </c>
    </row>
    <row x14ac:dyDescent="0.25" r="2644" customHeight="1" ht="17.25" hidden="1">
      <c r="A2644" s="112" t="s">
        <v>6988</v>
      </c>
      <c r="B2644" s="1" t="s">
        <v>2549</v>
      </c>
      <c r="C2644" s="1" t="s">
        <v>63</v>
      </c>
      <c r="D2644" s="1" t="s">
        <v>7011</v>
      </c>
      <c r="E2644" s="54" t="s">
        <v>2571</v>
      </c>
      <c r="F2644" s="1" t="s">
        <v>2551</v>
      </c>
      <c r="G2644" s="1" t="s">
        <v>2552</v>
      </c>
    </row>
    <row x14ac:dyDescent="0.25" r="2645" customHeight="1" ht="17.25" hidden="1">
      <c r="A2645" s="112" t="s">
        <v>6988</v>
      </c>
      <c r="B2645" s="1" t="s">
        <v>2549</v>
      </c>
      <c r="C2645" s="1" t="s">
        <v>63</v>
      </c>
      <c r="D2645" s="1" t="s">
        <v>7012</v>
      </c>
      <c r="E2645" s="62">
        <v>33</v>
      </c>
      <c r="F2645" s="1" t="s">
        <v>2561</v>
      </c>
      <c r="G2645" s="1" t="s">
        <v>2555</v>
      </c>
    </row>
    <row x14ac:dyDescent="0.25" r="2646" customHeight="1" ht="17.25" hidden="1">
      <c r="A2646" s="112" t="s">
        <v>7013</v>
      </c>
      <c r="B2646" s="1" t="s">
        <v>2549</v>
      </c>
      <c r="C2646" s="1" t="s">
        <v>63</v>
      </c>
      <c r="D2646" s="1" t="s">
        <v>7014</v>
      </c>
      <c r="E2646" s="62">
        <v>37</v>
      </c>
      <c r="F2646" s="1" t="s">
        <v>2551</v>
      </c>
      <c r="G2646" s="1" t="s">
        <v>2558</v>
      </c>
    </row>
    <row x14ac:dyDescent="0.25" r="2647" customHeight="1" ht="17.25" hidden="1">
      <c r="A2647" s="112" t="s">
        <v>7013</v>
      </c>
      <c r="B2647" s="1" t="s">
        <v>2549</v>
      </c>
      <c r="C2647" s="1" t="s">
        <v>63</v>
      </c>
      <c r="D2647" s="1" t="s">
        <v>7015</v>
      </c>
      <c r="E2647" s="62">
        <v>26</v>
      </c>
      <c r="F2647" s="1" t="s">
        <v>2551</v>
      </c>
      <c r="G2647" s="1" t="s">
        <v>2552</v>
      </c>
    </row>
    <row x14ac:dyDescent="0.25" r="2648" customHeight="1" ht="17.25" hidden="1">
      <c r="A2648" s="112" t="s">
        <v>7016</v>
      </c>
      <c r="B2648" s="1" t="s">
        <v>2549</v>
      </c>
      <c r="C2648" s="1" t="s">
        <v>63</v>
      </c>
      <c r="D2648" s="1" t="s">
        <v>7017</v>
      </c>
      <c r="E2648" s="62">
        <v>33</v>
      </c>
      <c r="F2648" s="1" t="s">
        <v>2561</v>
      </c>
      <c r="G2648" s="1" t="s">
        <v>2555</v>
      </c>
    </row>
    <row x14ac:dyDescent="0.25" r="2649" customHeight="1" ht="17.25" hidden="1">
      <c r="A2649" s="112" t="s">
        <v>7018</v>
      </c>
      <c r="B2649" s="1" t="s">
        <v>2549</v>
      </c>
      <c r="C2649" s="1" t="s">
        <v>63</v>
      </c>
      <c r="D2649" s="1" t="s">
        <v>7019</v>
      </c>
      <c r="E2649" s="62">
        <v>48</v>
      </c>
      <c r="F2649" s="1" t="s">
        <v>2551</v>
      </c>
      <c r="G2649" s="1" t="s">
        <v>2555</v>
      </c>
    </row>
    <row x14ac:dyDescent="0.25" r="2650" customHeight="1" ht="17.25" hidden="1">
      <c r="A2650" s="112" t="s">
        <v>7020</v>
      </c>
      <c r="B2650" s="1" t="s">
        <v>2549</v>
      </c>
      <c r="C2650" s="1" t="s">
        <v>63</v>
      </c>
      <c r="D2650" s="1" t="s">
        <v>7021</v>
      </c>
      <c r="E2650" s="62">
        <v>42</v>
      </c>
      <c r="F2650" s="1" t="s">
        <v>2551</v>
      </c>
      <c r="G2650" s="1" t="s">
        <v>2555</v>
      </c>
    </row>
    <row x14ac:dyDescent="0.25" r="2651" customHeight="1" ht="17.25" hidden="1">
      <c r="A2651" s="112" t="s">
        <v>7022</v>
      </c>
      <c r="B2651" s="1" t="s">
        <v>2549</v>
      </c>
      <c r="C2651" s="1" t="s">
        <v>63</v>
      </c>
      <c r="D2651" s="1" t="s">
        <v>7023</v>
      </c>
      <c r="E2651" s="62">
        <v>46</v>
      </c>
      <c r="F2651" s="1" t="s">
        <v>2551</v>
      </c>
      <c r="G2651" s="1" t="s">
        <v>2555</v>
      </c>
    </row>
    <row x14ac:dyDescent="0.25" r="2652" customHeight="1" ht="17.25" hidden="1">
      <c r="A2652" s="112" t="s">
        <v>7024</v>
      </c>
      <c r="B2652" s="1" t="s">
        <v>2549</v>
      </c>
      <c r="C2652" s="1" t="s">
        <v>63</v>
      </c>
      <c r="D2652" s="1" t="s">
        <v>7025</v>
      </c>
      <c r="E2652" s="62">
        <v>20</v>
      </c>
      <c r="F2652" s="1" t="s">
        <v>2551</v>
      </c>
      <c r="G2652" s="1" t="s">
        <v>2558</v>
      </c>
    </row>
    <row x14ac:dyDescent="0.25" r="2653" customHeight="1" ht="17.25" hidden="1">
      <c r="A2653" s="112" t="s">
        <v>7026</v>
      </c>
      <c r="B2653" s="1" t="s">
        <v>2549</v>
      </c>
      <c r="C2653" s="1" t="s">
        <v>63</v>
      </c>
      <c r="D2653" s="1" t="s">
        <v>7027</v>
      </c>
      <c r="E2653" s="62">
        <v>23</v>
      </c>
      <c r="F2653" s="1" t="s">
        <v>2551</v>
      </c>
      <c r="G2653" s="1" t="s">
        <v>2555</v>
      </c>
    </row>
    <row x14ac:dyDescent="0.25" r="2654" customHeight="1" ht="17.25" hidden="1">
      <c r="A2654" s="112" t="s">
        <v>7028</v>
      </c>
      <c r="B2654" s="1" t="s">
        <v>2549</v>
      </c>
      <c r="C2654" s="1" t="s">
        <v>63</v>
      </c>
      <c r="D2654" s="1" t="s">
        <v>7029</v>
      </c>
      <c r="E2654" s="62">
        <v>22</v>
      </c>
      <c r="F2654" s="1" t="s">
        <v>2551</v>
      </c>
      <c r="G2654" s="1" t="s">
        <v>2555</v>
      </c>
    </row>
    <row x14ac:dyDescent="0.25" r="2655" customHeight="1" ht="17.25" hidden="1">
      <c r="A2655" s="112" t="s">
        <v>7028</v>
      </c>
      <c r="B2655" s="1" t="s">
        <v>2549</v>
      </c>
      <c r="C2655" s="1" t="s">
        <v>63</v>
      </c>
      <c r="D2655" s="1" t="s">
        <v>7030</v>
      </c>
      <c r="E2655" s="62">
        <v>21</v>
      </c>
      <c r="F2655" s="1" t="s">
        <v>2561</v>
      </c>
      <c r="G2655" s="1" t="s">
        <v>2555</v>
      </c>
    </row>
    <row x14ac:dyDescent="0.25" r="2656" customHeight="1" ht="17.25" hidden="1">
      <c r="A2656" s="112" t="s">
        <v>7028</v>
      </c>
      <c r="B2656" s="1" t="s">
        <v>2549</v>
      </c>
      <c r="C2656" s="1" t="s">
        <v>63</v>
      </c>
      <c r="D2656" s="1" t="s">
        <v>7031</v>
      </c>
      <c r="E2656" s="62">
        <v>22</v>
      </c>
      <c r="F2656" s="1" t="s">
        <v>2551</v>
      </c>
      <c r="G2656" s="1" t="s">
        <v>2552</v>
      </c>
    </row>
    <row x14ac:dyDescent="0.25" r="2657" customHeight="1" ht="17.25" hidden="1">
      <c r="A2657" s="112" t="s">
        <v>7032</v>
      </c>
      <c r="B2657" s="1" t="s">
        <v>2549</v>
      </c>
      <c r="C2657" s="1" t="s">
        <v>63</v>
      </c>
      <c r="D2657" s="1" t="s">
        <v>7033</v>
      </c>
      <c r="E2657" s="62">
        <v>40</v>
      </c>
      <c r="F2657" s="1" t="s">
        <v>2551</v>
      </c>
      <c r="G2657" s="1" t="s">
        <v>2555</v>
      </c>
    </row>
    <row x14ac:dyDescent="0.25" r="2658" customHeight="1" ht="17.25" hidden="1">
      <c r="A2658" s="112" t="s">
        <v>7034</v>
      </c>
      <c r="B2658" s="1" t="s">
        <v>2549</v>
      </c>
      <c r="C2658" s="1" t="s">
        <v>63</v>
      </c>
      <c r="D2658" s="1" t="s">
        <v>7035</v>
      </c>
      <c r="E2658" s="62">
        <v>35</v>
      </c>
      <c r="F2658" s="1" t="s">
        <v>2551</v>
      </c>
      <c r="G2658" s="1" t="s">
        <v>2552</v>
      </c>
    </row>
    <row x14ac:dyDescent="0.25" r="2659" customHeight="1" ht="17.25" hidden="1">
      <c r="A2659" s="112" t="s">
        <v>7034</v>
      </c>
      <c r="B2659" s="1" t="s">
        <v>2549</v>
      </c>
      <c r="C2659" s="1" t="s">
        <v>63</v>
      </c>
      <c r="D2659" s="1" t="s">
        <v>7036</v>
      </c>
      <c r="E2659" s="62">
        <v>26</v>
      </c>
      <c r="F2659" s="1" t="s">
        <v>2551</v>
      </c>
      <c r="G2659" s="1" t="s">
        <v>2552</v>
      </c>
    </row>
    <row x14ac:dyDescent="0.25" r="2660" customHeight="1" ht="17.25" hidden="1">
      <c r="A2660" s="112" t="s">
        <v>7037</v>
      </c>
      <c r="B2660" s="1" t="s">
        <v>2549</v>
      </c>
      <c r="C2660" s="1" t="s">
        <v>63</v>
      </c>
      <c r="D2660" s="1" t="s">
        <v>752</v>
      </c>
      <c r="E2660" s="62">
        <v>19</v>
      </c>
      <c r="F2660" s="1" t="s">
        <v>2551</v>
      </c>
      <c r="G2660" s="1" t="s">
        <v>2552</v>
      </c>
    </row>
    <row x14ac:dyDescent="0.25" r="2661" customHeight="1" ht="17.25" hidden="1">
      <c r="A2661" s="112" t="s">
        <v>7038</v>
      </c>
      <c r="B2661" s="1" t="s">
        <v>2549</v>
      </c>
      <c r="C2661" s="1" t="s">
        <v>63</v>
      </c>
      <c r="D2661" s="1" t="s">
        <v>7039</v>
      </c>
      <c r="E2661" s="62">
        <v>24</v>
      </c>
      <c r="F2661" s="1" t="s">
        <v>2551</v>
      </c>
      <c r="G2661" s="1" t="s">
        <v>2558</v>
      </c>
    </row>
    <row x14ac:dyDescent="0.25" r="2662" customHeight="1" ht="17.25" hidden="1">
      <c r="A2662" s="112" t="s">
        <v>7040</v>
      </c>
      <c r="B2662" s="1" t="s">
        <v>2549</v>
      </c>
      <c r="C2662" s="1" t="s">
        <v>63</v>
      </c>
      <c r="D2662" s="1" t="s">
        <v>7041</v>
      </c>
      <c r="E2662" s="62">
        <v>19</v>
      </c>
      <c r="F2662" s="1" t="s">
        <v>2551</v>
      </c>
      <c r="G2662" s="1" t="s">
        <v>2552</v>
      </c>
    </row>
    <row x14ac:dyDescent="0.25" r="2663" customHeight="1" ht="17.25" hidden="1">
      <c r="A2663" s="112" t="s">
        <v>7042</v>
      </c>
      <c r="B2663" s="1" t="s">
        <v>2549</v>
      </c>
      <c r="C2663" s="1" t="s">
        <v>63</v>
      </c>
      <c r="D2663" s="1" t="s">
        <v>7043</v>
      </c>
      <c r="E2663" s="62">
        <v>35</v>
      </c>
      <c r="F2663" s="1" t="s">
        <v>2551</v>
      </c>
      <c r="G2663" s="1" t="s">
        <v>2555</v>
      </c>
    </row>
    <row x14ac:dyDescent="0.25" r="2664" customHeight="1" ht="17.25" hidden="1">
      <c r="A2664" s="112" t="s">
        <v>7044</v>
      </c>
      <c r="B2664" s="1" t="s">
        <v>2549</v>
      </c>
      <c r="C2664" s="1" t="s">
        <v>63</v>
      </c>
      <c r="D2664" s="1" t="s">
        <v>7045</v>
      </c>
      <c r="E2664" s="62">
        <v>49</v>
      </c>
      <c r="F2664" s="1" t="s">
        <v>2551</v>
      </c>
      <c r="G2664" s="1" t="s">
        <v>2552</v>
      </c>
    </row>
    <row x14ac:dyDescent="0.25" r="2665" customHeight="1" ht="17.25" hidden="1">
      <c r="A2665" s="112" t="s">
        <v>7046</v>
      </c>
      <c r="B2665" s="1" t="s">
        <v>2549</v>
      </c>
      <c r="C2665" s="1" t="s">
        <v>63</v>
      </c>
      <c r="D2665" s="1" t="s">
        <v>7047</v>
      </c>
      <c r="E2665" s="62">
        <v>23</v>
      </c>
      <c r="F2665" s="1" t="s">
        <v>2551</v>
      </c>
      <c r="G2665" s="1" t="s">
        <v>2555</v>
      </c>
    </row>
    <row x14ac:dyDescent="0.25" r="2666" customHeight="1" ht="17.25" hidden="1">
      <c r="A2666" s="112" t="s">
        <v>7048</v>
      </c>
      <c r="B2666" s="1" t="s">
        <v>2549</v>
      </c>
      <c r="C2666" s="1" t="s">
        <v>63</v>
      </c>
      <c r="D2666" s="1" t="s">
        <v>7049</v>
      </c>
      <c r="E2666" s="62">
        <v>19</v>
      </c>
      <c r="F2666" s="1" t="s">
        <v>2551</v>
      </c>
      <c r="G2666" s="1" t="s">
        <v>2552</v>
      </c>
    </row>
    <row x14ac:dyDescent="0.25" r="2667" customHeight="1" ht="17.25" hidden="1">
      <c r="A2667" s="112" t="s">
        <v>7050</v>
      </c>
      <c r="B2667" s="1" t="s">
        <v>2549</v>
      </c>
      <c r="C2667" s="1" t="s">
        <v>63</v>
      </c>
      <c r="D2667" s="1" t="s">
        <v>7051</v>
      </c>
      <c r="E2667" s="62">
        <v>28</v>
      </c>
      <c r="F2667" s="1" t="s">
        <v>2551</v>
      </c>
      <c r="G2667" s="1" t="s">
        <v>2552</v>
      </c>
    </row>
    <row x14ac:dyDescent="0.25" r="2668" customHeight="1" ht="17.25" hidden="1">
      <c r="A2668" s="112" t="s">
        <v>7052</v>
      </c>
      <c r="B2668" s="1" t="s">
        <v>2549</v>
      </c>
      <c r="C2668" s="1" t="s">
        <v>63</v>
      </c>
      <c r="D2668" s="1" t="s">
        <v>7053</v>
      </c>
      <c r="E2668" s="62">
        <v>21</v>
      </c>
      <c r="F2668" s="1" t="s">
        <v>2551</v>
      </c>
      <c r="G2668" s="1" t="s">
        <v>2555</v>
      </c>
    </row>
    <row x14ac:dyDescent="0.25" r="2669" customHeight="1" ht="17.25" hidden="1">
      <c r="A2669" s="112" t="s">
        <v>7054</v>
      </c>
      <c r="B2669" s="1" t="s">
        <v>2549</v>
      </c>
      <c r="C2669" s="1" t="s">
        <v>63</v>
      </c>
      <c r="D2669" s="1" t="s">
        <v>7055</v>
      </c>
      <c r="E2669" s="54" t="s">
        <v>2571</v>
      </c>
      <c r="F2669" s="1" t="s">
        <v>2551</v>
      </c>
      <c r="G2669" s="1" t="s">
        <v>5094</v>
      </c>
    </row>
    <row x14ac:dyDescent="0.25" r="2670" customHeight="1" ht="17.25" hidden="1">
      <c r="A2670" s="112" t="s">
        <v>7056</v>
      </c>
      <c r="B2670" s="1" t="s">
        <v>2549</v>
      </c>
      <c r="C2670" s="1" t="s">
        <v>63</v>
      </c>
      <c r="D2670" s="1" t="s">
        <v>7057</v>
      </c>
      <c r="E2670" s="62">
        <v>30</v>
      </c>
      <c r="F2670" s="1" t="s">
        <v>2551</v>
      </c>
      <c r="G2670" s="1" t="s">
        <v>2558</v>
      </c>
    </row>
    <row x14ac:dyDescent="0.25" r="2671" customHeight="1" ht="17.25" hidden="1">
      <c r="A2671" s="112" t="s">
        <v>7058</v>
      </c>
      <c r="B2671" s="1" t="s">
        <v>2549</v>
      </c>
      <c r="C2671" s="1" t="s">
        <v>63</v>
      </c>
      <c r="D2671" s="1" t="s">
        <v>7059</v>
      </c>
      <c r="E2671" s="62">
        <v>24</v>
      </c>
      <c r="F2671" s="1" t="s">
        <v>2551</v>
      </c>
      <c r="G2671" s="1" t="s">
        <v>2552</v>
      </c>
    </row>
    <row x14ac:dyDescent="0.25" r="2672" customHeight="1" ht="17.25" hidden="1">
      <c r="A2672" s="112" t="s">
        <v>7060</v>
      </c>
      <c r="B2672" s="1" t="s">
        <v>2549</v>
      </c>
      <c r="C2672" s="1" t="s">
        <v>63</v>
      </c>
      <c r="D2672" s="1" t="s">
        <v>7061</v>
      </c>
      <c r="E2672" s="62">
        <v>32</v>
      </c>
      <c r="F2672" s="1" t="s">
        <v>2551</v>
      </c>
      <c r="G2672" s="1" t="s">
        <v>2558</v>
      </c>
    </row>
    <row x14ac:dyDescent="0.25" r="2673" customHeight="1" ht="17.25" hidden="1">
      <c r="A2673" s="112" t="s">
        <v>777</v>
      </c>
      <c r="B2673" s="1" t="s">
        <v>2549</v>
      </c>
      <c r="C2673" s="1" t="s">
        <v>63</v>
      </c>
      <c r="D2673" s="1" t="s">
        <v>7062</v>
      </c>
      <c r="E2673" s="62">
        <v>20</v>
      </c>
      <c r="F2673" s="1" t="s">
        <v>2551</v>
      </c>
      <c r="G2673" s="1" t="s">
        <v>2558</v>
      </c>
    </row>
    <row x14ac:dyDescent="0.25" r="2674" customHeight="1" ht="17.25" hidden="1">
      <c r="A2674" s="112" t="s">
        <v>7063</v>
      </c>
      <c r="B2674" s="1" t="s">
        <v>2549</v>
      </c>
      <c r="C2674" s="1" t="s">
        <v>63</v>
      </c>
      <c r="D2674" s="1" t="s">
        <v>7064</v>
      </c>
      <c r="E2674" s="62">
        <v>23</v>
      </c>
      <c r="F2674" s="1" t="s">
        <v>2551</v>
      </c>
      <c r="G2674" s="1" t="s">
        <v>2558</v>
      </c>
    </row>
    <row x14ac:dyDescent="0.25" r="2675" customHeight="1" ht="17.25" hidden="1">
      <c r="A2675" s="112" t="s">
        <v>7065</v>
      </c>
      <c r="B2675" s="1" t="s">
        <v>2549</v>
      </c>
      <c r="C2675" s="1" t="s">
        <v>63</v>
      </c>
      <c r="D2675" s="1" t="s">
        <v>7066</v>
      </c>
      <c r="E2675" s="62">
        <v>19</v>
      </c>
      <c r="F2675" s="1" t="s">
        <v>2551</v>
      </c>
      <c r="G2675" s="1" t="s">
        <v>2552</v>
      </c>
    </row>
    <row x14ac:dyDescent="0.25" r="2676" customHeight="1" ht="17.25" hidden="1">
      <c r="A2676" s="112" t="s">
        <v>7065</v>
      </c>
      <c r="B2676" s="1" t="s">
        <v>2549</v>
      </c>
      <c r="C2676" s="1" t="s">
        <v>63</v>
      </c>
      <c r="D2676" s="1" t="s">
        <v>7067</v>
      </c>
      <c r="E2676" s="62">
        <v>21</v>
      </c>
      <c r="F2676" s="1" t="s">
        <v>2551</v>
      </c>
      <c r="G2676" s="1" t="s">
        <v>2571</v>
      </c>
    </row>
    <row x14ac:dyDescent="0.25" r="2677" customHeight="1" ht="17.25" hidden="1">
      <c r="A2677" s="112" t="s">
        <v>1305</v>
      </c>
      <c r="B2677" s="1" t="s">
        <v>2549</v>
      </c>
      <c r="C2677" s="1" t="s">
        <v>63</v>
      </c>
      <c r="D2677" s="1" t="s">
        <v>7068</v>
      </c>
      <c r="E2677" s="62">
        <v>18</v>
      </c>
      <c r="F2677" s="1" t="s">
        <v>2551</v>
      </c>
      <c r="G2677" s="1" t="s">
        <v>2555</v>
      </c>
    </row>
    <row x14ac:dyDescent="0.25" r="2678" customHeight="1" ht="17.25" hidden="1">
      <c r="A2678" s="112" t="s">
        <v>7069</v>
      </c>
      <c r="B2678" s="1" t="s">
        <v>2549</v>
      </c>
      <c r="C2678" s="1" t="s">
        <v>63</v>
      </c>
      <c r="D2678" s="1" t="s">
        <v>7070</v>
      </c>
      <c r="E2678" s="62">
        <v>20</v>
      </c>
      <c r="F2678" s="1" t="s">
        <v>2551</v>
      </c>
      <c r="G2678" s="1" t="s">
        <v>2555</v>
      </c>
    </row>
    <row x14ac:dyDescent="0.25" r="2679" customHeight="1" ht="17.25" hidden="1">
      <c r="A2679" s="112" t="s">
        <v>7071</v>
      </c>
      <c r="B2679" s="1" t="s">
        <v>2549</v>
      </c>
      <c r="C2679" s="1" t="s">
        <v>63</v>
      </c>
      <c r="D2679" s="1" t="s">
        <v>7072</v>
      </c>
      <c r="E2679" s="62">
        <v>45</v>
      </c>
      <c r="F2679" s="1" t="s">
        <v>2551</v>
      </c>
      <c r="G2679" s="1" t="s">
        <v>2552</v>
      </c>
    </row>
    <row x14ac:dyDescent="0.25" r="2680" customHeight="1" ht="17.25" hidden="1">
      <c r="A2680" s="112" t="s">
        <v>7073</v>
      </c>
      <c r="B2680" s="1" t="s">
        <v>2549</v>
      </c>
      <c r="C2680" s="1" t="s">
        <v>63</v>
      </c>
      <c r="D2680" s="1" t="s">
        <v>7074</v>
      </c>
      <c r="E2680" s="62">
        <v>21</v>
      </c>
      <c r="F2680" s="1" t="s">
        <v>2551</v>
      </c>
      <c r="G2680" s="1" t="s">
        <v>2555</v>
      </c>
    </row>
    <row x14ac:dyDescent="0.25" r="2681" customHeight="1" ht="17.25" hidden="1">
      <c r="A2681" s="112" t="s">
        <v>7075</v>
      </c>
      <c r="B2681" s="1" t="s">
        <v>2549</v>
      </c>
      <c r="C2681" s="1" t="s">
        <v>63</v>
      </c>
      <c r="D2681" s="1" t="s">
        <v>7076</v>
      </c>
      <c r="E2681" s="62">
        <v>35</v>
      </c>
      <c r="F2681" s="1" t="s">
        <v>2551</v>
      </c>
      <c r="G2681" s="1" t="s">
        <v>2555</v>
      </c>
    </row>
    <row x14ac:dyDescent="0.25" r="2682" customHeight="1" ht="17.25" hidden="1">
      <c r="A2682" s="112" t="s">
        <v>7077</v>
      </c>
      <c r="B2682" s="1" t="s">
        <v>2549</v>
      </c>
      <c r="C2682" s="1" t="s">
        <v>63</v>
      </c>
      <c r="D2682" s="1" t="s">
        <v>7078</v>
      </c>
      <c r="E2682" s="54" t="s">
        <v>2571</v>
      </c>
      <c r="F2682" s="1" t="s">
        <v>2551</v>
      </c>
      <c r="G2682" s="1" t="s">
        <v>2571</v>
      </c>
    </row>
    <row x14ac:dyDescent="0.25" r="2683" customHeight="1" ht="17.25" hidden="1">
      <c r="A2683" s="112" t="s">
        <v>7079</v>
      </c>
      <c r="B2683" s="1" t="s">
        <v>2549</v>
      </c>
      <c r="C2683" s="1" t="s">
        <v>63</v>
      </c>
      <c r="D2683" s="1" t="s">
        <v>7080</v>
      </c>
      <c r="E2683" s="62">
        <v>29</v>
      </c>
      <c r="F2683" s="1" t="s">
        <v>2551</v>
      </c>
      <c r="G2683" s="1" t="s">
        <v>2555</v>
      </c>
    </row>
    <row x14ac:dyDescent="0.25" r="2684" customHeight="1" ht="17.25" hidden="1">
      <c r="A2684" s="112" t="s">
        <v>7079</v>
      </c>
      <c r="B2684" s="1" t="s">
        <v>2549</v>
      </c>
      <c r="C2684" s="1" t="s">
        <v>63</v>
      </c>
      <c r="D2684" s="1" t="s">
        <v>7081</v>
      </c>
      <c r="E2684" s="62">
        <v>31</v>
      </c>
      <c r="F2684" s="1" t="s">
        <v>2551</v>
      </c>
      <c r="G2684" s="1" t="s">
        <v>2555</v>
      </c>
    </row>
    <row x14ac:dyDescent="0.25" r="2685" customHeight="1" ht="17.25" hidden="1">
      <c r="A2685" s="112" t="s">
        <v>7082</v>
      </c>
      <c r="B2685" s="1" t="s">
        <v>2549</v>
      </c>
      <c r="C2685" s="1" t="s">
        <v>63</v>
      </c>
      <c r="D2685" s="1" t="s">
        <v>7083</v>
      </c>
      <c r="E2685" s="62">
        <v>28</v>
      </c>
      <c r="F2685" s="1" t="s">
        <v>2551</v>
      </c>
      <c r="G2685" s="1" t="s">
        <v>2555</v>
      </c>
    </row>
    <row x14ac:dyDescent="0.25" r="2686" customHeight="1" ht="17.25" hidden="1">
      <c r="A2686" s="112" t="s">
        <v>7084</v>
      </c>
      <c r="B2686" s="1" t="s">
        <v>2549</v>
      </c>
      <c r="C2686" s="1" t="s">
        <v>63</v>
      </c>
      <c r="D2686" s="1" t="s">
        <v>7085</v>
      </c>
      <c r="E2686" s="62">
        <v>35</v>
      </c>
      <c r="F2686" s="1" t="s">
        <v>2551</v>
      </c>
      <c r="G2686" s="1" t="s">
        <v>2558</v>
      </c>
    </row>
    <row x14ac:dyDescent="0.25" r="2687" customHeight="1" ht="17.25" hidden="1">
      <c r="A2687" s="112" t="s">
        <v>7086</v>
      </c>
      <c r="B2687" s="1" t="s">
        <v>2549</v>
      </c>
      <c r="C2687" s="1" t="s">
        <v>63</v>
      </c>
      <c r="D2687" s="1" t="s">
        <v>7087</v>
      </c>
      <c r="E2687" s="62">
        <v>37</v>
      </c>
      <c r="F2687" s="1" t="s">
        <v>2551</v>
      </c>
      <c r="G2687" s="1" t="s">
        <v>2555</v>
      </c>
    </row>
    <row x14ac:dyDescent="0.25" r="2688" customHeight="1" ht="17.25" hidden="1">
      <c r="A2688" s="112" t="s">
        <v>7086</v>
      </c>
      <c r="B2688" s="1" t="s">
        <v>2549</v>
      </c>
      <c r="C2688" s="1" t="s">
        <v>63</v>
      </c>
      <c r="D2688" s="1" t="s">
        <v>7088</v>
      </c>
      <c r="E2688" s="62">
        <v>31</v>
      </c>
      <c r="F2688" s="1" t="s">
        <v>2561</v>
      </c>
      <c r="G2688" s="1" t="s">
        <v>2555</v>
      </c>
    </row>
    <row x14ac:dyDescent="0.25" r="2689" customHeight="1" ht="17.25" hidden="1">
      <c r="A2689" s="112" t="s">
        <v>7089</v>
      </c>
      <c r="B2689" s="1" t="s">
        <v>2549</v>
      </c>
      <c r="C2689" s="1" t="s">
        <v>63</v>
      </c>
      <c r="D2689" s="1" t="s">
        <v>7090</v>
      </c>
      <c r="E2689" s="62">
        <v>36</v>
      </c>
      <c r="F2689" s="1" t="s">
        <v>2551</v>
      </c>
      <c r="G2689" s="1" t="s">
        <v>2552</v>
      </c>
    </row>
    <row x14ac:dyDescent="0.25" r="2690" customHeight="1" ht="17.25" hidden="1">
      <c r="A2690" s="112" t="s">
        <v>799</v>
      </c>
      <c r="B2690" s="1" t="s">
        <v>2549</v>
      </c>
      <c r="C2690" s="1" t="s">
        <v>63</v>
      </c>
      <c r="D2690" s="1" t="s">
        <v>800</v>
      </c>
      <c r="E2690" s="62">
        <v>20</v>
      </c>
      <c r="F2690" s="1" t="s">
        <v>2551</v>
      </c>
      <c r="G2690" s="1" t="s">
        <v>2555</v>
      </c>
    </row>
    <row x14ac:dyDescent="0.25" r="2691" customHeight="1" ht="17.25" hidden="1">
      <c r="A2691" s="112" t="s">
        <v>7091</v>
      </c>
      <c r="B2691" s="1" t="s">
        <v>2549</v>
      </c>
      <c r="C2691" s="1" t="s">
        <v>63</v>
      </c>
      <c r="D2691" s="1" t="s">
        <v>7092</v>
      </c>
      <c r="E2691" s="62">
        <v>19</v>
      </c>
      <c r="F2691" s="1" t="s">
        <v>2551</v>
      </c>
      <c r="G2691" s="1" t="s">
        <v>2555</v>
      </c>
    </row>
    <row x14ac:dyDescent="0.25" r="2692" customHeight="1" ht="17.25" hidden="1">
      <c r="A2692" s="112" t="s">
        <v>7093</v>
      </c>
      <c r="B2692" s="1" t="s">
        <v>2549</v>
      </c>
      <c r="C2692" s="1" t="s">
        <v>63</v>
      </c>
      <c r="D2692" s="1" t="s">
        <v>7094</v>
      </c>
      <c r="E2692" s="62">
        <v>19</v>
      </c>
      <c r="F2692" s="1" t="s">
        <v>2551</v>
      </c>
      <c r="G2692" s="1" t="s">
        <v>2552</v>
      </c>
    </row>
    <row x14ac:dyDescent="0.25" r="2693" customHeight="1" ht="17.25" hidden="1">
      <c r="A2693" s="112" t="s">
        <v>7095</v>
      </c>
      <c r="B2693" s="1" t="s">
        <v>2549</v>
      </c>
      <c r="C2693" s="1" t="s">
        <v>63</v>
      </c>
      <c r="D2693" s="1" t="s">
        <v>7096</v>
      </c>
      <c r="E2693" s="62">
        <v>24</v>
      </c>
      <c r="F2693" s="1" t="s">
        <v>2551</v>
      </c>
      <c r="G2693" s="1" t="s">
        <v>2552</v>
      </c>
    </row>
    <row x14ac:dyDescent="0.25" r="2694" customHeight="1" ht="17.25" hidden="1">
      <c r="A2694" s="112" t="s">
        <v>7097</v>
      </c>
      <c r="B2694" s="1" t="s">
        <v>2549</v>
      </c>
      <c r="C2694" s="1" t="s">
        <v>63</v>
      </c>
      <c r="D2694" s="1" t="s">
        <v>7098</v>
      </c>
      <c r="E2694" s="62">
        <v>29</v>
      </c>
      <c r="F2694" s="1" t="s">
        <v>2551</v>
      </c>
      <c r="G2694" s="1" t="s">
        <v>2552</v>
      </c>
    </row>
    <row x14ac:dyDescent="0.25" r="2695" customHeight="1" ht="17.25" hidden="1">
      <c r="A2695" s="112" t="s">
        <v>7099</v>
      </c>
      <c r="B2695" s="1" t="s">
        <v>2549</v>
      </c>
      <c r="C2695" s="1" t="s">
        <v>63</v>
      </c>
      <c r="D2695" s="1" t="s">
        <v>7100</v>
      </c>
      <c r="E2695" s="62">
        <v>48</v>
      </c>
      <c r="F2695" s="1" t="s">
        <v>2561</v>
      </c>
      <c r="G2695" s="1" t="s">
        <v>2555</v>
      </c>
    </row>
    <row x14ac:dyDescent="0.25" r="2696" customHeight="1" ht="17.25" hidden="1">
      <c r="A2696" s="112" t="s">
        <v>7101</v>
      </c>
      <c r="B2696" s="1" t="s">
        <v>2549</v>
      </c>
      <c r="C2696" s="1" t="s">
        <v>63</v>
      </c>
      <c r="D2696" s="1" t="s">
        <v>7102</v>
      </c>
      <c r="E2696" s="62">
        <v>24</v>
      </c>
      <c r="F2696" s="1" t="s">
        <v>2551</v>
      </c>
      <c r="G2696" s="1" t="s">
        <v>2552</v>
      </c>
    </row>
    <row x14ac:dyDescent="0.25" r="2697" customHeight="1" ht="17.25" hidden="1">
      <c r="A2697" s="112" t="s">
        <v>7103</v>
      </c>
      <c r="B2697" s="1" t="s">
        <v>2549</v>
      </c>
      <c r="C2697" s="1" t="s">
        <v>63</v>
      </c>
      <c r="D2697" s="1" t="s">
        <v>7104</v>
      </c>
      <c r="E2697" s="62">
        <v>21</v>
      </c>
      <c r="F2697" s="1" t="s">
        <v>2551</v>
      </c>
      <c r="G2697" s="1" t="s">
        <v>2555</v>
      </c>
    </row>
    <row x14ac:dyDescent="0.25" r="2698" customHeight="1" ht="17.25" hidden="1">
      <c r="A2698" s="112" t="s">
        <v>7105</v>
      </c>
      <c r="B2698" s="1" t="s">
        <v>2549</v>
      </c>
      <c r="C2698" s="1" t="s">
        <v>63</v>
      </c>
      <c r="D2698" s="1" t="s">
        <v>7106</v>
      </c>
      <c r="E2698" s="62">
        <v>19</v>
      </c>
      <c r="F2698" s="1" t="s">
        <v>2551</v>
      </c>
      <c r="G2698" s="1" t="s">
        <v>2555</v>
      </c>
    </row>
    <row x14ac:dyDescent="0.25" r="2699" customHeight="1" ht="17.25" hidden="1">
      <c r="A2699" s="112" t="s">
        <v>1240</v>
      </c>
      <c r="B2699" s="1" t="s">
        <v>2549</v>
      </c>
      <c r="C2699" s="1" t="s">
        <v>63</v>
      </c>
      <c r="D2699" s="1" t="s">
        <v>7107</v>
      </c>
      <c r="E2699" s="62">
        <v>34</v>
      </c>
      <c r="F2699" s="1" t="s">
        <v>2561</v>
      </c>
      <c r="G2699" s="1" t="s">
        <v>2552</v>
      </c>
    </row>
    <row x14ac:dyDescent="0.25" r="2700" customHeight="1" ht="17.25" hidden="1">
      <c r="A2700" s="112" t="s">
        <v>7108</v>
      </c>
      <c r="B2700" s="1" t="s">
        <v>2549</v>
      </c>
      <c r="C2700" s="1" t="s">
        <v>63</v>
      </c>
      <c r="D2700" s="1" t="s">
        <v>7109</v>
      </c>
      <c r="E2700" s="62">
        <v>29</v>
      </c>
      <c r="F2700" s="1" t="s">
        <v>2551</v>
      </c>
      <c r="G2700" s="1" t="s">
        <v>2552</v>
      </c>
    </row>
    <row x14ac:dyDescent="0.25" r="2701" customHeight="1" ht="17.25" hidden="1">
      <c r="A2701" s="112" t="s">
        <v>7110</v>
      </c>
      <c r="B2701" s="1" t="s">
        <v>2549</v>
      </c>
      <c r="C2701" s="1" t="s">
        <v>63</v>
      </c>
      <c r="D2701" s="1" t="s">
        <v>7111</v>
      </c>
      <c r="E2701" s="62">
        <v>20</v>
      </c>
      <c r="F2701" s="1" t="s">
        <v>2551</v>
      </c>
      <c r="G2701" s="1" t="s">
        <v>2558</v>
      </c>
    </row>
    <row x14ac:dyDescent="0.25" r="2702" customHeight="1" ht="17.25" hidden="1">
      <c r="A2702" s="112" t="s">
        <v>7110</v>
      </c>
      <c r="B2702" s="1" t="s">
        <v>2549</v>
      </c>
      <c r="C2702" s="1" t="s">
        <v>63</v>
      </c>
      <c r="D2702" s="1" t="s">
        <v>7112</v>
      </c>
      <c r="E2702" s="62">
        <v>25</v>
      </c>
      <c r="F2702" s="1" t="s">
        <v>2551</v>
      </c>
      <c r="G2702" s="1" t="s">
        <v>2552</v>
      </c>
    </row>
    <row x14ac:dyDescent="0.25" r="2703" customHeight="1" ht="17.25" hidden="1">
      <c r="A2703" s="112" t="s">
        <v>7113</v>
      </c>
      <c r="B2703" s="1" t="s">
        <v>2549</v>
      </c>
      <c r="C2703" s="1" t="s">
        <v>63</v>
      </c>
      <c r="D2703" s="1" t="s">
        <v>7114</v>
      </c>
      <c r="E2703" s="62">
        <v>23</v>
      </c>
      <c r="F2703" s="1" t="s">
        <v>2561</v>
      </c>
      <c r="G2703" s="1" t="s">
        <v>2555</v>
      </c>
    </row>
    <row x14ac:dyDescent="0.25" r="2704" customHeight="1" ht="17.25" hidden="1">
      <c r="A2704" s="112" t="s">
        <v>7113</v>
      </c>
      <c r="B2704" s="1" t="s">
        <v>2549</v>
      </c>
      <c r="C2704" s="1" t="s">
        <v>63</v>
      </c>
      <c r="D2704" s="1" t="s">
        <v>7115</v>
      </c>
      <c r="E2704" s="62">
        <v>49</v>
      </c>
      <c r="F2704" s="1" t="s">
        <v>2551</v>
      </c>
      <c r="G2704" s="1" t="s">
        <v>2552</v>
      </c>
    </row>
    <row x14ac:dyDescent="0.25" r="2705" customHeight="1" ht="17.25" hidden="1">
      <c r="A2705" s="112" t="s">
        <v>7113</v>
      </c>
      <c r="B2705" s="1" t="s">
        <v>2549</v>
      </c>
      <c r="C2705" s="1" t="s">
        <v>63</v>
      </c>
      <c r="D2705" s="1" t="s">
        <v>7116</v>
      </c>
      <c r="E2705" s="62">
        <v>36</v>
      </c>
      <c r="F2705" s="1" t="s">
        <v>2551</v>
      </c>
      <c r="G2705" s="1" t="s">
        <v>2555</v>
      </c>
    </row>
    <row x14ac:dyDescent="0.25" r="2706" customHeight="1" ht="17.25" hidden="1">
      <c r="A2706" s="112" t="s">
        <v>7117</v>
      </c>
      <c r="B2706" s="1" t="s">
        <v>2549</v>
      </c>
      <c r="C2706" s="1" t="s">
        <v>63</v>
      </c>
      <c r="D2706" s="1" t="s">
        <v>7118</v>
      </c>
      <c r="E2706" s="62">
        <v>44</v>
      </c>
      <c r="F2706" s="1" t="s">
        <v>2551</v>
      </c>
      <c r="G2706" s="1" t="s">
        <v>2552</v>
      </c>
    </row>
    <row x14ac:dyDescent="0.25" r="2707" customHeight="1" ht="17.25" hidden="1">
      <c r="A2707" s="112" t="s">
        <v>7117</v>
      </c>
      <c r="B2707" s="1" t="s">
        <v>2549</v>
      </c>
      <c r="C2707" s="1" t="s">
        <v>63</v>
      </c>
      <c r="D2707" s="1" t="s">
        <v>7119</v>
      </c>
      <c r="E2707" s="62">
        <v>31</v>
      </c>
      <c r="F2707" s="1" t="s">
        <v>2551</v>
      </c>
      <c r="G2707" s="1" t="s">
        <v>2552</v>
      </c>
    </row>
    <row x14ac:dyDescent="0.25" r="2708" customHeight="1" ht="17.25" hidden="1">
      <c r="A2708" s="112" t="s">
        <v>7120</v>
      </c>
      <c r="B2708" s="1" t="s">
        <v>2549</v>
      </c>
      <c r="C2708" s="1" t="s">
        <v>63</v>
      </c>
      <c r="D2708" s="1" t="s">
        <v>7121</v>
      </c>
      <c r="E2708" s="62">
        <v>20</v>
      </c>
      <c r="F2708" s="1" t="s">
        <v>2551</v>
      </c>
      <c r="G2708" s="1" t="s">
        <v>2552</v>
      </c>
    </row>
    <row x14ac:dyDescent="0.25" r="2709" customHeight="1" ht="17.25" hidden="1">
      <c r="A2709" s="112" t="s">
        <v>7122</v>
      </c>
      <c r="B2709" s="1" t="s">
        <v>2549</v>
      </c>
      <c r="C2709" s="1" t="s">
        <v>63</v>
      </c>
      <c r="D2709" s="1" t="s">
        <v>7123</v>
      </c>
      <c r="E2709" s="62">
        <v>19</v>
      </c>
      <c r="F2709" s="1" t="s">
        <v>2551</v>
      </c>
      <c r="G2709" s="1" t="s">
        <v>2555</v>
      </c>
    </row>
    <row x14ac:dyDescent="0.25" r="2710" customHeight="1" ht="17.25" hidden="1">
      <c r="A2710" s="112" t="s">
        <v>7124</v>
      </c>
      <c r="B2710" s="1" t="s">
        <v>2549</v>
      </c>
      <c r="C2710" s="1" t="s">
        <v>63</v>
      </c>
      <c r="D2710" s="1" t="s">
        <v>7125</v>
      </c>
      <c r="E2710" s="62">
        <v>18</v>
      </c>
      <c r="F2710" s="1" t="s">
        <v>2551</v>
      </c>
      <c r="G2710" s="1" t="s">
        <v>2571</v>
      </c>
    </row>
    <row x14ac:dyDescent="0.25" r="2711" customHeight="1" ht="17.25" hidden="1">
      <c r="A2711" s="112" t="s">
        <v>7126</v>
      </c>
      <c r="B2711" s="1" t="s">
        <v>2549</v>
      </c>
      <c r="C2711" s="1" t="s">
        <v>63</v>
      </c>
      <c r="D2711" s="1" t="s">
        <v>7127</v>
      </c>
      <c r="E2711" s="62">
        <v>23</v>
      </c>
      <c r="F2711" s="1" t="s">
        <v>2551</v>
      </c>
      <c r="G2711" s="1" t="s">
        <v>2552</v>
      </c>
    </row>
    <row x14ac:dyDescent="0.25" r="2712" customHeight="1" ht="17.25" hidden="1">
      <c r="A2712" s="112" t="s">
        <v>7128</v>
      </c>
      <c r="B2712" s="1" t="s">
        <v>2549</v>
      </c>
      <c r="C2712" s="1" t="s">
        <v>63</v>
      </c>
      <c r="D2712" s="1" t="s">
        <v>3257</v>
      </c>
      <c r="E2712" s="62">
        <v>30</v>
      </c>
      <c r="F2712" s="1" t="s">
        <v>2551</v>
      </c>
      <c r="G2712" s="1" t="s">
        <v>2552</v>
      </c>
    </row>
    <row x14ac:dyDescent="0.25" r="2713" customHeight="1" ht="17.25" hidden="1">
      <c r="A2713" s="112" t="s">
        <v>7129</v>
      </c>
      <c r="B2713" s="1" t="s">
        <v>2549</v>
      </c>
      <c r="C2713" s="1" t="s">
        <v>63</v>
      </c>
      <c r="D2713" s="1" t="s">
        <v>7130</v>
      </c>
      <c r="E2713" s="62">
        <v>19</v>
      </c>
      <c r="F2713" s="1" t="s">
        <v>2551</v>
      </c>
      <c r="G2713" s="1" t="s">
        <v>2555</v>
      </c>
    </row>
    <row x14ac:dyDescent="0.25" r="2714" customHeight="1" ht="17.25" hidden="1">
      <c r="A2714" s="112" t="s">
        <v>941</v>
      </c>
      <c r="B2714" s="1" t="s">
        <v>2549</v>
      </c>
      <c r="C2714" s="1" t="s">
        <v>63</v>
      </c>
      <c r="D2714" s="1" t="s">
        <v>942</v>
      </c>
      <c r="E2714" s="62">
        <v>23</v>
      </c>
      <c r="F2714" s="1" t="s">
        <v>2551</v>
      </c>
      <c r="G2714" s="1" t="s">
        <v>2552</v>
      </c>
    </row>
    <row x14ac:dyDescent="0.25" r="2715" customHeight="1" ht="17.25" hidden="1">
      <c r="A2715" s="112" t="s">
        <v>7131</v>
      </c>
      <c r="B2715" s="1" t="s">
        <v>2549</v>
      </c>
      <c r="C2715" s="1" t="s">
        <v>63</v>
      </c>
      <c r="D2715" s="1" t="s">
        <v>7132</v>
      </c>
      <c r="E2715" s="62">
        <v>20</v>
      </c>
      <c r="F2715" s="1" t="s">
        <v>2551</v>
      </c>
      <c r="G2715" s="1" t="s">
        <v>4578</v>
      </c>
    </row>
    <row x14ac:dyDescent="0.25" r="2716" customHeight="1" ht="17.25" hidden="1">
      <c r="A2716" s="112" t="s">
        <v>622</v>
      </c>
      <c r="B2716" s="1" t="s">
        <v>2549</v>
      </c>
      <c r="C2716" s="1" t="s">
        <v>63</v>
      </c>
      <c r="D2716" s="1" t="s">
        <v>7133</v>
      </c>
      <c r="E2716" s="62">
        <v>20</v>
      </c>
      <c r="F2716" s="1" t="s">
        <v>2551</v>
      </c>
      <c r="G2716" s="1" t="s">
        <v>2555</v>
      </c>
    </row>
    <row x14ac:dyDescent="0.25" r="2717" customHeight="1" ht="17.25" hidden="1">
      <c r="A2717" s="112" t="s">
        <v>7134</v>
      </c>
      <c r="B2717" s="1" t="s">
        <v>2549</v>
      </c>
      <c r="C2717" s="1" t="s">
        <v>63</v>
      </c>
      <c r="D2717" s="1" t="s">
        <v>7135</v>
      </c>
      <c r="E2717" s="62">
        <v>32</v>
      </c>
      <c r="F2717" s="1" t="s">
        <v>2551</v>
      </c>
      <c r="G2717" s="1" t="s">
        <v>2555</v>
      </c>
    </row>
    <row x14ac:dyDescent="0.25" r="2718" customHeight="1" ht="17.25" hidden="1">
      <c r="A2718" s="112" t="s">
        <v>1568</v>
      </c>
      <c r="B2718" s="1" t="s">
        <v>2549</v>
      </c>
      <c r="C2718" s="1" t="s">
        <v>63</v>
      </c>
      <c r="D2718" s="1" t="s">
        <v>1569</v>
      </c>
      <c r="E2718" s="62">
        <v>19</v>
      </c>
      <c r="F2718" s="1" t="s">
        <v>2551</v>
      </c>
      <c r="G2718" s="1" t="s">
        <v>2552</v>
      </c>
    </row>
    <row x14ac:dyDescent="0.25" r="2719" customHeight="1" ht="17.25" hidden="1">
      <c r="A2719" s="112" t="s">
        <v>1568</v>
      </c>
      <c r="B2719" s="1" t="s">
        <v>2549</v>
      </c>
      <c r="C2719" s="1" t="s">
        <v>63</v>
      </c>
      <c r="D2719" s="1" t="s">
        <v>1820</v>
      </c>
      <c r="E2719" s="62">
        <v>21</v>
      </c>
      <c r="F2719" s="1" t="s">
        <v>2551</v>
      </c>
      <c r="G2719" s="1" t="s">
        <v>2555</v>
      </c>
    </row>
    <row x14ac:dyDescent="0.25" r="2720" customHeight="1" ht="17.25" hidden="1">
      <c r="A2720" s="112" t="s">
        <v>7136</v>
      </c>
      <c r="B2720" s="1" t="s">
        <v>2549</v>
      </c>
      <c r="C2720" s="1" t="s">
        <v>63</v>
      </c>
      <c r="D2720" s="1" t="s">
        <v>7137</v>
      </c>
      <c r="E2720" s="62">
        <v>22</v>
      </c>
      <c r="F2720" s="1" t="s">
        <v>2551</v>
      </c>
      <c r="G2720" s="1" t="s">
        <v>2558</v>
      </c>
    </row>
    <row x14ac:dyDescent="0.25" r="2721" customHeight="1" ht="17.25" hidden="1">
      <c r="A2721" s="112" t="s">
        <v>7138</v>
      </c>
      <c r="B2721" s="1" t="s">
        <v>2549</v>
      </c>
      <c r="C2721" s="1" t="s">
        <v>63</v>
      </c>
      <c r="D2721" s="1" t="s">
        <v>7139</v>
      </c>
      <c r="E2721" s="62">
        <v>40</v>
      </c>
      <c r="F2721" s="1" t="s">
        <v>2561</v>
      </c>
      <c r="G2721" s="1" t="s">
        <v>2555</v>
      </c>
    </row>
    <row x14ac:dyDescent="0.25" r="2722" customHeight="1" ht="17.25" hidden="1">
      <c r="A2722" s="112" t="s">
        <v>7140</v>
      </c>
      <c r="B2722" s="1" t="s">
        <v>2549</v>
      </c>
      <c r="C2722" s="1" t="s">
        <v>63</v>
      </c>
      <c r="D2722" s="1" t="s">
        <v>7141</v>
      </c>
      <c r="E2722" s="62">
        <v>21</v>
      </c>
      <c r="F2722" s="1" t="s">
        <v>2551</v>
      </c>
      <c r="G2722" s="1" t="s">
        <v>2552</v>
      </c>
    </row>
    <row x14ac:dyDescent="0.25" r="2723" customHeight="1" ht="17.25" hidden="1">
      <c r="A2723" s="112" t="s">
        <v>2446</v>
      </c>
      <c r="B2723" s="1" t="s">
        <v>2549</v>
      </c>
      <c r="C2723" s="1" t="s">
        <v>63</v>
      </c>
      <c r="D2723" s="1" t="s">
        <v>2447</v>
      </c>
      <c r="E2723" s="62">
        <v>18</v>
      </c>
      <c r="F2723" s="1" t="s">
        <v>2551</v>
      </c>
      <c r="G2723" s="1" t="s">
        <v>2552</v>
      </c>
    </row>
    <row x14ac:dyDescent="0.25" r="2724" customHeight="1" ht="17.25" hidden="1">
      <c r="A2724" s="112" t="s">
        <v>7142</v>
      </c>
      <c r="B2724" s="1" t="s">
        <v>2549</v>
      </c>
      <c r="C2724" s="1" t="s">
        <v>63</v>
      </c>
      <c r="D2724" s="1" t="s">
        <v>7143</v>
      </c>
      <c r="E2724" s="62">
        <v>20</v>
      </c>
      <c r="F2724" s="1" t="s">
        <v>2551</v>
      </c>
      <c r="G2724" s="1" t="s">
        <v>2552</v>
      </c>
    </row>
    <row x14ac:dyDescent="0.25" r="2725" customHeight="1" ht="17.25" hidden="1">
      <c r="A2725" s="112" t="s">
        <v>7144</v>
      </c>
      <c r="B2725" s="1" t="s">
        <v>2549</v>
      </c>
      <c r="C2725" s="1" t="s">
        <v>63</v>
      </c>
      <c r="D2725" s="1" t="s">
        <v>7145</v>
      </c>
      <c r="E2725" s="62">
        <v>32</v>
      </c>
      <c r="F2725" s="1" t="s">
        <v>2551</v>
      </c>
      <c r="G2725" s="1" t="s">
        <v>2552</v>
      </c>
    </row>
    <row x14ac:dyDescent="0.25" r="2726" customHeight="1" ht="17.25" hidden="1">
      <c r="A2726" s="112" t="s">
        <v>7144</v>
      </c>
      <c r="B2726" s="1" t="s">
        <v>2549</v>
      </c>
      <c r="C2726" s="1" t="s">
        <v>63</v>
      </c>
      <c r="D2726" s="1" t="s">
        <v>7146</v>
      </c>
      <c r="E2726" s="62">
        <v>29</v>
      </c>
      <c r="F2726" s="1" t="s">
        <v>2551</v>
      </c>
      <c r="G2726" s="1" t="s">
        <v>2552</v>
      </c>
    </row>
    <row x14ac:dyDescent="0.25" r="2727" customHeight="1" ht="17.25" hidden="1">
      <c r="A2727" s="112" t="s">
        <v>7147</v>
      </c>
      <c r="B2727" s="1" t="s">
        <v>2549</v>
      </c>
      <c r="C2727" s="1" t="s">
        <v>63</v>
      </c>
      <c r="D2727" s="1" t="s">
        <v>7148</v>
      </c>
      <c r="E2727" s="62">
        <v>22</v>
      </c>
      <c r="F2727" s="1" t="s">
        <v>2551</v>
      </c>
      <c r="G2727" s="1" t="s">
        <v>2552</v>
      </c>
    </row>
    <row x14ac:dyDescent="0.25" r="2728" customHeight="1" ht="17.25" hidden="1">
      <c r="A2728" s="112" t="s">
        <v>7149</v>
      </c>
      <c r="B2728" s="1" t="s">
        <v>2549</v>
      </c>
      <c r="C2728" s="1" t="s">
        <v>63</v>
      </c>
      <c r="D2728" s="1" t="s">
        <v>7150</v>
      </c>
      <c r="E2728" s="62">
        <v>31</v>
      </c>
      <c r="F2728" s="1" t="s">
        <v>2551</v>
      </c>
      <c r="G2728" s="1" t="s">
        <v>2552</v>
      </c>
    </row>
    <row x14ac:dyDescent="0.25" r="2729" customHeight="1" ht="17.25" hidden="1">
      <c r="A2729" s="112" t="s">
        <v>7151</v>
      </c>
      <c r="B2729" s="1" t="s">
        <v>2549</v>
      </c>
      <c r="C2729" s="1" t="s">
        <v>63</v>
      </c>
      <c r="D2729" s="1" t="s">
        <v>7152</v>
      </c>
      <c r="E2729" s="62">
        <v>19</v>
      </c>
      <c r="F2729" s="1" t="s">
        <v>2551</v>
      </c>
      <c r="G2729" s="1" t="s">
        <v>2555</v>
      </c>
    </row>
    <row x14ac:dyDescent="0.25" r="2730" customHeight="1" ht="17.25" hidden="1">
      <c r="A2730" s="112" t="s">
        <v>7151</v>
      </c>
      <c r="B2730" s="1" t="s">
        <v>2549</v>
      </c>
      <c r="C2730" s="1" t="s">
        <v>63</v>
      </c>
      <c r="D2730" s="1" t="s">
        <v>7153</v>
      </c>
      <c r="E2730" s="62">
        <v>21</v>
      </c>
      <c r="F2730" s="1" t="s">
        <v>2551</v>
      </c>
      <c r="G2730" s="1" t="s">
        <v>2552</v>
      </c>
    </row>
    <row x14ac:dyDescent="0.25" r="2731" customHeight="1" ht="17.25" hidden="1">
      <c r="A2731" s="112" t="s">
        <v>7154</v>
      </c>
      <c r="B2731" s="1" t="s">
        <v>2549</v>
      </c>
      <c r="C2731" s="1" t="s">
        <v>63</v>
      </c>
      <c r="D2731" s="1" t="s">
        <v>7155</v>
      </c>
      <c r="E2731" s="62">
        <v>30</v>
      </c>
      <c r="F2731" s="1" t="s">
        <v>2551</v>
      </c>
      <c r="G2731" s="1" t="s">
        <v>2555</v>
      </c>
    </row>
    <row x14ac:dyDescent="0.25" r="2732" customHeight="1" ht="17.25" hidden="1">
      <c r="A2732" s="112" t="s">
        <v>7154</v>
      </c>
      <c r="B2732" s="1" t="s">
        <v>2549</v>
      </c>
      <c r="C2732" s="1" t="s">
        <v>63</v>
      </c>
      <c r="D2732" s="1" t="s">
        <v>7156</v>
      </c>
      <c r="E2732" s="62">
        <v>23</v>
      </c>
      <c r="F2732" s="1" t="s">
        <v>2561</v>
      </c>
      <c r="G2732" s="1" t="s">
        <v>2555</v>
      </c>
    </row>
    <row x14ac:dyDescent="0.25" r="2733" customHeight="1" ht="17.25" hidden="1">
      <c r="A2733" s="112" t="s">
        <v>7154</v>
      </c>
      <c r="B2733" s="1" t="s">
        <v>2549</v>
      </c>
      <c r="C2733" s="1" t="s">
        <v>63</v>
      </c>
      <c r="D2733" s="1" t="s">
        <v>7157</v>
      </c>
      <c r="E2733" s="62">
        <v>59</v>
      </c>
      <c r="F2733" s="1" t="s">
        <v>2551</v>
      </c>
      <c r="G2733" s="1" t="s">
        <v>2555</v>
      </c>
    </row>
    <row x14ac:dyDescent="0.25" r="2734" customHeight="1" ht="17.25" hidden="1">
      <c r="A2734" s="112" t="s">
        <v>7154</v>
      </c>
      <c r="B2734" s="1" t="s">
        <v>2549</v>
      </c>
      <c r="C2734" s="1" t="s">
        <v>63</v>
      </c>
      <c r="D2734" s="1" t="s">
        <v>7158</v>
      </c>
      <c r="E2734" s="62">
        <v>38</v>
      </c>
      <c r="F2734" s="1" t="s">
        <v>2561</v>
      </c>
      <c r="G2734" s="1" t="s">
        <v>2558</v>
      </c>
    </row>
    <row x14ac:dyDescent="0.25" r="2735" customHeight="1" ht="17.25" hidden="1">
      <c r="A2735" s="112" t="s">
        <v>7154</v>
      </c>
      <c r="B2735" s="1" t="s">
        <v>2549</v>
      </c>
      <c r="C2735" s="1" t="s">
        <v>63</v>
      </c>
      <c r="D2735" s="1" t="s">
        <v>7159</v>
      </c>
      <c r="E2735" s="62">
        <v>41</v>
      </c>
      <c r="F2735" s="1" t="s">
        <v>2561</v>
      </c>
      <c r="G2735" s="1" t="s">
        <v>2552</v>
      </c>
    </row>
    <row x14ac:dyDescent="0.25" r="2736" customHeight="1" ht="17.25" hidden="1">
      <c r="A2736" s="112" t="s">
        <v>7154</v>
      </c>
      <c r="B2736" s="1" t="s">
        <v>2549</v>
      </c>
      <c r="C2736" s="1" t="s">
        <v>63</v>
      </c>
      <c r="D2736" s="1" t="s">
        <v>7160</v>
      </c>
      <c r="E2736" s="62">
        <v>31</v>
      </c>
      <c r="F2736" s="1" t="s">
        <v>2561</v>
      </c>
      <c r="G2736" s="1" t="s">
        <v>2555</v>
      </c>
    </row>
    <row x14ac:dyDescent="0.25" r="2737" customHeight="1" ht="17.25" hidden="1">
      <c r="A2737" s="112" t="s">
        <v>7154</v>
      </c>
      <c r="B2737" s="1" t="s">
        <v>2549</v>
      </c>
      <c r="C2737" s="1" t="s">
        <v>63</v>
      </c>
      <c r="D2737" s="1" t="s">
        <v>7161</v>
      </c>
      <c r="E2737" s="62">
        <v>55</v>
      </c>
      <c r="F2737" s="1" t="s">
        <v>2551</v>
      </c>
      <c r="G2737" s="1" t="s">
        <v>2555</v>
      </c>
    </row>
    <row x14ac:dyDescent="0.25" r="2738" customHeight="1" ht="17.25" hidden="1">
      <c r="A2738" s="112" t="s">
        <v>7162</v>
      </c>
      <c r="B2738" s="1" t="s">
        <v>2549</v>
      </c>
      <c r="C2738" s="1" t="s">
        <v>63</v>
      </c>
      <c r="D2738" s="1" t="s">
        <v>7163</v>
      </c>
      <c r="E2738" s="62">
        <v>28</v>
      </c>
      <c r="F2738" s="1" t="s">
        <v>2551</v>
      </c>
      <c r="G2738" s="1" t="s">
        <v>2552</v>
      </c>
    </row>
    <row x14ac:dyDescent="0.25" r="2739" customHeight="1" ht="17.25" hidden="1">
      <c r="A2739" s="112" t="s">
        <v>7164</v>
      </c>
      <c r="B2739" s="1" t="s">
        <v>2549</v>
      </c>
      <c r="C2739" s="1" t="s">
        <v>63</v>
      </c>
      <c r="D2739" s="1" t="s">
        <v>7165</v>
      </c>
      <c r="E2739" s="62">
        <v>0</v>
      </c>
      <c r="F2739" s="1" t="s">
        <v>2551</v>
      </c>
      <c r="G2739" s="1" t="s">
        <v>2571</v>
      </c>
    </row>
    <row x14ac:dyDescent="0.25" r="2740" customHeight="1" ht="17.25" hidden="1">
      <c r="A2740" s="112" t="s">
        <v>7164</v>
      </c>
      <c r="B2740" s="1" t="s">
        <v>2549</v>
      </c>
      <c r="C2740" s="1" t="s">
        <v>63</v>
      </c>
      <c r="D2740" s="1" t="s">
        <v>7166</v>
      </c>
      <c r="E2740" s="62">
        <v>40</v>
      </c>
      <c r="F2740" s="1" t="s">
        <v>2551</v>
      </c>
      <c r="G2740" s="1" t="s">
        <v>2555</v>
      </c>
    </row>
    <row x14ac:dyDescent="0.25" r="2741" customHeight="1" ht="17.25" hidden="1">
      <c r="A2741" s="112" t="s">
        <v>7164</v>
      </c>
      <c r="B2741" s="1" t="s">
        <v>2549</v>
      </c>
      <c r="C2741" s="1" t="s">
        <v>63</v>
      </c>
      <c r="D2741" s="1" t="s">
        <v>7167</v>
      </c>
      <c r="E2741" s="62">
        <v>24</v>
      </c>
      <c r="F2741" s="1" t="s">
        <v>2561</v>
      </c>
      <c r="G2741" s="1" t="s">
        <v>2571</v>
      </c>
    </row>
    <row x14ac:dyDescent="0.25" r="2742" customHeight="1" ht="17.25" hidden="1">
      <c r="A2742" s="112" t="s">
        <v>7164</v>
      </c>
      <c r="B2742" s="1" t="s">
        <v>2549</v>
      </c>
      <c r="C2742" s="1" t="s">
        <v>63</v>
      </c>
      <c r="D2742" s="1" t="s">
        <v>7168</v>
      </c>
      <c r="E2742" s="62">
        <v>27</v>
      </c>
      <c r="F2742" s="1" t="s">
        <v>2551</v>
      </c>
      <c r="G2742" s="1" t="s">
        <v>2552</v>
      </c>
    </row>
    <row x14ac:dyDescent="0.25" r="2743" customHeight="1" ht="17.25" hidden="1">
      <c r="A2743" s="112" t="s">
        <v>7164</v>
      </c>
      <c r="B2743" s="1" t="s">
        <v>2549</v>
      </c>
      <c r="C2743" s="1" t="s">
        <v>63</v>
      </c>
      <c r="D2743" s="1" t="s">
        <v>7169</v>
      </c>
      <c r="E2743" s="62">
        <v>41</v>
      </c>
      <c r="F2743" s="1" t="s">
        <v>2551</v>
      </c>
      <c r="G2743" s="1" t="s">
        <v>2555</v>
      </c>
    </row>
    <row x14ac:dyDescent="0.25" r="2744" customHeight="1" ht="17.25" hidden="1">
      <c r="A2744" s="112" t="s">
        <v>7164</v>
      </c>
      <c r="B2744" s="1" t="s">
        <v>2549</v>
      </c>
      <c r="C2744" s="1" t="s">
        <v>63</v>
      </c>
      <c r="D2744" s="1" t="s">
        <v>7170</v>
      </c>
      <c r="E2744" s="62">
        <v>41</v>
      </c>
      <c r="F2744" s="1" t="s">
        <v>2551</v>
      </c>
      <c r="G2744" s="1" t="s">
        <v>2571</v>
      </c>
    </row>
    <row x14ac:dyDescent="0.25" r="2745" customHeight="1" ht="17.25" hidden="1">
      <c r="A2745" s="112" t="s">
        <v>7164</v>
      </c>
      <c r="B2745" s="1" t="s">
        <v>2549</v>
      </c>
      <c r="C2745" s="1" t="s">
        <v>63</v>
      </c>
      <c r="D2745" s="1" t="s">
        <v>7171</v>
      </c>
      <c r="E2745" s="62">
        <v>19</v>
      </c>
      <c r="F2745" s="1" t="s">
        <v>2551</v>
      </c>
      <c r="G2745" s="1" t="s">
        <v>2571</v>
      </c>
    </row>
    <row x14ac:dyDescent="0.25" r="2746" customHeight="1" ht="17.25" hidden="1">
      <c r="A2746" s="112" t="s">
        <v>7164</v>
      </c>
      <c r="B2746" s="1" t="s">
        <v>2549</v>
      </c>
      <c r="C2746" s="1" t="s">
        <v>63</v>
      </c>
      <c r="D2746" s="1" t="s">
        <v>7172</v>
      </c>
      <c r="E2746" s="54" t="s">
        <v>2571</v>
      </c>
      <c r="F2746" s="1" t="s">
        <v>2551</v>
      </c>
      <c r="G2746" s="1" t="s">
        <v>2552</v>
      </c>
    </row>
    <row x14ac:dyDescent="0.25" r="2747" customHeight="1" ht="17.25" hidden="1">
      <c r="A2747" s="112" t="s">
        <v>7164</v>
      </c>
      <c r="B2747" s="1" t="s">
        <v>2549</v>
      </c>
      <c r="C2747" s="1" t="s">
        <v>63</v>
      </c>
      <c r="D2747" s="1" t="s">
        <v>7173</v>
      </c>
      <c r="E2747" s="62">
        <v>49</v>
      </c>
      <c r="F2747" s="1" t="s">
        <v>2551</v>
      </c>
      <c r="G2747" s="1" t="s">
        <v>2558</v>
      </c>
    </row>
    <row x14ac:dyDescent="0.25" r="2748" customHeight="1" ht="17.25" hidden="1">
      <c r="A2748" s="112" t="s">
        <v>7174</v>
      </c>
      <c r="B2748" s="1" t="s">
        <v>2549</v>
      </c>
      <c r="C2748" s="1" t="s">
        <v>64</v>
      </c>
      <c r="D2748" s="1" t="s">
        <v>7175</v>
      </c>
      <c r="E2748" s="62">
        <v>27</v>
      </c>
      <c r="F2748" s="1" t="s">
        <v>2551</v>
      </c>
      <c r="G2748" s="1" t="s">
        <v>2558</v>
      </c>
    </row>
    <row x14ac:dyDescent="0.25" r="2749" customHeight="1" ht="17.25" hidden="1">
      <c r="A2749" s="112" t="s">
        <v>7174</v>
      </c>
      <c r="B2749" s="1" t="s">
        <v>2549</v>
      </c>
      <c r="C2749" s="1" t="s">
        <v>64</v>
      </c>
      <c r="D2749" s="1" t="s">
        <v>7176</v>
      </c>
      <c r="E2749" s="62">
        <v>31</v>
      </c>
      <c r="F2749" s="1" t="s">
        <v>2551</v>
      </c>
      <c r="G2749" s="1" t="s">
        <v>2555</v>
      </c>
    </row>
    <row x14ac:dyDescent="0.25" r="2750" customHeight="1" ht="17.25" hidden="1">
      <c r="A2750" s="112" t="s">
        <v>7177</v>
      </c>
      <c r="B2750" s="1" t="s">
        <v>2549</v>
      </c>
      <c r="C2750" s="1" t="s">
        <v>64</v>
      </c>
      <c r="D2750" s="1" t="s">
        <v>7178</v>
      </c>
      <c r="E2750" s="62">
        <v>24</v>
      </c>
      <c r="F2750" s="1" t="s">
        <v>2551</v>
      </c>
      <c r="G2750" s="1" t="s">
        <v>2552</v>
      </c>
    </row>
    <row x14ac:dyDescent="0.25" r="2751" customHeight="1" ht="17.25" hidden="1">
      <c r="A2751" s="112" t="s">
        <v>2517</v>
      </c>
      <c r="B2751" s="1" t="s">
        <v>2549</v>
      </c>
      <c r="C2751" s="1" t="s">
        <v>64</v>
      </c>
      <c r="D2751" s="1" t="s">
        <v>7179</v>
      </c>
      <c r="E2751" s="62">
        <v>20</v>
      </c>
      <c r="F2751" s="1" t="s">
        <v>2551</v>
      </c>
      <c r="G2751" s="1" t="s">
        <v>2555</v>
      </c>
    </row>
    <row x14ac:dyDescent="0.25" r="2752" customHeight="1" ht="17.25" hidden="1">
      <c r="A2752" s="112" t="s">
        <v>7180</v>
      </c>
      <c r="B2752" s="1" t="s">
        <v>2549</v>
      </c>
      <c r="C2752" s="1" t="s">
        <v>64</v>
      </c>
      <c r="D2752" s="1" t="s">
        <v>7181</v>
      </c>
      <c r="E2752" s="62">
        <v>21</v>
      </c>
      <c r="F2752" s="1" t="s">
        <v>2551</v>
      </c>
      <c r="G2752" s="1" t="s">
        <v>2552</v>
      </c>
    </row>
    <row x14ac:dyDescent="0.25" r="2753" customHeight="1" ht="17.25" hidden="1">
      <c r="A2753" s="112" t="s">
        <v>7180</v>
      </c>
      <c r="B2753" s="1" t="s">
        <v>2549</v>
      </c>
      <c r="C2753" s="1" t="s">
        <v>64</v>
      </c>
      <c r="D2753" s="1" t="s">
        <v>7182</v>
      </c>
      <c r="E2753" s="62">
        <v>38</v>
      </c>
      <c r="F2753" s="1" t="s">
        <v>2551</v>
      </c>
      <c r="G2753" s="1" t="s">
        <v>2558</v>
      </c>
    </row>
    <row x14ac:dyDescent="0.25" r="2754" customHeight="1" ht="17.25" hidden="1">
      <c r="A2754" s="112" t="s">
        <v>7183</v>
      </c>
      <c r="B2754" s="1" t="s">
        <v>2549</v>
      </c>
      <c r="C2754" s="1" t="s">
        <v>64</v>
      </c>
      <c r="D2754" s="1" t="s">
        <v>7184</v>
      </c>
      <c r="E2754" s="62">
        <v>27</v>
      </c>
      <c r="F2754" s="1" t="s">
        <v>2551</v>
      </c>
      <c r="G2754" s="1" t="s">
        <v>2555</v>
      </c>
    </row>
    <row x14ac:dyDescent="0.25" r="2755" customHeight="1" ht="17.25" hidden="1">
      <c r="A2755" s="112" t="s">
        <v>7185</v>
      </c>
      <c r="B2755" s="1" t="s">
        <v>2549</v>
      </c>
      <c r="C2755" s="1" t="s">
        <v>64</v>
      </c>
      <c r="D2755" s="1" t="s">
        <v>7186</v>
      </c>
      <c r="E2755" s="62">
        <v>26</v>
      </c>
      <c r="F2755" s="1" t="s">
        <v>2551</v>
      </c>
      <c r="G2755" s="1" t="s">
        <v>2552</v>
      </c>
    </row>
    <row x14ac:dyDescent="0.25" r="2756" customHeight="1" ht="17.25" hidden="1">
      <c r="A2756" s="112" t="s">
        <v>7187</v>
      </c>
      <c r="B2756" s="1" t="s">
        <v>2549</v>
      </c>
      <c r="C2756" s="1" t="s">
        <v>64</v>
      </c>
      <c r="D2756" s="1" t="s">
        <v>7188</v>
      </c>
      <c r="E2756" s="62">
        <v>33</v>
      </c>
      <c r="F2756" s="1" t="s">
        <v>2551</v>
      </c>
      <c r="G2756" s="1" t="s">
        <v>2558</v>
      </c>
    </row>
    <row x14ac:dyDescent="0.25" r="2757" customHeight="1" ht="17.25" hidden="1">
      <c r="A2757" s="112" t="s">
        <v>7189</v>
      </c>
      <c r="B2757" s="1" t="s">
        <v>2549</v>
      </c>
      <c r="C2757" s="1" t="s">
        <v>64</v>
      </c>
      <c r="D2757" s="1" t="s">
        <v>7190</v>
      </c>
      <c r="E2757" s="62">
        <v>25</v>
      </c>
      <c r="F2757" s="1" t="s">
        <v>2551</v>
      </c>
      <c r="G2757" s="1" t="s">
        <v>2555</v>
      </c>
    </row>
    <row x14ac:dyDescent="0.25" r="2758" customHeight="1" ht="17.25" hidden="1">
      <c r="A2758" s="112" t="s">
        <v>7191</v>
      </c>
      <c r="B2758" s="1" t="s">
        <v>2549</v>
      </c>
      <c r="C2758" s="1" t="s">
        <v>64</v>
      </c>
      <c r="D2758" s="1" t="s">
        <v>7192</v>
      </c>
      <c r="E2758" s="62">
        <v>26</v>
      </c>
      <c r="F2758" s="1" t="s">
        <v>2551</v>
      </c>
      <c r="G2758" s="1" t="s">
        <v>2555</v>
      </c>
    </row>
    <row x14ac:dyDescent="0.25" r="2759" customHeight="1" ht="17.25" hidden="1">
      <c r="A2759" s="112" t="s">
        <v>7193</v>
      </c>
      <c r="B2759" s="1" t="s">
        <v>2549</v>
      </c>
      <c r="C2759" s="1" t="s">
        <v>64</v>
      </c>
      <c r="D2759" s="1" t="s">
        <v>7194</v>
      </c>
      <c r="E2759" s="62">
        <v>19</v>
      </c>
      <c r="F2759" s="1" t="s">
        <v>2551</v>
      </c>
      <c r="G2759" s="1" t="s">
        <v>2555</v>
      </c>
    </row>
    <row x14ac:dyDescent="0.25" r="2760" customHeight="1" ht="17.25" hidden="1">
      <c r="A2760" s="112" t="s">
        <v>7195</v>
      </c>
      <c r="B2760" s="1" t="s">
        <v>2549</v>
      </c>
      <c r="C2760" s="1" t="s">
        <v>64</v>
      </c>
      <c r="D2760" s="1" t="s">
        <v>7196</v>
      </c>
      <c r="E2760" s="62">
        <v>18</v>
      </c>
      <c r="F2760" s="1" t="s">
        <v>2561</v>
      </c>
      <c r="G2760" s="1" t="s">
        <v>2555</v>
      </c>
    </row>
    <row x14ac:dyDescent="0.25" r="2761" customHeight="1" ht="17.25" hidden="1">
      <c r="A2761" s="112" t="s">
        <v>1215</v>
      </c>
      <c r="B2761" s="1" t="s">
        <v>2549</v>
      </c>
      <c r="C2761" s="1" t="s">
        <v>64</v>
      </c>
      <c r="D2761" s="1" t="s">
        <v>1216</v>
      </c>
      <c r="E2761" s="62">
        <v>19</v>
      </c>
      <c r="F2761" s="1" t="s">
        <v>2561</v>
      </c>
      <c r="G2761" s="1" t="s">
        <v>2555</v>
      </c>
    </row>
    <row x14ac:dyDescent="0.25" r="2762" customHeight="1" ht="17.25" hidden="1">
      <c r="A2762" s="112" t="s">
        <v>1215</v>
      </c>
      <c r="B2762" s="1" t="s">
        <v>2549</v>
      </c>
      <c r="C2762" s="1" t="s">
        <v>64</v>
      </c>
      <c r="D2762" s="1" t="s">
        <v>1222</v>
      </c>
      <c r="E2762" s="62">
        <v>40</v>
      </c>
      <c r="F2762" s="1" t="s">
        <v>2561</v>
      </c>
      <c r="G2762" s="1" t="s">
        <v>2552</v>
      </c>
    </row>
    <row x14ac:dyDescent="0.25" r="2763" customHeight="1" ht="17.25" hidden="1">
      <c r="A2763" s="112" t="s">
        <v>1215</v>
      </c>
      <c r="B2763" s="1" t="s">
        <v>2549</v>
      </c>
      <c r="C2763" s="1" t="s">
        <v>64</v>
      </c>
      <c r="D2763" s="1" t="s">
        <v>1580</v>
      </c>
      <c r="E2763" s="62">
        <v>36</v>
      </c>
      <c r="F2763" s="1" t="s">
        <v>2551</v>
      </c>
      <c r="G2763" s="1" t="s">
        <v>2558</v>
      </c>
    </row>
    <row x14ac:dyDescent="0.25" r="2764" customHeight="1" ht="17.25" hidden="1">
      <c r="A2764" s="112" t="s">
        <v>7197</v>
      </c>
      <c r="B2764" s="1" t="s">
        <v>2549</v>
      </c>
      <c r="C2764" s="1" t="s">
        <v>64</v>
      </c>
      <c r="D2764" s="1" t="s">
        <v>7198</v>
      </c>
      <c r="E2764" s="62">
        <v>29</v>
      </c>
      <c r="F2764" s="1" t="s">
        <v>2551</v>
      </c>
      <c r="G2764" s="1" t="s">
        <v>2552</v>
      </c>
    </row>
    <row x14ac:dyDescent="0.25" r="2765" customHeight="1" ht="17.25" hidden="1">
      <c r="A2765" s="112" t="s">
        <v>7199</v>
      </c>
      <c r="B2765" s="1" t="s">
        <v>2549</v>
      </c>
      <c r="C2765" s="1" t="s">
        <v>64</v>
      </c>
      <c r="D2765" s="1" t="s">
        <v>7200</v>
      </c>
      <c r="E2765" s="62">
        <v>24</v>
      </c>
      <c r="F2765" s="1" t="s">
        <v>2551</v>
      </c>
      <c r="G2765" s="1" t="s">
        <v>2552</v>
      </c>
    </row>
    <row x14ac:dyDescent="0.25" r="2766" customHeight="1" ht="17.25" hidden="1">
      <c r="A2766" s="112" t="s">
        <v>7201</v>
      </c>
      <c r="B2766" s="1" t="s">
        <v>2549</v>
      </c>
      <c r="C2766" s="1" t="s">
        <v>64</v>
      </c>
      <c r="D2766" s="1" t="s">
        <v>7202</v>
      </c>
      <c r="E2766" s="62">
        <v>26</v>
      </c>
      <c r="F2766" s="1" t="s">
        <v>2551</v>
      </c>
      <c r="G2766" s="1" t="s">
        <v>2552</v>
      </c>
    </row>
    <row x14ac:dyDescent="0.25" r="2767" customHeight="1" ht="17.25" hidden="1">
      <c r="A2767" s="112" t="s">
        <v>7203</v>
      </c>
      <c r="B2767" s="1" t="s">
        <v>2549</v>
      </c>
      <c r="C2767" s="1" t="s">
        <v>64</v>
      </c>
      <c r="D2767" s="1" t="s">
        <v>7204</v>
      </c>
      <c r="E2767" s="62">
        <v>22</v>
      </c>
      <c r="F2767" s="1" t="s">
        <v>2551</v>
      </c>
      <c r="G2767" s="1" t="s">
        <v>2552</v>
      </c>
    </row>
    <row x14ac:dyDescent="0.25" r="2768" customHeight="1" ht="17.25" hidden="1">
      <c r="A2768" s="112" t="s">
        <v>2300</v>
      </c>
      <c r="B2768" s="1" t="s">
        <v>2549</v>
      </c>
      <c r="C2768" s="1" t="s">
        <v>64</v>
      </c>
      <c r="D2768" s="1" t="s">
        <v>2301</v>
      </c>
      <c r="E2768" s="62">
        <v>23</v>
      </c>
      <c r="F2768" s="1" t="s">
        <v>2551</v>
      </c>
      <c r="G2768" s="1" t="s">
        <v>2555</v>
      </c>
    </row>
    <row x14ac:dyDescent="0.25" r="2769" customHeight="1" ht="17.25" hidden="1">
      <c r="A2769" s="112" t="s">
        <v>7205</v>
      </c>
      <c r="B2769" s="1" t="s">
        <v>2549</v>
      </c>
      <c r="C2769" s="1" t="s">
        <v>64</v>
      </c>
      <c r="D2769" s="1" t="s">
        <v>7206</v>
      </c>
      <c r="E2769" s="62">
        <v>36</v>
      </c>
      <c r="F2769" s="1" t="s">
        <v>2551</v>
      </c>
      <c r="G2769" s="1" t="s">
        <v>2552</v>
      </c>
    </row>
    <row x14ac:dyDescent="0.25" r="2770" customHeight="1" ht="17.25" hidden="1">
      <c r="A2770" s="112" t="s">
        <v>7207</v>
      </c>
      <c r="B2770" s="1" t="s">
        <v>2549</v>
      </c>
      <c r="C2770" s="1" t="s">
        <v>64</v>
      </c>
      <c r="D2770" s="1" t="s">
        <v>7208</v>
      </c>
      <c r="E2770" s="62">
        <v>34</v>
      </c>
      <c r="F2770" s="1" t="s">
        <v>2551</v>
      </c>
      <c r="G2770" s="1" t="s">
        <v>2552</v>
      </c>
    </row>
    <row x14ac:dyDescent="0.25" r="2771" customHeight="1" ht="17.25" hidden="1">
      <c r="A2771" s="112" t="s">
        <v>7209</v>
      </c>
      <c r="B2771" s="1" t="s">
        <v>2549</v>
      </c>
      <c r="C2771" s="1" t="s">
        <v>64</v>
      </c>
      <c r="D2771" s="1" t="s">
        <v>7210</v>
      </c>
      <c r="E2771" s="54" t="s">
        <v>2571</v>
      </c>
      <c r="F2771" s="1" t="s">
        <v>2551</v>
      </c>
      <c r="G2771" s="1" t="s">
        <v>2555</v>
      </c>
    </row>
    <row x14ac:dyDescent="0.25" r="2772" customHeight="1" ht="17.25" hidden="1">
      <c r="A2772" s="112" t="s">
        <v>7211</v>
      </c>
      <c r="B2772" s="1" t="s">
        <v>2549</v>
      </c>
      <c r="C2772" s="1" t="s">
        <v>64</v>
      </c>
      <c r="D2772" s="1" t="s">
        <v>7212</v>
      </c>
      <c r="E2772" s="62">
        <v>19</v>
      </c>
      <c r="F2772" s="1" t="s">
        <v>2551</v>
      </c>
      <c r="G2772" s="1" t="s">
        <v>2552</v>
      </c>
    </row>
    <row x14ac:dyDescent="0.25" r="2773" customHeight="1" ht="17.25" hidden="1">
      <c r="A2773" s="112" t="s">
        <v>7213</v>
      </c>
      <c r="B2773" s="1" t="s">
        <v>2549</v>
      </c>
      <c r="C2773" s="1" t="s">
        <v>64</v>
      </c>
      <c r="D2773" s="1" t="s">
        <v>7214</v>
      </c>
      <c r="E2773" s="62">
        <v>23</v>
      </c>
      <c r="F2773" s="1" t="s">
        <v>2551</v>
      </c>
      <c r="G2773" s="1" t="s">
        <v>2555</v>
      </c>
    </row>
    <row x14ac:dyDescent="0.25" r="2774" customHeight="1" ht="17.25" hidden="1">
      <c r="A2774" s="112" t="s">
        <v>7215</v>
      </c>
      <c r="B2774" s="1" t="s">
        <v>2549</v>
      </c>
      <c r="C2774" s="1" t="s">
        <v>64</v>
      </c>
      <c r="D2774" s="1" t="s">
        <v>7216</v>
      </c>
      <c r="E2774" s="62">
        <v>26</v>
      </c>
      <c r="F2774" s="1" t="s">
        <v>2551</v>
      </c>
      <c r="G2774" s="1" t="s">
        <v>2552</v>
      </c>
    </row>
    <row x14ac:dyDescent="0.25" r="2775" customHeight="1" ht="17.25" hidden="1">
      <c r="A2775" s="112" t="s">
        <v>7217</v>
      </c>
      <c r="B2775" s="1" t="s">
        <v>2549</v>
      </c>
      <c r="C2775" s="1" t="s">
        <v>64</v>
      </c>
      <c r="D2775" s="1" t="s">
        <v>7218</v>
      </c>
      <c r="E2775" s="62">
        <v>54</v>
      </c>
      <c r="F2775" s="1" t="s">
        <v>2551</v>
      </c>
      <c r="G2775" s="1" t="s">
        <v>2555</v>
      </c>
    </row>
    <row x14ac:dyDescent="0.25" r="2776" customHeight="1" ht="17.25" hidden="1">
      <c r="A2776" s="112" t="s">
        <v>7219</v>
      </c>
      <c r="B2776" s="1" t="s">
        <v>2549</v>
      </c>
      <c r="C2776" s="1" t="s">
        <v>64</v>
      </c>
      <c r="D2776" s="1" t="s">
        <v>7220</v>
      </c>
      <c r="E2776" s="62">
        <v>22</v>
      </c>
      <c r="F2776" s="1" t="s">
        <v>2551</v>
      </c>
      <c r="G2776" s="1" t="s">
        <v>2552</v>
      </c>
    </row>
    <row x14ac:dyDescent="0.25" r="2777" customHeight="1" ht="17.25" hidden="1">
      <c r="A2777" s="112" t="s">
        <v>7219</v>
      </c>
      <c r="B2777" s="1" t="s">
        <v>2549</v>
      </c>
      <c r="C2777" s="1" t="s">
        <v>64</v>
      </c>
      <c r="D2777" s="1" t="s">
        <v>7221</v>
      </c>
      <c r="E2777" s="62">
        <v>34</v>
      </c>
      <c r="F2777" s="1" t="s">
        <v>2561</v>
      </c>
      <c r="G2777" s="1" t="s">
        <v>2552</v>
      </c>
    </row>
    <row x14ac:dyDescent="0.25" r="2778" customHeight="1" ht="17.25" hidden="1">
      <c r="A2778" s="112" t="s">
        <v>7222</v>
      </c>
      <c r="B2778" s="1" t="s">
        <v>2549</v>
      </c>
      <c r="C2778" s="1" t="s">
        <v>64</v>
      </c>
      <c r="D2778" s="1" t="s">
        <v>7223</v>
      </c>
      <c r="E2778" s="62">
        <v>19</v>
      </c>
      <c r="F2778" s="1" t="s">
        <v>2551</v>
      </c>
      <c r="G2778" s="1" t="s">
        <v>2552</v>
      </c>
    </row>
    <row x14ac:dyDescent="0.25" r="2779" customHeight="1" ht="17.25" hidden="1">
      <c r="A2779" s="112" t="s">
        <v>7224</v>
      </c>
      <c r="B2779" s="1" t="s">
        <v>2549</v>
      </c>
      <c r="C2779" s="1" t="s">
        <v>64</v>
      </c>
      <c r="D2779" s="1" t="s">
        <v>7225</v>
      </c>
      <c r="E2779" s="62">
        <v>28</v>
      </c>
      <c r="F2779" s="1" t="s">
        <v>2551</v>
      </c>
      <c r="G2779" s="1" t="s">
        <v>2552</v>
      </c>
    </row>
    <row x14ac:dyDescent="0.25" r="2780" customHeight="1" ht="17.25" hidden="1">
      <c r="A2780" s="112" t="s">
        <v>7226</v>
      </c>
      <c r="B2780" s="1" t="s">
        <v>2549</v>
      </c>
      <c r="C2780" s="1" t="s">
        <v>64</v>
      </c>
      <c r="D2780" s="1" t="s">
        <v>7227</v>
      </c>
      <c r="E2780" s="62">
        <v>60</v>
      </c>
      <c r="F2780" s="1" t="s">
        <v>2551</v>
      </c>
      <c r="G2780" s="1" t="s">
        <v>2555</v>
      </c>
    </row>
    <row x14ac:dyDescent="0.25" r="2781" customHeight="1" ht="17.25" hidden="1">
      <c r="A2781" s="112" t="s">
        <v>7226</v>
      </c>
      <c r="B2781" s="1" t="s">
        <v>2549</v>
      </c>
      <c r="C2781" s="1" t="s">
        <v>64</v>
      </c>
      <c r="D2781" s="1" t="s">
        <v>7228</v>
      </c>
      <c r="E2781" s="62">
        <v>56</v>
      </c>
      <c r="F2781" s="1" t="s">
        <v>2551</v>
      </c>
      <c r="G2781" s="1" t="s">
        <v>2555</v>
      </c>
    </row>
    <row x14ac:dyDescent="0.25" r="2782" customHeight="1" ht="17.25" hidden="1">
      <c r="A2782" s="112" t="s">
        <v>7229</v>
      </c>
      <c r="B2782" s="1" t="s">
        <v>2549</v>
      </c>
      <c r="C2782" s="1" t="s">
        <v>64</v>
      </c>
      <c r="D2782" s="1" t="s">
        <v>7230</v>
      </c>
      <c r="E2782" s="62">
        <v>18</v>
      </c>
      <c r="F2782" s="1" t="s">
        <v>2551</v>
      </c>
      <c r="G2782" s="1" t="s">
        <v>2555</v>
      </c>
    </row>
    <row x14ac:dyDescent="0.25" r="2783" customHeight="1" ht="17.25" hidden="1">
      <c r="A2783" s="112" t="s">
        <v>1259</v>
      </c>
      <c r="B2783" s="1" t="s">
        <v>2549</v>
      </c>
      <c r="C2783" s="1" t="s">
        <v>64</v>
      </c>
      <c r="D2783" s="1" t="s">
        <v>7231</v>
      </c>
      <c r="E2783" s="62">
        <v>22</v>
      </c>
      <c r="F2783" s="1" t="s">
        <v>2551</v>
      </c>
      <c r="G2783" s="1" t="s">
        <v>2552</v>
      </c>
    </row>
    <row x14ac:dyDescent="0.25" r="2784" customHeight="1" ht="17.25" hidden="1">
      <c r="A2784" s="112" t="s">
        <v>1259</v>
      </c>
      <c r="B2784" s="1" t="s">
        <v>2549</v>
      </c>
      <c r="C2784" s="1" t="s">
        <v>64</v>
      </c>
      <c r="D2784" s="1" t="s">
        <v>1260</v>
      </c>
      <c r="E2784" s="62">
        <v>21</v>
      </c>
      <c r="F2784" s="1" t="s">
        <v>2551</v>
      </c>
      <c r="G2784" s="1" t="s">
        <v>4578</v>
      </c>
    </row>
    <row x14ac:dyDescent="0.25" r="2785" customHeight="1" ht="17.25" hidden="1">
      <c r="A2785" s="112" t="s">
        <v>1259</v>
      </c>
      <c r="B2785" s="1" t="s">
        <v>2549</v>
      </c>
      <c r="C2785" s="1" t="s">
        <v>64</v>
      </c>
      <c r="D2785" s="1" t="s">
        <v>1267</v>
      </c>
      <c r="E2785" s="62">
        <v>19</v>
      </c>
      <c r="F2785" s="1" t="s">
        <v>2551</v>
      </c>
      <c r="G2785" s="1" t="s">
        <v>2552</v>
      </c>
    </row>
    <row x14ac:dyDescent="0.25" r="2786" customHeight="1" ht="17.25" hidden="1">
      <c r="A2786" s="112" t="s">
        <v>7232</v>
      </c>
      <c r="B2786" s="1" t="s">
        <v>2549</v>
      </c>
      <c r="C2786" s="1" t="s">
        <v>64</v>
      </c>
      <c r="D2786" s="1" t="s">
        <v>7233</v>
      </c>
      <c r="E2786" s="62">
        <v>18</v>
      </c>
      <c r="F2786" s="1" t="s">
        <v>2551</v>
      </c>
      <c r="G2786" s="1" t="s">
        <v>2555</v>
      </c>
    </row>
    <row x14ac:dyDescent="0.25" r="2787" customHeight="1" ht="17.25" hidden="1">
      <c r="A2787" s="112" t="s">
        <v>7234</v>
      </c>
      <c r="B2787" s="1" t="s">
        <v>2549</v>
      </c>
      <c r="C2787" s="1" t="s">
        <v>64</v>
      </c>
      <c r="D2787" s="1" t="s">
        <v>7235</v>
      </c>
      <c r="E2787" s="62">
        <v>35</v>
      </c>
      <c r="F2787" s="1" t="s">
        <v>2551</v>
      </c>
      <c r="G2787" s="1" t="s">
        <v>2552</v>
      </c>
    </row>
    <row x14ac:dyDescent="0.25" r="2788" customHeight="1" ht="17.25" hidden="1">
      <c r="A2788" s="112" t="s">
        <v>7236</v>
      </c>
      <c r="B2788" s="1" t="s">
        <v>2549</v>
      </c>
      <c r="C2788" s="1" t="s">
        <v>64</v>
      </c>
      <c r="D2788" s="1" t="s">
        <v>7237</v>
      </c>
      <c r="E2788" s="54" t="s">
        <v>2571</v>
      </c>
      <c r="F2788" s="1" t="s">
        <v>2551</v>
      </c>
      <c r="G2788" s="1" t="s">
        <v>2552</v>
      </c>
    </row>
    <row x14ac:dyDescent="0.25" r="2789" customHeight="1" ht="17.25" hidden="1">
      <c r="A2789" s="112" t="s">
        <v>7238</v>
      </c>
      <c r="B2789" s="1" t="s">
        <v>2549</v>
      </c>
      <c r="C2789" s="1" t="s">
        <v>64</v>
      </c>
      <c r="D2789" s="1" t="s">
        <v>7239</v>
      </c>
      <c r="E2789" s="62">
        <v>18</v>
      </c>
      <c r="F2789" s="1" t="s">
        <v>2551</v>
      </c>
      <c r="G2789" s="1" t="s">
        <v>2555</v>
      </c>
    </row>
    <row x14ac:dyDescent="0.25" r="2790" customHeight="1" ht="17.25" hidden="1">
      <c r="A2790" s="112" t="s">
        <v>7238</v>
      </c>
      <c r="B2790" s="1" t="s">
        <v>2549</v>
      </c>
      <c r="C2790" s="1" t="s">
        <v>64</v>
      </c>
      <c r="D2790" s="1" t="s">
        <v>7240</v>
      </c>
      <c r="E2790" s="62">
        <v>28</v>
      </c>
      <c r="F2790" s="1" t="s">
        <v>2551</v>
      </c>
      <c r="G2790" s="1" t="s">
        <v>2552</v>
      </c>
    </row>
    <row x14ac:dyDescent="0.25" r="2791" customHeight="1" ht="17.25" hidden="1">
      <c r="A2791" s="112" t="s">
        <v>7241</v>
      </c>
      <c r="B2791" s="1" t="s">
        <v>2549</v>
      </c>
      <c r="C2791" s="1" t="s">
        <v>64</v>
      </c>
      <c r="D2791" s="1" t="s">
        <v>7242</v>
      </c>
      <c r="E2791" s="62">
        <v>22</v>
      </c>
      <c r="F2791" s="1" t="s">
        <v>2551</v>
      </c>
      <c r="G2791" s="1" t="s">
        <v>2555</v>
      </c>
    </row>
    <row x14ac:dyDescent="0.25" r="2792" customHeight="1" ht="17.25" hidden="1">
      <c r="A2792" s="112" t="s">
        <v>7243</v>
      </c>
      <c r="B2792" s="1" t="s">
        <v>2549</v>
      </c>
      <c r="C2792" s="1" t="s">
        <v>64</v>
      </c>
      <c r="D2792" s="1" t="s">
        <v>7244</v>
      </c>
      <c r="E2792" s="62">
        <v>22</v>
      </c>
      <c r="F2792" s="1" t="s">
        <v>2551</v>
      </c>
      <c r="G2792" s="1" t="s">
        <v>2552</v>
      </c>
    </row>
    <row x14ac:dyDescent="0.25" r="2793" customHeight="1" ht="17.25" hidden="1">
      <c r="A2793" s="112" t="s">
        <v>7245</v>
      </c>
      <c r="B2793" s="1" t="s">
        <v>2549</v>
      </c>
      <c r="C2793" s="1" t="s">
        <v>64</v>
      </c>
      <c r="D2793" s="1" t="s">
        <v>7246</v>
      </c>
      <c r="E2793" s="62">
        <v>27</v>
      </c>
      <c r="F2793" s="1" t="s">
        <v>2551</v>
      </c>
      <c r="G2793" s="1" t="s">
        <v>2552</v>
      </c>
    </row>
    <row x14ac:dyDescent="0.25" r="2794" customHeight="1" ht="17.25" hidden="1">
      <c r="A2794" s="112" t="s">
        <v>7247</v>
      </c>
      <c r="B2794" s="1" t="s">
        <v>2549</v>
      </c>
      <c r="C2794" s="1" t="s">
        <v>64</v>
      </c>
      <c r="D2794" s="1" t="s">
        <v>7248</v>
      </c>
      <c r="E2794" s="62">
        <v>23</v>
      </c>
      <c r="F2794" s="1" t="s">
        <v>2551</v>
      </c>
      <c r="G2794" s="1" t="s">
        <v>2555</v>
      </c>
    </row>
    <row x14ac:dyDescent="0.25" r="2795" customHeight="1" ht="17.25" hidden="1">
      <c r="A2795" s="112" t="s">
        <v>7249</v>
      </c>
      <c r="B2795" s="1" t="s">
        <v>2549</v>
      </c>
      <c r="C2795" s="1" t="s">
        <v>64</v>
      </c>
      <c r="D2795" s="1" t="s">
        <v>7250</v>
      </c>
      <c r="E2795" s="62">
        <v>19</v>
      </c>
      <c r="F2795" s="1" t="s">
        <v>2551</v>
      </c>
      <c r="G2795" s="1" t="s">
        <v>2552</v>
      </c>
    </row>
    <row x14ac:dyDescent="0.25" r="2796" customHeight="1" ht="17.25" hidden="1">
      <c r="A2796" s="112" t="s">
        <v>7251</v>
      </c>
      <c r="B2796" s="1" t="s">
        <v>2549</v>
      </c>
      <c r="C2796" s="1" t="s">
        <v>64</v>
      </c>
      <c r="D2796" s="1" t="s">
        <v>7252</v>
      </c>
      <c r="E2796" s="54" t="s">
        <v>2571</v>
      </c>
      <c r="F2796" s="1" t="s">
        <v>2551</v>
      </c>
      <c r="G2796" s="1" t="s">
        <v>2558</v>
      </c>
    </row>
    <row x14ac:dyDescent="0.25" r="2797" customHeight="1" ht="17.25" hidden="1">
      <c r="A2797" s="112" t="s">
        <v>7251</v>
      </c>
      <c r="B2797" s="1" t="s">
        <v>2549</v>
      </c>
      <c r="C2797" s="1" t="s">
        <v>64</v>
      </c>
      <c r="D2797" s="1" t="s">
        <v>7253</v>
      </c>
      <c r="E2797" s="62">
        <v>39</v>
      </c>
      <c r="F2797" s="1" t="s">
        <v>2551</v>
      </c>
      <c r="G2797" s="1" t="s">
        <v>2552</v>
      </c>
    </row>
    <row x14ac:dyDescent="0.25" r="2798" customHeight="1" ht="17.25" hidden="1">
      <c r="A2798" s="112" t="s">
        <v>7251</v>
      </c>
      <c r="B2798" s="1" t="s">
        <v>2549</v>
      </c>
      <c r="C2798" s="1" t="s">
        <v>64</v>
      </c>
      <c r="D2798" s="1" t="s">
        <v>7254</v>
      </c>
      <c r="E2798" s="54" t="s">
        <v>2571</v>
      </c>
      <c r="F2798" s="1" t="s">
        <v>2551</v>
      </c>
      <c r="G2798" s="1" t="s">
        <v>2552</v>
      </c>
    </row>
    <row x14ac:dyDescent="0.25" r="2799" customHeight="1" ht="17.25" hidden="1">
      <c r="A2799" s="112" t="s">
        <v>7255</v>
      </c>
      <c r="B2799" s="1" t="s">
        <v>2549</v>
      </c>
      <c r="C2799" s="1" t="s">
        <v>64</v>
      </c>
      <c r="D2799" s="1" t="s">
        <v>7256</v>
      </c>
      <c r="E2799" s="62">
        <v>20</v>
      </c>
      <c r="F2799" s="1" t="s">
        <v>2551</v>
      </c>
      <c r="G2799" s="1" t="s">
        <v>2552</v>
      </c>
    </row>
    <row x14ac:dyDescent="0.25" r="2800" customHeight="1" ht="17.25" hidden="1">
      <c r="A2800" s="112" t="s">
        <v>7257</v>
      </c>
      <c r="B2800" s="1" t="s">
        <v>2549</v>
      </c>
      <c r="C2800" s="1" t="s">
        <v>64</v>
      </c>
      <c r="D2800" s="1" t="s">
        <v>7258</v>
      </c>
      <c r="E2800" s="62">
        <v>21</v>
      </c>
      <c r="F2800" s="1" t="s">
        <v>2551</v>
      </c>
      <c r="G2800" s="1" t="s">
        <v>2555</v>
      </c>
    </row>
    <row x14ac:dyDescent="0.25" r="2801" customHeight="1" ht="17.25" hidden="1">
      <c r="A2801" s="112" t="s">
        <v>7257</v>
      </c>
      <c r="B2801" s="1" t="s">
        <v>2549</v>
      </c>
      <c r="C2801" s="1" t="s">
        <v>64</v>
      </c>
      <c r="D2801" s="1" t="s">
        <v>7259</v>
      </c>
      <c r="E2801" s="62">
        <v>18</v>
      </c>
      <c r="F2801" s="1" t="s">
        <v>2561</v>
      </c>
      <c r="G2801" s="1" t="s">
        <v>2555</v>
      </c>
    </row>
    <row x14ac:dyDescent="0.25" r="2802" customHeight="1" ht="17.25" hidden="1">
      <c r="A2802" s="112" t="s">
        <v>7257</v>
      </c>
      <c r="B2802" s="1" t="s">
        <v>2549</v>
      </c>
      <c r="C2802" s="1" t="s">
        <v>64</v>
      </c>
      <c r="D2802" s="1" t="s">
        <v>7260</v>
      </c>
      <c r="E2802" s="62">
        <v>20</v>
      </c>
      <c r="F2802" s="1" t="s">
        <v>2561</v>
      </c>
      <c r="G2802" s="1" t="s">
        <v>2558</v>
      </c>
    </row>
    <row x14ac:dyDescent="0.25" r="2803" customHeight="1" ht="17.25" hidden="1">
      <c r="A2803" s="112" t="s">
        <v>7257</v>
      </c>
      <c r="B2803" s="1" t="s">
        <v>2549</v>
      </c>
      <c r="C2803" s="1" t="s">
        <v>64</v>
      </c>
      <c r="D2803" s="1" t="s">
        <v>7261</v>
      </c>
      <c r="E2803" s="62">
        <v>28</v>
      </c>
      <c r="F2803" s="1" t="s">
        <v>2551</v>
      </c>
      <c r="G2803" s="1" t="s">
        <v>2555</v>
      </c>
    </row>
    <row x14ac:dyDescent="0.25" r="2804" customHeight="1" ht="17.25" hidden="1">
      <c r="A2804" s="112" t="s">
        <v>7257</v>
      </c>
      <c r="B2804" s="1" t="s">
        <v>2549</v>
      </c>
      <c r="C2804" s="1" t="s">
        <v>64</v>
      </c>
      <c r="D2804" s="1" t="s">
        <v>7262</v>
      </c>
      <c r="E2804" s="62">
        <v>18</v>
      </c>
      <c r="F2804" s="1" t="s">
        <v>2551</v>
      </c>
      <c r="G2804" s="1" t="s">
        <v>2558</v>
      </c>
    </row>
    <row x14ac:dyDescent="0.25" r="2805" customHeight="1" ht="17.25" hidden="1">
      <c r="A2805" s="112" t="s">
        <v>7263</v>
      </c>
      <c r="B2805" s="1" t="s">
        <v>2549</v>
      </c>
      <c r="C2805" s="1" t="s">
        <v>64</v>
      </c>
      <c r="D2805" s="1" t="s">
        <v>7264</v>
      </c>
      <c r="E2805" s="62">
        <v>35</v>
      </c>
      <c r="F2805" s="1" t="s">
        <v>2551</v>
      </c>
      <c r="G2805" s="1" t="s">
        <v>2552</v>
      </c>
    </row>
    <row x14ac:dyDescent="0.25" r="2806" customHeight="1" ht="17.25" hidden="1">
      <c r="A2806" s="112" t="s">
        <v>7265</v>
      </c>
      <c r="B2806" s="1" t="s">
        <v>2549</v>
      </c>
      <c r="C2806" s="1" t="s">
        <v>64</v>
      </c>
      <c r="D2806" s="1" t="s">
        <v>7266</v>
      </c>
      <c r="E2806" s="54" t="s">
        <v>2571</v>
      </c>
      <c r="F2806" s="1" t="s">
        <v>2551</v>
      </c>
      <c r="G2806" s="1" t="s">
        <v>2571</v>
      </c>
    </row>
    <row x14ac:dyDescent="0.25" r="2807" customHeight="1" ht="17.25" hidden="1">
      <c r="A2807" s="112" t="s">
        <v>7265</v>
      </c>
      <c r="B2807" s="1" t="s">
        <v>2549</v>
      </c>
      <c r="C2807" s="1" t="s">
        <v>64</v>
      </c>
      <c r="D2807" s="1" t="s">
        <v>7267</v>
      </c>
      <c r="E2807" s="62">
        <v>30</v>
      </c>
      <c r="F2807" s="1" t="s">
        <v>2561</v>
      </c>
      <c r="G2807" s="1" t="s">
        <v>2555</v>
      </c>
    </row>
    <row x14ac:dyDescent="0.25" r="2808" customHeight="1" ht="17.25" hidden="1">
      <c r="A2808" s="112" t="s">
        <v>7268</v>
      </c>
      <c r="B2808" s="1" t="s">
        <v>2549</v>
      </c>
      <c r="C2808" s="1" t="s">
        <v>64</v>
      </c>
      <c r="D2808" s="1" t="s">
        <v>7269</v>
      </c>
      <c r="E2808" s="62">
        <v>28</v>
      </c>
      <c r="F2808" s="1" t="s">
        <v>2551</v>
      </c>
      <c r="G2808" s="1" t="s">
        <v>2552</v>
      </c>
    </row>
    <row x14ac:dyDescent="0.25" r="2809" customHeight="1" ht="17.25" hidden="1">
      <c r="A2809" s="112" t="s">
        <v>7270</v>
      </c>
      <c r="B2809" s="1" t="s">
        <v>2549</v>
      </c>
      <c r="C2809" s="1" t="s">
        <v>64</v>
      </c>
      <c r="D2809" s="1" t="s">
        <v>7271</v>
      </c>
      <c r="E2809" s="62">
        <v>20</v>
      </c>
      <c r="F2809" s="1" t="s">
        <v>2551</v>
      </c>
      <c r="G2809" s="1" t="s">
        <v>2552</v>
      </c>
    </row>
    <row x14ac:dyDescent="0.25" r="2810" customHeight="1" ht="17.25" hidden="1">
      <c r="A2810" s="112" t="s">
        <v>7272</v>
      </c>
      <c r="B2810" s="1" t="s">
        <v>2549</v>
      </c>
      <c r="C2810" s="1" t="s">
        <v>64</v>
      </c>
      <c r="D2810" s="1" t="s">
        <v>7273</v>
      </c>
      <c r="E2810" s="62">
        <v>31</v>
      </c>
      <c r="F2810" s="1" t="s">
        <v>2551</v>
      </c>
      <c r="G2810" s="1" t="s">
        <v>2552</v>
      </c>
    </row>
    <row x14ac:dyDescent="0.25" r="2811" customHeight="1" ht="17.25" hidden="1">
      <c r="A2811" s="112" t="s">
        <v>7274</v>
      </c>
      <c r="B2811" s="1" t="s">
        <v>2549</v>
      </c>
      <c r="C2811" s="1" t="s">
        <v>64</v>
      </c>
      <c r="D2811" s="1" t="s">
        <v>7275</v>
      </c>
      <c r="E2811" s="62">
        <v>19</v>
      </c>
      <c r="F2811" s="1" t="s">
        <v>2551</v>
      </c>
      <c r="G2811" s="1" t="s">
        <v>2558</v>
      </c>
    </row>
    <row x14ac:dyDescent="0.25" r="2812" customHeight="1" ht="17.25" hidden="1">
      <c r="A2812" s="112" t="s">
        <v>7276</v>
      </c>
      <c r="B2812" s="1" t="s">
        <v>2549</v>
      </c>
      <c r="C2812" s="1" t="s">
        <v>64</v>
      </c>
      <c r="D2812" s="1" t="s">
        <v>7277</v>
      </c>
      <c r="E2812" s="62">
        <v>2</v>
      </c>
      <c r="F2812" s="1" t="s">
        <v>2551</v>
      </c>
      <c r="G2812" s="1" t="s">
        <v>2552</v>
      </c>
    </row>
    <row x14ac:dyDescent="0.25" r="2813" customHeight="1" ht="17.25" hidden="1">
      <c r="A2813" s="112" t="s">
        <v>7278</v>
      </c>
      <c r="B2813" s="1" t="s">
        <v>2549</v>
      </c>
      <c r="C2813" s="1" t="s">
        <v>64</v>
      </c>
      <c r="D2813" s="1" t="s">
        <v>7279</v>
      </c>
      <c r="E2813" s="62">
        <v>26</v>
      </c>
      <c r="F2813" s="1" t="s">
        <v>2551</v>
      </c>
      <c r="G2813" s="1" t="s">
        <v>2555</v>
      </c>
    </row>
    <row x14ac:dyDescent="0.25" r="2814" customHeight="1" ht="17.25" hidden="1">
      <c r="A2814" s="112" t="s">
        <v>7280</v>
      </c>
      <c r="B2814" s="1" t="s">
        <v>2549</v>
      </c>
      <c r="C2814" s="1" t="s">
        <v>64</v>
      </c>
      <c r="D2814" s="1" t="s">
        <v>7281</v>
      </c>
      <c r="E2814" s="62">
        <v>25</v>
      </c>
      <c r="F2814" s="1" t="s">
        <v>2551</v>
      </c>
      <c r="G2814" s="1" t="s">
        <v>2552</v>
      </c>
    </row>
    <row x14ac:dyDescent="0.25" r="2815" customHeight="1" ht="17.25" hidden="1">
      <c r="A2815" s="112" t="s">
        <v>7282</v>
      </c>
      <c r="B2815" s="1" t="s">
        <v>2549</v>
      </c>
      <c r="C2815" s="1" t="s">
        <v>64</v>
      </c>
      <c r="D2815" s="1" t="s">
        <v>7283</v>
      </c>
      <c r="E2815" s="62">
        <v>21</v>
      </c>
      <c r="F2815" s="1" t="s">
        <v>2551</v>
      </c>
      <c r="G2815" s="1" t="s">
        <v>2555</v>
      </c>
    </row>
    <row x14ac:dyDescent="0.25" r="2816" customHeight="1" ht="17.25" hidden="1">
      <c r="A2816" s="112" t="s">
        <v>7284</v>
      </c>
      <c r="B2816" s="1" t="s">
        <v>2549</v>
      </c>
      <c r="C2816" s="1" t="s">
        <v>64</v>
      </c>
      <c r="D2816" s="1" t="s">
        <v>7285</v>
      </c>
      <c r="E2816" s="62">
        <v>21</v>
      </c>
      <c r="F2816" s="1" t="s">
        <v>2551</v>
      </c>
      <c r="G2816" s="1" t="s">
        <v>2555</v>
      </c>
    </row>
    <row x14ac:dyDescent="0.25" r="2817" customHeight="1" ht="17.25" hidden="1">
      <c r="A2817" s="112" t="s">
        <v>7286</v>
      </c>
      <c r="B2817" s="1" t="s">
        <v>2549</v>
      </c>
      <c r="C2817" s="1" t="s">
        <v>64</v>
      </c>
      <c r="D2817" s="1" t="s">
        <v>5524</v>
      </c>
      <c r="E2817" s="62">
        <v>33</v>
      </c>
      <c r="F2817" s="1" t="s">
        <v>2551</v>
      </c>
      <c r="G2817" s="1" t="s">
        <v>2571</v>
      </c>
    </row>
    <row x14ac:dyDescent="0.25" r="2818" customHeight="1" ht="17.25" hidden="1">
      <c r="A2818" s="112" t="s">
        <v>7287</v>
      </c>
      <c r="B2818" s="1" t="s">
        <v>2549</v>
      </c>
      <c r="C2818" s="1" t="s">
        <v>64</v>
      </c>
      <c r="D2818" s="1" t="s">
        <v>7288</v>
      </c>
      <c r="E2818" s="62">
        <v>28</v>
      </c>
      <c r="F2818" s="1" t="s">
        <v>2551</v>
      </c>
      <c r="G2818" s="1" t="s">
        <v>2555</v>
      </c>
    </row>
    <row x14ac:dyDescent="0.25" r="2819" customHeight="1" ht="17.25" hidden="1">
      <c r="A2819" s="112" t="s">
        <v>7289</v>
      </c>
      <c r="B2819" s="1" t="s">
        <v>2549</v>
      </c>
      <c r="C2819" s="1" t="s">
        <v>64</v>
      </c>
      <c r="D2819" s="1" t="s">
        <v>7290</v>
      </c>
      <c r="E2819" s="62">
        <v>23</v>
      </c>
      <c r="F2819" s="1" t="s">
        <v>2551</v>
      </c>
      <c r="G2819" s="1" t="s">
        <v>2552</v>
      </c>
    </row>
    <row x14ac:dyDescent="0.25" r="2820" customHeight="1" ht="17.25" hidden="1">
      <c r="A2820" s="112" t="s">
        <v>541</v>
      </c>
      <c r="B2820" s="1" t="s">
        <v>2549</v>
      </c>
      <c r="C2820" s="1" t="s">
        <v>64</v>
      </c>
      <c r="D2820" s="1" t="s">
        <v>543</v>
      </c>
      <c r="E2820" s="62">
        <v>37</v>
      </c>
      <c r="F2820" s="1" t="s">
        <v>2551</v>
      </c>
      <c r="G2820" s="1" t="s">
        <v>2558</v>
      </c>
    </row>
    <row x14ac:dyDescent="0.25" r="2821" customHeight="1" ht="17.25" hidden="1">
      <c r="A2821" s="112" t="s">
        <v>7291</v>
      </c>
      <c r="B2821" s="1" t="s">
        <v>2549</v>
      </c>
      <c r="C2821" s="1" t="s">
        <v>64</v>
      </c>
      <c r="D2821" s="1" t="s">
        <v>7292</v>
      </c>
      <c r="E2821" s="62">
        <v>35</v>
      </c>
      <c r="F2821" s="1" t="s">
        <v>2551</v>
      </c>
      <c r="G2821" s="1" t="s">
        <v>2555</v>
      </c>
    </row>
    <row x14ac:dyDescent="0.25" r="2822" customHeight="1" ht="17.25" hidden="1">
      <c r="A2822" s="112" t="s">
        <v>7293</v>
      </c>
      <c r="B2822" s="1" t="s">
        <v>2549</v>
      </c>
      <c r="C2822" s="1" t="s">
        <v>64</v>
      </c>
      <c r="D2822" s="1" t="s">
        <v>7294</v>
      </c>
      <c r="E2822" s="62">
        <v>27</v>
      </c>
      <c r="F2822" s="1" t="s">
        <v>2551</v>
      </c>
      <c r="G2822" s="1" t="s">
        <v>2552</v>
      </c>
    </row>
    <row x14ac:dyDescent="0.25" r="2823" customHeight="1" ht="17.25" hidden="1">
      <c r="A2823" s="112" t="s">
        <v>7295</v>
      </c>
      <c r="B2823" s="1" t="s">
        <v>2549</v>
      </c>
      <c r="C2823" s="1" t="s">
        <v>64</v>
      </c>
      <c r="D2823" s="1" t="s">
        <v>7296</v>
      </c>
      <c r="E2823" s="62">
        <v>27</v>
      </c>
      <c r="F2823" s="1" t="s">
        <v>2551</v>
      </c>
      <c r="G2823" s="1" t="s">
        <v>2552</v>
      </c>
    </row>
    <row x14ac:dyDescent="0.25" r="2824" customHeight="1" ht="17.25" hidden="1">
      <c r="A2824" s="112" t="s">
        <v>7297</v>
      </c>
      <c r="B2824" s="1" t="s">
        <v>2549</v>
      </c>
      <c r="C2824" s="1" t="s">
        <v>64</v>
      </c>
      <c r="D2824" s="1" t="s">
        <v>7298</v>
      </c>
      <c r="E2824" s="62">
        <v>22</v>
      </c>
      <c r="F2824" s="1" t="s">
        <v>2551</v>
      </c>
      <c r="G2824" s="1" t="s">
        <v>2555</v>
      </c>
    </row>
    <row x14ac:dyDescent="0.25" r="2825" customHeight="1" ht="17.25" hidden="1">
      <c r="A2825" s="112" t="s">
        <v>7297</v>
      </c>
      <c r="B2825" s="1" t="s">
        <v>2549</v>
      </c>
      <c r="C2825" s="1" t="s">
        <v>64</v>
      </c>
      <c r="D2825" s="1" t="s">
        <v>7299</v>
      </c>
      <c r="E2825" s="62">
        <v>29</v>
      </c>
      <c r="F2825" s="1" t="s">
        <v>2551</v>
      </c>
      <c r="G2825" s="1" t="s">
        <v>2555</v>
      </c>
    </row>
    <row x14ac:dyDescent="0.25" r="2826" customHeight="1" ht="17.25" hidden="1">
      <c r="A2826" s="112" t="s">
        <v>530</v>
      </c>
      <c r="B2826" s="1" t="s">
        <v>2549</v>
      </c>
      <c r="C2826" s="1" t="s">
        <v>64</v>
      </c>
      <c r="D2826" s="1" t="s">
        <v>7300</v>
      </c>
      <c r="E2826" s="62">
        <v>18</v>
      </c>
      <c r="F2826" s="1" t="s">
        <v>2551</v>
      </c>
      <c r="G2826" s="1" t="s">
        <v>2552</v>
      </c>
    </row>
    <row x14ac:dyDescent="0.25" r="2827" customHeight="1" ht="17.25" hidden="1">
      <c r="A2827" s="112" t="s">
        <v>530</v>
      </c>
      <c r="B2827" s="1" t="s">
        <v>2549</v>
      </c>
      <c r="C2827" s="1" t="s">
        <v>64</v>
      </c>
      <c r="D2827" s="1" t="s">
        <v>2279</v>
      </c>
      <c r="E2827" s="62">
        <v>27</v>
      </c>
      <c r="F2827" s="1" t="s">
        <v>2551</v>
      </c>
      <c r="G2827" s="1" t="s">
        <v>2555</v>
      </c>
    </row>
    <row x14ac:dyDescent="0.25" r="2828" customHeight="1" ht="17.25" hidden="1">
      <c r="A2828" s="112" t="s">
        <v>7301</v>
      </c>
      <c r="B2828" s="1" t="s">
        <v>2549</v>
      </c>
      <c r="C2828" s="1" t="s">
        <v>64</v>
      </c>
      <c r="D2828" s="1" t="s">
        <v>7302</v>
      </c>
      <c r="E2828" s="62">
        <v>25</v>
      </c>
      <c r="F2828" s="1" t="s">
        <v>2551</v>
      </c>
      <c r="G2828" s="1" t="s">
        <v>2552</v>
      </c>
    </row>
    <row x14ac:dyDescent="0.25" r="2829" customHeight="1" ht="17.25" hidden="1">
      <c r="A2829" s="112" t="s">
        <v>7303</v>
      </c>
      <c r="B2829" s="1" t="s">
        <v>2549</v>
      </c>
      <c r="C2829" s="1" t="s">
        <v>64</v>
      </c>
      <c r="D2829" s="1" t="s">
        <v>7304</v>
      </c>
      <c r="E2829" s="62">
        <v>28</v>
      </c>
      <c r="F2829" s="1" t="s">
        <v>2551</v>
      </c>
      <c r="G2829" s="1" t="s">
        <v>2555</v>
      </c>
    </row>
    <row x14ac:dyDescent="0.25" r="2830" customHeight="1" ht="17.25" hidden="1">
      <c r="A2830" s="112" t="s">
        <v>7305</v>
      </c>
      <c r="B2830" s="1" t="s">
        <v>2549</v>
      </c>
      <c r="C2830" s="1" t="s">
        <v>64</v>
      </c>
      <c r="D2830" s="1" t="s">
        <v>7306</v>
      </c>
      <c r="E2830" s="62">
        <v>20</v>
      </c>
      <c r="F2830" s="1" t="s">
        <v>2551</v>
      </c>
      <c r="G2830" s="1" t="s">
        <v>2552</v>
      </c>
    </row>
    <row x14ac:dyDescent="0.25" r="2831" customHeight="1" ht="17.25" hidden="1">
      <c r="A2831" s="112" t="s">
        <v>7307</v>
      </c>
      <c r="B2831" s="1" t="s">
        <v>2549</v>
      </c>
      <c r="C2831" s="1" t="s">
        <v>64</v>
      </c>
      <c r="D2831" s="1" t="s">
        <v>7308</v>
      </c>
      <c r="E2831" s="62">
        <v>35</v>
      </c>
      <c r="F2831" s="1" t="s">
        <v>2551</v>
      </c>
      <c r="G2831" s="1" t="s">
        <v>2552</v>
      </c>
    </row>
    <row x14ac:dyDescent="0.25" r="2832" customHeight="1" ht="17.25" hidden="1">
      <c r="A2832" s="112" t="s">
        <v>7309</v>
      </c>
      <c r="B2832" s="1" t="s">
        <v>2549</v>
      </c>
      <c r="C2832" s="1" t="s">
        <v>64</v>
      </c>
      <c r="D2832" s="1" t="s">
        <v>7310</v>
      </c>
      <c r="E2832" s="62">
        <v>24</v>
      </c>
      <c r="F2832" s="1" t="s">
        <v>2551</v>
      </c>
      <c r="G2832" s="1" t="s">
        <v>2558</v>
      </c>
    </row>
    <row x14ac:dyDescent="0.25" r="2833" customHeight="1" ht="17.25" hidden="1">
      <c r="A2833" s="112" t="s">
        <v>7309</v>
      </c>
      <c r="B2833" s="1" t="s">
        <v>2549</v>
      </c>
      <c r="C2833" s="1" t="s">
        <v>64</v>
      </c>
      <c r="D2833" s="1" t="s">
        <v>7311</v>
      </c>
      <c r="E2833" s="62">
        <v>24</v>
      </c>
      <c r="F2833" s="1" t="s">
        <v>2551</v>
      </c>
      <c r="G2833" s="1" t="s">
        <v>2555</v>
      </c>
    </row>
    <row x14ac:dyDescent="0.25" r="2834" customHeight="1" ht="17.25" hidden="1">
      <c r="A2834" s="112" t="s">
        <v>7309</v>
      </c>
      <c r="B2834" s="1" t="s">
        <v>2549</v>
      </c>
      <c r="C2834" s="1" t="s">
        <v>64</v>
      </c>
      <c r="D2834" s="1" t="s">
        <v>7312</v>
      </c>
      <c r="E2834" s="62">
        <v>18</v>
      </c>
      <c r="F2834" s="1" t="s">
        <v>2551</v>
      </c>
      <c r="G2834" s="1" t="s">
        <v>2555</v>
      </c>
    </row>
    <row x14ac:dyDescent="0.25" r="2835" customHeight="1" ht="17.25" hidden="1">
      <c r="A2835" s="112" t="s">
        <v>7313</v>
      </c>
      <c r="B2835" s="1" t="s">
        <v>2549</v>
      </c>
      <c r="C2835" s="1" t="s">
        <v>64</v>
      </c>
      <c r="D2835" s="1" t="s">
        <v>7314</v>
      </c>
      <c r="E2835" s="62">
        <v>37</v>
      </c>
      <c r="F2835" s="1" t="s">
        <v>2551</v>
      </c>
      <c r="G2835" s="1" t="s">
        <v>2552</v>
      </c>
    </row>
    <row x14ac:dyDescent="0.25" r="2836" customHeight="1" ht="17.25" hidden="1">
      <c r="A2836" s="112" t="s">
        <v>7315</v>
      </c>
      <c r="B2836" s="1" t="s">
        <v>2549</v>
      </c>
      <c r="C2836" s="1" t="s">
        <v>64</v>
      </c>
      <c r="D2836" s="1" t="s">
        <v>7316</v>
      </c>
      <c r="E2836" s="62">
        <v>37</v>
      </c>
      <c r="F2836" s="1" t="s">
        <v>2551</v>
      </c>
      <c r="G2836" s="1" t="s">
        <v>2552</v>
      </c>
    </row>
    <row x14ac:dyDescent="0.25" r="2837" customHeight="1" ht="17.25" hidden="1">
      <c r="A2837" s="112" t="s">
        <v>7317</v>
      </c>
      <c r="B2837" s="1" t="s">
        <v>2549</v>
      </c>
      <c r="C2837" s="1" t="s">
        <v>64</v>
      </c>
      <c r="D2837" s="1" t="s">
        <v>7318</v>
      </c>
      <c r="E2837" s="62">
        <v>28</v>
      </c>
      <c r="F2837" s="1" t="s">
        <v>2551</v>
      </c>
      <c r="G2837" s="1" t="s">
        <v>2571</v>
      </c>
    </row>
    <row x14ac:dyDescent="0.25" r="2838" customHeight="1" ht="17.25" hidden="1">
      <c r="A2838" s="112" t="s">
        <v>7319</v>
      </c>
      <c r="B2838" s="1" t="s">
        <v>2549</v>
      </c>
      <c r="C2838" s="1" t="s">
        <v>65</v>
      </c>
      <c r="D2838" s="1" t="s">
        <v>7320</v>
      </c>
      <c r="E2838" s="62">
        <v>34</v>
      </c>
      <c r="F2838" s="1" t="s">
        <v>2551</v>
      </c>
      <c r="G2838" s="1" t="s">
        <v>2555</v>
      </c>
    </row>
    <row x14ac:dyDescent="0.25" r="2839" customHeight="1" ht="17.25" hidden="1">
      <c r="A2839" s="112" t="s">
        <v>7321</v>
      </c>
      <c r="B2839" s="1" t="s">
        <v>2549</v>
      </c>
      <c r="C2839" s="1" t="s">
        <v>65</v>
      </c>
      <c r="D2839" s="1" t="s">
        <v>7322</v>
      </c>
      <c r="E2839" s="62">
        <v>31</v>
      </c>
      <c r="F2839" s="1" t="s">
        <v>2551</v>
      </c>
      <c r="G2839" s="1" t="s">
        <v>2552</v>
      </c>
    </row>
    <row x14ac:dyDescent="0.25" r="2840" customHeight="1" ht="17.25" hidden="1">
      <c r="A2840" s="112" t="s">
        <v>7323</v>
      </c>
      <c r="B2840" s="1" t="s">
        <v>2549</v>
      </c>
      <c r="C2840" s="1" t="s">
        <v>65</v>
      </c>
      <c r="D2840" s="1" t="s">
        <v>5461</v>
      </c>
      <c r="E2840" s="62">
        <v>25</v>
      </c>
      <c r="F2840" s="1" t="s">
        <v>2551</v>
      </c>
      <c r="G2840" s="1" t="s">
        <v>2552</v>
      </c>
    </row>
    <row x14ac:dyDescent="0.25" r="2841" customHeight="1" ht="17.25" hidden="1">
      <c r="A2841" s="112" t="s">
        <v>1455</v>
      </c>
      <c r="B2841" s="1" t="s">
        <v>2549</v>
      </c>
      <c r="C2841" s="1" t="s">
        <v>65</v>
      </c>
      <c r="D2841" s="1" t="s">
        <v>7324</v>
      </c>
      <c r="E2841" s="62">
        <v>35</v>
      </c>
      <c r="F2841" s="1" t="s">
        <v>2561</v>
      </c>
      <c r="G2841" s="1" t="s">
        <v>2552</v>
      </c>
    </row>
    <row x14ac:dyDescent="0.25" r="2842" customHeight="1" ht="17.25" hidden="1">
      <c r="A2842" s="112" t="s">
        <v>7325</v>
      </c>
      <c r="B2842" s="1" t="s">
        <v>2549</v>
      </c>
      <c r="C2842" s="1" t="s">
        <v>65</v>
      </c>
      <c r="D2842" s="1" t="s">
        <v>7326</v>
      </c>
      <c r="E2842" s="62">
        <v>26</v>
      </c>
      <c r="F2842" s="1" t="s">
        <v>2551</v>
      </c>
      <c r="G2842" s="1" t="s">
        <v>2555</v>
      </c>
    </row>
    <row x14ac:dyDescent="0.25" r="2843" customHeight="1" ht="17.25" hidden="1">
      <c r="A2843" s="112" t="s">
        <v>7327</v>
      </c>
      <c r="B2843" s="1" t="s">
        <v>2549</v>
      </c>
      <c r="C2843" s="1" t="s">
        <v>65</v>
      </c>
      <c r="D2843" s="1" t="s">
        <v>7328</v>
      </c>
      <c r="E2843" s="62">
        <v>25</v>
      </c>
      <c r="F2843" s="1" t="s">
        <v>2551</v>
      </c>
      <c r="G2843" s="1" t="s">
        <v>2555</v>
      </c>
    </row>
    <row x14ac:dyDescent="0.25" r="2844" customHeight="1" ht="17.25" hidden="1">
      <c r="A2844" s="112" t="s">
        <v>7329</v>
      </c>
      <c r="B2844" s="1" t="s">
        <v>2549</v>
      </c>
      <c r="C2844" s="1" t="s">
        <v>65</v>
      </c>
      <c r="D2844" s="1" t="s">
        <v>7330</v>
      </c>
      <c r="E2844" s="62">
        <v>19</v>
      </c>
      <c r="F2844" s="1" t="s">
        <v>2551</v>
      </c>
      <c r="G2844" s="1" t="s">
        <v>2552</v>
      </c>
    </row>
    <row x14ac:dyDescent="0.25" r="2845" customHeight="1" ht="17.25" hidden="1">
      <c r="A2845" s="112" t="s">
        <v>7331</v>
      </c>
      <c r="B2845" s="1" t="s">
        <v>2549</v>
      </c>
      <c r="C2845" s="1" t="s">
        <v>65</v>
      </c>
      <c r="D2845" s="1" t="s">
        <v>7332</v>
      </c>
      <c r="E2845" s="62">
        <v>29</v>
      </c>
      <c r="F2845" s="1" t="s">
        <v>2551</v>
      </c>
      <c r="G2845" s="1" t="s">
        <v>2555</v>
      </c>
    </row>
    <row x14ac:dyDescent="0.25" r="2846" customHeight="1" ht="17.25" hidden="1">
      <c r="A2846" s="112" t="s">
        <v>7333</v>
      </c>
      <c r="B2846" s="1" t="s">
        <v>2549</v>
      </c>
      <c r="C2846" s="1" t="s">
        <v>65</v>
      </c>
      <c r="D2846" s="1" t="s">
        <v>7334</v>
      </c>
      <c r="E2846" s="62">
        <v>18</v>
      </c>
      <c r="F2846" s="1" t="s">
        <v>2551</v>
      </c>
      <c r="G2846" s="1" t="s">
        <v>2555</v>
      </c>
    </row>
    <row x14ac:dyDescent="0.25" r="2847" customHeight="1" ht="17.25" hidden="1">
      <c r="A2847" s="112" t="s">
        <v>7333</v>
      </c>
      <c r="B2847" s="1" t="s">
        <v>2549</v>
      </c>
      <c r="C2847" s="1" t="s">
        <v>65</v>
      </c>
      <c r="D2847" s="1" t="s">
        <v>7335</v>
      </c>
      <c r="E2847" s="62">
        <v>21</v>
      </c>
      <c r="F2847" s="1" t="s">
        <v>2551</v>
      </c>
      <c r="G2847" s="1" t="s">
        <v>2555</v>
      </c>
    </row>
    <row x14ac:dyDescent="0.25" r="2848" customHeight="1" ht="17.25" hidden="1">
      <c r="A2848" s="112" t="s">
        <v>7336</v>
      </c>
      <c r="B2848" s="1" t="s">
        <v>2549</v>
      </c>
      <c r="C2848" s="1" t="s">
        <v>65</v>
      </c>
      <c r="D2848" s="1" t="s">
        <v>7337</v>
      </c>
      <c r="E2848" s="62">
        <v>47</v>
      </c>
      <c r="F2848" s="1" t="s">
        <v>2551</v>
      </c>
      <c r="G2848" s="1" t="s">
        <v>2555</v>
      </c>
    </row>
    <row x14ac:dyDescent="0.25" r="2849" customHeight="1" ht="17.25" hidden="1">
      <c r="A2849" s="112" t="s">
        <v>7336</v>
      </c>
      <c r="B2849" s="1" t="s">
        <v>2549</v>
      </c>
      <c r="C2849" s="1" t="s">
        <v>65</v>
      </c>
      <c r="D2849" s="1" t="s">
        <v>7338</v>
      </c>
      <c r="E2849" s="62">
        <v>27</v>
      </c>
      <c r="F2849" s="1" t="s">
        <v>2551</v>
      </c>
      <c r="G2849" s="1" t="s">
        <v>2552</v>
      </c>
    </row>
    <row x14ac:dyDescent="0.25" r="2850" customHeight="1" ht="17.25" hidden="1">
      <c r="A2850" s="112" t="s">
        <v>7339</v>
      </c>
      <c r="B2850" s="1" t="s">
        <v>2549</v>
      </c>
      <c r="C2850" s="1" t="s">
        <v>65</v>
      </c>
      <c r="D2850" s="1" t="s">
        <v>7340</v>
      </c>
      <c r="E2850" s="62">
        <v>18</v>
      </c>
      <c r="F2850" s="1" t="s">
        <v>2551</v>
      </c>
      <c r="G2850" s="1" t="s">
        <v>2552</v>
      </c>
    </row>
    <row x14ac:dyDescent="0.25" r="2851" customHeight="1" ht="17.25" hidden="1">
      <c r="A2851" s="112" t="s">
        <v>7341</v>
      </c>
      <c r="B2851" s="1" t="s">
        <v>2549</v>
      </c>
      <c r="C2851" s="1" t="s">
        <v>65</v>
      </c>
      <c r="D2851" s="1" t="s">
        <v>7342</v>
      </c>
      <c r="E2851" s="62">
        <v>22</v>
      </c>
      <c r="F2851" s="1" t="s">
        <v>2551</v>
      </c>
      <c r="G2851" s="1" t="s">
        <v>2558</v>
      </c>
    </row>
    <row x14ac:dyDescent="0.25" r="2852" customHeight="1" ht="17.25" hidden="1">
      <c r="A2852" s="112" t="s">
        <v>7343</v>
      </c>
      <c r="B2852" s="1" t="s">
        <v>2549</v>
      </c>
      <c r="C2852" s="1" t="s">
        <v>65</v>
      </c>
      <c r="D2852" s="1" t="s">
        <v>7344</v>
      </c>
      <c r="E2852" s="62">
        <v>18</v>
      </c>
      <c r="F2852" s="1" t="s">
        <v>2551</v>
      </c>
      <c r="G2852" s="1" t="s">
        <v>2555</v>
      </c>
    </row>
    <row x14ac:dyDescent="0.25" r="2853" customHeight="1" ht="17.25" hidden="1">
      <c r="A2853" s="112" t="s">
        <v>7345</v>
      </c>
      <c r="B2853" s="1" t="s">
        <v>2549</v>
      </c>
      <c r="C2853" s="1" t="s">
        <v>65</v>
      </c>
      <c r="D2853" s="1" t="s">
        <v>7346</v>
      </c>
      <c r="E2853" s="62">
        <v>18</v>
      </c>
      <c r="F2853" s="1" t="s">
        <v>2561</v>
      </c>
      <c r="G2853" s="1" t="s">
        <v>2552</v>
      </c>
    </row>
    <row x14ac:dyDescent="0.25" r="2854" customHeight="1" ht="17.25" hidden="1">
      <c r="A2854" s="112" t="s">
        <v>7347</v>
      </c>
      <c r="B2854" s="1" t="s">
        <v>2549</v>
      </c>
      <c r="C2854" s="1" t="s">
        <v>65</v>
      </c>
      <c r="D2854" s="1" t="s">
        <v>7348</v>
      </c>
      <c r="E2854" s="62">
        <v>18</v>
      </c>
      <c r="F2854" s="1" t="s">
        <v>2551</v>
      </c>
      <c r="G2854" s="1" t="s">
        <v>2552</v>
      </c>
    </row>
    <row x14ac:dyDescent="0.25" r="2855" customHeight="1" ht="17.25" hidden="1">
      <c r="A2855" s="112" t="s">
        <v>7349</v>
      </c>
      <c r="B2855" s="1" t="s">
        <v>2549</v>
      </c>
      <c r="C2855" s="1" t="s">
        <v>65</v>
      </c>
      <c r="D2855" s="1" t="s">
        <v>7350</v>
      </c>
      <c r="E2855" s="62">
        <v>28</v>
      </c>
      <c r="F2855" s="1" t="s">
        <v>2551</v>
      </c>
      <c r="G2855" s="1" t="s">
        <v>2558</v>
      </c>
    </row>
    <row x14ac:dyDescent="0.25" r="2856" customHeight="1" ht="17.25" hidden="1">
      <c r="A2856" s="112" t="s">
        <v>7349</v>
      </c>
      <c r="B2856" s="1" t="s">
        <v>2549</v>
      </c>
      <c r="C2856" s="1" t="s">
        <v>65</v>
      </c>
      <c r="D2856" s="1" t="s">
        <v>7351</v>
      </c>
      <c r="E2856" s="62">
        <v>25</v>
      </c>
      <c r="F2856" s="1" t="s">
        <v>2551</v>
      </c>
      <c r="G2856" s="1" t="s">
        <v>2552</v>
      </c>
    </row>
    <row x14ac:dyDescent="0.25" r="2857" customHeight="1" ht="17.25" hidden="1">
      <c r="A2857" s="112" t="s">
        <v>7352</v>
      </c>
      <c r="B2857" s="1" t="s">
        <v>2549</v>
      </c>
      <c r="C2857" s="1" t="s">
        <v>65</v>
      </c>
      <c r="D2857" s="1" t="s">
        <v>7353</v>
      </c>
      <c r="E2857" s="62">
        <v>35</v>
      </c>
      <c r="F2857" s="1" t="s">
        <v>2551</v>
      </c>
      <c r="G2857" s="1" t="s">
        <v>2552</v>
      </c>
    </row>
    <row x14ac:dyDescent="0.25" r="2858" customHeight="1" ht="17.25" hidden="1">
      <c r="A2858" s="112" t="s">
        <v>7354</v>
      </c>
      <c r="B2858" s="1" t="s">
        <v>2549</v>
      </c>
      <c r="C2858" s="1" t="s">
        <v>65</v>
      </c>
      <c r="D2858" s="1" t="s">
        <v>7355</v>
      </c>
      <c r="E2858" s="62">
        <v>22</v>
      </c>
      <c r="F2858" s="1" t="s">
        <v>2551</v>
      </c>
      <c r="G2858" s="1" t="s">
        <v>2555</v>
      </c>
    </row>
    <row x14ac:dyDescent="0.25" r="2859" customHeight="1" ht="17.25" hidden="1">
      <c r="A2859" s="112" t="s">
        <v>7356</v>
      </c>
      <c r="B2859" s="1" t="s">
        <v>2549</v>
      </c>
      <c r="C2859" s="1" t="s">
        <v>65</v>
      </c>
      <c r="D2859" s="1" t="s">
        <v>7357</v>
      </c>
      <c r="E2859" s="62">
        <v>19</v>
      </c>
      <c r="F2859" s="1" t="s">
        <v>2551</v>
      </c>
      <c r="G2859" s="1" t="s">
        <v>2552</v>
      </c>
    </row>
    <row x14ac:dyDescent="0.25" r="2860" customHeight="1" ht="17.25" hidden="1">
      <c r="A2860" s="112" t="s">
        <v>7358</v>
      </c>
      <c r="B2860" s="1" t="s">
        <v>2549</v>
      </c>
      <c r="C2860" s="1" t="s">
        <v>65</v>
      </c>
      <c r="D2860" s="1" t="s">
        <v>7359</v>
      </c>
      <c r="E2860" s="62">
        <v>31</v>
      </c>
      <c r="F2860" s="1" t="s">
        <v>2551</v>
      </c>
      <c r="G2860" s="1" t="s">
        <v>2555</v>
      </c>
    </row>
    <row x14ac:dyDescent="0.25" r="2861" customHeight="1" ht="17.25" hidden="1">
      <c r="A2861" s="112" t="s">
        <v>7360</v>
      </c>
      <c r="B2861" s="1" t="s">
        <v>2549</v>
      </c>
      <c r="C2861" s="1" t="s">
        <v>65</v>
      </c>
      <c r="D2861" s="1" t="s">
        <v>7361</v>
      </c>
      <c r="E2861" s="62">
        <v>20</v>
      </c>
      <c r="F2861" s="1" t="s">
        <v>2561</v>
      </c>
      <c r="G2861" s="1" t="s">
        <v>2552</v>
      </c>
    </row>
    <row x14ac:dyDescent="0.25" r="2862" customHeight="1" ht="17.25" hidden="1">
      <c r="A2862" s="112" t="s">
        <v>7362</v>
      </c>
      <c r="B2862" s="1" t="s">
        <v>2549</v>
      </c>
      <c r="C2862" s="1" t="s">
        <v>65</v>
      </c>
      <c r="D2862" s="1" t="s">
        <v>7363</v>
      </c>
      <c r="E2862" s="62">
        <v>20</v>
      </c>
      <c r="F2862" s="1" t="s">
        <v>2551</v>
      </c>
      <c r="G2862" s="1" t="s">
        <v>2558</v>
      </c>
    </row>
    <row x14ac:dyDescent="0.25" r="2863" customHeight="1" ht="17.25" hidden="1">
      <c r="A2863" s="112" t="s">
        <v>663</v>
      </c>
      <c r="B2863" s="1" t="s">
        <v>2549</v>
      </c>
      <c r="C2863" s="1" t="s">
        <v>65</v>
      </c>
      <c r="D2863" s="1" t="s">
        <v>664</v>
      </c>
      <c r="E2863" s="62">
        <v>28</v>
      </c>
      <c r="F2863" s="1" t="s">
        <v>2561</v>
      </c>
      <c r="G2863" s="1" t="s">
        <v>2552</v>
      </c>
    </row>
    <row x14ac:dyDescent="0.25" r="2864" customHeight="1" ht="17.25" hidden="1">
      <c r="A2864" s="112" t="s">
        <v>7364</v>
      </c>
      <c r="B2864" s="1" t="s">
        <v>2549</v>
      </c>
      <c r="C2864" s="1" t="s">
        <v>65</v>
      </c>
      <c r="D2864" s="1" t="s">
        <v>7365</v>
      </c>
      <c r="E2864" s="62">
        <v>23</v>
      </c>
      <c r="F2864" s="1" t="s">
        <v>2551</v>
      </c>
      <c r="G2864" s="1" t="s">
        <v>2555</v>
      </c>
    </row>
    <row x14ac:dyDescent="0.25" r="2865" customHeight="1" ht="17.25" hidden="1">
      <c r="A2865" s="112" t="s">
        <v>7366</v>
      </c>
      <c r="B2865" s="1" t="s">
        <v>2549</v>
      </c>
      <c r="C2865" s="1" t="s">
        <v>65</v>
      </c>
      <c r="D2865" s="1" t="s">
        <v>7367</v>
      </c>
      <c r="E2865" s="62">
        <v>19</v>
      </c>
      <c r="F2865" s="1" t="s">
        <v>2551</v>
      </c>
      <c r="G2865" s="1" t="s">
        <v>2552</v>
      </c>
    </row>
    <row x14ac:dyDescent="0.25" r="2866" customHeight="1" ht="17.25" hidden="1">
      <c r="A2866" s="112" t="s">
        <v>7368</v>
      </c>
      <c r="B2866" s="1" t="s">
        <v>2549</v>
      </c>
      <c r="C2866" s="1" t="s">
        <v>65</v>
      </c>
      <c r="D2866" s="1" t="s">
        <v>7369</v>
      </c>
      <c r="E2866" s="62">
        <v>21</v>
      </c>
      <c r="F2866" s="1" t="s">
        <v>2561</v>
      </c>
      <c r="G2866" s="1" t="s">
        <v>2552</v>
      </c>
    </row>
    <row x14ac:dyDescent="0.25" r="2867" customHeight="1" ht="17.25" hidden="1">
      <c r="A2867" s="112" t="s">
        <v>7370</v>
      </c>
      <c r="B2867" s="1" t="s">
        <v>2549</v>
      </c>
      <c r="C2867" s="1" t="s">
        <v>65</v>
      </c>
      <c r="D2867" s="1" t="s">
        <v>7371</v>
      </c>
      <c r="E2867" s="62">
        <v>20</v>
      </c>
      <c r="F2867" s="1" t="s">
        <v>2551</v>
      </c>
      <c r="G2867" s="1" t="s">
        <v>2552</v>
      </c>
    </row>
    <row x14ac:dyDescent="0.25" r="2868" customHeight="1" ht="17.25" hidden="1">
      <c r="A2868" s="112" t="s">
        <v>7372</v>
      </c>
      <c r="B2868" s="1" t="s">
        <v>2549</v>
      </c>
      <c r="C2868" s="1" t="s">
        <v>65</v>
      </c>
      <c r="D2868" s="1" t="s">
        <v>7373</v>
      </c>
      <c r="E2868" s="62">
        <v>22</v>
      </c>
      <c r="F2868" s="1" t="s">
        <v>2551</v>
      </c>
      <c r="G2868" s="1" t="s">
        <v>2552</v>
      </c>
    </row>
    <row x14ac:dyDescent="0.25" r="2869" customHeight="1" ht="17.25" hidden="1">
      <c r="A2869" s="112" t="s">
        <v>7374</v>
      </c>
      <c r="B2869" s="1" t="s">
        <v>2549</v>
      </c>
      <c r="C2869" s="1" t="s">
        <v>65</v>
      </c>
      <c r="D2869" s="1" t="s">
        <v>7375</v>
      </c>
      <c r="E2869" s="62">
        <v>33</v>
      </c>
      <c r="F2869" s="1" t="s">
        <v>2551</v>
      </c>
      <c r="G2869" s="1" t="s">
        <v>2552</v>
      </c>
    </row>
    <row x14ac:dyDescent="0.25" r="2870" customHeight="1" ht="17.25" hidden="1">
      <c r="A2870" s="112" t="s">
        <v>7376</v>
      </c>
      <c r="B2870" s="1" t="s">
        <v>2549</v>
      </c>
      <c r="C2870" s="1" t="s">
        <v>65</v>
      </c>
      <c r="D2870" s="1" t="s">
        <v>7377</v>
      </c>
      <c r="E2870" s="62">
        <v>38</v>
      </c>
      <c r="F2870" s="1" t="s">
        <v>2561</v>
      </c>
      <c r="G2870" s="1" t="s">
        <v>2552</v>
      </c>
    </row>
    <row x14ac:dyDescent="0.25" r="2871" customHeight="1" ht="17.25" hidden="1">
      <c r="A2871" s="112" t="s">
        <v>7378</v>
      </c>
      <c r="B2871" s="1" t="s">
        <v>2549</v>
      </c>
      <c r="C2871" s="1" t="s">
        <v>65</v>
      </c>
      <c r="D2871" s="1" t="s">
        <v>7379</v>
      </c>
      <c r="E2871" s="62">
        <v>33</v>
      </c>
      <c r="F2871" s="1" t="s">
        <v>2551</v>
      </c>
      <c r="G2871" s="1" t="s">
        <v>2555</v>
      </c>
    </row>
    <row x14ac:dyDescent="0.25" r="2872" customHeight="1" ht="17.25" hidden="1">
      <c r="A2872" s="112" t="s">
        <v>7380</v>
      </c>
      <c r="B2872" s="1" t="s">
        <v>2549</v>
      </c>
      <c r="C2872" s="1" t="s">
        <v>65</v>
      </c>
      <c r="D2872" s="1" t="s">
        <v>7381</v>
      </c>
      <c r="E2872" s="62">
        <v>22</v>
      </c>
      <c r="F2872" s="1" t="s">
        <v>2551</v>
      </c>
      <c r="G2872" s="1" t="s">
        <v>2555</v>
      </c>
    </row>
    <row x14ac:dyDescent="0.25" r="2873" customHeight="1" ht="17.25" hidden="1">
      <c r="A2873" s="112" t="s">
        <v>7382</v>
      </c>
      <c r="B2873" s="1" t="s">
        <v>2549</v>
      </c>
      <c r="C2873" s="1" t="s">
        <v>65</v>
      </c>
      <c r="D2873" s="1" t="s">
        <v>7383</v>
      </c>
      <c r="E2873" s="62">
        <v>29</v>
      </c>
      <c r="F2873" s="1" t="s">
        <v>2551</v>
      </c>
      <c r="G2873" s="1" t="s">
        <v>2558</v>
      </c>
    </row>
    <row x14ac:dyDescent="0.25" r="2874" customHeight="1" ht="17.25" hidden="1">
      <c r="A2874" s="112" t="s">
        <v>7384</v>
      </c>
      <c r="B2874" s="1" t="s">
        <v>2549</v>
      </c>
      <c r="C2874" s="1" t="s">
        <v>65</v>
      </c>
      <c r="D2874" s="1" t="s">
        <v>7385</v>
      </c>
      <c r="E2874" s="62">
        <v>36</v>
      </c>
      <c r="F2874" s="1" t="s">
        <v>2551</v>
      </c>
      <c r="G2874" s="1" t="s">
        <v>2552</v>
      </c>
    </row>
    <row x14ac:dyDescent="0.25" r="2875" customHeight="1" ht="17.25" hidden="1">
      <c r="A2875" s="112" t="s">
        <v>690</v>
      </c>
      <c r="B2875" s="1" t="s">
        <v>2549</v>
      </c>
      <c r="C2875" s="1" t="s">
        <v>65</v>
      </c>
      <c r="D2875" s="1" t="s">
        <v>3233</v>
      </c>
      <c r="E2875" s="62">
        <v>20</v>
      </c>
      <c r="F2875" s="1" t="s">
        <v>2551</v>
      </c>
      <c r="G2875" s="1" t="s">
        <v>2552</v>
      </c>
    </row>
    <row x14ac:dyDescent="0.25" r="2876" customHeight="1" ht="17.25" hidden="1">
      <c r="A2876" s="112" t="s">
        <v>7386</v>
      </c>
      <c r="B2876" s="1" t="s">
        <v>2549</v>
      </c>
      <c r="C2876" s="1" t="s">
        <v>65</v>
      </c>
      <c r="D2876" s="1" t="s">
        <v>7387</v>
      </c>
      <c r="E2876" s="62">
        <v>18</v>
      </c>
      <c r="F2876" s="1" t="s">
        <v>2551</v>
      </c>
      <c r="G2876" s="1" t="s">
        <v>2552</v>
      </c>
    </row>
    <row x14ac:dyDescent="0.25" r="2877" customHeight="1" ht="17.25" hidden="1">
      <c r="A2877" s="112" t="s">
        <v>7386</v>
      </c>
      <c r="B2877" s="1" t="s">
        <v>2549</v>
      </c>
      <c r="C2877" s="1" t="s">
        <v>65</v>
      </c>
      <c r="D2877" s="1" t="s">
        <v>7388</v>
      </c>
      <c r="E2877" s="62">
        <v>19</v>
      </c>
      <c r="F2877" s="1" t="s">
        <v>2551</v>
      </c>
      <c r="G2877" s="1" t="s">
        <v>2552</v>
      </c>
    </row>
    <row x14ac:dyDescent="0.25" r="2878" customHeight="1" ht="17.25" hidden="1">
      <c r="A2878" s="112" t="s">
        <v>7386</v>
      </c>
      <c r="B2878" s="1" t="s">
        <v>2549</v>
      </c>
      <c r="C2878" s="1" t="s">
        <v>65</v>
      </c>
      <c r="D2878" s="1" t="s">
        <v>7389</v>
      </c>
      <c r="E2878" s="62">
        <v>19</v>
      </c>
      <c r="F2878" s="1" t="s">
        <v>2551</v>
      </c>
      <c r="G2878" s="1" t="s">
        <v>2552</v>
      </c>
    </row>
    <row x14ac:dyDescent="0.25" r="2879" customHeight="1" ht="17.25" hidden="1">
      <c r="A2879" s="112" t="s">
        <v>7390</v>
      </c>
      <c r="B2879" s="1" t="s">
        <v>2549</v>
      </c>
      <c r="C2879" s="1" t="s">
        <v>65</v>
      </c>
      <c r="D2879" s="1" t="s">
        <v>7391</v>
      </c>
      <c r="E2879" s="62">
        <v>18</v>
      </c>
      <c r="F2879" s="1" t="s">
        <v>2551</v>
      </c>
      <c r="G2879" s="1" t="s">
        <v>2558</v>
      </c>
    </row>
    <row x14ac:dyDescent="0.25" r="2880" customHeight="1" ht="17.25" hidden="1">
      <c r="A2880" s="112" t="s">
        <v>7392</v>
      </c>
      <c r="B2880" s="1" t="s">
        <v>2549</v>
      </c>
      <c r="C2880" s="1" t="s">
        <v>65</v>
      </c>
      <c r="D2880" s="1" t="s">
        <v>7393</v>
      </c>
      <c r="E2880" s="62">
        <v>27</v>
      </c>
      <c r="F2880" s="1" t="s">
        <v>2551</v>
      </c>
      <c r="G2880" s="1" t="s">
        <v>2552</v>
      </c>
    </row>
    <row x14ac:dyDescent="0.25" r="2881" customHeight="1" ht="17.25" hidden="1">
      <c r="A2881" s="112" t="s">
        <v>7394</v>
      </c>
      <c r="B2881" s="1" t="s">
        <v>2549</v>
      </c>
      <c r="C2881" s="1" t="s">
        <v>65</v>
      </c>
      <c r="D2881" s="1" t="s">
        <v>7395</v>
      </c>
      <c r="E2881" s="62">
        <v>22</v>
      </c>
      <c r="F2881" s="1" t="s">
        <v>2551</v>
      </c>
      <c r="G2881" s="1" t="s">
        <v>2558</v>
      </c>
    </row>
    <row x14ac:dyDescent="0.25" r="2882" customHeight="1" ht="17.25" hidden="1">
      <c r="A2882" s="112" t="s">
        <v>7396</v>
      </c>
      <c r="B2882" s="1" t="s">
        <v>2549</v>
      </c>
      <c r="C2882" s="1" t="s">
        <v>65</v>
      </c>
      <c r="D2882" s="1" t="s">
        <v>7397</v>
      </c>
      <c r="E2882" s="62">
        <v>37</v>
      </c>
      <c r="F2882" s="1" t="s">
        <v>2551</v>
      </c>
      <c r="G2882" s="1" t="s">
        <v>2571</v>
      </c>
    </row>
    <row x14ac:dyDescent="0.25" r="2883" customHeight="1" ht="17.25" hidden="1">
      <c r="A2883" s="112" t="s">
        <v>7398</v>
      </c>
      <c r="B2883" s="1" t="s">
        <v>2549</v>
      </c>
      <c r="C2883" s="1" t="s">
        <v>65</v>
      </c>
      <c r="D2883" s="1" t="s">
        <v>7399</v>
      </c>
      <c r="E2883" s="62">
        <v>19</v>
      </c>
      <c r="F2883" s="1" t="s">
        <v>2561</v>
      </c>
      <c r="G2883" s="1" t="s">
        <v>2552</v>
      </c>
    </row>
    <row x14ac:dyDescent="0.25" r="2884" customHeight="1" ht="17.25" hidden="1">
      <c r="A2884" s="112" t="s">
        <v>7400</v>
      </c>
      <c r="B2884" s="1" t="s">
        <v>2549</v>
      </c>
      <c r="C2884" s="1" t="s">
        <v>65</v>
      </c>
      <c r="D2884" s="1" t="s">
        <v>7401</v>
      </c>
      <c r="E2884" s="62">
        <v>30</v>
      </c>
      <c r="F2884" s="1" t="s">
        <v>2551</v>
      </c>
      <c r="G2884" s="1" t="s">
        <v>2552</v>
      </c>
    </row>
    <row x14ac:dyDescent="0.25" r="2885" customHeight="1" ht="17.25" hidden="1">
      <c r="A2885" s="112" t="s">
        <v>7402</v>
      </c>
      <c r="B2885" s="1" t="s">
        <v>2549</v>
      </c>
      <c r="C2885" s="1" t="s">
        <v>65</v>
      </c>
      <c r="D2885" s="1" t="s">
        <v>7403</v>
      </c>
      <c r="E2885" s="62">
        <v>34</v>
      </c>
      <c r="F2885" s="1" t="s">
        <v>2551</v>
      </c>
      <c r="G2885" s="1" t="s">
        <v>2558</v>
      </c>
    </row>
    <row x14ac:dyDescent="0.25" r="2886" customHeight="1" ht="17.25" hidden="1">
      <c r="A2886" s="112" t="s">
        <v>7404</v>
      </c>
      <c r="B2886" s="1" t="s">
        <v>2549</v>
      </c>
      <c r="C2886" s="1" t="s">
        <v>65</v>
      </c>
      <c r="D2886" s="1" t="s">
        <v>7405</v>
      </c>
      <c r="E2886" s="62">
        <v>23</v>
      </c>
      <c r="F2886" s="1" t="s">
        <v>2561</v>
      </c>
      <c r="G2886" s="1" t="s">
        <v>2552</v>
      </c>
    </row>
    <row x14ac:dyDescent="0.25" r="2887" customHeight="1" ht="17.25" hidden="1">
      <c r="A2887" s="112" t="s">
        <v>7404</v>
      </c>
      <c r="B2887" s="1" t="s">
        <v>2549</v>
      </c>
      <c r="C2887" s="1" t="s">
        <v>65</v>
      </c>
      <c r="D2887" s="1" t="s">
        <v>7406</v>
      </c>
      <c r="E2887" s="62">
        <v>23</v>
      </c>
      <c r="F2887" s="1" t="s">
        <v>2561</v>
      </c>
      <c r="G2887" s="1" t="s">
        <v>2558</v>
      </c>
    </row>
    <row x14ac:dyDescent="0.25" r="2888" customHeight="1" ht="17.25" hidden="1">
      <c r="A2888" s="112" t="s">
        <v>7404</v>
      </c>
      <c r="B2888" s="1" t="s">
        <v>2549</v>
      </c>
      <c r="C2888" s="1" t="s">
        <v>65</v>
      </c>
      <c r="D2888" s="1" t="s">
        <v>7407</v>
      </c>
      <c r="E2888" s="62">
        <v>30</v>
      </c>
      <c r="F2888" s="1" t="s">
        <v>2551</v>
      </c>
      <c r="G2888" s="1" t="s">
        <v>2552</v>
      </c>
    </row>
    <row x14ac:dyDescent="0.25" r="2889" customHeight="1" ht="17.25" hidden="1">
      <c r="A2889" s="112" t="s">
        <v>7408</v>
      </c>
      <c r="B2889" s="1" t="s">
        <v>2549</v>
      </c>
      <c r="C2889" s="1" t="s">
        <v>65</v>
      </c>
      <c r="D2889" s="1" t="s">
        <v>7409</v>
      </c>
      <c r="E2889" s="62">
        <v>18</v>
      </c>
      <c r="F2889" s="1" t="s">
        <v>2551</v>
      </c>
      <c r="G2889" s="1" t="s">
        <v>2552</v>
      </c>
    </row>
    <row x14ac:dyDescent="0.25" r="2890" customHeight="1" ht="17.25" hidden="1">
      <c r="A2890" s="112" t="s">
        <v>7410</v>
      </c>
      <c r="B2890" s="1" t="s">
        <v>2549</v>
      </c>
      <c r="C2890" s="1" t="s">
        <v>65</v>
      </c>
      <c r="D2890" s="1" t="s">
        <v>7411</v>
      </c>
      <c r="E2890" s="62">
        <v>47</v>
      </c>
      <c r="F2890" s="1" t="s">
        <v>2551</v>
      </c>
      <c r="G2890" s="1" t="s">
        <v>2558</v>
      </c>
    </row>
    <row x14ac:dyDescent="0.25" r="2891" customHeight="1" ht="17.25" hidden="1">
      <c r="A2891" s="112" t="s">
        <v>7412</v>
      </c>
      <c r="B2891" s="1" t="s">
        <v>2549</v>
      </c>
      <c r="C2891" s="1" t="s">
        <v>65</v>
      </c>
      <c r="D2891" s="1" t="s">
        <v>7413</v>
      </c>
      <c r="E2891" s="62">
        <v>21</v>
      </c>
      <c r="F2891" s="1" t="s">
        <v>2551</v>
      </c>
      <c r="G2891" s="1" t="s">
        <v>2552</v>
      </c>
    </row>
    <row x14ac:dyDescent="0.25" r="2892" customHeight="1" ht="17.25" hidden="1">
      <c r="A2892" s="112" t="s">
        <v>582</v>
      </c>
      <c r="B2892" s="1" t="s">
        <v>2549</v>
      </c>
      <c r="C2892" s="1" t="s">
        <v>65</v>
      </c>
      <c r="D2892" s="1" t="s">
        <v>7414</v>
      </c>
      <c r="E2892" s="62">
        <v>20</v>
      </c>
      <c r="F2892" s="1" t="s">
        <v>2551</v>
      </c>
      <c r="G2892" s="1" t="s">
        <v>2552</v>
      </c>
    </row>
    <row x14ac:dyDescent="0.25" r="2893" customHeight="1" ht="17.25" hidden="1">
      <c r="A2893" s="112" t="s">
        <v>7415</v>
      </c>
      <c r="B2893" s="1" t="s">
        <v>2549</v>
      </c>
      <c r="C2893" s="1" t="s">
        <v>65</v>
      </c>
      <c r="D2893" s="1" t="s">
        <v>7416</v>
      </c>
      <c r="E2893" s="62">
        <v>34</v>
      </c>
      <c r="F2893" s="1" t="s">
        <v>2551</v>
      </c>
      <c r="G2893" s="1" t="s">
        <v>2555</v>
      </c>
    </row>
    <row x14ac:dyDescent="0.25" r="2894" customHeight="1" ht="17.25" hidden="1">
      <c r="A2894" s="112" t="s">
        <v>7417</v>
      </c>
      <c r="B2894" s="1" t="s">
        <v>2549</v>
      </c>
      <c r="C2894" s="1" t="s">
        <v>65</v>
      </c>
      <c r="D2894" s="1" t="s">
        <v>7418</v>
      </c>
      <c r="E2894" s="62">
        <v>26</v>
      </c>
      <c r="F2894" s="1" t="s">
        <v>2551</v>
      </c>
      <c r="G2894" s="1" t="s">
        <v>2555</v>
      </c>
    </row>
    <row x14ac:dyDescent="0.25" r="2895" customHeight="1" ht="17.25" hidden="1">
      <c r="A2895" s="112" t="s">
        <v>7419</v>
      </c>
      <c r="B2895" s="1" t="s">
        <v>2549</v>
      </c>
      <c r="C2895" s="1" t="s">
        <v>65</v>
      </c>
      <c r="D2895" s="1" t="s">
        <v>7420</v>
      </c>
      <c r="E2895" s="62">
        <v>25</v>
      </c>
      <c r="F2895" s="1" t="s">
        <v>2551</v>
      </c>
      <c r="G2895" s="1" t="s">
        <v>2552</v>
      </c>
    </row>
    <row x14ac:dyDescent="0.25" r="2896" customHeight="1" ht="17.25" hidden="1">
      <c r="A2896" s="112" t="s">
        <v>7419</v>
      </c>
      <c r="B2896" s="1" t="s">
        <v>2549</v>
      </c>
      <c r="C2896" s="1" t="s">
        <v>65</v>
      </c>
      <c r="D2896" s="1" t="s">
        <v>7421</v>
      </c>
      <c r="E2896" s="62">
        <v>39</v>
      </c>
      <c r="F2896" s="1" t="s">
        <v>2551</v>
      </c>
      <c r="G2896" s="1" t="s">
        <v>2552</v>
      </c>
    </row>
    <row x14ac:dyDescent="0.25" r="2897" customHeight="1" ht="17.25" hidden="1">
      <c r="A2897" s="112" t="s">
        <v>7422</v>
      </c>
      <c r="B2897" s="1" t="s">
        <v>2549</v>
      </c>
      <c r="C2897" s="1" t="s">
        <v>65</v>
      </c>
      <c r="D2897" s="1" t="s">
        <v>7423</v>
      </c>
      <c r="E2897" s="62">
        <v>39</v>
      </c>
      <c r="F2897" s="1" t="s">
        <v>2551</v>
      </c>
      <c r="G2897" s="1" t="s">
        <v>2555</v>
      </c>
    </row>
    <row x14ac:dyDescent="0.25" r="2898" customHeight="1" ht="17.25" hidden="1">
      <c r="A2898" s="112" t="s">
        <v>7424</v>
      </c>
      <c r="B2898" s="1" t="s">
        <v>2549</v>
      </c>
      <c r="C2898" s="1" t="s">
        <v>65</v>
      </c>
      <c r="D2898" s="1" t="s">
        <v>7425</v>
      </c>
      <c r="E2898" s="62">
        <v>40</v>
      </c>
      <c r="F2898" s="1" t="s">
        <v>2551</v>
      </c>
      <c r="G2898" s="1" t="s">
        <v>2552</v>
      </c>
    </row>
    <row x14ac:dyDescent="0.25" r="2899" customHeight="1" ht="17.25" hidden="1">
      <c r="A2899" s="112" t="s">
        <v>7426</v>
      </c>
      <c r="B2899" s="1" t="s">
        <v>2549</v>
      </c>
      <c r="C2899" s="1" t="s">
        <v>65</v>
      </c>
      <c r="D2899" s="1" t="s">
        <v>7427</v>
      </c>
      <c r="E2899" s="62">
        <v>35</v>
      </c>
      <c r="F2899" s="1" t="s">
        <v>2551</v>
      </c>
      <c r="G2899" s="1" t="s">
        <v>2555</v>
      </c>
    </row>
    <row x14ac:dyDescent="0.25" r="2900" customHeight="1" ht="17.25" hidden="1">
      <c r="A2900" s="112" t="s">
        <v>7428</v>
      </c>
      <c r="B2900" s="1" t="s">
        <v>2549</v>
      </c>
      <c r="C2900" s="1" t="s">
        <v>65</v>
      </c>
      <c r="D2900" s="1" t="s">
        <v>7429</v>
      </c>
      <c r="E2900" s="62">
        <v>19</v>
      </c>
      <c r="F2900" s="1" t="s">
        <v>2551</v>
      </c>
      <c r="G2900" s="1" t="s">
        <v>2555</v>
      </c>
    </row>
    <row x14ac:dyDescent="0.25" r="2901" customHeight="1" ht="17.25" hidden="1">
      <c r="A2901" s="112" t="s">
        <v>848</v>
      </c>
      <c r="B2901" s="1" t="s">
        <v>2549</v>
      </c>
      <c r="C2901" s="1" t="s">
        <v>65</v>
      </c>
      <c r="D2901" s="1" t="s">
        <v>7430</v>
      </c>
      <c r="E2901" s="62">
        <v>21</v>
      </c>
      <c r="F2901" s="1" t="s">
        <v>2551</v>
      </c>
      <c r="G2901" s="1" t="s">
        <v>2552</v>
      </c>
    </row>
    <row x14ac:dyDescent="0.25" r="2902" customHeight="1" ht="17.25" hidden="1">
      <c r="A2902" s="112" t="s">
        <v>7431</v>
      </c>
      <c r="B2902" s="1" t="s">
        <v>2549</v>
      </c>
      <c r="C2902" s="1" t="s">
        <v>65</v>
      </c>
      <c r="D2902" s="1" t="s">
        <v>7432</v>
      </c>
      <c r="E2902" s="62">
        <v>20</v>
      </c>
      <c r="F2902" s="1" t="s">
        <v>2551</v>
      </c>
      <c r="G2902" s="1" t="s">
        <v>2555</v>
      </c>
    </row>
    <row x14ac:dyDescent="0.25" r="2903" customHeight="1" ht="17.25" hidden="1">
      <c r="A2903" s="112" t="s">
        <v>7433</v>
      </c>
      <c r="B2903" s="1" t="s">
        <v>2549</v>
      </c>
      <c r="C2903" s="1" t="s">
        <v>65</v>
      </c>
      <c r="D2903" s="1" t="s">
        <v>7434</v>
      </c>
      <c r="E2903" s="62">
        <v>20</v>
      </c>
      <c r="F2903" s="1" t="s">
        <v>2551</v>
      </c>
      <c r="G2903" s="1" t="s">
        <v>2555</v>
      </c>
    </row>
    <row x14ac:dyDescent="0.25" r="2904" customHeight="1" ht="17.25" hidden="1">
      <c r="A2904" s="112" t="s">
        <v>7435</v>
      </c>
      <c r="B2904" s="1" t="s">
        <v>2549</v>
      </c>
      <c r="C2904" s="1" t="s">
        <v>65</v>
      </c>
      <c r="D2904" s="1" t="s">
        <v>7436</v>
      </c>
      <c r="E2904" s="62">
        <v>28</v>
      </c>
      <c r="F2904" s="1" t="s">
        <v>2561</v>
      </c>
      <c r="G2904" s="1" t="s">
        <v>2552</v>
      </c>
    </row>
    <row x14ac:dyDescent="0.25" r="2905" customHeight="1" ht="17.25" hidden="1">
      <c r="A2905" s="112" t="s">
        <v>7437</v>
      </c>
      <c r="B2905" s="1" t="s">
        <v>2549</v>
      </c>
      <c r="C2905" s="1" t="s">
        <v>65</v>
      </c>
      <c r="D2905" s="1" t="s">
        <v>7438</v>
      </c>
      <c r="E2905" s="62">
        <v>20</v>
      </c>
      <c r="F2905" s="1" t="s">
        <v>2551</v>
      </c>
      <c r="G2905" s="1" t="s">
        <v>2552</v>
      </c>
    </row>
    <row x14ac:dyDescent="0.25" r="2906" customHeight="1" ht="17.25" hidden="1">
      <c r="A2906" s="112" t="s">
        <v>7437</v>
      </c>
      <c r="B2906" s="1" t="s">
        <v>2549</v>
      </c>
      <c r="C2906" s="1" t="s">
        <v>65</v>
      </c>
      <c r="D2906" s="1" t="s">
        <v>7439</v>
      </c>
      <c r="E2906" s="62">
        <v>19</v>
      </c>
      <c r="F2906" s="1" t="s">
        <v>2551</v>
      </c>
      <c r="G2906" s="1" t="s">
        <v>2558</v>
      </c>
    </row>
    <row x14ac:dyDescent="0.25" r="2907" customHeight="1" ht="17.25" hidden="1">
      <c r="A2907" s="112" t="s">
        <v>7437</v>
      </c>
      <c r="B2907" s="1" t="s">
        <v>2549</v>
      </c>
      <c r="C2907" s="1" t="s">
        <v>65</v>
      </c>
      <c r="D2907" s="1" t="s">
        <v>7440</v>
      </c>
      <c r="E2907" s="62">
        <v>21</v>
      </c>
      <c r="F2907" s="1" t="s">
        <v>2551</v>
      </c>
      <c r="G2907" s="1" t="s">
        <v>2552</v>
      </c>
    </row>
    <row x14ac:dyDescent="0.25" r="2908" customHeight="1" ht="17.25" hidden="1">
      <c r="A2908" s="112" t="s">
        <v>7441</v>
      </c>
      <c r="B2908" s="1" t="s">
        <v>2549</v>
      </c>
      <c r="C2908" s="1" t="s">
        <v>65</v>
      </c>
      <c r="D2908" s="1" t="s">
        <v>7442</v>
      </c>
      <c r="E2908" s="62">
        <v>31</v>
      </c>
      <c r="F2908" s="1" t="s">
        <v>2551</v>
      </c>
      <c r="G2908" s="1" t="s">
        <v>2558</v>
      </c>
    </row>
    <row x14ac:dyDescent="0.25" r="2909" customHeight="1" ht="17.25" hidden="1">
      <c r="A2909" s="112" t="s">
        <v>7443</v>
      </c>
      <c r="B2909" s="1" t="s">
        <v>2549</v>
      </c>
      <c r="C2909" s="1" t="s">
        <v>65</v>
      </c>
      <c r="D2909" s="1" t="s">
        <v>7444</v>
      </c>
      <c r="E2909" s="54" t="s">
        <v>2571</v>
      </c>
      <c r="F2909" s="1" t="s">
        <v>2551</v>
      </c>
      <c r="G2909" s="1" t="s">
        <v>2555</v>
      </c>
    </row>
    <row x14ac:dyDescent="0.25" r="2910" customHeight="1" ht="17.25" hidden="1">
      <c r="A2910" s="112" t="s">
        <v>7445</v>
      </c>
      <c r="B2910" s="1" t="s">
        <v>2549</v>
      </c>
      <c r="C2910" s="1" t="s">
        <v>65</v>
      </c>
      <c r="D2910" s="1" t="s">
        <v>7446</v>
      </c>
      <c r="E2910" s="62">
        <v>18</v>
      </c>
      <c r="F2910" s="1" t="s">
        <v>2551</v>
      </c>
      <c r="G2910" s="1" t="s">
        <v>2555</v>
      </c>
    </row>
    <row x14ac:dyDescent="0.25" r="2911" customHeight="1" ht="17.25" hidden="1">
      <c r="A2911" s="112" t="s">
        <v>7447</v>
      </c>
      <c r="B2911" s="1" t="s">
        <v>2549</v>
      </c>
      <c r="C2911" s="1" t="s">
        <v>65</v>
      </c>
      <c r="D2911" s="1" t="s">
        <v>7448</v>
      </c>
      <c r="E2911" s="62">
        <v>22</v>
      </c>
      <c r="F2911" s="1" t="s">
        <v>2561</v>
      </c>
      <c r="G2911" s="1" t="s">
        <v>2555</v>
      </c>
    </row>
    <row x14ac:dyDescent="0.25" r="2912" customHeight="1" ht="17.25" hidden="1">
      <c r="A2912" s="112" t="s">
        <v>2375</v>
      </c>
      <c r="B2912" s="1" t="s">
        <v>2549</v>
      </c>
      <c r="C2912" s="1" t="s">
        <v>65</v>
      </c>
      <c r="D2912" s="1" t="s">
        <v>2376</v>
      </c>
      <c r="E2912" s="62">
        <v>20</v>
      </c>
      <c r="F2912" s="1" t="s">
        <v>2551</v>
      </c>
      <c r="G2912" s="1" t="s">
        <v>2552</v>
      </c>
    </row>
    <row x14ac:dyDescent="0.25" r="2913" customHeight="1" ht="17.25" hidden="1">
      <c r="A2913" s="112" t="s">
        <v>7449</v>
      </c>
      <c r="B2913" s="1" t="s">
        <v>2549</v>
      </c>
      <c r="C2913" s="1" t="s">
        <v>65</v>
      </c>
      <c r="D2913" s="1" t="s">
        <v>7450</v>
      </c>
      <c r="E2913" s="62">
        <v>29</v>
      </c>
      <c r="F2913" s="1" t="s">
        <v>2551</v>
      </c>
      <c r="G2913" s="1" t="s">
        <v>2555</v>
      </c>
    </row>
    <row x14ac:dyDescent="0.25" r="2914" customHeight="1" ht="17.25" hidden="1">
      <c r="A2914" s="112" t="s">
        <v>7449</v>
      </c>
      <c r="B2914" s="1" t="s">
        <v>2549</v>
      </c>
      <c r="C2914" s="1" t="s">
        <v>65</v>
      </c>
      <c r="D2914" s="1" t="s">
        <v>7451</v>
      </c>
      <c r="E2914" s="62">
        <v>26</v>
      </c>
      <c r="F2914" s="1" t="s">
        <v>2551</v>
      </c>
      <c r="G2914" s="1" t="s">
        <v>2555</v>
      </c>
    </row>
    <row x14ac:dyDescent="0.25" r="2915" customHeight="1" ht="17.25" hidden="1">
      <c r="A2915" s="112" t="s">
        <v>7449</v>
      </c>
      <c r="B2915" s="1" t="s">
        <v>2549</v>
      </c>
      <c r="C2915" s="1" t="s">
        <v>65</v>
      </c>
      <c r="D2915" s="1" t="s">
        <v>7452</v>
      </c>
      <c r="E2915" s="62">
        <v>19</v>
      </c>
      <c r="F2915" s="1" t="s">
        <v>2551</v>
      </c>
      <c r="G2915" s="1" t="s">
        <v>2558</v>
      </c>
    </row>
    <row x14ac:dyDescent="0.25" r="2916" customHeight="1" ht="17.25" hidden="1">
      <c r="A2916" s="112" t="s">
        <v>7453</v>
      </c>
      <c r="B2916" s="1" t="s">
        <v>2549</v>
      </c>
      <c r="C2916" s="1" t="s">
        <v>65</v>
      </c>
      <c r="D2916" s="1" t="s">
        <v>7454</v>
      </c>
      <c r="E2916" s="62">
        <v>23</v>
      </c>
      <c r="F2916" s="1" t="s">
        <v>2551</v>
      </c>
      <c r="G2916" s="1" t="s">
        <v>2552</v>
      </c>
    </row>
    <row x14ac:dyDescent="0.25" r="2917" customHeight="1" ht="17.25" hidden="1">
      <c r="A2917" s="112" t="s">
        <v>7455</v>
      </c>
      <c r="B2917" s="1" t="s">
        <v>2549</v>
      </c>
      <c r="C2917" s="1" t="s">
        <v>65</v>
      </c>
      <c r="D2917" s="1" t="s">
        <v>7456</v>
      </c>
      <c r="E2917" s="62">
        <v>21</v>
      </c>
      <c r="F2917" s="1" t="s">
        <v>2551</v>
      </c>
      <c r="G2917" s="1" t="s">
        <v>2555</v>
      </c>
    </row>
    <row x14ac:dyDescent="0.25" r="2918" customHeight="1" ht="17.25" hidden="1">
      <c r="A2918" s="112" t="s">
        <v>7455</v>
      </c>
      <c r="B2918" s="1" t="s">
        <v>2549</v>
      </c>
      <c r="C2918" s="1" t="s">
        <v>65</v>
      </c>
      <c r="D2918" s="1" t="s">
        <v>7457</v>
      </c>
      <c r="E2918" s="62">
        <v>22</v>
      </c>
      <c r="F2918" s="1" t="s">
        <v>2551</v>
      </c>
      <c r="G2918" s="1" t="s">
        <v>2552</v>
      </c>
    </row>
    <row x14ac:dyDescent="0.25" r="2919" customHeight="1" ht="17.25" hidden="1">
      <c r="A2919" s="112" t="s">
        <v>914</v>
      </c>
      <c r="B2919" s="1" t="s">
        <v>2549</v>
      </c>
      <c r="C2919" s="1" t="s">
        <v>65</v>
      </c>
      <c r="D2919" s="1" t="s">
        <v>915</v>
      </c>
      <c r="E2919" s="62">
        <v>29</v>
      </c>
      <c r="F2919" s="1" t="s">
        <v>2551</v>
      </c>
      <c r="G2919" s="1" t="s">
        <v>2552</v>
      </c>
    </row>
    <row x14ac:dyDescent="0.25" r="2920" customHeight="1" ht="17.25" hidden="1">
      <c r="A2920" s="112" t="s">
        <v>7458</v>
      </c>
      <c r="B2920" s="1" t="s">
        <v>2549</v>
      </c>
      <c r="C2920" s="1" t="s">
        <v>65</v>
      </c>
      <c r="D2920" s="1" t="s">
        <v>7459</v>
      </c>
      <c r="E2920" s="62">
        <v>18</v>
      </c>
      <c r="F2920" s="1" t="s">
        <v>2551</v>
      </c>
      <c r="G2920" s="1" t="s">
        <v>2558</v>
      </c>
    </row>
    <row x14ac:dyDescent="0.25" r="2921" customHeight="1" ht="17.25" hidden="1">
      <c r="A2921" s="112" t="s">
        <v>7460</v>
      </c>
      <c r="B2921" s="1" t="s">
        <v>2549</v>
      </c>
      <c r="C2921" s="1" t="s">
        <v>65</v>
      </c>
      <c r="D2921" s="1" t="s">
        <v>7461</v>
      </c>
      <c r="E2921" s="62">
        <v>19</v>
      </c>
      <c r="F2921" s="1" t="s">
        <v>2551</v>
      </c>
      <c r="G2921" s="1" t="s">
        <v>2552</v>
      </c>
    </row>
    <row x14ac:dyDescent="0.25" r="2922" customHeight="1" ht="17.25" hidden="1">
      <c r="A2922" s="112" t="s">
        <v>7462</v>
      </c>
      <c r="B2922" s="1" t="s">
        <v>2549</v>
      </c>
      <c r="C2922" s="1" t="s">
        <v>65</v>
      </c>
      <c r="D2922" s="1" t="s">
        <v>7463</v>
      </c>
      <c r="E2922" s="54" t="s">
        <v>2571</v>
      </c>
      <c r="F2922" s="1" t="s">
        <v>2551</v>
      </c>
      <c r="G2922" s="1" t="s">
        <v>2571</v>
      </c>
    </row>
    <row x14ac:dyDescent="0.25" r="2923" customHeight="1" ht="17.25" hidden="1">
      <c r="A2923" s="112" t="s">
        <v>7464</v>
      </c>
      <c r="B2923" s="1" t="s">
        <v>2549</v>
      </c>
      <c r="C2923" s="1" t="s">
        <v>65</v>
      </c>
      <c r="D2923" s="1" t="s">
        <v>7465</v>
      </c>
      <c r="E2923" s="62">
        <v>19</v>
      </c>
      <c r="F2923" s="1" t="s">
        <v>2551</v>
      </c>
      <c r="G2923" s="1" t="s">
        <v>2558</v>
      </c>
    </row>
    <row x14ac:dyDescent="0.25" r="2924" customHeight="1" ht="17.25" hidden="1">
      <c r="A2924" s="112" t="s">
        <v>7466</v>
      </c>
      <c r="B2924" s="1" t="s">
        <v>2549</v>
      </c>
      <c r="C2924" s="1" t="s">
        <v>65</v>
      </c>
      <c r="D2924" s="1" t="s">
        <v>7467</v>
      </c>
      <c r="E2924" s="62">
        <v>23</v>
      </c>
      <c r="F2924" s="1" t="s">
        <v>2551</v>
      </c>
      <c r="G2924" s="1" t="s">
        <v>2552</v>
      </c>
    </row>
    <row x14ac:dyDescent="0.25" r="2925" customHeight="1" ht="17.25" hidden="1">
      <c r="A2925" s="112" t="s">
        <v>7468</v>
      </c>
      <c r="B2925" s="1" t="s">
        <v>2549</v>
      </c>
      <c r="C2925" s="1" t="s">
        <v>65</v>
      </c>
      <c r="D2925" s="1" t="s">
        <v>7469</v>
      </c>
      <c r="E2925" s="62">
        <v>25</v>
      </c>
      <c r="F2925" s="1" t="s">
        <v>2551</v>
      </c>
      <c r="G2925" s="1" t="s">
        <v>2552</v>
      </c>
    </row>
    <row x14ac:dyDescent="0.25" r="2926" customHeight="1" ht="17.25" hidden="1">
      <c r="A2926" s="112" t="s">
        <v>2513</v>
      </c>
      <c r="B2926" s="1" t="s">
        <v>2549</v>
      </c>
      <c r="C2926" s="1" t="s">
        <v>65</v>
      </c>
      <c r="D2926" s="1" t="s">
        <v>7214</v>
      </c>
      <c r="E2926" s="62">
        <v>24</v>
      </c>
      <c r="F2926" s="1" t="s">
        <v>2551</v>
      </c>
      <c r="G2926" s="1" t="s">
        <v>2552</v>
      </c>
    </row>
    <row x14ac:dyDescent="0.25" r="2927" customHeight="1" ht="17.25" hidden="1">
      <c r="A2927" s="112" t="s">
        <v>2051</v>
      </c>
      <c r="B2927" s="1" t="s">
        <v>2549</v>
      </c>
      <c r="C2927" s="1" t="s">
        <v>65</v>
      </c>
      <c r="D2927" s="1" t="s">
        <v>7470</v>
      </c>
      <c r="E2927" s="62">
        <v>36</v>
      </c>
      <c r="F2927" s="1" t="s">
        <v>2551</v>
      </c>
      <c r="G2927" s="1" t="s">
        <v>2552</v>
      </c>
    </row>
    <row x14ac:dyDescent="0.25" r="2928" customHeight="1" ht="17.25" hidden="1">
      <c r="A2928" s="112" t="s">
        <v>7471</v>
      </c>
      <c r="B2928" s="1" t="s">
        <v>2549</v>
      </c>
      <c r="C2928" s="1" t="s">
        <v>65</v>
      </c>
      <c r="D2928" s="1" t="s">
        <v>7472</v>
      </c>
      <c r="E2928" s="62">
        <v>22</v>
      </c>
      <c r="F2928" s="1" t="s">
        <v>2551</v>
      </c>
      <c r="G2928" s="1" t="s">
        <v>2552</v>
      </c>
    </row>
    <row x14ac:dyDescent="0.25" r="2929" customHeight="1" ht="17.25" hidden="1">
      <c r="A2929" s="112" t="s">
        <v>7473</v>
      </c>
      <c r="B2929" s="1" t="s">
        <v>2549</v>
      </c>
      <c r="C2929" s="1" t="s">
        <v>65</v>
      </c>
      <c r="D2929" s="1" t="s">
        <v>7474</v>
      </c>
      <c r="E2929" s="62">
        <v>36</v>
      </c>
      <c r="F2929" s="1" t="s">
        <v>2551</v>
      </c>
      <c r="G2929" s="1" t="s">
        <v>2552</v>
      </c>
    </row>
    <row x14ac:dyDescent="0.25" r="2930" customHeight="1" ht="17.25" hidden="1">
      <c r="A2930" s="112" t="s">
        <v>7475</v>
      </c>
      <c r="B2930" s="1" t="s">
        <v>2549</v>
      </c>
      <c r="C2930" s="1" t="s">
        <v>65</v>
      </c>
      <c r="D2930" s="1" t="s">
        <v>7476</v>
      </c>
      <c r="E2930" s="62">
        <v>20</v>
      </c>
      <c r="F2930" s="1" t="s">
        <v>2551</v>
      </c>
      <c r="G2930" s="1" t="s">
        <v>2552</v>
      </c>
    </row>
    <row x14ac:dyDescent="0.25" r="2931" customHeight="1" ht="17.25" hidden="1">
      <c r="A2931" s="112" t="s">
        <v>7477</v>
      </c>
      <c r="B2931" s="1" t="s">
        <v>2549</v>
      </c>
      <c r="C2931" s="1" t="s">
        <v>65</v>
      </c>
      <c r="D2931" s="1" t="s">
        <v>7478</v>
      </c>
      <c r="E2931" s="62">
        <v>21</v>
      </c>
      <c r="F2931" s="1" t="s">
        <v>2551</v>
      </c>
      <c r="G2931" s="1" t="s">
        <v>2552</v>
      </c>
    </row>
    <row x14ac:dyDescent="0.25" r="2932" customHeight="1" ht="17.25" hidden="1">
      <c r="A2932" s="112" t="s">
        <v>7477</v>
      </c>
      <c r="B2932" s="1" t="s">
        <v>2549</v>
      </c>
      <c r="C2932" s="1" t="s">
        <v>65</v>
      </c>
      <c r="D2932" s="1" t="s">
        <v>7479</v>
      </c>
      <c r="E2932" s="62">
        <v>16</v>
      </c>
      <c r="F2932" s="1" t="s">
        <v>2551</v>
      </c>
      <c r="G2932" s="1" t="s">
        <v>2552</v>
      </c>
    </row>
    <row x14ac:dyDescent="0.25" r="2933" customHeight="1" ht="17.25" hidden="1">
      <c r="A2933" s="112" t="s">
        <v>7480</v>
      </c>
      <c r="B2933" s="1" t="s">
        <v>2549</v>
      </c>
      <c r="C2933" s="1" t="s">
        <v>65</v>
      </c>
      <c r="D2933" s="1" t="s">
        <v>7481</v>
      </c>
      <c r="E2933" s="62">
        <v>24</v>
      </c>
      <c r="F2933" s="1" t="s">
        <v>2551</v>
      </c>
      <c r="G2933" s="1" t="s">
        <v>2555</v>
      </c>
    </row>
    <row x14ac:dyDescent="0.25" r="2934" customHeight="1" ht="17.25" hidden="1">
      <c r="A2934" s="112" t="s">
        <v>7482</v>
      </c>
      <c r="B2934" s="1" t="s">
        <v>2549</v>
      </c>
      <c r="C2934" s="1" t="s">
        <v>65</v>
      </c>
      <c r="D2934" s="1" t="s">
        <v>7483</v>
      </c>
      <c r="E2934" s="62">
        <v>18</v>
      </c>
      <c r="F2934" s="1" t="s">
        <v>2551</v>
      </c>
      <c r="G2934" s="1" t="s">
        <v>2552</v>
      </c>
    </row>
    <row x14ac:dyDescent="0.25" r="2935" customHeight="1" ht="17.25" hidden="1">
      <c r="A2935" s="112" t="s">
        <v>954</v>
      </c>
      <c r="B2935" s="1" t="s">
        <v>2549</v>
      </c>
      <c r="C2935" s="1" t="s">
        <v>65</v>
      </c>
      <c r="D2935" s="1" t="s">
        <v>960</v>
      </c>
      <c r="E2935" s="62">
        <v>18</v>
      </c>
      <c r="F2935" s="1" t="s">
        <v>2551</v>
      </c>
      <c r="G2935" s="1" t="s">
        <v>2558</v>
      </c>
    </row>
    <row x14ac:dyDescent="0.25" r="2936" customHeight="1" ht="17.25" hidden="1">
      <c r="A2936" s="112" t="s">
        <v>954</v>
      </c>
      <c r="B2936" s="1" t="s">
        <v>2549</v>
      </c>
      <c r="C2936" s="1" t="s">
        <v>65</v>
      </c>
      <c r="D2936" s="1" t="s">
        <v>7484</v>
      </c>
      <c r="E2936" s="62">
        <v>19</v>
      </c>
      <c r="F2936" s="1" t="s">
        <v>2551</v>
      </c>
      <c r="G2936" s="1" t="s">
        <v>2558</v>
      </c>
    </row>
    <row x14ac:dyDescent="0.25" r="2937" customHeight="1" ht="17.25" hidden="1">
      <c r="A2937" s="112" t="s">
        <v>7485</v>
      </c>
      <c r="B2937" s="1" t="s">
        <v>2549</v>
      </c>
      <c r="C2937" s="1" t="s">
        <v>65</v>
      </c>
      <c r="D2937" s="1" t="s">
        <v>7486</v>
      </c>
      <c r="E2937" s="62">
        <v>26</v>
      </c>
      <c r="F2937" s="1" t="s">
        <v>2551</v>
      </c>
      <c r="G2937" s="1" t="s">
        <v>2552</v>
      </c>
    </row>
    <row x14ac:dyDescent="0.25" r="2938" customHeight="1" ht="17.25" hidden="1">
      <c r="A2938" s="112" t="s">
        <v>7485</v>
      </c>
      <c r="B2938" s="1" t="s">
        <v>2549</v>
      </c>
      <c r="C2938" s="1" t="s">
        <v>65</v>
      </c>
      <c r="D2938" s="1" t="s">
        <v>7487</v>
      </c>
      <c r="E2938" s="62">
        <v>50</v>
      </c>
      <c r="F2938" s="1" t="s">
        <v>2561</v>
      </c>
      <c r="G2938" s="1" t="s">
        <v>2552</v>
      </c>
    </row>
    <row x14ac:dyDescent="0.25" r="2939" customHeight="1" ht="17.25" hidden="1">
      <c r="A2939" s="112" t="s">
        <v>7488</v>
      </c>
      <c r="B2939" s="1" t="s">
        <v>2549</v>
      </c>
      <c r="C2939" s="1" t="s">
        <v>65</v>
      </c>
      <c r="D2939" s="1" t="s">
        <v>5631</v>
      </c>
      <c r="E2939" s="62">
        <v>34</v>
      </c>
      <c r="F2939" s="1" t="s">
        <v>2551</v>
      </c>
      <c r="G2939" s="1" t="s">
        <v>2555</v>
      </c>
    </row>
    <row x14ac:dyDescent="0.25" r="2940" customHeight="1" ht="17.25" hidden="1">
      <c r="A2940" s="112" t="s">
        <v>7489</v>
      </c>
      <c r="B2940" s="1" t="s">
        <v>2549</v>
      </c>
      <c r="C2940" s="1" t="s">
        <v>65</v>
      </c>
      <c r="D2940" s="1" t="s">
        <v>7490</v>
      </c>
      <c r="E2940" s="62">
        <v>18</v>
      </c>
      <c r="F2940" s="1" t="s">
        <v>2551</v>
      </c>
      <c r="G2940" s="1" t="s">
        <v>2552</v>
      </c>
    </row>
    <row x14ac:dyDescent="0.25" r="2941" customHeight="1" ht="17.25" hidden="1">
      <c r="A2941" s="112" t="s">
        <v>7491</v>
      </c>
      <c r="B2941" s="1" t="s">
        <v>2549</v>
      </c>
      <c r="C2941" s="1" t="s">
        <v>65</v>
      </c>
      <c r="D2941" s="1" t="s">
        <v>7492</v>
      </c>
      <c r="E2941" s="62">
        <v>26</v>
      </c>
      <c r="F2941" s="1" t="s">
        <v>2551</v>
      </c>
      <c r="G2941" s="1" t="s">
        <v>2552</v>
      </c>
    </row>
    <row x14ac:dyDescent="0.25" r="2942" customHeight="1" ht="17.25" hidden="1">
      <c r="A2942" s="112" t="s">
        <v>7493</v>
      </c>
      <c r="B2942" s="1" t="s">
        <v>2549</v>
      </c>
      <c r="C2942" s="1" t="s">
        <v>65</v>
      </c>
      <c r="D2942" s="1" t="s">
        <v>7494</v>
      </c>
      <c r="E2942" s="62">
        <v>47</v>
      </c>
      <c r="F2942" s="1" t="s">
        <v>2551</v>
      </c>
      <c r="G2942" s="1" t="s">
        <v>2555</v>
      </c>
    </row>
    <row x14ac:dyDescent="0.25" r="2943" customHeight="1" ht="17.25" hidden="1">
      <c r="A2943" s="112" t="s">
        <v>7493</v>
      </c>
      <c r="B2943" s="1" t="s">
        <v>2549</v>
      </c>
      <c r="C2943" s="1" t="s">
        <v>65</v>
      </c>
      <c r="D2943" s="1" t="s">
        <v>7495</v>
      </c>
      <c r="E2943" s="62">
        <v>37</v>
      </c>
      <c r="F2943" s="1" t="s">
        <v>2551</v>
      </c>
      <c r="G2943" s="1" t="s">
        <v>2555</v>
      </c>
    </row>
    <row x14ac:dyDescent="0.25" r="2944" customHeight="1" ht="17.25" hidden="1">
      <c r="A2944" s="112" t="s">
        <v>7493</v>
      </c>
      <c r="B2944" s="1" t="s">
        <v>2549</v>
      </c>
      <c r="C2944" s="1" t="s">
        <v>65</v>
      </c>
      <c r="D2944" s="1" t="s">
        <v>7496</v>
      </c>
      <c r="E2944" s="62">
        <v>30</v>
      </c>
      <c r="F2944" s="1" t="s">
        <v>2551</v>
      </c>
      <c r="G2944" s="1" t="s">
        <v>2555</v>
      </c>
    </row>
    <row x14ac:dyDescent="0.25" r="2945" customHeight="1" ht="17.25" hidden="1">
      <c r="A2945" s="112" t="s">
        <v>7497</v>
      </c>
      <c r="B2945" s="1" t="s">
        <v>2549</v>
      </c>
      <c r="C2945" s="1" t="s">
        <v>65</v>
      </c>
      <c r="D2945" s="1" t="s">
        <v>7498</v>
      </c>
      <c r="E2945" s="62">
        <v>29</v>
      </c>
      <c r="F2945" s="1" t="s">
        <v>2551</v>
      </c>
      <c r="G2945" s="1" t="s">
        <v>2552</v>
      </c>
    </row>
    <row x14ac:dyDescent="0.25" r="2946" customHeight="1" ht="17.25" hidden="1">
      <c r="A2946" s="112" t="s">
        <v>7499</v>
      </c>
      <c r="B2946" s="1" t="s">
        <v>2549</v>
      </c>
      <c r="C2946" s="1" t="s">
        <v>65</v>
      </c>
      <c r="D2946" s="1" t="s">
        <v>7500</v>
      </c>
      <c r="E2946" s="54" t="s">
        <v>2571</v>
      </c>
      <c r="F2946" s="1" t="s">
        <v>2551</v>
      </c>
      <c r="G2946" s="1" t="s">
        <v>5094</v>
      </c>
    </row>
    <row x14ac:dyDescent="0.25" r="2947" customHeight="1" ht="17.25" hidden="1">
      <c r="A2947" s="112" t="s">
        <v>7501</v>
      </c>
      <c r="B2947" s="1" t="s">
        <v>2549</v>
      </c>
      <c r="C2947" s="1" t="s">
        <v>65</v>
      </c>
      <c r="D2947" s="1" t="s">
        <v>7502</v>
      </c>
      <c r="E2947" s="62">
        <v>20</v>
      </c>
      <c r="F2947" s="1" t="s">
        <v>2551</v>
      </c>
      <c r="G2947" s="1" t="s">
        <v>2555</v>
      </c>
    </row>
    <row x14ac:dyDescent="0.25" r="2948" customHeight="1" ht="17.25" hidden="1">
      <c r="A2948" s="112" t="s">
        <v>7503</v>
      </c>
      <c r="B2948" s="1" t="s">
        <v>2549</v>
      </c>
      <c r="C2948" s="1" t="s">
        <v>65</v>
      </c>
      <c r="D2948" s="1" t="s">
        <v>7504</v>
      </c>
      <c r="E2948" s="62">
        <v>26</v>
      </c>
      <c r="F2948" s="1" t="s">
        <v>2561</v>
      </c>
      <c r="G2948" s="1" t="s">
        <v>2552</v>
      </c>
    </row>
    <row x14ac:dyDescent="0.25" r="2949" customHeight="1" ht="17.25" hidden="1">
      <c r="A2949" s="112" t="s">
        <v>7503</v>
      </c>
      <c r="B2949" s="1" t="s">
        <v>2549</v>
      </c>
      <c r="C2949" s="1" t="s">
        <v>65</v>
      </c>
      <c r="D2949" s="1" t="s">
        <v>7505</v>
      </c>
      <c r="E2949" s="62">
        <v>27</v>
      </c>
      <c r="F2949" s="1" t="s">
        <v>2551</v>
      </c>
      <c r="G2949" s="1" t="s">
        <v>2552</v>
      </c>
    </row>
    <row x14ac:dyDescent="0.25" r="2950" customHeight="1" ht="17.25" hidden="1">
      <c r="A2950" s="112" t="s">
        <v>7503</v>
      </c>
      <c r="B2950" s="1" t="s">
        <v>2549</v>
      </c>
      <c r="C2950" s="1" t="s">
        <v>65</v>
      </c>
      <c r="D2950" s="1" t="s">
        <v>7506</v>
      </c>
      <c r="E2950" s="62">
        <v>18</v>
      </c>
      <c r="F2950" s="1" t="s">
        <v>2561</v>
      </c>
      <c r="G2950" s="1" t="s">
        <v>2552</v>
      </c>
    </row>
    <row x14ac:dyDescent="0.25" r="2951" customHeight="1" ht="17.25" hidden="1">
      <c r="A2951" s="112" t="s">
        <v>7503</v>
      </c>
      <c r="B2951" s="1" t="s">
        <v>2549</v>
      </c>
      <c r="C2951" s="1" t="s">
        <v>65</v>
      </c>
      <c r="D2951" s="1" t="s">
        <v>7507</v>
      </c>
      <c r="E2951" s="62">
        <v>31</v>
      </c>
      <c r="F2951" s="1" t="s">
        <v>2561</v>
      </c>
      <c r="G2951" s="1" t="s">
        <v>2552</v>
      </c>
    </row>
    <row x14ac:dyDescent="0.25" r="2952" customHeight="1" ht="17.25" hidden="1">
      <c r="A2952" s="112" t="s">
        <v>7503</v>
      </c>
      <c r="B2952" s="1" t="s">
        <v>2549</v>
      </c>
      <c r="C2952" s="1" t="s">
        <v>65</v>
      </c>
      <c r="D2952" s="1" t="s">
        <v>7508</v>
      </c>
      <c r="E2952" s="62">
        <v>21</v>
      </c>
      <c r="F2952" s="1" t="s">
        <v>2551</v>
      </c>
      <c r="G2952" s="1" t="s">
        <v>2552</v>
      </c>
    </row>
    <row x14ac:dyDescent="0.25" r="2953" customHeight="1" ht="17.25" hidden="1">
      <c r="A2953" s="112" t="s">
        <v>7509</v>
      </c>
      <c r="B2953" s="1" t="s">
        <v>2549</v>
      </c>
      <c r="C2953" s="1" t="s">
        <v>65</v>
      </c>
      <c r="D2953" s="1" t="s">
        <v>7510</v>
      </c>
      <c r="E2953" s="54" t="s">
        <v>2571</v>
      </c>
      <c r="F2953" s="1" t="s">
        <v>2551</v>
      </c>
      <c r="G2953" s="1" t="s">
        <v>2571</v>
      </c>
    </row>
    <row x14ac:dyDescent="0.25" r="2954" customHeight="1" ht="17.25" hidden="1">
      <c r="A2954" s="112" t="s">
        <v>7511</v>
      </c>
      <c r="B2954" s="1" t="s">
        <v>2549</v>
      </c>
      <c r="C2954" s="1" t="s">
        <v>65</v>
      </c>
      <c r="D2954" s="1" t="s">
        <v>7512</v>
      </c>
      <c r="E2954" s="62">
        <v>20</v>
      </c>
      <c r="F2954" s="1" t="s">
        <v>2551</v>
      </c>
      <c r="G2954" s="1" t="s">
        <v>2555</v>
      </c>
    </row>
    <row x14ac:dyDescent="0.25" r="2955" customHeight="1" ht="17.25" hidden="1">
      <c r="A2955" s="112" t="s">
        <v>7511</v>
      </c>
      <c r="B2955" s="1" t="s">
        <v>2549</v>
      </c>
      <c r="C2955" s="1" t="s">
        <v>65</v>
      </c>
      <c r="D2955" s="1" t="s">
        <v>7513</v>
      </c>
      <c r="E2955" s="62">
        <v>25</v>
      </c>
      <c r="F2955" s="1" t="s">
        <v>2551</v>
      </c>
      <c r="G2955" s="1" t="s">
        <v>2555</v>
      </c>
    </row>
    <row x14ac:dyDescent="0.25" r="2956" customHeight="1" ht="17.25" hidden="1">
      <c r="A2956" s="112" t="s">
        <v>7514</v>
      </c>
      <c r="B2956" s="1" t="s">
        <v>2549</v>
      </c>
      <c r="C2956" s="1" t="s">
        <v>65</v>
      </c>
      <c r="D2956" s="1" t="s">
        <v>7515</v>
      </c>
      <c r="E2956" s="62">
        <v>22</v>
      </c>
      <c r="F2956" s="1" t="s">
        <v>2551</v>
      </c>
      <c r="G2956" s="1" t="s">
        <v>2558</v>
      </c>
    </row>
    <row x14ac:dyDescent="0.25" r="2957" customHeight="1" ht="17.25" hidden="1">
      <c r="A2957" s="112" t="s">
        <v>7516</v>
      </c>
      <c r="B2957" s="1" t="s">
        <v>2549</v>
      </c>
      <c r="C2957" s="1" t="s">
        <v>65</v>
      </c>
      <c r="D2957" s="1" t="s">
        <v>7517</v>
      </c>
      <c r="E2957" s="62">
        <v>24</v>
      </c>
      <c r="F2957" s="1" t="s">
        <v>2551</v>
      </c>
      <c r="G2957" s="1" t="s">
        <v>2552</v>
      </c>
    </row>
    <row x14ac:dyDescent="0.25" r="2958" customHeight="1" ht="17.25" hidden="1">
      <c r="A2958" s="112" t="s">
        <v>7518</v>
      </c>
      <c r="B2958" s="1" t="s">
        <v>2549</v>
      </c>
      <c r="C2958" s="1" t="s">
        <v>65</v>
      </c>
      <c r="D2958" s="1" t="s">
        <v>7519</v>
      </c>
      <c r="E2958" s="62">
        <v>18</v>
      </c>
      <c r="F2958" s="1" t="s">
        <v>2551</v>
      </c>
      <c r="G2958" s="1" t="s">
        <v>2555</v>
      </c>
    </row>
    <row x14ac:dyDescent="0.25" r="2959" customHeight="1" ht="17.25" hidden="1">
      <c r="A2959" s="112" t="s">
        <v>7518</v>
      </c>
      <c r="B2959" s="1" t="s">
        <v>2549</v>
      </c>
      <c r="C2959" s="1" t="s">
        <v>65</v>
      </c>
      <c r="D2959" s="1" t="s">
        <v>7520</v>
      </c>
      <c r="E2959" s="62">
        <v>22</v>
      </c>
      <c r="F2959" s="1" t="s">
        <v>2551</v>
      </c>
      <c r="G2959" s="1" t="s">
        <v>2555</v>
      </c>
    </row>
    <row x14ac:dyDescent="0.25" r="2960" customHeight="1" ht="17.25" hidden="1">
      <c r="A2960" s="112" t="s">
        <v>7521</v>
      </c>
      <c r="B2960" s="1" t="s">
        <v>2549</v>
      </c>
      <c r="C2960" s="1" t="s">
        <v>65</v>
      </c>
      <c r="D2960" s="1" t="s">
        <v>7522</v>
      </c>
      <c r="E2960" s="62">
        <v>25</v>
      </c>
      <c r="F2960" s="1" t="s">
        <v>2551</v>
      </c>
      <c r="G2960" s="1" t="s">
        <v>2555</v>
      </c>
    </row>
    <row x14ac:dyDescent="0.25" r="2961" customHeight="1" ht="17.25" hidden="1">
      <c r="A2961" s="112" t="s">
        <v>7523</v>
      </c>
      <c r="B2961" s="1" t="s">
        <v>2549</v>
      </c>
      <c r="C2961" s="1" t="s">
        <v>65</v>
      </c>
      <c r="D2961" s="1" t="s">
        <v>7524</v>
      </c>
      <c r="E2961" s="62">
        <v>19</v>
      </c>
      <c r="F2961" s="1" t="s">
        <v>2551</v>
      </c>
      <c r="G2961" s="1" t="s">
        <v>2558</v>
      </c>
    </row>
    <row x14ac:dyDescent="0.25" r="2962" customHeight="1" ht="17.25" hidden="1">
      <c r="A2962" s="112" t="s">
        <v>7525</v>
      </c>
      <c r="B2962" s="1" t="s">
        <v>2549</v>
      </c>
      <c r="C2962" s="1" t="s">
        <v>65</v>
      </c>
      <c r="D2962" s="1" t="s">
        <v>7526</v>
      </c>
      <c r="E2962" s="62">
        <v>61</v>
      </c>
      <c r="F2962" s="1" t="s">
        <v>2551</v>
      </c>
      <c r="G2962" s="1" t="s">
        <v>2555</v>
      </c>
    </row>
    <row x14ac:dyDescent="0.25" r="2963" customHeight="1" ht="17.25" hidden="1">
      <c r="A2963" s="112" t="s">
        <v>7527</v>
      </c>
      <c r="B2963" s="1" t="s">
        <v>2549</v>
      </c>
      <c r="C2963" s="1" t="s">
        <v>65</v>
      </c>
      <c r="D2963" s="1" t="s">
        <v>7528</v>
      </c>
      <c r="E2963" s="62">
        <v>20</v>
      </c>
      <c r="F2963" s="1" t="s">
        <v>2551</v>
      </c>
      <c r="G2963" s="1" t="s">
        <v>2552</v>
      </c>
    </row>
    <row x14ac:dyDescent="0.25" r="2964" customHeight="1" ht="17.25" hidden="1">
      <c r="A2964" s="112" t="s">
        <v>7529</v>
      </c>
      <c r="B2964" s="1" t="s">
        <v>2549</v>
      </c>
      <c r="C2964" s="1" t="s">
        <v>65</v>
      </c>
      <c r="D2964" s="1" t="s">
        <v>7530</v>
      </c>
      <c r="E2964" s="62">
        <v>19</v>
      </c>
      <c r="F2964" s="1" t="s">
        <v>2551</v>
      </c>
      <c r="G2964" s="1" t="s">
        <v>2552</v>
      </c>
    </row>
    <row x14ac:dyDescent="0.25" r="2965" customHeight="1" ht="17.25" hidden="1">
      <c r="A2965" s="112" t="s">
        <v>7529</v>
      </c>
      <c r="B2965" s="1" t="s">
        <v>2549</v>
      </c>
      <c r="C2965" s="1" t="s">
        <v>65</v>
      </c>
      <c r="D2965" s="1" t="s">
        <v>7531</v>
      </c>
      <c r="E2965" s="62">
        <v>23</v>
      </c>
      <c r="F2965" s="1" t="s">
        <v>2551</v>
      </c>
      <c r="G2965" s="1" t="s">
        <v>2555</v>
      </c>
    </row>
    <row x14ac:dyDescent="0.25" r="2966" customHeight="1" ht="17.25" hidden="1">
      <c r="A2966" s="112" t="s">
        <v>2341</v>
      </c>
      <c r="B2966" s="1" t="s">
        <v>2549</v>
      </c>
      <c r="C2966" s="1" t="s">
        <v>65</v>
      </c>
      <c r="D2966" s="1" t="s">
        <v>7532</v>
      </c>
      <c r="E2966" s="62">
        <v>19</v>
      </c>
      <c r="F2966" s="1" t="s">
        <v>2551</v>
      </c>
      <c r="G2966" s="1" t="s">
        <v>2552</v>
      </c>
    </row>
    <row x14ac:dyDescent="0.25" r="2967" customHeight="1" ht="17.25" hidden="1">
      <c r="A2967" s="112" t="s">
        <v>7533</v>
      </c>
      <c r="B2967" s="1" t="s">
        <v>2549</v>
      </c>
      <c r="C2967" s="1" t="s">
        <v>65</v>
      </c>
      <c r="D2967" s="1" t="s">
        <v>7534</v>
      </c>
      <c r="E2967" s="62">
        <v>25</v>
      </c>
      <c r="F2967" s="1" t="s">
        <v>2551</v>
      </c>
      <c r="G2967" s="1" t="s">
        <v>2555</v>
      </c>
    </row>
    <row x14ac:dyDescent="0.25" r="2968" customHeight="1" ht="17.25" hidden="1">
      <c r="A2968" s="112" t="s">
        <v>7535</v>
      </c>
      <c r="B2968" s="1" t="s">
        <v>2549</v>
      </c>
      <c r="C2968" s="1" t="s">
        <v>65</v>
      </c>
      <c r="D2968" s="1" t="s">
        <v>7536</v>
      </c>
      <c r="E2968" s="62">
        <v>23</v>
      </c>
      <c r="F2968" s="1" t="s">
        <v>2551</v>
      </c>
      <c r="G2968" s="1" t="s">
        <v>2552</v>
      </c>
    </row>
    <row x14ac:dyDescent="0.25" r="2969" customHeight="1" ht="17.25" hidden="1">
      <c r="A2969" s="112" t="s">
        <v>7537</v>
      </c>
      <c r="B2969" s="1" t="s">
        <v>2549</v>
      </c>
      <c r="C2969" s="1" t="s">
        <v>65</v>
      </c>
      <c r="D2969" s="1" t="s">
        <v>7538</v>
      </c>
      <c r="E2969" s="62">
        <v>21</v>
      </c>
      <c r="F2969" s="1" t="s">
        <v>2551</v>
      </c>
      <c r="G2969" s="1" t="s">
        <v>2555</v>
      </c>
    </row>
    <row x14ac:dyDescent="0.25" r="2970" customHeight="1" ht="17.25" hidden="1">
      <c r="A2970" s="112" t="s">
        <v>7539</v>
      </c>
      <c r="B2970" s="1" t="s">
        <v>2549</v>
      </c>
      <c r="C2970" s="1" t="s">
        <v>65</v>
      </c>
      <c r="D2970" s="1" t="s">
        <v>7540</v>
      </c>
      <c r="E2970" s="62">
        <v>26</v>
      </c>
      <c r="F2970" s="1" t="s">
        <v>2551</v>
      </c>
      <c r="G2970" s="1" t="s">
        <v>2555</v>
      </c>
    </row>
    <row x14ac:dyDescent="0.25" r="2971" customHeight="1" ht="17.25" hidden="1">
      <c r="A2971" s="112" t="s">
        <v>7541</v>
      </c>
      <c r="B2971" s="1" t="s">
        <v>2549</v>
      </c>
      <c r="C2971" s="1" t="s">
        <v>65</v>
      </c>
      <c r="D2971" s="1" t="s">
        <v>7542</v>
      </c>
      <c r="E2971" s="62">
        <v>36</v>
      </c>
      <c r="F2971" s="1" t="s">
        <v>2551</v>
      </c>
      <c r="G2971" s="1" t="s">
        <v>2558</v>
      </c>
    </row>
    <row x14ac:dyDescent="0.25" r="2972" customHeight="1" ht="17.25" hidden="1">
      <c r="A2972" s="112" t="s">
        <v>7543</v>
      </c>
      <c r="B2972" s="1" t="s">
        <v>2549</v>
      </c>
      <c r="C2972" s="1" t="s">
        <v>65</v>
      </c>
      <c r="D2972" s="1" t="s">
        <v>7544</v>
      </c>
      <c r="E2972" s="62">
        <v>35</v>
      </c>
      <c r="F2972" s="1" t="s">
        <v>2551</v>
      </c>
      <c r="G2972" s="1" t="s">
        <v>4578</v>
      </c>
    </row>
    <row x14ac:dyDescent="0.25" r="2973" customHeight="1" ht="17.25" hidden="1">
      <c r="A2973" s="112" t="s">
        <v>7545</v>
      </c>
      <c r="B2973" s="1" t="s">
        <v>2549</v>
      </c>
      <c r="C2973" s="1" t="s">
        <v>65</v>
      </c>
      <c r="D2973" s="1" t="s">
        <v>7546</v>
      </c>
      <c r="E2973" s="62">
        <v>27</v>
      </c>
      <c r="F2973" s="1" t="s">
        <v>2551</v>
      </c>
      <c r="G2973" s="1" t="s">
        <v>2555</v>
      </c>
    </row>
    <row x14ac:dyDescent="0.25" r="2974" customHeight="1" ht="17.25" hidden="1">
      <c r="A2974" s="112" t="s">
        <v>7547</v>
      </c>
      <c r="B2974" s="1" t="s">
        <v>2549</v>
      </c>
      <c r="C2974" s="1" t="s">
        <v>65</v>
      </c>
      <c r="D2974" s="1" t="s">
        <v>7548</v>
      </c>
      <c r="E2974" s="62">
        <v>43</v>
      </c>
      <c r="F2974" s="1" t="s">
        <v>2551</v>
      </c>
      <c r="G2974" s="1" t="s">
        <v>2558</v>
      </c>
    </row>
    <row x14ac:dyDescent="0.25" r="2975" customHeight="1" ht="17.25" hidden="1">
      <c r="A2975" s="112" t="s">
        <v>7547</v>
      </c>
      <c r="B2975" s="1" t="s">
        <v>2549</v>
      </c>
      <c r="C2975" s="1" t="s">
        <v>65</v>
      </c>
      <c r="D2975" s="1" t="s">
        <v>7549</v>
      </c>
      <c r="E2975" s="62">
        <v>33</v>
      </c>
      <c r="F2975" s="1" t="s">
        <v>2551</v>
      </c>
      <c r="G2975" s="1" t="s">
        <v>2558</v>
      </c>
    </row>
    <row x14ac:dyDescent="0.25" r="2976" customHeight="1" ht="17.25" hidden="1">
      <c r="A2976" s="112" t="s">
        <v>7550</v>
      </c>
      <c r="B2976" s="1" t="s">
        <v>2549</v>
      </c>
      <c r="C2976" s="1" t="s">
        <v>65</v>
      </c>
      <c r="D2976" s="1" t="s">
        <v>7551</v>
      </c>
      <c r="E2976" s="62">
        <v>32</v>
      </c>
      <c r="F2976" s="1" t="s">
        <v>2551</v>
      </c>
      <c r="G2976" s="1" t="s">
        <v>2555</v>
      </c>
    </row>
    <row x14ac:dyDescent="0.25" r="2977" customHeight="1" ht="17.25" hidden="1">
      <c r="A2977" s="112" t="s">
        <v>7552</v>
      </c>
      <c r="B2977" s="1" t="s">
        <v>2549</v>
      </c>
      <c r="C2977" s="1" t="s">
        <v>65</v>
      </c>
      <c r="D2977" s="1" t="s">
        <v>7553</v>
      </c>
      <c r="E2977" s="62">
        <v>37</v>
      </c>
      <c r="F2977" s="1" t="s">
        <v>2551</v>
      </c>
      <c r="G2977" s="1" t="s">
        <v>2558</v>
      </c>
    </row>
    <row x14ac:dyDescent="0.25" r="2978" customHeight="1" ht="17.25" hidden="1">
      <c r="A2978" s="112" t="s">
        <v>7554</v>
      </c>
      <c r="B2978" s="1" t="s">
        <v>2549</v>
      </c>
      <c r="C2978" s="1" t="s">
        <v>65</v>
      </c>
      <c r="D2978" s="1" t="s">
        <v>7555</v>
      </c>
      <c r="E2978" s="62">
        <v>18</v>
      </c>
      <c r="F2978" s="1" t="s">
        <v>2551</v>
      </c>
      <c r="G2978" s="1" t="s">
        <v>2552</v>
      </c>
    </row>
    <row x14ac:dyDescent="0.25" r="2979" customHeight="1" ht="17.25" hidden="1">
      <c r="A2979" s="112" t="s">
        <v>7556</v>
      </c>
      <c r="B2979" s="1" t="s">
        <v>2549</v>
      </c>
      <c r="C2979" s="1" t="s">
        <v>65</v>
      </c>
      <c r="D2979" s="1" t="s">
        <v>7557</v>
      </c>
      <c r="E2979" s="62">
        <v>34</v>
      </c>
      <c r="F2979" s="1" t="s">
        <v>2551</v>
      </c>
      <c r="G2979" s="1" t="s">
        <v>2964</v>
      </c>
    </row>
    <row x14ac:dyDescent="0.25" r="2980" customHeight="1" ht="17.25" hidden="1">
      <c r="A2980" s="112" t="s">
        <v>7558</v>
      </c>
      <c r="B2980" s="1" t="s">
        <v>2549</v>
      </c>
      <c r="C2980" s="1" t="s">
        <v>65</v>
      </c>
      <c r="D2980" s="1" t="s">
        <v>7559</v>
      </c>
      <c r="E2980" s="62">
        <v>19</v>
      </c>
      <c r="F2980" s="1" t="s">
        <v>2551</v>
      </c>
      <c r="G2980" s="1" t="s">
        <v>2555</v>
      </c>
    </row>
    <row x14ac:dyDescent="0.25" r="2981" customHeight="1" ht="17.25" hidden="1">
      <c r="A2981" s="112" t="s">
        <v>7560</v>
      </c>
      <c r="B2981" s="1" t="s">
        <v>2549</v>
      </c>
      <c r="C2981" s="1" t="s">
        <v>65</v>
      </c>
      <c r="D2981" s="1" t="s">
        <v>7561</v>
      </c>
      <c r="E2981" s="62">
        <v>19</v>
      </c>
      <c r="F2981" s="1" t="s">
        <v>2551</v>
      </c>
      <c r="G2981" s="1" t="s">
        <v>2555</v>
      </c>
    </row>
    <row x14ac:dyDescent="0.25" r="2982" customHeight="1" ht="17.25" hidden="1">
      <c r="A2982" s="112" t="s">
        <v>7562</v>
      </c>
      <c r="B2982" s="1" t="s">
        <v>2549</v>
      </c>
      <c r="C2982" s="1" t="s">
        <v>65</v>
      </c>
      <c r="D2982" s="1" t="s">
        <v>7563</v>
      </c>
      <c r="E2982" s="62">
        <v>22</v>
      </c>
      <c r="F2982" s="1" t="s">
        <v>2551</v>
      </c>
      <c r="G2982" s="1" t="s">
        <v>2552</v>
      </c>
    </row>
    <row x14ac:dyDescent="0.25" r="2983" customHeight="1" ht="17.25" hidden="1">
      <c r="A2983" s="112" t="s">
        <v>7564</v>
      </c>
      <c r="B2983" s="1" t="s">
        <v>2549</v>
      </c>
      <c r="C2983" s="1" t="s">
        <v>65</v>
      </c>
      <c r="D2983" s="1" t="s">
        <v>7565</v>
      </c>
      <c r="E2983" s="62">
        <v>46</v>
      </c>
      <c r="F2983" s="1" t="s">
        <v>2551</v>
      </c>
      <c r="G2983" s="1" t="s">
        <v>2552</v>
      </c>
    </row>
    <row x14ac:dyDescent="0.25" r="2984" customHeight="1" ht="17.25" hidden="1">
      <c r="A2984" s="112" t="s">
        <v>7564</v>
      </c>
      <c r="B2984" s="1" t="s">
        <v>2549</v>
      </c>
      <c r="C2984" s="1" t="s">
        <v>65</v>
      </c>
      <c r="D2984" s="1" t="s">
        <v>7566</v>
      </c>
      <c r="E2984" s="62">
        <v>41</v>
      </c>
      <c r="F2984" s="1" t="s">
        <v>2551</v>
      </c>
      <c r="G2984" s="1" t="s">
        <v>2552</v>
      </c>
    </row>
    <row x14ac:dyDescent="0.25" r="2985" customHeight="1" ht="17.25" hidden="1">
      <c r="A2985" s="112" t="s">
        <v>7567</v>
      </c>
      <c r="B2985" s="1" t="s">
        <v>2549</v>
      </c>
      <c r="C2985" s="1" t="s">
        <v>65</v>
      </c>
      <c r="D2985" s="1" t="s">
        <v>7568</v>
      </c>
      <c r="E2985" s="62">
        <v>28</v>
      </c>
      <c r="F2985" s="1" t="s">
        <v>2551</v>
      </c>
      <c r="G2985" s="1" t="s">
        <v>2552</v>
      </c>
    </row>
    <row x14ac:dyDescent="0.25" r="2986" customHeight="1" ht="17.25" hidden="1">
      <c r="A2986" s="112" t="s">
        <v>7567</v>
      </c>
      <c r="B2986" s="1" t="s">
        <v>2549</v>
      </c>
      <c r="C2986" s="1" t="s">
        <v>65</v>
      </c>
      <c r="D2986" s="1" t="s">
        <v>7569</v>
      </c>
      <c r="E2986" s="62">
        <v>32</v>
      </c>
      <c r="F2986" s="1" t="s">
        <v>2551</v>
      </c>
      <c r="G2986" s="1" t="s">
        <v>2555</v>
      </c>
    </row>
    <row x14ac:dyDescent="0.25" r="2987" customHeight="1" ht="17.25" hidden="1">
      <c r="A2987" s="112" t="s">
        <v>7570</v>
      </c>
      <c r="B2987" s="1" t="s">
        <v>2549</v>
      </c>
      <c r="C2987" s="1" t="s">
        <v>65</v>
      </c>
      <c r="D2987" s="1" t="s">
        <v>7571</v>
      </c>
      <c r="E2987" s="62">
        <v>23</v>
      </c>
      <c r="F2987" s="1" t="s">
        <v>2551</v>
      </c>
      <c r="G2987" s="1" t="s">
        <v>2555</v>
      </c>
    </row>
    <row x14ac:dyDescent="0.25" r="2988" customHeight="1" ht="17.25" hidden="1">
      <c r="A2988" s="112" t="s">
        <v>7572</v>
      </c>
      <c r="B2988" s="1" t="s">
        <v>2549</v>
      </c>
      <c r="C2988" s="1" t="s">
        <v>65</v>
      </c>
      <c r="D2988" s="1" t="s">
        <v>7573</v>
      </c>
      <c r="E2988" s="62">
        <v>24</v>
      </c>
      <c r="F2988" s="1" t="s">
        <v>2551</v>
      </c>
      <c r="G2988" s="1" t="s">
        <v>2555</v>
      </c>
    </row>
    <row x14ac:dyDescent="0.25" r="2989" customHeight="1" ht="17.25" hidden="1">
      <c r="A2989" s="112" t="s">
        <v>7574</v>
      </c>
      <c r="B2989" s="1" t="s">
        <v>2549</v>
      </c>
      <c r="C2989" s="1" t="s">
        <v>65</v>
      </c>
      <c r="D2989" s="1" t="s">
        <v>7575</v>
      </c>
      <c r="E2989" s="62">
        <v>23</v>
      </c>
      <c r="F2989" s="1" t="s">
        <v>2551</v>
      </c>
      <c r="G2989" s="1" t="s">
        <v>2552</v>
      </c>
    </row>
    <row x14ac:dyDescent="0.25" r="2990" customHeight="1" ht="17.25" hidden="1">
      <c r="A2990" s="112" t="s">
        <v>7576</v>
      </c>
      <c r="B2990" s="1" t="s">
        <v>2549</v>
      </c>
      <c r="C2990" s="1" t="s">
        <v>65</v>
      </c>
      <c r="D2990" s="1" t="s">
        <v>7577</v>
      </c>
      <c r="E2990" s="62">
        <v>60</v>
      </c>
      <c r="F2990" s="1" t="s">
        <v>2551</v>
      </c>
      <c r="G2990" s="1" t="s">
        <v>2552</v>
      </c>
    </row>
    <row x14ac:dyDescent="0.25" r="2991" customHeight="1" ht="17.25" hidden="1">
      <c r="A2991" s="112" t="s">
        <v>7578</v>
      </c>
      <c r="B2991" s="1" t="s">
        <v>2549</v>
      </c>
      <c r="C2991" s="1" t="s">
        <v>65</v>
      </c>
      <c r="D2991" s="1" t="s">
        <v>7579</v>
      </c>
      <c r="E2991" s="62">
        <v>25</v>
      </c>
      <c r="F2991" s="1" t="s">
        <v>2551</v>
      </c>
      <c r="G2991" s="1" t="s">
        <v>2552</v>
      </c>
    </row>
    <row x14ac:dyDescent="0.25" r="2992" customHeight="1" ht="17.25" hidden="1">
      <c r="A2992" s="112" t="s">
        <v>7580</v>
      </c>
      <c r="B2992" s="1" t="s">
        <v>2549</v>
      </c>
      <c r="C2992" s="1" t="s">
        <v>65</v>
      </c>
      <c r="D2992" s="1" t="s">
        <v>7581</v>
      </c>
      <c r="E2992" s="62">
        <v>18</v>
      </c>
      <c r="F2992" s="1" t="s">
        <v>2551</v>
      </c>
      <c r="G2992" s="1" t="s">
        <v>2552</v>
      </c>
    </row>
    <row x14ac:dyDescent="0.25" r="2993" customHeight="1" ht="17.25" hidden="1">
      <c r="A2993" s="112" t="s">
        <v>713</v>
      </c>
      <c r="B2993" s="1" t="s">
        <v>2549</v>
      </c>
      <c r="C2993" s="1" t="s">
        <v>66</v>
      </c>
      <c r="D2993" s="1" t="s">
        <v>7582</v>
      </c>
      <c r="E2993" s="62">
        <v>23</v>
      </c>
      <c r="F2993" s="1" t="s">
        <v>2551</v>
      </c>
      <c r="G2993" s="1" t="s">
        <v>2555</v>
      </c>
    </row>
    <row x14ac:dyDescent="0.25" r="2994" customHeight="1" ht="17.25" hidden="1">
      <c r="A2994" s="112" t="s">
        <v>7583</v>
      </c>
      <c r="B2994" s="1" t="s">
        <v>2549</v>
      </c>
      <c r="C2994" s="1" t="s">
        <v>66</v>
      </c>
      <c r="D2994" s="1" t="s">
        <v>7584</v>
      </c>
      <c r="E2994" s="62">
        <v>18</v>
      </c>
      <c r="F2994" s="1" t="s">
        <v>2551</v>
      </c>
      <c r="G2994" s="1" t="s">
        <v>2552</v>
      </c>
    </row>
    <row x14ac:dyDescent="0.25" r="2995" customHeight="1" ht="17.25" hidden="1">
      <c r="A2995" s="112" t="s">
        <v>7585</v>
      </c>
      <c r="B2995" s="1" t="s">
        <v>2549</v>
      </c>
      <c r="C2995" s="1" t="s">
        <v>66</v>
      </c>
      <c r="D2995" s="1" t="s">
        <v>7586</v>
      </c>
      <c r="E2995" s="62">
        <v>25</v>
      </c>
      <c r="F2995" s="1" t="s">
        <v>2551</v>
      </c>
      <c r="G2995" s="1" t="s">
        <v>2552</v>
      </c>
    </row>
    <row x14ac:dyDescent="0.25" r="2996" customHeight="1" ht="17.25" hidden="1">
      <c r="A2996" s="112" t="s">
        <v>7587</v>
      </c>
      <c r="B2996" s="1" t="s">
        <v>2549</v>
      </c>
      <c r="C2996" s="1" t="s">
        <v>66</v>
      </c>
      <c r="D2996" s="1" t="s">
        <v>7588</v>
      </c>
      <c r="E2996" s="62">
        <v>33</v>
      </c>
      <c r="F2996" s="1" t="s">
        <v>2561</v>
      </c>
      <c r="G2996" s="1" t="s">
        <v>2555</v>
      </c>
    </row>
    <row x14ac:dyDescent="0.25" r="2997" customHeight="1" ht="17.25" hidden="1">
      <c r="A2997" s="112" t="s">
        <v>7587</v>
      </c>
      <c r="B2997" s="1" t="s">
        <v>2549</v>
      </c>
      <c r="C2997" s="1" t="s">
        <v>66</v>
      </c>
      <c r="D2997" s="1" t="s">
        <v>7589</v>
      </c>
      <c r="E2997" s="62">
        <v>24</v>
      </c>
      <c r="F2997" s="1" t="s">
        <v>2551</v>
      </c>
      <c r="G2997" s="1" t="s">
        <v>2552</v>
      </c>
    </row>
    <row x14ac:dyDescent="0.25" r="2998" customHeight="1" ht="17.25" hidden="1">
      <c r="A2998" s="112" t="s">
        <v>7590</v>
      </c>
      <c r="B2998" s="1" t="s">
        <v>2549</v>
      </c>
      <c r="C2998" s="1" t="s">
        <v>66</v>
      </c>
      <c r="D2998" s="1" t="s">
        <v>7591</v>
      </c>
      <c r="E2998" s="62">
        <v>24</v>
      </c>
      <c r="F2998" s="1" t="s">
        <v>2551</v>
      </c>
      <c r="G2998" s="1" t="s">
        <v>2552</v>
      </c>
    </row>
    <row x14ac:dyDescent="0.25" r="2999" customHeight="1" ht="17.25" hidden="1">
      <c r="A2999" s="112" t="s">
        <v>7592</v>
      </c>
      <c r="B2999" s="1" t="s">
        <v>2549</v>
      </c>
      <c r="C2999" s="1" t="s">
        <v>66</v>
      </c>
      <c r="D2999" s="1" t="s">
        <v>7593</v>
      </c>
      <c r="E2999" s="62">
        <v>20</v>
      </c>
      <c r="F2999" s="1" t="s">
        <v>2551</v>
      </c>
      <c r="G2999" s="1" t="s">
        <v>2552</v>
      </c>
    </row>
    <row x14ac:dyDescent="0.25" r="3000" customHeight="1" ht="17.25" hidden="1">
      <c r="A3000" s="112" t="s">
        <v>7594</v>
      </c>
      <c r="B3000" s="1" t="s">
        <v>2549</v>
      </c>
      <c r="C3000" s="1" t="s">
        <v>66</v>
      </c>
      <c r="D3000" s="1" t="s">
        <v>7595</v>
      </c>
      <c r="E3000" s="62">
        <v>34</v>
      </c>
      <c r="F3000" s="1" t="s">
        <v>2551</v>
      </c>
      <c r="G3000" s="1" t="s">
        <v>2552</v>
      </c>
    </row>
    <row x14ac:dyDescent="0.25" r="3001" customHeight="1" ht="17.25" hidden="1">
      <c r="A3001" s="112" t="s">
        <v>7596</v>
      </c>
      <c r="B3001" s="1" t="s">
        <v>2549</v>
      </c>
      <c r="C3001" s="1" t="s">
        <v>66</v>
      </c>
      <c r="D3001" s="1" t="s">
        <v>7597</v>
      </c>
      <c r="E3001" s="62">
        <v>19</v>
      </c>
      <c r="F3001" s="1" t="s">
        <v>2551</v>
      </c>
      <c r="G3001" s="1" t="s">
        <v>2552</v>
      </c>
    </row>
    <row x14ac:dyDescent="0.25" r="3002" customHeight="1" ht="17.25" hidden="1">
      <c r="A3002" s="112" t="s">
        <v>7598</v>
      </c>
      <c r="B3002" s="1" t="s">
        <v>2549</v>
      </c>
      <c r="C3002" s="1" t="s">
        <v>66</v>
      </c>
      <c r="D3002" s="1" t="s">
        <v>7599</v>
      </c>
      <c r="E3002" s="62">
        <v>22</v>
      </c>
      <c r="F3002" s="1" t="s">
        <v>2551</v>
      </c>
      <c r="G3002" s="1" t="s">
        <v>2555</v>
      </c>
    </row>
    <row x14ac:dyDescent="0.25" r="3003" customHeight="1" ht="17.25" hidden="1">
      <c r="A3003" s="112" t="s">
        <v>7600</v>
      </c>
      <c r="B3003" s="1" t="s">
        <v>2549</v>
      </c>
      <c r="C3003" s="1" t="s">
        <v>66</v>
      </c>
      <c r="D3003" s="1" t="s">
        <v>7601</v>
      </c>
      <c r="E3003" s="62">
        <v>22</v>
      </c>
      <c r="F3003" s="1" t="s">
        <v>2551</v>
      </c>
      <c r="G3003" s="1" t="s">
        <v>2555</v>
      </c>
    </row>
    <row x14ac:dyDescent="0.25" r="3004" customHeight="1" ht="17.25" hidden="1">
      <c r="A3004" s="112" t="s">
        <v>7602</v>
      </c>
      <c r="B3004" s="1" t="s">
        <v>2549</v>
      </c>
      <c r="C3004" s="1" t="s">
        <v>66</v>
      </c>
      <c r="D3004" s="1" t="s">
        <v>7603</v>
      </c>
      <c r="E3004" s="62">
        <v>21</v>
      </c>
      <c r="F3004" s="1" t="s">
        <v>2551</v>
      </c>
      <c r="G3004" s="1" t="s">
        <v>2555</v>
      </c>
    </row>
    <row x14ac:dyDescent="0.25" r="3005" customHeight="1" ht="17.25" hidden="1">
      <c r="A3005" s="112" t="s">
        <v>7604</v>
      </c>
      <c r="B3005" s="1" t="s">
        <v>2549</v>
      </c>
      <c r="C3005" s="1" t="s">
        <v>66</v>
      </c>
      <c r="D3005" s="1" t="s">
        <v>7605</v>
      </c>
      <c r="E3005" s="62">
        <v>38</v>
      </c>
      <c r="F3005" s="1" t="s">
        <v>2551</v>
      </c>
      <c r="G3005" s="1" t="s">
        <v>2571</v>
      </c>
    </row>
    <row x14ac:dyDescent="0.25" r="3006" customHeight="1" ht="17.25" hidden="1">
      <c r="A3006" s="112" t="s">
        <v>7606</v>
      </c>
      <c r="B3006" s="1" t="s">
        <v>2549</v>
      </c>
      <c r="C3006" s="1" t="s">
        <v>66</v>
      </c>
      <c r="D3006" s="1" t="s">
        <v>7607</v>
      </c>
      <c r="E3006" s="62">
        <v>25</v>
      </c>
      <c r="F3006" s="1" t="s">
        <v>2551</v>
      </c>
      <c r="G3006" s="1" t="s">
        <v>2555</v>
      </c>
    </row>
    <row x14ac:dyDescent="0.25" r="3007" customHeight="1" ht="17.25" hidden="1">
      <c r="A3007" s="112" t="s">
        <v>7606</v>
      </c>
      <c r="B3007" s="1" t="s">
        <v>2549</v>
      </c>
      <c r="C3007" s="1" t="s">
        <v>66</v>
      </c>
      <c r="D3007" s="1" t="s">
        <v>7608</v>
      </c>
      <c r="E3007" s="62">
        <v>25</v>
      </c>
      <c r="F3007" s="1" t="s">
        <v>2551</v>
      </c>
      <c r="G3007" s="1" t="s">
        <v>2571</v>
      </c>
    </row>
    <row x14ac:dyDescent="0.25" r="3008" customHeight="1" ht="17.25" hidden="1">
      <c r="A3008" s="112" t="s">
        <v>7609</v>
      </c>
      <c r="B3008" s="1" t="s">
        <v>2549</v>
      </c>
      <c r="C3008" s="1" t="s">
        <v>66</v>
      </c>
      <c r="D3008" s="1" t="s">
        <v>7610</v>
      </c>
      <c r="E3008" s="62">
        <v>28</v>
      </c>
      <c r="F3008" s="1" t="s">
        <v>2551</v>
      </c>
      <c r="G3008" s="1" t="s">
        <v>2555</v>
      </c>
    </row>
    <row x14ac:dyDescent="0.25" r="3009" customHeight="1" ht="17.25" hidden="1">
      <c r="A3009" s="112" t="s">
        <v>7611</v>
      </c>
      <c r="B3009" s="1" t="s">
        <v>2549</v>
      </c>
      <c r="C3009" s="1" t="s">
        <v>66</v>
      </c>
      <c r="D3009" s="1" t="s">
        <v>7612</v>
      </c>
      <c r="E3009" s="62">
        <v>23</v>
      </c>
      <c r="F3009" s="1" t="s">
        <v>2551</v>
      </c>
      <c r="G3009" s="1" t="s">
        <v>2552</v>
      </c>
    </row>
    <row x14ac:dyDescent="0.25" r="3010" customHeight="1" ht="17.25" hidden="1">
      <c r="A3010" s="112" t="s">
        <v>7613</v>
      </c>
      <c r="B3010" s="1" t="s">
        <v>2549</v>
      </c>
      <c r="C3010" s="1" t="s">
        <v>66</v>
      </c>
      <c r="D3010" s="1" t="s">
        <v>7614</v>
      </c>
      <c r="E3010" s="62">
        <v>25</v>
      </c>
      <c r="F3010" s="1" t="s">
        <v>2551</v>
      </c>
      <c r="G3010" s="1" t="s">
        <v>2555</v>
      </c>
    </row>
    <row x14ac:dyDescent="0.25" r="3011" customHeight="1" ht="17.25" hidden="1">
      <c r="A3011" s="112" t="s">
        <v>7615</v>
      </c>
      <c r="B3011" s="1" t="s">
        <v>2549</v>
      </c>
      <c r="C3011" s="1" t="s">
        <v>66</v>
      </c>
      <c r="D3011" s="1" t="s">
        <v>7616</v>
      </c>
      <c r="E3011" s="62">
        <v>36</v>
      </c>
      <c r="F3011" s="1" t="s">
        <v>2551</v>
      </c>
      <c r="G3011" s="1" t="s">
        <v>2555</v>
      </c>
    </row>
    <row x14ac:dyDescent="0.25" r="3012" customHeight="1" ht="17.25" hidden="1">
      <c r="A3012" s="112" t="s">
        <v>7617</v>
      </c>
      <c r="B3012" s="1" t="s">
        <v>2549</v>
      </c>
      <c r="C3012" s="1" t="s">
        <v>66</v>
      </c>
      <c r="D3012" s="1" t="s">
        <v>7618</v>
      </c>
      <c r="E3012" s="62">
        <v>28</v>
      </c>
      <c r="F3012" s="1" t="s">
        <v>2551</v>
      </c>
      <c r="G3012" s="1" t="s">
        <v>2552</v>
      </c>
    </row>
    <row x14ac:dyDescent="0.25" r="3013" customHeight="1" ht="17.25" hidden="1">
      <c r="A3013" s="112" t="s">
        <v>7619</v>
      </c>
      <c r="B3013" s="1" t="s">
        <v>2549</v>
      </c>
      <c r="C3013" s="1" t="s">
        <v>66</v>
      </c>
      <c r="D3013" s="1" t="s">
        <v>7620</v>
      </c>
      <c r="E3013" s="62">
        <v>19</v>
      </c>
      <c r="F3013" s="1" t="s">
        <v>2551</v>
      </c>
      <c r="G3013" s="1" t="s">
        <v>2558</v>
      </c>
    </row>
    <row x14ac:dyDescent="0.25" r="3014" customHeight="1" ht="17.25" hidden="1">
      <c r="A3014" s="112" t="s">
        <v>7621</v>
      </c>
      <c r="B3014" s="1" t="s">
        <v>2549</v>
      </c>
      <c r="C3014" s="1" t="s">
        <v>66</v>
      </c>
      <c r="D3014" s="1" t="s">
        <v>7622</v>
      </c>
      <c r="E3014" s="62">
        <v>32</v>
      </c>
      <c r="F3014" s="1" t="s">
        <v>2551</v>
      </c>
      <c r="G3014" s="1" t="s">
        <v>2558</v>
      </c>
    </row>
    <row x14ac:dyDescent="0.25" r="3015" customHeight="1" ht="17.25" hidden="1">
      <c r="A3015" s="112" t="s">
        <v>7623</v>
      </c>
      <c r="B3015" s="1" t="s">
        <v>2549</v>
      </c>
      <c r="C3015" s="1" t="s">
        <v>66</v>
      </c>
      <c r="D3015" s="1" t="s">
        <v>7624</v>
      </c>
      <c r="E3015" s="62">
        <v>34</v>
      </c>
      <c r="F3015" s="1" t="s">
        <v>2551</v>
      </c>
      <c r="G3015" s="1" t="s">
        <v>2552</v>
      </c>
    </row>
    <row x14ac:dyDescent="0.25" r="3016" customHeight="1" ht="17.25" hidden="1">
      <c r="A3016" s="112" t="s">
        <v>1914</v>
      </c>
      <c r="B3016" s="1" t="s">
        <v>2549</v>
      </c>
      <c r="C3016" s="1" t="s">
        <v>66</v>
      </c>
      <c r="D3016" s="1" t="s">
        <v>1915</v>
      </c>
      <c r="E3016" s="62">
        <v>25</v>
      </c>
      <c r="F3016" s="1" t="s">
        <v>2551</v>
      </c>
      <c r="G3016" s="1" t="s">
        <v>2555</v>
      </c>
    </row>
    <row x14ac:dyDescent="0.25" r="3017" customHeight="1" ht="17.25" hidden="1">
      <c r="A3017" s="112" t="s">
        <v>7625</v>
      </c>
      <c r="B3017" s="1" t="s">
        <v>2549</v>
      </c>
      <c r="C3017" s="1" t="s">
        <v>66</v>
      </c>
      <c r="D3017" s="1" t="s">
        <v>7626</v>
      </c>
      <c r="E3017" s="62">
        <v>18</v>
      </c>
      <c r="F3017" s="1" t="s">
        <v>2551</v>
      </c>
      <c r="G3017" s="1" t="s">
        <v>2552</v>
      </c>
    </row>
    <row x14ac:dyDescent="0.25" r="3018" customHeight="1" ht="17.25" hidden="1">
      <c r="A3018" s="112" t="s">
        <v>7627</v>
      </c>
      <c r="B3018" s="1" t="s">
        <v>2549</v>
      </c>
      <c r="C3018" s="1" t="s">
        <v>66</v>
      </c>
      <c r="D3018" s="1" t="s">
        <v>7628</v>
      </c>
      <c r="E3018" s="62">
        <v>23</v>
      </c>
      <c r="F3018" s="1" t="s">
        <v>2551</v>
      </c>
      <c r="G3018" s="1" t="s">
        <v>2558</v>
      </c>
    </row>
    <row x14ac:dyDescent="0.25" r="3019" customHeight="1" ht="17.25" hidden="1">
      <c r="A3019" s="112" t="s">
        <v>7629</v>
      </c>
      <c r="B3019" s="1" t="s">
        <v>2549</v>
      </c>
      <c r="C3019" s="1" t="s">
        <v>66</v>
      </c>
      <c r="D3019" s="1" t="s">
        <v>7630</v>
      </c>
      <c r="E3019" s="62">
        <v>26</v>
      </c>
      <c r="F3019" s="1" t="s">
        <v>2551</v>
      </c>
      <c r="G3019" s="1" t="s">
        <v>2555</v>
      </c>
    </row>
    <row x14ac:dyDescent="0.25" r="3020" customHeight="1" ht="17.25" hidden="1">
      <c r="A3020" s="112" t="s">
        <v>1421</v>
      </c>
      <c r="B3020" s="1" t="s">
        <v>2549</v>
      </c>
      <c r="C3020" s="1" t="s">
        <v>66</v>
      </c>
      <c r="D3020" s="1" t="s">
        <v>1423</v>
      </c>
      <c r="E3020" s="62">
        <v>30</v>
      </c>
      <c r="F3020" s="1" t="s">
        <v>2551</v>
      </c>
      <c r="G3020" s="1" t="s">
        <v>2552</v>
      </c>
    </row>
    <row x14ac:dyDescent="0.25" r="3021" customHeight="1" ht="17.25" hidden="1">
      <c r="A3021" s="112" t="s">
        <v>7631</v>
      </c>
      <c r="B3021" s="1" t="s">
        <v>2549</v>
      </c>
      <c r="C3021" s="1" t="s">
        <v>66</v>
      </c>
      <c r="D3021" s="1" t="s">
        <v>7632</v>
      </c>
      <c r="E3021" s="62">
        <v>30</v>
      </c>
      <c r="F3021" s="1" t="s">
        <v>2551</v>
      </c>
      <c r="G3021" s="1" t="s">
        <v>2558</v>
      </c>
    </row>
    <row x14ac:dyDescent="0.25" r="3022" customHeight="1" ht="17.25" hidden="1">
      <c r="A3022" s="112" t="s">
        <v>7633</v>
      </c>
      <c r="B3022" s="1" t="s">
        <v>2549</v>
      </c>
      <c r="C3022" s="1" t="s">
        <v>66</v>
      </c>
      <c r="D3022" s="1" t="s">
        <v>7634</v>
      </c>
      <c r="E3022" s="62">
        <v>28</v>
      </c>
      <c r="F3022" s="1" t="s">
        <v>2551</v>
      </c>
      <c r="G3022" s="1" t="s">
        <v>2552</v>
      </c>
    </row>
    <row x14ac:dyDescent="0.25" r="3023" customHeight="1" ht="17.25" hidden="1">
      <c r="A3023" s="112" t="s">
        <v>7633</v>
      </c>
      <c r="B3023" s="1" t="s">
        <v>2549</v>
      </c>
      <c r="C3023" s="1" t="s">
        <v>66</v>
      </c>
      <c r="D3023" s="1" t="s">
        <v>7635</v>
      </c>
      <c r="E3023" s="62">
        <v>18</v>
      </c>
      <c r="F3023" s="1" t="s">
        <v>2561</v>
      </c>
      <c r="G3023" s="1" t="s">
        <v>2552</v>
      </c>
    </row>
    <row x14ac:dyDescent="0.25" r="3024" customHeight="1" ht="17.25" hidden="1">
      <c r="A3024" s="112" t="s">
        <v>7636</v>
      </c>
      <c r="B3024" s="1" t="s">
        <v>2549</v>
      </c>
      <c r="C3024" s="1" t="s">
        <v>66</v>
      </c>
      <c r="D3024" s="1" t="s">
        <v>5198</v>
      </c>
      <c r="E3024" s="62">
        <v>18</v>
      </c>
      <c r="F3024" s="1" t="s">
        <v>2551</v>
      </c>
      <c r="G3024" s="1" t="s">
        <v>2555</v>
      </c>
    </row>
    <row x14ac:dyDescent="0.25" r="3025" customHeight="1" ht="17.25" hidden="1">
      <c r="A3025" s="112" t="s">
        <v>1908</v>
      </c>
      <c r="B3025" s="1" t="s">
        <v>2549</v>
      </c>
      <c r="C3025" s="1" t="s">
        <v>66</v>
      </c>
      <c r="D3025" s="1" t="s">
        <v>7637</v>
      </c>
      <c r="E3025" s="62">
        <v>29</v>
      </c>
      <c r="F3025" s="1" t="s">
        <v>2551</v>
      </c>
      <c r="G3025" s="1" t="s">
        <v>2552</v>
      </c>
    </row>
    <row x14ac:dyDescent="0.25" r="3026" customHeight="1" ht="17.25" hidden="1">
      <c r="A3026" s="112" t="s">
        <v>1908</v>
      </c>
      <c r="B3026" s="1" t="s">
        <v>2549</v>
      </c>
      <c r="C3026" s="1" t="s">
        <v>66</v>
      </c>
      <c r="D3026" s="1" t="s">
        <v>7638</v>
      </c>
      <c r="E3026" s="62">
        <v>21</v>
      </c>
      <c r="F3026" s="1" t="s">
        <v>2551</v>
      </c>
      <c r="G3026" s="1" t="s">
        <v>2552</v>
      </c>
    </row>
    <row x14ac:dyDescent="0.25" r="3027" customHeight="1" ht="17.25" hidden="1">
      <c r="A3027" s="112" t="s">
        <v>7639</v>
      </c>
      <c r="B3027" s="1" t="s">
        <v>2549</v>
      </c>
      <c r="C3027" s="1" t="s">
        <v>66</v>
      </c>
      <c r="D3027" s="1" t="s">
        <v>2823</v>
      </c>
      <c r="E3027" s="62">
        <v>22</v>
      </c>
      <c r="F3027" s="1" t="s">
        <v>2551</v>
      </c>
      <c r="G3027" s="1" t="s">
        <v>2555</v>
      </c>
    </row>
    <row x14ac:dyDescent="0.25" r="3028" customHeight="1" ht="17.25" hidden="1">
      <c r="A3028" s="112" t="s">
        <v>7639</v>
      </c>
      <c r="B3028" s="1" t="s">
        <v>2549</v>
      </c>
      <c r="C3028" s="1" t="s">
        <v>66</v>
      </c>
      <c r="D3028" s="1" t="s">
        <v>7640</v>
      </c>
      <c r="E3028" s="62">
        <v>23</v>
      </c>
      <c r="F3028" s="1" t="s">
        <v>2561</v>
      </c>
      <c r="G3028" s="1" t="s">
        <v>2555</v>
      </c>
    </row>
    <row x14ac:dyDescent="0.25" r="3029" customHeight="1" ht="17.25" hidden="1">
      <c r="A3029" s="112" t="s">
        <v>7641</v>
      </c>
      <c r="B3029" s="1" t="s">
        <v>2549</v>
      </c>
      <c r="C3029" s="1" t="s">
        <v>66</v>
      </c>
      <c r="D3029" s="1" t="s">
        <v>7642</v>
      </c>
      <c r="E3029" s="62">
        <v>29</v>
      </c>
      <c r="F3029" s="1" t="s">
        <v>2551</v>
      </c>
      <c r="G3029" s="1" t="s">
        <v>2552</v>
      </c>
    </row>
    <row x14ac:dyDescent="0.25" r="3030" customHeight="1" ht="17.25" hidden="1">
      <c r="A3030" s="112" t="s">
        <v>7643</v>
      </c>
      <c r="B3030" s="1" t="s">
        <v>2549</v>
      </c>
      <c r="C3030" s="1" t="s">
        <v>66</v>
      </c>
      <c r="D3030" s="1" t="s">
        <v>7644</v>
      </c>
      <c r="E3030" s="62">
        <v>21</v>
      </c>
      <c r="F3030" s="1" t="s">
        <v>2551</v>
      </c>
      <c r="G3030" s="1" t="s">
        <v>2555</v>
      </c>
    </row>
    <row x14ac:dyDescent="0.25" r="3031" customHeight="1" ht="17.25" hidden="1">
      <c r="A3031" s="112" t="s">
        <v>7645</v>
      </c>
      <c r="B3031" s="1" t="s">
        <v>2549</v>
      </c>
      <c r="C3031" s="1" t="s">
        <v>66</v>
      </c>
      <c r="D3031" s="1" t="s">
        <v>7646</v>
      </c>
      <c r="E3031" s="62">
        <v>18</v>
      </c>
      <c r="F3031" s="1" t="s">
        <v>2551</v>
      </c>
      <c r="G3031" s="1" t="s">
        <v>2555</v>
      </c>
    </row>
    <row x14ac:dyDescent="0.25" r="3032" customHeight="1" ht="17.25" hidden="1">
      <c r="A3032" s="112" t="s">
        <v>7645</v>
      </c>
      <c r="B3032" s="1" t="s">
        <v>2549</v>
      </c>
      <c r="C3032" s="1" t="s">
        <v>66</v>
      </c>
      <c r="D3032" s="1" t="s">
        <v>7647</v>
      </c>
      <c r="E3032" s="62">
        <v>19</v>
      </c>
      <c r="F3032" s="1" t="s">
        <v>2551</v>
      </c>
      <c r="G3032" s="1" t="s">
        <v>2552</v>
      </c>
    </row>
    <row x14ac:dyDescent="0.25" r="3033" customHeight="1" ht="17.25" hidden="1">
      <c r="A3033" s="112" t="s">
        <v>7648</v>
      </c>
      <c r="B3033" s="1" t="s">
        <v>2549</v>
      </c>
      <c r="C3033" s="1" t="s">
        <v>66</v>
      </c>
      <c r="D3033" s="1" t="s">
        <v>7649</v>
      </c>
      <c r="E3033" s="62">
        <v>37</v>
      </c>
      <c r="F3033" s="1" t="s">
        <v>2551</v>
      </c>
      <c r="G3033" s="1" t="s">
        <v>2552</v>
      </c>
    </row>
    <row x14ac:dyDescent="0.25" r="3034" customHeight="1" ht="17.25" hidden="1">
      <c r="A3034" s="112" t="s">
        <v>7648</v>
      </c>
      <c r="B3034" s="1" t="s">
        <v>2549</v>
      </c>
      <c r="C3034" s="1" t="s">
        <v>66</v>
      </c>
      <c r="D3034" s="1" t="s">
        <v>7650</v>
      </c>
      <c r="E3034" s="62">
        <v>25</v>
      </c>
      <c r="F3034" s="1" t="s">
        <v>2561</v>
      </c>
      <c r="G3034" s="1" t="s">
        <v>2552</v>
      </c>
    </row>
    <row x14ac:dyDescent="0.25" r="3035" customHeight="1" ht="17.25" hidden="1">
      <c r="A3035" s="112" t="s">
        <v>7651</v>
      </c>
      <c r="B3035" s="1" t="s">
        <v>2549</v>
      </c>
      <c r="C3035" s="1" t="s">
        <v>66</v>
      </c>
      <c r="D3035" s="1" t="s">
        <v>7652</v>
      </c>
      <c r="E3035" s="62">
        <v>20</v>
      </c>
      <c r="F3035" s="1" t="s">
        <v>2561</v>
      </c>
      <c r="G3035" s="1" t="s">
        <v>2558</v>
      </c>
    </row>
    <row x14ac:dyDescent="0.25" r="3036" customHeight="1" ht="17.25" hidden="1">
      <c r="A3036" s="112" t="s">
        <v>7651</v>
      </c>
      <c r="B3036" s="1" t="s">
        <v>2549</v>
      </c>
      <c r="C3036" s="1" t="s">
        <v>66</v>
      </c>
      <c r="D3036" s="1" t="s">
        <v>6210</v>
      </c>
      <c r="E3036" s="62">
        <v>22</v>
      </c>
      <c r="F3036" s="1" t="s">
        <v>2551</v>
      </c>
      <c r="G3036" s="1" t="s">
        <v>2555</v>
      </c>
    </row>
    <row x14ac:dyDescent="0.25" r="3037" customHeight="1" ht="17.25" hidden="1">
      <c r="A3037" s="112" t="s">
        <v>7653</v>
      </c>
      <c r="B3037" s="1" t="s">
        <v>2549</v>
      </c>
      <c r="C3037" s="1" t="s">
        <v>66</v>
      </c>
      <c r="D3037" s="1" t="s">
        <v>7654</v>
      </c>
      <c r="E3037" s="62">
        <v>35</v>
      </c>
      <c r="F3037" s="1" t="s">
        <v>2561</v>
      </c>
      <c r="G3037" s="1" t="s">
        <v>2555</v>
      </c>
    </row>
    <row x14ac:dyDescent="0.25" r="3038" customHeight="1" ht="17.25" hidden="1">
      <c r="A3038" s="112" t="s">
        <v>7655</v>
      </c>
      <c r="B3038" s="1" t="s">
        <v>2549</v>
      </c>
      <c r="C3038" s="1" t="s">
        <v>66</v>
      </c>
      <c r="D3038" s="1" t="s">
        <v>7656</v>
      </c>
      <c r="E3038" s="62">
        <v>38</v>
      </c>
      <c r="F3038" s="1" t="s">
        <v>2561</v>
      </c>
      <c r="G3038" s="1" t="s">
        <v>2558</v>
      </c>
    </row>
    <row x14ac:dyDescent="0.25" r="3039" customHeight="1" ht="17.25" hidden="1">
      <c r="A3039" s="112" t="s">
        <v>7657</v>
      </c>
      <c r="B3039" s="1" t="s">
        <v>2549</v>
      </c>
      <c r="C3039" s="1" t="s">
        <v>66</v>
      </c>
      <c r="D3039" s="1" t="s">
        <v>7658</v>
      </c>
      <c r="E3039" s="62">
        <v>21</v>
      </c>
      <c r="F3039" s="1" t="s">
        <v>2551</v>
      </c>
      <c r="G3039" s="1" t="s">
        <v>2555</v>
      </c>
    </row>
    <row x14ac:dyDescent="0.25" r="3040" customHeight="1" ht="17.25" hidden="1">
      <c r="A3040" s="112" t="s">
        <v>7659</v>
      </c>
      <c r="B3040" s="1" t="s">
        <v>2549</v>
      </c>
      <c r="C3040" s="1" t="s">
        <v>66</v>
      </c>
      <c r="D3040" s="1" t="s">
        <v>7660</v>
      </c>
      <c r="E3040" s="62">
        <v>19</v>
      </c>
      <c r="F3040" s="1" t="s">
        <v>2551</v>
      </c>
      <c r="G3040" s="1" t="s">
        <v>2552</v>
      </c>
    </row>
    <row x14ac:dyDescent="0.25" r="3041" customHeight="1" ht="17.25" hidden="1">
      <c r="A3041" s="112" t="s">
        <v>7661</v>
      </c>
      <c r="B3041" s="1" t="s">
        <v>2549</v>
      </c>
      <c r="C3041" s="1" t="s">
        <v>66</v>
      </c>
      <c r="D3041" s="1" t="s">
        <v>7662</v>
      </c>
      <c r="E3041" s="62">
        <v>19</v>
      </c>
      <c r="F3041" s="1" t="s">
        <v>2551</v>
      </c>
      <c r="G3041" s="1" t="s">
        <v>2552</v>
      </c>
    </row>
    <row x14ac:dyDescent="0.25" r="3042" customHeight="1" ht="17.25" hidden="1">
      <c r="A3042" s="112" t="s">
        <v>7661</v>
      </c>
      <c r="B3042" s="1" t="s">
        <v>2549</v>
      </c>
      <c r="C3042" s="1" t="s">
        <v>66</v>
      </c>
      <c r="D3042" s="1" t="s">
        <v>7663</v>
      </c>
      <c r="E3042" s="62">
        <v>19</v>
      </c>
      <c r="F3042" s="1" t="s">
        <v>2551</v>
      </c>
      <c r="G3042" s="1" t="s">
        <v>2555</v>
      </c>
    </row>
    <row x14ac:dyDescent="0.25" r="3043" customHeight="1" ht="17.25" hidden="1">
      <c r="A3043" s="112" t="s">
        <v>7664</v>
      </c>
      <c r="B3043" s="1" t="s">
        <v>2549</v>
      </c>
      <c r="C3043" s="1" t="s">
        <v>66</v>
      </c>
      <c r="D3043" s="1" t="s">
        <v>7665</v>
      </c>
      <c r="E3043" s="62">
        <v>18</v>
      </c>
      <c r="F3043" s="1" t="s">
        <v>2551</v>
      </c>
      <c r="G3043" s="1" t="s">
        <v>2552</v>
      </c>
    </row>
    <row x14ac:dyDescent="0.25" r="3044" customHeight="1" ht="17.25" hidden="1">
      <c r="A3044" s="112" t="s">
        <v>7666</v>
      </c>
      <c r="B3044" s="1" t="s">
        <v>2549</v>
      </c>
      <c r="C3044" s="1" t="s">
        <v>66</v>
      </c>
      <c r="D3044" s="1" t="s">
        <v>7667</v>
      </c>
      <c r="E3044" s="62">
        <v>38</v>
      </c>
      <c r="F3044" s="1" t="s">
        <v>2551</v>
      </c>
      <c r="G3044" s="1" t="s">
        <v>2552</v>
      </c>
    </row>
    <row x14ac:dyDescent="0.25" r="3045" customHeight="1" ht="17.25" hidden="1">
      <c r="A3045" s="112" t="s">
        <v>7668</v>
      </c>
      <c r="B3045" s="1" t="s">
        <v>2549</v>
      </c>
      <c r="C3045" s="1" t="s">
        <v>66</v>
      </c>
      <c r="D3045" s="1" t="s">
        <v>7669</v>
      </c>
      <c r="E3045" s="62">
        <v>29</v>
      </c>
      <c r="F3045" s="1" t="s">
        <v>2551</v>
      </c>
      <c r="G3045" s="1" t="s">
        <v>2552</v>
      </c>
    </row>
    <row x14ac:dyDescent="0.25" r="3046" customHeight="1" ht="17.25" hidden="1">
      <c r="A3046" s="112" t="s">
        <v>7670</v>
      </c>
      <c r="B3046" s="1" t="s">
        <v>2549</v>
      </c>
      <c r="C3046" s="1" t="s">
        <v>66</v>
      </c>
      <c r="D3046" s="1" t="s">
        <v>7671</v>
      </c>
      <c r="E3046" s="62">
        <v>16</v>
      </c>
      <c r="F3046" s="1" t="s">
        <v>2551</v>
      </c>
      <c r="G3046" s="1" t="s">
        <v>2552</v>
      </c>
    </row>
    <row x14ac:dyDescent="0.25" r="3047" customHeight="1" ht="17.25" hidden="1">
      <c r="A3047" s="112" t="s">
        <v>7670</v>
      </c>
      <c r="B3047" s="1" t="s">
        <v>2549</v>
      </c>
      <c r="C3047" s="1" t="s">
        <v>66</v>
      </c>
      <c r="D3047" s="1" t="s">
        <v>7672</v>
      </c>
      <c r="E3047" s="62">
        <v>16</v>
      </c>
      <c r="F3047" s="1" t="s">
        <v>2551</v>
      </c>
      <c r="G3047" s="1" t="s">
        <v>2552</v>
      </c>
    </row>
    <row x14ac:dyDescent="0.25" r="3048" customHeight="1" ht="17.25" hidden="1">
      <c r="A3048" s="112" t="s">
        <v>7670</v>
      </c>
      <c r="B3048" s="1" t="s">
        <v>2549</v>
      </c>
      <c r="C3048" s="1" t="s">
        <v>66</v>
      </c>
      <c r="D3048" s="1" t="s">
        <v>7673</v>
      </c>
      <c r="E3048" s="62">
        <v>16</v>
      </c>
      <c r="F3048" s="1" t="s">
        <v>2551</v>
      </c>
      <c r="G3048" s="1" t="s">
        <v>2555</v>
      </c>
    </row>
    <row x14ac:dyDescent="0.25" r="3049" customHeight="1" ht="17.25" hidden="1">
      <c r="A3049" s="112" t="s">
        <v>7670</v>
      </c>
      <c r="B3049" s="1" t="s">
        <v>2549</v>
      </c>
      <c r="C3049" s="1" t="s">
        <v>66</v>
      </c>
      <c r="D3049" s="1" t="s">
        <v>7674</v>
      </c>
      <c r="E3049" s="62">
        <v>18</v>
      </c>
      <c r="F3049" s="1" t="s">
        <v>2551</v>
      </c>
      <c r="G3049" s="1" t="s">
        <v>2555</v>
      </c>
    </row>
    <row x14ac:dyDescent="0.25" r="3050" customHeight="1" ht="17.25" hidden="1">
      <c r="A3050" s="112" t="s">
        <v>7675</v>
      </c>
      <c r="B3050" s="1" t="s">
        <v>2549</v>
      </c>
      <c r="C3050" s="1" t="s">
        <v>66</v>
      </c>
      <c r="D3050" s="1" t="s">
        <v>7676</v>
      </c>
      <c r="E3050" s="62">
        <v>32</v>
      </c>
      <c r="F3050" s="1" t="s">
        <v>2551</v>
      </c>
      <c r="G3050" s="1" t="s">
        <v>2552</v>
      </c>
    </row>
    <row x14ac:dyDescent="0.25" r="3051" customHeight="1" ht="17.25" hidden="1">
      <c r="A3051" s="112" t="s">
        <v>7677</v>
      </c>
      <c r="B3051" s="1" t="s">
        <v>2549</v>
      </c>
      <c r="C3051" s="1" t="s">
        <v>66</v>
      </c>
      <c r="D3051" s="1" t="s">
        <v>7678</v>
      </c>
      <c r="E3051" s="62">
        <v>20</v>
      </c>
      <c r="F3051" s="1" t="s">
        <v>2551</v>
      </c>
      <c r="G3051" s="1" t="s">
        <v>2552</v>
      </c>
    </row>
    <row x14ac:dyDescent="0.25" r="3052" customHeight="1" ht="17.25" hidden="1">
      <c r="A3052" s="112" t="s">
        <v>7679</v>
      </c>
      <c r="B3052" s="1" t="s">
        <v>2549</v>
      </c>
      <c r="C3052" s="1" t="s">
        <v>66</v>
      </c>
      <c r="D3052" s="1" t="s">
        <v>7680</v>
      </c>
      <c r="E3052" s="62">
        <v>37</v>
      </c>
      <c r="F3052" s="1" t="s">
        <v>2551</v>
      </c>
      <c r="G3052" s="1" t="s">
        <v>2558</v>
      </c>
    </row>
    <row x14ac:dyDescent="0.25" r="3053" customHeight="1" ht="17.25" hidden="1">
      <c r="A3053" s="112" t="s">
        <v>7681</v>
      </c>
      <c r="B3053" s="1" t="s">
        <v>2549</v>
      </c>
      <c r="C3053" s="1" t="s">
        <v>66</v>
      </c>
      <c r="D3053" s="1" t="s">
        <v>7682</v>
      </c>
      <c r="E3053" s="62">
        <v>23</v>
      </c>
      <c r="F3053" s="1" t="s">
        <v>2551</v>
      </c>
      <c r="G3053" s="1" t="s">
        <v>2552</v>
      </c>
    </row>
    <row x14ac:dyDescent="0.25" r="3054" customHeight="1" ht="17.25" hidden="1">
      <c r="A3054" s="112" t="s">
        <v>7683</v>
      </c>
      <c r="B3054" s="1" t="s">
        <v>2549</v>
      </c>
      <c r="C3054" s="1" t="s">
        <v>66</v>
      </c>
      <c r="D3054" s="1" t="s">
        <v>7684</v>
      </c>
      <c r="E3054" s="62">
        <v>30</v>
      </c>
      <c r="F3054" s="1" t="s">
        <v>2551</v>
      </c>
      <c r="G3054" s="1" t="s">
        <v>2552</v>
      </c>
    </row>
    <row x14ac:dyDescent="0.25" r="3055" customHeight="1" ht="17.25" hidden="1">
      <c r="A3055" s="112" t="s">
        <v>7685</v>
      </c>
      <c r="B3055" s="1" t="s">
        <v>2549</v>
      </c>
      <c r="C3055" s="1" t="s">
        <v>66</v>
      </c>
      <c r="D3055" s="1" t="s">
        <v>7686</v>
      </c>
      <c r="E3055" s="62">
        <v>21</v>
      </c>
      <c r="F3055" s="1" t="s">
        <v>2551</v>
      </c>
      <c r="G3055" s="1" t="s">
        <v>2558</v>
      </c>
    </row>
    <row x14ac:dyDescent="0.25" r="3056" customHeight="1" ht="17.25" hidden="1">
      <c r="A3056" s="112" t="s">
        <v>7685</v>
      </c>
      <c r="B3056" s="1" t="s">
        <v>2549</v>
      </c>
      <c r="C3056" s="1" t="s">
        <v>66</v>
      </c>
      <c r="D3056" s="1" t="s">
        <v>7687</v>
      </c>
      <c r="E3056" s="62">
        <v>30</v>
      </c>
      <c r="F3056" s="1" t="s">
        <v>2551</v>
      </c>
      <c r="G3056" s="1" t="s">
        <v>2552</v>
      </c>
    </row>
    <row x14ac:dyDescent="0.25" r="3057" customHeight="1" ht="17.25" hidden="1">
      <c r="A3057" s="112" t="s">
        <v>7688</v>
      </c>
      <c r="B3057" s="1" t="s">
        <v>2549</v>
      </c>
      <c r="C3057" s="1" t="s">
        <v>66</v>
      </c>
      <c r="D3057" s="1" t="s">
        <v>7689</v>
      </c>
      <c r="E3057" s="62">
        <v>19</v>
      </c>
      <c r="F3057" s="1" t="s">
        <v>2551</v>
      </c>
      <c r="G3057" s="1" t="s">
        <v>2552</v>
      </c>
    </row>
    <row x14ac:dyDescent="0.25" r="3058" customHeight="1" ht="17.25" hidden="1">
      <c r="A3058" s="112" t="s">
        <v>7690</v>
      </c>
      <c r="B3058" s="1" t="s">
        <v>2549</v>
      </c>
      <c r="C3058" s="1" t="s">
        <v>66</v>
      </c>
      <c r="D3058" s="1" t="s">
        <v>7691</v>
      </c>
      <c r="E3058" s="62">
        <v>36</v>
      </c>
      <c r="F3058" s="1" t="s">
        <v>2551</v>
      </c>
      <c r="G3058" s="1" t="s">
        <v>2552</v>
      </c>
    </row>
    <row x14ac:dyDescent="0.25" r="3059" customHeight="1" ht="17.25" hidden="1">
      <c r="A3059" s="112" t="s">
        <v>7692</v>
      </c>
      <c r="B3059" s="1" t="s">
        <v>2549</v>
      </c>
      <c r="C3059" s="1" t="s">
        <v>66</v>
      </c>
      <c r="D3059" s="1" t="s">
        <v>3580</v>
      </c>
      <c r="E3059" s="62">
        <v>19</v>
      </c>
      <c r="F3059" s="1" t="s">
        <v>2551</v>
      </c>
      <c r="G3059" s="1" t="s">
        <v>2552</v>
      </c>
    </row>
    <row x14ac:dyDescent="0.25" r="3060" customHeight="1" ht="17.25" hidden="1">
      <c r="A3060" s="112" t="s">
        <v>7693</v>
      </c>
      <c r="B3060" s="1" t="s">
        <v>2549</v>
      </c>
      <c r="C3060" s="1" t="s">
        <v>66</v>
      </c>
      <c r="D3060" s="1" t="s">
        <v>7694</v>
      </c>
      <c r="E3060" s="62">
        <v>30</v>
      </c>
      <c r="F3060" s="1" t="s">
        <v>2561</v>
      </c>
      <c r="G3060" s="1" t="s">
        <v>2555</v>
      </c>
    </row>
    <row x14ac:dyDescent="0.25" r="3061" customHeight="1" ht="17.25" hidden="1">
      <c r="A3061" s="112" t="s">
        <v>7695</v>
      </c>
      <c r="B3061" s="1" t="s">
        <v>2549</v>
      </c>
      <c r="C3061" s="1" t="s">
        <v>66</v>
      </c>
      <c r="D3061" s="1" t="s">
        <v>7696</v>
      </c>
      <c r="E3061" s="62">
        <v>44</v>
      </c>
      <c r="F3061" s="1" t="s">
        <v>2551</v>
      </c>
      <c r="G3061" s="1" t="s">
        <v>2552</v>
      </c>
    </row>
    <row x14ac:dyDescent="0.25" r="3062" customHeight="1" ht="17.25" hidden="1">
      <c r="A3062" s="112" t="s">
        <v>7697</v>
      </c>
      <c r="B3062" s="1" t="s">
        <v>2549</v>
      </c>
      <c r="C3062" s="1" t="s">
        <v>66</v>
      </c>
      <c r="D3062" s="1" t="s">
        <v>7698</v>
      </c>
      <c r="E3062" s="62">
        <v>21</v>
      </c>
      <c r="F3062" s="1" t="s">
        <v>2551</v>
      </c>
      <c r="G3062" s="1" t="s">
        <v>2555</v>
      </c>
    </row>
    <row x14ac:dyDescent="0.25" r="3063" customHeight="1" ht="17.25" hidden="1">
      <c r="A3063" s="112" t="s">
        <v>7699</v>
      </c>
      <c r="B3063" s="1" t="s">
        <v>2549</v>
      </c>
      <c r="C3063" s="1" t="s">
        <v>66</v>
      </c>
      <c r="D3063" s="1" t="s">
        <v>7700</v>
      </c>
      <c r="E3063" s="62">
        <v>18</v>
      </c>
      <c r="F3063" s="1" t="s">
        <v>2551</v>
      </c>
      <c r="G3063" s="1" t="s">
        <v>2552</v>
      </c>
    </row>
    <row x14ac:dyDescent="0.25" r="3064" customHeight="1" ht="17.25" hidden="1">
      <c r="A3064" s="112" t="s">
        <v>7699</v>
      </c>
      <c r="B3064" s="1" t="s">
        <v>2549</v>
      </c>
      <c r="C3064" s="1" t="s">
        <v>66</v>
      </c>
      <c r="D3064" s="1" t="s">
        <v>7701</v>
      </c>
      <c r="E3064" s="62">
        <v>18</v>
      </c>
      <c r="F3064" s="1" t="s">
        <v>2551</v>
      </c>
      <c r="G3064" s="1" t="s">
        <v>2555</v>
      </c>
    </row>
    <row x14ac:dyDescent="0.25" r="3065" customHeight="1" ht="17.25" hidden="1">
      <c r="A3065" s="112" t="s">
        <v>7702</v>
      </c>
      <c r="B3065" s="1" t="s">
        <v>2549</v>
      </c>
      <c r="C3065" s="1" t="s">
        <v>66</v>
      </c>
      <c r="D3065" s="1" t="s">
        <v>7703</v>
      </c>
      <c r="E3065" s="62">
        <v>35</v>
      </c>
      <c r="F3065" s="1" t="s">
        <v>2551</v>
      </c>
      <c r="G3065" s="1" t="s">
        <v>2552</v>
      </c>
    </row>
    <row x14ac:dyDescent="0.25" r="3066" customHeight="1" ht="17.25" hidden="1">
      <c r="A3066" s="112" t="s">
        <v>7704</v>
      </c>
      <c r="B3066" s="1" t="s">
        <v>2549</v>
      </c>
      <c r="C3066" s="1" t="s">
        <v>66</v>
      </c>
      <c r="D3066" s="1" t="s">
        <v>7705</v>
      </c>
      <c r="E3066" s="62">
        <v>28</v>
      </c>
      <c r="F3066" s="1" t="s">
        <v>2551</v>
      </c>
      <c r="G3066" s="1" t="s">
        <v>2552</v>
      </c>
    </row>
    <row x14ac:dyDescent="0.25" r="3067" customHeight="1" ht="17.25" hidden="1">
      <c r="A3067" s="112" t="s">
        <v>7706</v>
      </c>
      <c r="B3067" s="1" t="s">
        <v>2549</v>
      </c>
      <c r="C3067" s="1" t="s">
        <v>66</v>
      </c>
      <c r="D3067" s="1" t="s">
        <v>7707</v>
      </c>
      <c r="E3067" s="62">
        <v>18</v>
      </c>
      <c r="F3067" s="1" t="s">
        <v>2551</v>
      </c>
      <c r="G3067" s="1" t="s">
        <v>2558</v>
      </c>
    </row>
    <row x14ac:dyDescent="0.25" r="3068" customHeight="1" ht="17.25" hidden="1">
      <c r="A3068" s="112" t="s">
        <v>7708</v>
      </c>
      <c r="B3068" s="1" t="s">
        <v>2549</v>
      </c>
      <c r="C3068" s="1" t="s">
        <v>66</v>
      </c>
      <c r="D3068" s="1" t="s">
        <v>7709</v>
      </c>
      <c r="E3068" s="62">
        <v>23</v>
      </c>
      <c r="F3068" s="1" t="s">
        <v>2551</v>
      </c>
      <c r="G3068" s="1" t="s">
        <v>2552</v>
      </c>
    </row>
    <row x14ac:dyDescent="0.25" r="3069" customHeight="1" ht="17.25" hidden="1">
      <c r="A3069" s="112" t="s">
        <v>7710</v>
      </c>
      <c r="B3069" s="1" t="s">
        <v>2549</v>
      </c>
      <c r="C3069" s="1" t="s">
        <v>66</v>
      </c>
      <c r="D3069" s="1" t="s">
        <v>7711</v>
      </c>
      <c r="E3069" s="62">
        <v>21</v>
      </c>
      <c r="F3069" s="1" t="s">
        <v>2561</v>
      </c>
      <c r="G3069" s="1" t="s">
        <v>2552</v>
      </c>
    </row>
    <row x14ac:dyDescent="0.25" r="3070" customHeight="1" ht="17.25" hidden="1">
      <c r="A3070" s="112" t="s">
        <v>7712</v>
      </c>
      <c r="B3070" s="1" t="s">
        <v>2549</v>
      </c>
      <c r="C3070" s="1" t="s">
        <v>66</v>
      </c>
      <c r="D3070" s="1" t="s">
        <v>7713</v>
      </c>
      <c r="E3070" s="62">
        <v>22</v>
      </c>
      <c r="F3070" s="1" t="s">
        <v>2551</v>
      </c>
      <c r="G3070" s="1" t="s">
        <v>2552</v>
      </c>
    </row>
    <row x14ac:dyDescent="0.25" r="3071" customHeight="1" ht="17.25" hidden="1">
      <c r="A3071" s="112" t="s">
        <v>7714</v>
      </c>
      <c r="B3071" s="1" t="s">
        <v>2549</v>
      </c>
      <c r="C3071" s="1" t="s">
        <v>66</v>
      </c>
      <c r="D3071" s="1" t="s">
        <v>3456</v>
      </c>
      <c r="E3071" s="62">
        <v>27</v>
      </c>
      <c r="F3071" s="1" t="s">
        <v>2551</v>
      </c>
      <c r="G3071" s="1" t="s">
        <v>2552</v>
      </c>
    </row>
    <row x14ac:dyDescent="0.25" r="3072" customHeight="1" ht="17.25" hidden="1">
      <c r="A3072" s="112" t="s">
        <v>2046</v>
      </c>
      <c r="B3072" s="1" t="s">
        <v>2549</v>
      </c>
      <c r="C3072" s="1" t="s">
        <v>66</v>
      </c>
      <c r="D3072" s="1" t="s">
        <v>2047</v>
      </c>
      <c r="E3072" s="62">
        <v>23</v>
      </c>
      <c r="F3072" s="1" t="s">
        <v>2551</v>
      </c>
      <c r="G3072" s="1" t="s">
        <v>2552</v>
      </c>
    </row>
    <row x14ac:dyDescent="0.25" r="3073" customHeight="1" ht="17.25" hidden="1">
      <c r="A3073" s="112" t="s">
        <v>7715</v>
      </c>
      <c r="B3073" s="1" t="s">
        <v>2549</v>
      </c>
      <c r="C3073" s="1" t="s">
        <v>66</v>
      </c>
      <c r="D3073" s="1" t="s">
        <v>4586</v>
      </c>
      <c r="E3073" s="62">
        <v>28</v>
      </c>
      <c r="F3073" s="1" t="s">
        <v>2551</v>
      </c>
      <c r="G3073" s="1" t="s">
        <v>2555</v>
      </c>
    </row>
    <row x14ac:dyDescent="0.25" r="3074" customHeight="1" ht="17.25" hidden="1">
      <c r="A3074" s="112" t="s">
        <v>7716</v>
      </c>
      <c r="B3074" s="1" t="s">
        <v>2549</v>
      </c>
      <c r="C3074" s="1" t="s">
        <v>66</v>
      </c>
      <c r="D3074" s="1" t="s">
        <v>7717</v>
      </c>
      <c r="E3074" s="62">
        <v>20</v>
      </c>
      <c r="F3074" s="1" t="s">
        <v>2551</v>
      </c>
      <c r="G3074" s="1" t="s">
        <v>2555</v>
      </c>
    </row>
    <row x14ac:dyDescent="0.25" r="3075" customHeight="1" ht="17.25" hidden="1">
      <c r="A3075" s="112" t="s">
        <v>7718</v>
      </c>
      <c r="B3075" s="1" t="s">
        <v>2549</v>
      </c>
      <c r="C3075" s="1" t="s">
        <v>66</v>
      </c>
      <c r="D3075" s="1" t="s">
        <v>7719</v>
      </c>
      <c r="E3075" s="62">
        <v>24</v>
      </c>
      <c r="F3075" s="1" t="s">
        <v>2551</v>
      </c>
      <c r="G3075" s="1" t="s">
        <v>2552</v>
      </c>
    </row>
    <row x14ac:dyDescent="0.25" r="3076" customHeight="1" ht="17.25" hidden="1">
      <c r="A3076" s="112" t="s">
        <v>7720</v>
      </c>
      <c r="B3076" s="1" t="s">
        <v>2549</v>
      </c>
      <c r="C3076" s="1" t="s">
        <v>66</v>
      </c>
      <c r="D3076" s="1" t="s">
        <v>7721</v>
      </c>
      <c r="E3076" s="62">
        <v>37</v>
      </c>
      <c r="F3076" s="1" t="s">
        <v>2561</v>
      </c>
      <c r="G3076" s="1" t="s">
        <v>2555</v>
      </c>
    </row>
    <row x14ac:dyDescent="0.25" r="3077" customHeight="1" ht="17.25" hidden="1">
      <c r="A3077" s="112" t="s">
        <v>7722</v>
      </c>
      <c r="B3077" s="1" t="s">
        <v>2549</v>
      </c>
      <c r="C3077" s="1" t="s">
        <v>66</v>
      </c>
      <c r="D3077" s="1" t="s">
        <v>7723</v>
      </c>
      <c r="E3077" s="62">
        <v>25</v>
      </c>
      <c r="F3077" s="1" t="s">
        <v>2551</v>
      </c>
      <c r="G3077" s="1" t="s">
        <v>2552</v>
      </c>
    </row>
    <row x14ac:dyDescent="0.25" r="3078" customHeight="1" ht="17.25" hidden="1">
      <c r="A3078" s="112" t="s">
        <v>7724</v>
      </c>
      <c r="B3078" s="1" t="s">
        <v>2549</v>
      </c>
      <c r="C3078" s="1" t="s">
        <v>66</v>
      </c>
      <c r="D3078" s="1" t="s">
        <v>7725</v>
      </c>
      <c r="E3078" s="62">
        <v>20</v>
      </c>
      <c r="F3078" s="1" t="s">
        <v>2551</v>
      </c>
      <c r="G3078" s="1" t="s">
        <v>2552</v>
      </c>
    </row>
    <row x14ac:dyDescent="0.25" r="3079" customHeight="1" ht="17.25" hidden="1">
      <c r="A3079" s="112" t="s">
        <v>7726</v>
      </c>
      <c r="B3079" s="1" t="s">
        <v>2549</v>
      </c>
      <c r="C3079" s="1" t="s">
        <v>66</v>
      </c>
      <c r="D3079" s="1" t="s">
        <v>7727</v>
      </c>
      <c r="E3079" s="62">
        <v>32</v>
      </c>
      <c r="F3079" s="1" t="s">
        <v>2561</v>
      </c>
      <c r="G3079" s="1" t="s">
        <v>2552</v>
      </c>
    </row>
    <row x14ac:dyDescent="0.25" r="3080" customHeight="1" ht="17.25" hidden="1">
      <c r="A3080" s="112" t="s">
        <v>7728</v>
      </c>
      <c r="B3080" s="1" t="s">
        <v>2549</v>
      </c>
      <c r="C3080" s="1" t="s">
        <v>66</v>
      </c>
      <c r="D3080" s="1" t="s">
        <v>7729</v>
      </c>
      <c r="E3080" s="62">
        <v>19</v>
      </c>
      <c r="F3080" s="1" t="s">
        <v>2551</v>
      </c>
      <c r="G3080" s="1" t="s">
        <v>2552</v>
      </c>
    </row>
    <row x14ac:dyDescent="0.25" r="3081" customHeight="1" ht="17.25" hidden="1">
      <c r="A3081" s="112" t="s">
        <v>1337</v>
      </c>
      <c r="B3081" s="1" t="s">
        <v>2549</v>
      </c>
      <c r="C3081" s="1" t="s">
        <v>66</v>
      </c>
      <c r="D3081" s="1" t="s">
        <v>1339</v>
      </c>
      <c r="E3081" s="62">
        <v>18</v>
      </c>
      <c r="F3081" s="1" t="s">
        <v>2551</v>
      </c>
      <c r="G3081" s="1" t="s">
        <v>2552</v>
      </c>
    </row>
    <row x14ac:dyDescent="0.25" r="3082" customHeight="1" ht="17.25" hidden="1">
      <c r="A3082" s="112" t="s">
        <v>7730</v>
      </c>
      <c r="B3082" s="1" t="s">
        <v>2549</v>
      </c>
      <c r="C3082" s="1" t="s">
        <v>66</v>
      </c>
      <c r="D3082" s="1" t="s">
        <v>5560</v>
      </c>
      <c r="E3082" s="62">
        <v>23</v>
      </c>
      <c r="F3082" s="1" t="s">
        <v>2551</v>
      </c>
      <c r="G3082" s="1" t="s">
        <v>2558</v>
      </c>
    </row>
    <row x14ac:dyDescent="0.25" r="3083" customHeight="1" ht="17.25" hidden="1">
      <c r="A3083" s="112" t="s">
        <v>7730</v>
      </c>
      <c r="B3083" s="1" t="s">
        <v>2549</v>
      </c>
      <c r="C3083" s="1" t="s">
        <v>66</v>
      </c>
      <c r="D3083" s="1" t="s">
        <v>7731</v>
      </c>
      <c r="E3083" s="62">
        <v>45</v>
      </c>
      <c r="F3083" s="1" t="s">
        <v>2551</v>
      </c>
      <c r="G3083" s="1" t="s">
        <v>2552</v>
      </c>
    </row>
    <row x14ac:dyDescent="0.25" r="3084" customHeight="1" ht="17.25" hidden="1">
      <c r="A3084" s="112" t="s">
        <v>7732</v>
      </c>
      <c r="B3084" s="1" t="s">
        <v>2549</v>
      </c>
      <c r="C3084" s="1" t="s">
        <v>66</v>
      </c>
      <c r="D3084" s="1" t="s">
        <v>7733</v>
      </c>
      <c r="E3084" s="62">
        <v>25</v>
      </c>
      <c r="F3084" s="1" t="s">
        <v>2561</v>
      </c>
      <c r="G3084" s="1" t="s">
        <v>2555</v>
      </c>
    </row>
    <row x14ac:dyDescent="0.25" r="3085" customHeight="1" ht="17.25" hidden="1">
      <c r="A3085" s="112" t="s">
        <v>7734</v>
      </c>
      <c r="B3085" s="1" t="s">
        <v>2549</v>
      </c>
      <c r="C3085" s="1" t="s">
        <v>66</v>
      </c>
      <c r="D3085" s="1" t="s">
        <v>7735</v>
      </c>
      <c r="E3085" s="62">
        <v>29</v>
      </c>
      <c r="F3085" s="1" t="s">
        <v>2551</v>
      </c>
      <c r="G3085" s="1" t="s">
        <v>2552</v>
      </c>
    </row>
    <row x14ac:dyDescent="0.25" r="3086" customHeight="1" ht="17.25" hidden="1">
      <c r="A3086" s="112" t="s">
        <v>7736</v>
      </c>
      <c r="B3086" s="1" t="s">
        <v>2549</v>
      </c>
      <c r="C3086" s="1" t="s">
        <v>66</v>
      </c>
      <c r="D3086" s="1" t="s">
        <v>7737</v>
      </c>
      <c r="E3086" s="62">
        <v>22</v>
      </c>
      <c r="F3086" s="1" t="s">
        <v>2551</v>
      </c>
      <c r="G3086" s="1" t="s">
        <v>2552</v>
      </c>
    </row>
    <row x14ac:dyDescent="0.25" r="3087" customHeight="1" ht="17.25" hidden="1">
      <c r="A3087" s="112" t="s">
        <v>7738</v>
      </c>
      <c r="B3087" s="1" t="s">
        <v>2549</v>
      </c>
      <c r="C3087" s="1" t="s">
        <v>66</v>
      </c>
      <c r="D3087" s="1" t="s">
        <v>7739</v>
      </c>
      <c r="E3087" s="62">
        <v>24</v>
      </c>
      <c r="F3087" s="1" t="s">
        <v>2551</v>
      </c>
      <c r="G3087" s="1" t="s">
        <v>2555</v>
      </c>
    </row>
    <row x14ac:dyDescent="0.25" r="3088" customHeight="1" ht="17.25" hidden="1">
      <c r="A3088" s="112" t="s">
        <v>7740</v>
      </c>
      <c r="B3088" s="1" t="s">
        <v>2549</v>
      </c>
      <c r="C3088" s="1" t="s">
        <v>66</v>
      </c>
      <c r="D3088" s="1" t="s">
        <v>7741</v>
      </c>
      <c r="E3088" s="62">
        <v>42</v>
      </c>
      <c r="F3088" s="1" t="s">
        <v>2551</v>
      </c>
      <c r="G3088" s="1" t="s">
        <v>2555</v>
      </c>
    </row>
    <row x14ac:dyDescent="0.25" r="3089" customHeight="1" ht="17.25" hidden="1">
      <c r="A3089" s="112" t="s">
        <v>7742</v>
      </c>
      <c r="B3089" s="1" t="s">
        <v>2549</v>
      </c>
      <c r="C3089" s="1" t="s">
        <v>66</v>
      </c>
      <c r="D3089" s="1" t="s">
        <v>7743</v>
      </c>
      <c r="E3089" s="62">
        <v>20</v>
      </c>
      <c r="F3089" s="1" t="s">
        <v>2551</v>
      </c>
      <c r="G3089" s="1" t="s">
        <v>2552</v>
      </c>
    </row>
    <row x14ac:dyDescent="0.25" r="3090" customHeight="1" ht="17.25" hidden="1">
      <c r="A3090" s="112" t="s">
        <v>7744</v>
      </c>
      <c r="B3090" s="1" t="s">
        <v>2549</v>
      </c>
      <c r="C3090" s="1" t="s">
        <v>66</v>
      </c>
      <c r="D3090" s="1" t="s">
        <v>7745</v>
      </c>
      <c r="E3090" s="62">
        <v>18</v>
      </c>
      <c r="F3090" s="1" t="s">
        <v>2551</v>
      </c>
      <c r="G3090" s="1" t="s">
        <v>2552</v>
      </c>
    </row>
    <row x14ac:dyDescent="0.25" r="3091" customHeight="1" ht="17.25" hidden="1">
      <c r="A3091" s="112" t="s">
        <v>7746</v>
      </c>
      <c r="B3091" s="1" t="s">
        <v>2549</v>
      </c>
      <c r="C3091" s="1" t="s">
        <v>66</v>
      </c>
      <c r="D3091" s="1" t="s">
        <v>7747</v>
      </c>
      <c r="E3091" s="62">
        <v>24</v>
      </c>
      <c r="F3091" s="1" t="s">
        <v>2551</v>
      </c>
      <c r="G3091" s="1" t="s">
        <v>2558</v>
      </c>
    </row>
    <row x14ac:dyDescent="0.25" r="3092" customHeight="1" ht="17.25" hidden="1">
      <c r="A3092" s="112" t="s">
        <v>7748</v>
      </c>
      <c r="B3092" s="1" t="s">
        <v>2549</v>
      </c>
      <c r="C3092" s="1" t="s">
        <v>66</v>
      </c>
      <c r="D3092" s="1" t="s">
        <v>7749</v>
      </c>
      <c r="E3092" s="62">
        <v>30</v>
      </c>
      <c r="F3092" s="1" t="s">
        <v>2551</v>
      </c>
      <c r="G3092" s="1" t="s">
        <v>2555</v>
      </c>
    </row>
    <row x14ac:dyDescent="0.25" r="3093" customHeight="1" ht="17.25" hidden="1">
      <c r="A3093" s="112" t="s">
        <v>7750</v>
      </c>
      <c r="B3093" s="1" t="s">
        <v>2549</v>
      </c>
      <c r="C3093" s="1" t="s">
        <v>66</v>
      </c>
      <c r="D3093" s="1" t="s">
        <v>7751</v>
      </c>
      <c r="E3093" s="62">
        <v>21</v>
      </c>
      <c r="F3093" s="1" t="s">
        <v>2551</v>
      </c>
      <c r="G3093" s="1" t="s">
        <v>2552</v>
      </c>
    </row>
    <row x14ac:dyDescent="0.25" r="3094" customHeight="1" ht="17.25" hidden="1">
      <c r="A3094" s="112" t="s">
        <v>7752</v>
      </c>
      <c r="B3094" s="1" t="s">
        <v>2549</v>
      </c>
      <c r="C3094" s="1" t="s">
        <v>66</v>
      </c>
      <c r="D3094" s="1" t="s">
        <v>7753</v>
      </c>
      <c r="E3094" s="62">
        <v>21</v>
      </c>
      <c r="F3094" s="1" t="s">
        <v>2551</v>
      </c>
      <c r="G3094" s="1" t="s">
        <v>2555</v>
      </c>
    </row>
    <row x14ac:dyDescent="0.25" r="3095" customHeight="1" ht="17.25" hidden="1">
      <c r="A3095" s="112" t="s">
        <v>7754</v>
      </c>
      <c r="B3095" s="1" t="s">
        <v>2549</v>
      </c>
      <c r="C3095" s="1" t="s">
        <v>66</v>
      </c>
      <c r="D3095" s="1" t="s">
        <v>7755</v>
      </c>
      <c r="E3095" s="62">
        <v>27</v>
      </c>
      <c r="F3095" s="1" t="s">
        <v>2551</v>
      </c>
      <c r="G3095" s="1" t="s">
        <v>2552</v>
      </c>
    </row>
    <row x14ac:dyDescent="0.25" r="3096" customHeight="1" ht="17.25" hidden="1">
      <c r="A3096" s="112" t="s">
        <v>7756</v>
      </c>
      <c r="B3096" s="1" t="s">
        <v>2549</v>
      </c>
      <c r="C3096" s="1" t="s">
        <v>66</v>
      </c>
      <c r="D3096" s="1" t="s">
        <v>7757</v>
      </c>
      <c r="E3096" s="62">
        <v>23</v>
      </c>
      <c r="F3096" s="1" t="s">
        <v>2551</v>
      </c>
      <c r="G3096" s="1" t="s">
        <v>2552</v>
      </c>
    </row>
    <row x14ac:dyDescent="0.25" r="3097" customHeight="1" ht="17.25" hidden="1">
      <c r="A3097" s="112" t="s">
        <v>7758</v>
      </c>
      <c r="B3097" s="1" t="s">
        <v>2549</v>
      </c>
      <c r="C3097" s="1" t="s">
        <v>66</v>
      </c>
      <c r="D3097" s="1" t="s">
        <v>7759</v>
      </c>
      <c r="E3097" s="62">
        <v>36</v>
      </c>
      <c r="F3097" s="1" t="s">
        <v>2551</v>
      </c>
      <c r="G3097" s="1" t="s">
        <v>2555</v>
      </c>
    </row>
    <row x14ac:dyDescent="0.25" r="3098" customHeight="1" ht="17.25" hidden="1">
      <c r="A3098" s="112" t="s">
        <v>7760</v>
      </c>
      <c r="B3098" s="1" t="s">
        <v>2549</v>
      </c>
      <c r="C3098" s="1" t="s">
        <v>66</v>
      </c>
      <c r="D3098" s="1" t="s">
        <v>7761</v>
      </c>
      <c r="E3098" s="62">
        <v>21</v>
      </c>
      <c r="F3098" s="1" t="s">
        <v>2551</v>
      </c>
      <c r="G3098" s="1" t="s">
        <v>2552</v>
      </c>
    </row>
    <row x14ac:dyDescent="0.25" r="3099" customHeight="1" ht="17.25" hidden="1">
      <c r="A3099" s="112" t="s">
        <v>7762</v>
      </c>
      <c r="B3099" s="1" t="s">
        <v>2549</v>
      </c>
      <c r="C3099" s="1" t="s">
        <v>66</v>
      </c>
      <c r="D3099" s="1" t="s">
        <v>7763</v>
      </c>
      <c r="E3099" s="62">
        <v>47</v>
      </c>
      <c r="F3099" s="1" t="s">
        <v>2561</v>
      </c>
      <c r="G3099" s="1" t="s">
        <v>2552</v>
      </c>
    </row>
    <row x14ac:dyDescent="0.25" r="3100" customHeight="1" ht="17.25" hidden="1">
      <c r="A3100" s="112" t="s">
        <v>7764</v>
      </c>
      <c r="B3100" s="1" t="s">
        <v>2549</v>
      </c>
      <c r="C3100" s="1" t="s">
        <v>66</v>
      </c>
      <c r="D3100" s="1" t="s">
        <v>7765</v>
      </c>
      <c r="E3100" s="62">
        <v>20</v>
      </c>
      <c r="F3100" s="1" t="s">
        <v>2551</v>
      </c>
      <c r="G3100" s="1" t="s">
        <v>2558</v>
      </c>
    </row>
    <row x14ac:dyDescent="0.25" r="3101" customHeight="1" ht="17.25" hidden="1">
      <c r="A3101" s="112" t="s">
        <v>1582</v>
      </c>
      <c r="B3101" s="1" t="s">
        <v>2549</v>
      </c>
      <c r="C3101" s="1" t="s">
        <v>66</v>
      </c>
      <c r="D3101" s="1" t="s">
        <v>1583</v>
      </c>
      <c r="E3101" s="62">
        <v>26</v>
      </c>
      <c r="F3101" s="1" t="s">
        <v>2551</v>
      </c>
      <c r="G3101" s="1" t="s">
        <v>2552</v>
      </c>
    </row>
    <row x14ac:dyDescent="0.25" r="3102" customHeight="1" ht="17.25" hidden="1">
      <c r="A3102" s="112" t="s">
        <v>7766</v>
      </c>
      <c r="B3102" s="1" t="s">
        <v>2549</v>
      </c>
      <c r="C3102" s="1" t="s">
        <v>66</v>
      </c>
      <c r="D3102" s="1" t="s">
        <v>7767</v>
      </c>
      <c r="E3102" s="62">
        <v>18</v>
      </c>
      <c r="F3102" s="1" t="s">
        <v>2551</v>
      </c>
      <c r="G3102" s="1" t="s">
        <v>2552</v>
      </c>
    </row>
    <row x14ac:dyDescent="0.25" r="3103" customHeight="1" ht="17.25" hidden="1">
      <c r="A3103" s="112" t="s">
        <v>7768</v>
      </c>
      <c r="B3103" s="1" t="s">
        <v>2549</v>
      </c>
      <c r="C3103" s="1" t="s">
        <v>66</v>
      </c>
      <c r="D3103" s="1" t="s">
        <v>7769</v>
      </c>
      <c r="E3103" s="62">
        <v>21</v>
      </c>
      <c r="F3103" s="1" t="s">
        <v>2551</v>
      </c>
      <c r="G3103" s="1" t="s">
        <v>2552</v>
      </c>
    </row>
    <row x14ac:dyDescent="0.25" r="3104" customHeight="1" ht="17.25" hidden="1">
      <c r="A3104" s="112" t="s">
        <v>7770</v>
      </c>
      <c r="B3104" s="1" t="s">
        <v>2549</v>
      </c>
      <c r="C3104" s="1" t="s">
        <v>66</v>
      </c>
      <c r="D3104" s="1" t="s">
        <v>7771</v>
      </c>
      <c r="E3104" s="62">
        <v>20</v>
      </c>
      <c r="F3104" s="1" t="s">
        <v>2551</v>
      </c>
      <c r="G3104" s="1" t="s">
        <v>2552</v>
      </c>
    </row>
    <row x14ac:dyDescent="0.25" r="3105" customHeight="1" ht="17.25" hidden="1">
      <c r="A3105" s="112" t="s">
        <v>7770</v>
      </c>
      <c r="B3105" s="1" t="s">
        <v>2549</v>
      </c>
      <c r="C3105" s="1" t="s">
        <v>66</v>
      </c>
      <c r="D3105" s="1" t="s">
        <v>7772</v>
      </c>
      <c r="E3105" s="62">
        <v>19</v>
      </c>
      <c r="F3105" s="1" t="s">
        <v>2551</v>
      </c>
      <c r="G3105" s="1" t="s">
        <v>4578</v>
      </c>
    </row>
    <row x14ac:dyDescent="0.25" r="3106" customHeight="1" ht="17.25" hidden="1">
      <c r="A3106" s="112" t="s">
        <v>7773</v>
      </c>
      <c r="B3106" s="1" t="s">
        <v>2549</v>
      </c>
      <c r="C3106" s="1" t="s">
        <v>66</v>
      </c>
      <c r="D3106" s="1" t="s">
        <v>7774</v>
      </c>
      <c r="E3106" s="62">
        <v>40</v>
      </c>
      <c r="F3106" s="1" t="s">
        <v>2551</v>
      </c>
      <c r="G3106" s="1" t="s">
        <v>2552</v>
      </c>
    </row>
    <row x14ac:dyDescent="0.25" r="3107" customHeight="1" ht="17.25" hidden="1">
      <c r="A3107" s="112" t="s">
        <v>7775</v>
      </c>
      <c r="B3107" s="1" t="s">
        <v>2549</v>
      </c>
      <c r="C3107" s="1" t="s">
        <v>66</v>
      </c>
      <c r="D3107" s="1" t="s">
        <v>6595</v>
      </c>
      <c r="E3107" s="62">
        <v>32</v>
      </c>
      <c r="F3107" s="1" t="s">
        <v>2561</v>
      </c>
      <c r="G3107" s="1" t="s">
        <v>2555</v>
      </c>
    </row>
    <row x14ac:dyDescent="0.25" r="3108" customHeight="1" ht="17.25" hidden="1">
      <c r="A3108" s="112" t="s">
        <v>7776</v>
      </c>
      <c r="B3108" s="1" t="s">
        <v>2549</v>
      </c>
      <c r="C3108" s="1" t="s">
        <v>66</v>
      </c>
      <c r="D3108" s="1" t="s">
        <v>7777</v>
      </c>
      <c r="E3108" s="62">
        <v>45</v>
      </c>
      <c r="F3108" s="1" t="s">
        <v>2551</v>
      </c>
      <c r="G3108" s="1" t="s">
        <v>2552</v>
      </c>
    </row>
    <row x14ac:dyDescent="0.25" r="3109" customHeight="1" ht="17.25" hidden="1">
      <c r="A3109" s="112" t="s">
        <v>7778</v>
      </c>
      <c r="B3109" s="1" t="s">
        <v>2549</v>
      </c>
      <c r="C3109" s="1" t="s">
        <v>66</v>
      </c>
      <c r="D3109" s="1" t="s">
        <v>7779</v>
      </c>
      <c r="E3109" s="62">
        <v>36</v>
      </c>
      <c r="F3109" s="1" t="s">
        <v>2551</v>
      </c>
      <c r="G3109" s="1" t="s">
        <v>2555</v>
      </c>
    </row>
    <row x14ac:dyDescent="0.25" r="3110" customHeight="1" ht="17.25" hidden="1">
      <c r="A3110" s="112" t="s">
        <v>7780</v>
      </c>
      <c r="B3110" s="1" t="s">
        <v>2549</v>
      </c>
      <c r="C3110" s="1" t="s">
        <v>66</v>
      </c>
      <c r="D3110" s="1" t="s">
        <v>7781</v>
      </c>
      <c r="E3110" s="62">
        <v>21</v>
      </c>
      <c r="F3110" s="1" t="s">
        <v>2551</v>
      </c>
      <c r="G3110" s="1" t="s">
        <v>2552</v>
      </c>
    </row>
    <row x14ac:dyDescent="0.25" r="3111" customHeight="1" ht="17.25" hidden="1">
      <c r="A3111" s="112" t="s">
        <v>7782</v>
      </c>
      <c r="B3111" s="1" t="s">
        <v>2549</v>
      </c>
      <c r="C3111" s="1" t="s">
        <v>66</v>
      </c>
      <c r="D3111" s="1" t="s">
        <v>7783</v>
      </c>
      <c r="E3111" s="62">
        <v>34</v>
      </c>
      <c r="F3111" s="1" t="s">
        <v>2551</v>
      </c>
      <c r="G3111" s="1" t="s">
        <v>2552</v>
      </c>
    </row>
    <row x14ac:dyDescent="0.25" r="3112" customHeight="1" ht="17.25" hidden="1">
      <c r="A3112" s="112" t="s">
        <v>7784</v>
      </c>
      <c r="B3112" s="1" t="s">
        <v>2549</v>
      </c>
      <c r="C3112" s="1" t="s">
        <v>66</v>
      </c>
      <c r="D3112" s="1" t="s">
        <v>7785</v>
      </c>
      <c r="E3112" s="62">
        <v>19</v>
      </c>
      <c r="F3112" s="1" t="s">
        <v>2551</v>
      </c>
      <c r="G3112" s="1" t="s">
        <v>2555</v>
      </c>
    </row>
    <row x14ac:dyDescent="0.25" r="3113" customHeight="1" ht="17.25" hidden="1">
      <c r="A3113" s="112" t="s">
        <v>7786</v>
      </c>
      <c r="B3113" s="1" t="s">
        <v>2549</v>
      </c>
      <c r="C3113" s="1" t="s">
        <v>66</v>
      </c>
      <c r="D3113" s="1" t="s">
        <v>7787</v>
      </c>
      <c r="E3113" s="62">
        <v>20</v>
      </c>
      <c r="F3113" s="1" t="s">
        <v>2551</v>
      </c>
      <c r="G3113" s="1" t="s">
        <v>2552</v>
      </c>
    </row>
    <row x14ac:dyDescent="0.25" r="3114" customHeight="1" ht="17.25" hidden="1">
      <c r="A3114" s="112" t="s">
        <v>7788</v>
      </c>
      <c r="B3114" s="1" t="s">
        <v>2549</v>
      </c>
      <c r="C3114" s="1" t="s">
        <v>66</v>
      </c>
      <c r="D3114" s="1" t="s">
        <v>7789</v>
      </c>
      <c r="E3114" s="62">
        <v>28</v>
      </c>
      <c r="F3114" s="1" t="s">
        <v>2551</v>
      </c>
      <c r="G3114" s="1" t="s">
        <v>2555</v>
      </c>
    </row>
    <row x14ac:dyDescent="0.25" r="3115" customHeight="1" ht="17.25" hidden="1">
      <c r="A3115" s="112" t="s">
        <v>7790</v>
      </c>
      <c r="B3115" s="1" t="s">
        <v>2549</v>
      </c>
      <c r="C3115" s="1" t="s">
        <v>66</v>
      </c>
      <c r="D3115" s="1" t="s">
        <v>7791</v>
      </c>
      <c r="E3115" s="62">
        <v>30</v>
      </c>
      <c r="F3115" s="1" t="s">
        <v>2551</v>
      </c>
      <c r="G3115" s="1" t="s">
        <v>2552</v>
      </c>
    </row>
    <row x14ac:dyDescent="0.25" r="3116" customHeight="1" ht="17.25" hidden="1">
      <c r="A3116" s="112" t="s">
        <v>7792</v>
      </c>
      <c r="B3116" s="1" t="s">
        <v>2549</v>
      </c>
      <c r="C3116" s="1" t="s">
        <v>66</v>
      </c>
      <c r="D3116" s="1" t="s">
        <v>7793</v>
      </c>
      <c r="E3116" s="62">
        <v>20</v>
      </c>
      <c r="F3116" s="1" t="s">
        <v>2551</v>
      </c>
      <c r="G3116" s="1" t="s">
        <v>2552</v>
      </c>
    </row>
    <row x14ac:dyDescent="0.25" r="3117" customHeight="1" ht="17.25" hidden="1">
      <c r="A3117" s="112" t="s">
        <v>7794</v>
      </c>
      <c r="B3117" s="1" t="s">
        <v>2549</v>
      </c>
      <c r="C3117" s="1" t="s">
        <v>66</v>
      </c>
      <c r="D3117" s="1" t="s">
        <v>7795</v>
      </c>
      <c r="E3117" s="62">
        <v>31</v>
      </c>
      <c r="F3117" s="1" t="s">
        <v>2551</v>
      </c>
      <c r="G3117" s="1" t="s">
        <v>2558</v>
      </c>
    </row>
    <row x14ac:dyDescent="0.25" r="3118" customHeight="1" ht="17.25" hidden="1">
      <c r="A3118" s="112" t="s">
        <v>7794</v>
      </c>
      <c r="B3118" s="1" t="s">
        <v>2549</v>
      </c>
      <c r="C3118" s="1" t="s">
        <v>66</v>
      </c>
      <c r="D3118" s="1" t="s">
        <v>7796</v>
      </c>
      <c r="E3118" s="62">
        <v>23</v>
      </c>
      <c r="F3118" s="1" t="s">
        <v>2551</v>
      </c>
      <c r="G3118" s="1" t="s">
        <v>2555</v>
      </c>
    </row>
    <row x14ac:dyDescent="0.25" r="3119" customHeight="1" ht="17.25" hidden="1">
      <c r="A3119" s="112" t="s">
        <v>7797</v>
      </c>
      <c r="B3119" s="1" t="s">
        <v>2549</v>
      </c>
      <c r="C3119" s="1" t="s">
        <v>66</v>
      </c>
      <c r="D3119" s="1" t="s">
        <v>7798</v>
      </c>
      <c r="E3119" s="62">
        <v>22</v>
      </c>
      <c r="F3119" s="1" t="s">
        <v>2551</v>
      </c>
      <c r="G3119" s="1" t="s">
        <v>4578</v>
      </c>
    </row>
    <row x14ac:dyDescent="0.25" r="3120" customHeight="1" ht="17.25" hidden="1">
      <c r="A3120" s="112" t="s">
        <v>7797</v>
      </c>
      <c r="B3120" s="1" t="s">
        <v>2549</v>
      </c>
      <c r="C3120" s="1" t="s">
        <v>66</v>
      </c>
      <c r="D3120" s="1" t="s">
        <v>7799</v>
      </c>
      <c r="E3120" s="62">
        <v>35</v>
      </c>
      <c r="F3120" s="1" t="s">
        <v>2551</v>
      </c>
      <c r="G3120" s="1" t="s">
        <v>4578</v>
      </c>
    </row>
    <row x14ac:dyDescent="0.25" r="3121" customHeight="1" ht="17.25" hidden="1">
      <c r="A3121" s="112" t="s">
        <v>7800</v>
      </c>
      <c r="B3121" s="1" t="s">
        <v>2549</v>
      </c>
      <c r="C3121" s="1" t="s">
        <v>66</v>
      </c>
      <c r="D3121" s="1" t="s">
        <v>7801</v>
      </c>
      <c r="E3121" s="62">
        <v>30</v>
      </c>
      <c r="F3121" s="1" t="s">
        <v>2551</v>
      </c>
      <c r="G3121" s="1" t="s">
        <v>2552</v>
      </c>
    </row>
    <row x14ac:dyDescent="0.25" r="3122" customHeight="1" ht="17.25" hidden="1">
      <c r="A3122" s="112" t="s">
        <v>7802</v>
      </c>
      <c r="B3122" s="1" t="s">
        <v>2549</v>
      </c>
      <c r="C3122" s="1" t="s">
        <v>66</v>
      </c>
      <c r="D3122" s="1" t="s">
        <v>7803</v>
      </c>
      <c r="E3122" s="62">
        <v>21</v>
      </c>
      <c r="F3122" s="1" t="s">
        <v>2551</v>
      </c>
      <c r="G3122" s="1" t="s">
        <v>2555</v>
      </c>
    </row>
    <row x14ac:dyDescent="0.25" r="3123" customHeight="1" ht="17.25" hidden="1">
      <c r="A3123" s="112" t="s">
        <v>7804</v>
      </c>
      <c r="B3123" s="1" t="s">
        <v>2549</v>
      </c>
      <c r="C3123" s="1" t="s">
        <v>66</v>
      </c>
      <c r="D3123" s="1" t="s">
        <v>7805</v>
      </c>
      <c r="E3123" s="62">
        <v>18</v>
      </c>
      <c r="F3123" s="1" t="s">
        <v>2551</v>
      </c>
      <c r="G3123" s="1" t="s">
        <v>2552</v>
      </c>
    </row>
    <row x14ac:dyDescent="0.25" r="3124" customHeight="1" ht="17.25" hidden="1">
      <c r="A3124" s="112" t="s">
        <v>7806</v>
      </c>
      <c r="B3124" s="1" t="s">
        <v>2549</v>
      </c>
      <c r="C3124" s="1" t="s">
        <v>66</v>
      </c>
      <c r="D3124" s="1" t="s">
        <v>7807</v>
      </c>
      <c r="E3124" s="62">
        <v>23</v>
      </c>
      <c r="F3124" s="1" t="s">
        <v>2551</v>
      </c>
      <c r="G3124" s="1" t="s">
        <v>2571</v>
      </c>
    </row>
    <row x14ac:dyDescent="0.25" r="3125" customHeight="1" ht="17.25" hidden="1">
      <c r="A3125" s="112" t="s">
        <v>7808</v>
      </c>
      <c r="B3125" s="1" t="s">
        <v>2549</v>
      </c>
      <c r="C3125" s="1" t="s">
        <v>66</v>
      </c>
      <c r="D3125" s="1" t="s">
        <v>6196</v>
      </c>
      <c r="E3125" s="62">
        <v>27</v>
      </c>
      <c r="F3125" s="1" t="s">
        <v>2551</v>
      </c>
      <c r="G3125" s="1" t="s">
        <v>2558</v>
      </c>
    </row>
    <row x14ac:dyDescent="0.25" r="3126" customHeight="1" ht="17.25" hidden="1">
      <c r="A3126" s="112" t="s">
        <v>7809</v>
      </c>
      <c r="B3126" s="1" t="s">
        <v>2549</v>
      </c>
      <c r="C3126" s="1" t="s">
        <v>66</v>
      </c>
      <c r="D3126" s="1" t="s">
        <v>7810</v>
      </c>
      <c r="E3126" s="62">
        <v>26</v>
      </c>
      <c r="F3126" s="1" t="s">
        <v>2551</v>
      </c>
      <c r="G3126" s="1" t="s">
        <v>2558</v>
      </c>
    </row>
    <row x14ac:dyDescent="0.25" r="3127" customHeight="1" ht="17.25" hidden="1">
      <c r="A3127" s="112" t="s">
        <v>7811</v>
      </c>
      <c r="B3127" s="1" t="s">
        <v>2549</v>
      </c>
      <c r="C3127" s="1" t="s">
        <v>66</v>
      </c>
      <c r="D3127" s="1" t="s">
        <v>7812</v>
      </c>
      <c r="E3127" s="62">
        <v>37</v>
      </c>
      <c r="F3127" s="1" t="s">
        <v>2561</v>
      </c>
      <c r="G3127" s="1" t="s">
        <v>2555</v>
      </c>
    </row>
    <row x14ac:dyDescent="0.25" r="3128" customHeight="1" ht="17.25" hidden="1">
      <c r="A3128" s="112" t="s">
        <v>7811</v>
      </c>
      <c r="B3128" s="1" t="s">
        <v>2549</v>
      </c>
      <c r="C3128" s="1" t="s">
        <v>66</v>
      </c>
      <c r="D3128" s="1" t="s">
        <v>7813</v>
      </c>
      <c r="E3128" s="62">
        <v>22</v>
      </c>
      <c r="F3128" s="1" t="s">
        <v>2551</v>
      </c>
      <c r="G3128" s="1" t="s">
        <v>4578</v>
      </c>
    </row>
    <row x14ac:dyDescent="0.25" r="3129" customHeight="1" ht="17.25" hidden="1">
      <c r="A3129" s="112" t="s">
        <v>7814</v>
      </c>
      <c r="B3129" s="1" t="s">
        <v>2549</v>
      </c>
      <c r="C3129" s="1" t="s">
        <v>66</v>
      </c>
      <c r="D3129" s="1" t="s">
        <v>1145</v>
      </c>
      <c r="E3129" s="62">
        <v>25</v>
      </c>
      <c r="F3129" s="1" t="s">
        <v>2551</v>
      </c>
      <c r="G3129" s="1" t="s">
        <v>2552</v>
      </c>
    </row>
    <row x14ac:dyDescent="0.25" r="3130" customHeight="1" ht="17.25" hidden="1">
      <c r="A3130" s="112" t="s">
        <v>7815</v>
      </c>
      <c r="B3130" s="1" t="s">
        <v>2549</v>
      </c>
      <c r="C3130" s="1" t="s">
        <v>66</v>
      </c>
      <c r="D3130" s="1" t="s">
        <v>7816</v>
      </c>
      <c r="E3130" s="62">
        <v>18</v>
      </c>
      <c r="F3130" s="1" t="s">
        <v>2551</v>
      </c>
      <c r="G3130" s="1" t="s">
        <v>2552</v>
      </c>
    </row>
    <row x14ac:dyDescent="0.25" r="3131" customHeight="1" ht="17.25" hidden="1">
      <c r="A3131" s="112" t="s">
        <v>7817</v>
      </c>
      <c r="B3131" s="1" t="s">
        <v>2549</v>
      </c>
      <c r="C3131" s="1" t="s">
        <v>66</v>
      </c>
      <c r="D3131" s="1" t="s">
        <v>7818</v>
      </c>
      <c r="E3131" s="62">
        <v>18</v>
      </c>
      <c r="F3131" s="1" t="s">
        <v>2551</v>
      </c>
      <c r="G3131" s="1" t="s">
        <v>2555</v>
      </c>
    </row>
    <row x14ac:dyDescent="0.25" r="3132" customHeight="1" ht="17.25" hidden="1">
      <c r="A3132" s="112" t="s">
        <v>388</v>
      </c>
      <c r="B3132" s="1" t="s">
        <v>2549</v>
      </c>
      <c r="C3132" s="1" t="s">
        <v>66</v>
      </c>
      <c r="D3132" s="1" t="s">
        <v>390</v>
      </c>
      <c r="E3132" s="62">
        <v>518</v>
      </c>
      <c r="F3132" s="1" t="s">
        <v>2551</v>
      </c>
      <c r="G3132" s="1" t="s">
        <v>2552</v>
      </c>
    </row>
    <row x14ac:dyDescent="0.25" r="3133" customHeight="1" ht="17.25" hidden="1">
      <c r="A3133" s="112" t="s">
        <v>7819</v>
      </c>
      <c r="B3133" s="1" t="s">
        <v>2549</v>
      </c>
      <c r="C3133" s="1" t="s">
        <v>66</v>
      </c>
      <c r="D3133" s="1" t="s">
        <v>7820</v>
      </c>
      <c r="E3133" s="62">
        <v>20</v>
      </c>
      <c r="F3133" s="1" t="s">
        <v>2551</v>
      </c>
      <c r="G3133" s="1" t="s">
        <v>2558</v>
      </c>
    </row>
    <row x14ac:dyDescent="0.25" r="3134" customHeight="1" ht="17.25" hidden="1">
      <c r="A3134" s="112" t="s">
        <v>7821</v>
      </c>
      <c r="B3134" s="1" t="s">
        <v>2549</v>
      </c>
      <c r="C3134" s="1" t="s">
        <v>66</v>
      </c>
      <c r="D3134" s="1" t="s">
        <v>7822</v>
      </c>
      <c r="E3134" s="62">
        <v>22</v>
      </c>
      <c r="F3134" s="1" t="s">
        <v>2551</v>
      </c>
      <c r="G3134" s="1" t="s">
        <v>2552</v>
      </c>
    </row>
    <row x14ac:dyDescent="0.25" r="3135" customHeight="1" ht="17.25" hidden="1">
      <c r="A3135" s="112" t="s">
        <v>7823</v>
      </c>
      <c r="B3135" s="1" t="s">
        <v>2549</v>
      </c>
      <c r="C3135" s="1" t="s">
        <v>66</v>
      </c>
      <c r="D3135" s="1" t="s">
        <v>7824</v>
      </c>
      <c r="E3135" s="62">
        <v>32</v>
      </c>
      <c r="F3135" s="1" t="s">
        <v>2561</v>
      </c>
      <c r="G3135" s="1" t="s">
        <v>2555</v>
      </c>
    </row>
    <row x14ac:dyDescent="0.25" r="3136" customHeight="1" ht="17.25" hidden="1">
      <c r="A3136" s="112" t="s">
        <v>7825</v>
      </c>
      <c r="B3136" s="1" t="s">
        <v>2549</v>
      </c>
      <c r="C3136" s="1" t="s">
        <v>66</v>
      </c>
      <c r="D3136" s="1" t="s">
        <v>7826</v>
      </c>
      <c r="E3136" s="62">
        <v>23</v>
      </c>
      <c r="F3136" s="1" t="s">
        <v>2551</v>
      </c>
      <c r="G3136" s="1" t="s">
        <v>2552</v>
      </c>
    </row>
    <row x14ac:dyDescent="0.25" r="3137" customHeight="1" ht="17.25" hidden="1">
      <c r="A3137" s="112" t="s">
        <v>7827</v>
      </c>
      <c r="B3137" s="1" t="s">
        <v>2549</v>
      </c>
      <c r="C3137" s="1" t="s">
        <v>66</v>
      </c>
      <c r="D3137" s="1" t="s">
        <v>7828</v>
      </c>
      <c r="E3137" s="62">
        <v>32</v>
      </c>
      <c r="F3137" s="1" t="s">
        <v>2551</v>
      </c>
      <c r="G3137" s="1" t="s">
        <v>2571</v>
      </c>
    </row>
    <row x14ac:dyDescent="0.25" r="3138" customHeight="1" ht="17.25" hidden="1">
      <c r="A3138" s="112" t="s">
        <v>7829</v>
      </c>
      <c r="B3138" s="1" t="s">
        <v>2549</v>
      </c>
      <c r="C3138" s="1" t="s">
        <v>40</v>
      </c>
      <c r="D3138" s="1" t="s">
        <v>7830</v>
      </c>
      <c r="E3138" s="62">
        <v>22</v>
      </c>
      <c r="F3138" s="1" t="s">
        <v>2551</v>
      </c>
      <c r="G3138" s="1" t="s">
        <v>2558</v>
      </c>
    </row>
    <row x14ac:dyDescent="0.25" r="3139" customHeight="1" ht="17.25" hidden="1">
      <c r="A3139" s="112" t="s">
        <v>7829</v>
      </c>
      <c r="B3139" s="1" t="s">
        <v>2549</v>
      </c>
      <c r="C3139" s="1" t="s">
        <v>40</v>
      </c>
      <c r="D3139" s="1" t="s">
        <v>7831</v>
      </c>
      <c r="E3139" s="62">
        <v>21</v>
      </c>
      <c r="F3139" s="1" t="s">
        <v>2551</v>
      </c>
      <c r="G3139" s="1" t="s">
        <v>2552</v>
      </c>
    </row>
    <row x14ac:dyDescent="0.25" r="3140" customHeight="1" ht="17.25" hidden="1">
      <c r="A3140" s="112" t="s">
        <v>7832</v>
      </c>
      <c r="B3140" s="1" t="s">
        <v>2549</v>
      </c>
      <c r="C3140" s="1" t="s">
        <v>40</v>
      </c>
      <c r="D3140" s="1" t="s">
        <v>7833</v>
      </c>
      <c r="E3140" s="62">
        <v>28</v>
      </c>
      <c r="F3140" s="1" t="s">
        <v>2551</v>
      </c>
      <c r="G3140" s="1" t="s">
        <v>2558</v>
      </c>
    </row>
    <row x14ac:dyDescent="0.25" r="3141" customHeight="1" ht="17.25" hidden="1">
      <c r="A3141" s="112" t="s">
        <v>2033</v>
      </c>
      <c r="B3141" s="1" t="s">
        <v>2549</v>
      </c>
      <c r="C3141" s="1" t="s">
        <v>40</v>
      </c>
      <c r="D3141" s="1" t="s">
        <v>2035</v>
      </c>
      <c r="E3141" s="62">
        <v>28</v>
      </c>
      <c r="F3141" s="1" t="s">
        <v>2551</v>
      </c>
      <c r="G3141" s="1" t="s">
        <v>2558</v>
      </c>
    </row>
    <row x14ac:dyDescent="0.25" r="3142" customHeight="1" ht="17.25" hidden="1">
      <c r="A3142" s="112" t="s">
        <v>7834</v>
      </c>
      <c r="B3142" s="1" t="s">
        <v>2549</v>
      </c>
      <c r="C3142" s="1" t="s">
        <v>40</v>
      </c>
      <c r="D3142" s="1" t="s">
        <v>7835</v>
      </c>
      <c r="E3142" s="62">
        <v>51</v>
      </c>
      <c r="F3142" s="1" t="s">
        <v>2551</v>
      </c>
      <c r="G3142" s="1" t="s">
        <v>2571</v>
      </c>
    </row>
    <row x14ac:dyDescent="0.25" r="3143" customHeight="1" ht="17.25" hidden="1">
      <c r="A3143" s="112" t="s">
        <v>7836</v>
      </c>
      <c r="B3143" s="1" t="s">
        <v>2549</v>
      </c>
      <c r="C3143" s="1" t="s">
        <v>40</v>
      </c>
      <c r="D3143" s="1" t="s">
        <v>7837</v>
      </c>
      <c r="E3143" s="62">
        <v>23</v>
      </c>
      <c r="F3143" s="1" t="s">
        <v>2551</v>
      </c>
      <c r="G3143" s="1" t="s">
        <v>2552</v>
      </c>
    </row>
    <row x14ac:dyDescent="0.25" r="3144" customHeight="1" ht="17.25" hidden="1">
      <c r="A3144" s="112" t="s">
        <v>7836</v>
      </c>
      <c r="B3144" s="1" t="s">
        <v>2549</v>
      </c>
      <c r="C3144" s="1" t="s">
        <v>40</v>
      </c>
      <c r="D3144" s="1" t="s">
        <v>7838</v>
      </c>
      <c r="E3144" s="62">
        <v>35</v>
      </c>
      <c r="F3144" s="1" t="s">
        <v>2551</v>
      </c>
      <c r="G3144" s="1" t="s">
        <v>2552</v>
      </c>
    </row>
    <row x14ac:dyDescent="0.25" r="3145" customHeight="1" ht="17.25" hidden="1">
      <c r="A3145" s="112" t="s">
        <v>7836</v>
      </c>
      <c r="B3145" s="1" t="s">
        <v>2549</v>
      </c>
      <c r="C3145" s="1" t="s">
        <v>40</v>
      </c>
      <c r="D3145" s="1" t="s">
        <v>7839</v>
      </c>
      <c r="E3145" s="62">
        <v>19</v>
      </c>
      <c r="F3145" s="1" t="s">
        <v>2551</v>
      </c>
      <c r="G3145" s="1" t="s">
        <v>2552</v>
      </c>
    </row>
    <row x14ac:dyDescent="0.25" r="3146" customHeight="1" ht="17.25" hidden="1">
      <c r="A3146" s="112" t="s">
        <v>7840</v>
      </c>
      <c r="B3146" s="1" t="s">
        <v>2549</v>
      </c>
      <c r="C3146" s="1" t="s">
        <v>40</v>
      </c>
      <c r="D3146" s="1" t="s">
        <v>7841</v>
      </c>
      <c r="E3146" s="62">
        <v>28</v>
      </c>
      <c r="F3146" s="1" t="s">
        <v>2551</v>
      </c>
      <c r="G3146" s="1" t="s">
        <v>2552</v>
      </c>
    </row>
    <row x14ac:dyDescent="0.25" r="3147" customHeight="1" ht="17.25" hidden="1">
      <c r="A3147" s="112" t="s">
        <v>7842</v>
      </c>
      <c r="B3147" s="1" t="s">
        <v>2549</v>
      </c>
      <c r="C3147" s="1" t="s">
        <v>40</v>
      </c>
      <c r="D3147" s="1" t="s">
        <v>7843</v>
      </c>
      <c r="E3147" s="62">
        <v>28</v>
      </c>
      <c r="F3147" s="1" t="s">
        <v>2551</v>
      </c>
      <c r="G3147" s="1" t="s">
        <v>2558</v>
      </c>
    </row>
    <row x14ac:dyDescent="0.25" r="3148" customHeight="1" ht="17.25" hidden="1">
      <c r="A3148" s="112" t="s">
        <v>7842</v>
      </c>
      <c r="B3148" s="1" t="s">
        <v>2549</v>
      </c>
      <c r="C3148" s="1" t="s">
        <v>40</v>
      </c>
      <c r="D3148" s="1" t="s">
        <v>7844</v>
      </c>
      <c r="E3148" s="62">
        <v>19</v>
      </c>
      <c r="F3148" s="1" t="s">
        <v>2551</v>
      </c>
      <c r="G3148" s="1" t="s">
        <v>2552</v>
      </c>
    </row>
    <row x14ac:dyDescent="0.25" r="3149" customHeight="1" ht="17.25" hidden="1">
      <c r="A3149" s="112" t="s">
        <v>7845</v>
      </c>
      <c r="B3149" s="1" t="s">
        <v>2549</v>
      </c>
      <c r="C3149" s="1" t="s">
        <v>40</v>
      </c>
      <c r="D3149" s="1" t="s">
        <v>7846</v>
      </c>
      <c r="E3149" s="62">
        <v>31</v>
      </c>
      <c r="F3149" s="1" t="s">
        <v>2551</v>
      </c>
      <c r="G3149" s="1" t="s">
        <v>2552</v>
      </c>
    </row>
    <row x14ac:dyDescent="0.25" r="3150" customHeight="1" ht="17.25" hidden="1">
      <c r="A3150" s="112" t="s">
        <v>7847</v>
      </c>
      <c r="B3150" s="1" t="s">
        <v>2549</v>
      </c>
      <c r="C3150" s="1" t="s">
        <v>40</v>
      </c>
      <c r="D3150" s="1" t="s">
        <v>7848</v>
      </c>
      <c r="E3150" s="62">
        <v>24</v>
      </c>
      <c r="F3150" s="1" t="s">
        <v>2551</v>
      </c>
      <c r="G3150" s="1" t="s">
        <v>2558</v>
      </c>
    </row>
    <row x14ac:dyDescent="0.25" r="3151" customHeight="1" ht="17.25" hidden="1">
      <c r="A3151" s="112" t="s">
        <v>7847</v>
      </c>
      <c r="B3151" s="1" t="s">
        <v>2549</v>
      </c>
      <c r="C3151" s="1" t="s">
        <v>40</v>
      </c>
      <c r="D3151" s="1" t="s">
        <v>7849</v>
      </c>
      <c r="E3151" s="62">
        <v>38</v>
      </c>
      <c r="F3151" s="1" t="s">
        <v>2551</v>
      </c>
      <c r="G3151" s="1" t="s">
        <v>2558</v>
      </c>
    </row>
    <row x14ac:dyDescent="0.25" r="3152" customHeight="1" ht="17.25" hidden="1">
      <c r="A3152" s="112" t="s">
        <v>7850</v>
      </c>
      <c r="B3152" s="1" t="s">
        <v>2549</v>
      </c>
      <c r="C3152" s="1" t="s">
        <v>40</v>
      </c>
      <c r="D3152" s="1" t="s">
        <v>7851</v>
      </c>
      <c r="E3152" s="62">
        <v>26</v>
      </c>
      <c r="F3152" s="1" t="s">
        <v>2551</v>
      </c>
      <c r="G3152" s="1" t="s">
        <v>2552</v>
      </c>
    </row>
    <row x14ac:dyDescent="0.25" r="3153" customHeight="1" ht="17.25" hidden="1">
      <c r="A3153" s="112" t="s">
        <v>7852</v>
      </c>
      <c r="B3153" s="1" t="s">
        <v>2549</v>
      </c>
      <c r="C3153" s="1" t="s">
        <v>40</v>
      </c>
      <c r="D3153" s="1" t="s">
        <v>7853</v>
      </c>
      <c r="E3153" s="62">
        <v>35</v>
      </c>
      <c r="F3153" s="1" t="s">
        <v>2551</v>
      </c>
      <c r="G3153" s="1" t="s">
        <v>2552</v>
      </c>
    </row>
    <row x14ac:dyDescent="0.25" r="3154" customHeight="1" ht="17.25" hidden="1">
      <c r="A3154" s="112" t="s">
        <v>7854</v>
      </c>
      <c r="B3154" s="1" t="s">
        <v>2549</v>
      </c>
      <c r="C3154" s="1" t="s">
        <v>40</v>
      </c>
      <c r="D3154" s="1" t="s">
        <v>7855</v>
      </c>
      <c r="E3154" s="62">
        <v>20</v>
      </c>
      <c r="F3154" s="1" t="s">
        <v>2551</v>
      </c>
      <c r="G3154" s="1" t="s">
        <v>2552</v>
      </c>
    </row>
    <row x14ac:dyDescent="0.25" r="3155" customHeight="1" ht="17.25" hidden="1">
      <c r="A3155" s="112" t="s">
        <v>7856</v>
      </c>
      <c r="B3155" s="1" t="s">
        <v>2549</v>
      </c>
      <c r="C3155" s="1" t="s">
        <v>40</v>
      </c>
      <c r="D3155" s="1" t="s">
        <v>7857</v>
      </c>
      <c r="E3155" s="62">
        <v>28</v>
      </c>
      <c r="F3155" s="1" t="s">
        <v>2551</v>
      </c>
      <c r="G3155" s="1" t="s">
        <v>2552</v>
      </c>
    </row>
    <row x14ac:dyDescent="0.25" r="3156" customHeight="1" ht="17.25" hidden="1">
      <c r="A3156" s="112" t="s">
        <v>7858</v>
      </c>
      <c r="B3156" s="1" t="s">
        <v>2549</v>
      </c>
      <c r="C3156" s="1" t="s">
        <v>40</v>
      </c>
      <c r="D3156" s="1" t="s">
        <v>7859</v>
      </c>
      <c r="E3156" s="62">
        <v>31</v>
      </c>
      <c r="F3156" s="1" t="s">
        <v>2551</v>
      </c>
      <c r="G3156" s="1" t="s">
        <v>2571</v>
      </c>
    </row>
    <row x14ac:dyDescent="0.25" r="3157" customHeight="1" ht="17.25" hidden="1">
      <c r="A3157" s="112" t="s">
        <v>7860</v>
      </c>
      <c r="B3157" s="1" t="s">
        <v>2549</v>
      </c>
      <c r="C3157" s="1" t="s">
        <v>40</v>
      </c>
      <c r="D3157" s="1" t="s">
        <v>7861</v>
      </c>
      <c r="E3157" s="62">
        <v>28</v>
      </c>
      <c r="F3157" s="1" t="s">
        <v>2551</v>
      </c>
      <c r="G3157" s="1" t="s">
        <v>2555</v>
      </c>
    </row>
    <row x14ac:dyDescent="0.25" r="3158" customHeight="1" ht="17.25" hidden="1">
      <c r="A3158" s="112" t="s">
        <v>7862</v>
      </c>
      <c r="B3158" s="1" t="s">
        <v>2549</v>
      </c>
      <c r="C3158" s="1" t="s">
        <v>40</v>
      </c>
      <c r="D3158" s="1" t="s">
        <v>7863</v>
      </c>
      <c r="E3158" s="62">
        <v>28</v>
      </c>
      <c r="F3158" s="1" t="s">
        <v>2551</v>
      </c>
      <c r="G3158" s="1" t="s">
        <v>2552</v>
      </c>
    </row>
    <row x14ac:dyDescent="0.25" r="3159" customHeight="1" ht="17.25" hidden="1">
      <c r="A3159" s="112" t="s">
        <v>7864</v>
      </c>
      <c r="B3159" s="1" t="s">
        <v>2549</v>
      </c>
      <c r="C3159" s="1" t="s">
        <v>40</v>
      </c>
      <c r="D3159" s="1" t="s">
        <v>7865</v>
      </c>
      <c r="E3159" s="62">
        <v>25</v>
      </c>
      <c r="F3159" s="1" t="s">
        <v>2551</v>
      </c>
      <c r="G3159" s="1" t="s">
        <v>2555</v>
      </c>
    </row>
    <row x14ac:dyDescent="0.25" r="3160" customHeight="1" ht="17.25" hidden="1">
      <c r="A3160" s="112" t="s">
        <v>7866</v>
      </c>
      <c r="B3160" s="1" t="s">
        <v>2549</v>
      </c>
      <c r="C3160" s="1" t="s">
        <v>40</v>
      </c>
      <c r="D3160" s="1" t="s">
        <v>7867</v>
      </c>
      <c r="E3160" s="62">
        <v>71</v>
      </c>
      <c r="F3160" s="1" t="s">
        <v>2561</v>
      </c>
      <c r="G3160" s="1" t="s">
        <v>2558</v>
      </c>
    </row>
    <row x14ac:dyDescent="0.25" r="3161" customHeight="1" ht="17.25" hidden="1">
      <c r="A3161" s="112" t="s">
        <v>7866</v>
      </c>
      <c r="B3161" s="1" t="s">
        <v>2549</v>
      </c>
      <c r="C3161" s="1" t="s">
        <v>40</v>
      </c>
      <c r="D3161" s="1" t="s">
        <v>7868</v>
      </c>
      <c r="E3161" s="54" t="s">
        <v>2571</v>
      </c>
      <c r="F3161" s="1" t="s">
        <v>2561</v>
      </c>
      <c r="G3161" s="1" t="s">
        <v>2571</v>
      </c>
    </row>
    <row x14ac:dyDescent="0.25" r="3162" customHeight="1" ht="17.25" hidden="1">
      <c r="A3162" s="112" t="s">
        <v>7866</v>
      </c>
      <c r="B3162" s="1" t="s">
        <v>2549</v>
      </c>
      <c r="C3162" s="1" t="s">
        <v>40</v>
      </c>
      <c r="D3162" s="1" t="s">
        <v>7869</v>
      </c>
      <c r="E3162" s="54" t="s">
        <v>2571</v>
      </c>
      <c r="F3162" s="1" t="s">
        <v>2561</v>
      </c>
      <c r="G3162" s="1" t="s">
        <v>2552</v>
      </c>
    </row>
    <row x14ac:dyDescent="0.25" r="3163" customHeight="1" ht="17.25" hidden="1">
      <c r="A3163" s="112" t="s">
        <v>7866</v>
      </c>
      <c r="B3163" s="1" t="s">
        <v>2549</v>
      </c>
      <c r="C3163" s="1" t="s">
        <v>40</v>
      </c>
      <c r="D3163" s="1" t="s">
        <v>7870</v>
      </c>
      <c r="E3163" s="54" t="s">
        <v>2571</v>
      </c>
      <c r="F3163" s="1" t="s">
        <v>2561</v>
      </c>
      <c r="G3163" s="1" t="s">
        <v>2555</v>
      </c>
    </row>
    <row x14ac:dyDescent="0.25" r="3164" customHeight="1" ht="17.25" hidden="1">
      <c r="A3164" s="112" t="s">
        <v>7871</v>
      </c>
      <c r="B3164" s="1" t="s">
        <v>2549</v>
      </c>
      <c r="C3164" s="1" t="s">
        <v>40</v>
      </c>
      <c r="D3164" s="1" t="s">
        <v>7872</v>
      </c>
      <c r="E3164" s="62">
        <v>47</v>
      </c>
      <c r="F3164" s="1" t="s">
        <v>2551</v>
      </c>
      <c r="G3164" s="1" t="s">
        <v>2552</v>
      </c>
    </row>
    <row x14ac:dyDescent="0.25" r="3165" customHeight="1" ht="17.25" hidden="1">
      <c r="A3165" s="112" t="s">
        <v>7873</v>
      </c>
      <c r="B3165" s="1" t="s">
        <v>2549</v>
      </c>
      <c r="C3165" s="1" t="s">
        <v>40</v>
      </c>
      <c r="D3165" s="1" t="s">
        <v>7874</v>
      </c>
      <c r="E3165" s="62">
        <v>25</v>
      </c>
      <c r="F3165" s="1" t="s">
        <v>2551</v>
      </c>
      <c r="G3165" s="1" t="s">
        <v>2552</v>
      </c>
    </row>
    <row x14ac:dyDescent="0.25" r="3166" customHeight="1" ht="17.25" hidden="1">
      <c r="A3166" s="112" t="s">
        <v>7873</v>
      </c>
      <c r="B3166" s="1" t="s">
        <v>2549</v>
      </c>
      <c r="C3166" s="1" t="s">
        <v>40</v>
      </c>
      <c r="D3166" s="1" t="s">
        <v>7875</v>
      </c>
      <c r="E3166" s="62">
        <v>31</v>
      </c>
      <c r="F3166" s="1" t="s">
        <v>2551</v>
      </c>
      <c r="G3166" s="1" t="s">
        <v>2552</v>
      </c>
    </row>
    <row x14ac:dyDescent="0.25" r="3167" customHeight="1" ht="17.25" hidden="1">
      <c r="A3167" s="112" t="s">
        <v>7873</v>
      </c>
      <c r="B3167" s="1" t="s">
        <v>2549</v>
      </c>
      <c r="C3167" s="1" t="s">
        <v>40</v>
      </c>
      <c r="D3167" s="1" t="s">
        <v>7876</v>
      </c>
      <c r="E3167" s="62">
        <v>29</v>
      </c>
      <c r="F3167" s="1" t="s">
        <v>2551</v>
      </c>
      <c r="G3167" s="1" t="s">
        <v>2552</v>
      </c>
    </row>
    <row x14ac:dyDescent="0.25" r="3168" customHeight="1" ht="17.25" hidden="1">
      <c r="A3168" s="112" t="s">
        <v>7877</v>
      </c>
      <c r="B3168" s="1" t="s">
        <v>2549</v>
      </c>
      <c r="C3168" s="1" t="s">
        <v>40</v>
      </c>
      <c r="D3168" s="1" t="s">
        <v>7878</v>
      </c>
      <c r="E3168" s="62">
        <v>24</v>
      </c>
      <c r="F3168" s="1" t="s">
        <v>2551</v>
      </c>
      <c r="G3168" s="1" t="s">
        <v>2555</v>
      </c>
    </row>
    <row x14ac:dyDescent="0.25" r="3169" customHeight="1" ht="17.25" hidden="1">
      <c r="A3169" s="112" t="s">
        <v>7879</v>
      </c>
      <c r="B3169" s="1" t="s">
        <v>2549</v>
      </c>
      <c r="C3169" s="1" t="s">
        <v>40</v>
      </c>
      <c r="D3169" s="1" t="s">
        <v>7880</v>
      </c>
      <c r="E3169" s="62">
        <v>21</v>
      </c>
      <c r="F3169" s="1" t="s">
        <v>2551</v>
      </c>
      <c r="G3169" s="1" t="s">
        <v>2552</v>
      </c>
    </row>
    <row x14ac:dyDescent="0.25" r="3170" customHeight="1" ht="17.25" hidden="1">
      <c r="A3170" s="112" t="s">
        <v>7881</v>
      </c>
      <c r="B3170" s="1" t="s">
        <v>2549</v>
      </c>
      <c r="C3170" s="1" t="s">
        <v>40</v>
      </c>
      <c r="D3170" s="1" t="s">
        <v>7882</v>
      </c>
      <c r="E3170" s="62">
        <v>22</v>
      </c>
      <c r="F3170" s="1" t="s">
        <v>2551</v>
      </c>
      <c r="G3170" s="1" t="s">
        <v>2552</v>
      </c>
    </row>
    <row x14ac:dyDescent="0.25" r="3171" customHeight="1" ht="17.25" hidden="1">
      <c r="A3171" s="112" t="s">
        <v>7883</v>
      </c>
      <c r="B3171" s="1" t="s">
        <v>2549</v>
      </c>
      <c r="C3171" s="1" t="s">
        <v>40</v>
      </c>
      <c r="D3171" s="1" t="s">
        <v>7884</v>
      </c>
      <c r="E3171" s="62">
        <v>20</v>
      </c>
      <c r="F3171" s="1" t="s">
        <v>2551</v>
      </c>
      <c r="G3171" s="1" t="s">
        <v>2552</v>
      </c>
    </row>
    <row x14ac:dyDescent="0.25" r="3172" customHeight="1" ht="17.25" hidden="1">
      <c r="A3172" s="112" t="s">
        <v>7885</v>
      </c>
      <c r="B3172" s="1" t="s">
        <v>2549</v>
      </c>
      <c r="C3172" s="1" t="s">
        <v>40</v>
      </c>
      <c r="D3172" s="1" t="s">
        <v>7886</v>
      </c>
      <c r="E3172" s="62">
        <v>24</v>
      </c>
      <c r="F3172" s="1" t="s">
        <v>2551</v>
      </c>
      <c r="G3172" s="1" t="s">
        <v>2555</v>
      </c>
    </row>
    <row x14ac:dyDescent="0.25" r="3173" customHeight="1" ht="17.25" hidden="1">
      <c r="A3173" s="112" t="s">
        <v>7887</v>
      </c>
      <c r="B3173" s="1" t="s">
        <v>2549</v>
      </c>
      <c r="C3173" s="1" t="s">
        <v>40</v>
      </c>
      <c r="D3173" s="1" t="s">
        <v>7888</v>
      </c>
      <c r="E3173" s="62">
        <v>18</v>
      </c>
      <c r="F3173" s="1" t="s">
        <v>2551</v>
      </c>
      <c r="G3173" s="1" t="s">
        <v>2552</v>
      </c>
    </row>
    <row x14ac:dyDescent="0.25" r="3174" customHeight="1" ht="17.25" hidden="1">
      <c r="A3174" s="112" t="s">
        <v>7889</v>
      </c>
      <c r="B3174" s="1" t="s">
        <v>2549</v>
      </c>
      <c r="C3174" s="1" t="s">
        <v>40</v>
      </c>
      <c r="D3174" s="1" t="s">
        <v>7890</v>
      </c>
      <c r="E3174" s="62">
        <v>20</v>
      </c>
      <c r="F3174" s="1" t="s">
        <v>2561</v>
      </c>
      <c r="G3174" s="1" t="s">
        <v>2552</v>
      </c>
    </row>
    <row x14ac:dyDescent="0.25" r="3175" customHeight="1" ht="17.25" hidden="1">
      <c r="A3175" s="112" t="s">
        <v>7891</v>
      </c>
      <c r="B3175" s="1" t="s">
        <v>2549</v>
      </c>
      <c r="C3175" s="1" t="s">
        <v>40</v>
      </c>
      <c r="D3175" s="1" t="s">
        <v>7892</v>
      </c>
      <c r="E3175" s="62">
        <v>30</v>
      </c>
      <c r="F3175" s="1" t="s">
        <v>2551</v>
      </c>
      <c r="G3175" s="1" t="s">
        <v>2552</v>
      </c>
    </row>
    <row x14ac:dyDescent="0.25" r="3176" customHeight="1" ht="17.25" hidden="1">
      <c r="A3176" s="112" t="s">
        <v>7893</v>
      </c>
      <c r="B3176" s="1" t="s">
        <v>2549</v>
      </c>
      <c r="C3176" s="1" t="s">
        <v>40</v>
      </c>
      <c r="D3176" s="1" t="s">
        <v>7894</v>
      </c>
      <c r="E3176" s="62">
        <v>20</v>
      </c>
      <c r="F3176" s="1" t="s">
        <v>2551</v>
      </c>
      <c r="G3176" s="1" t="s">
        <v>2552</v>
      </c>
    </row>
    <row x14ac:dyDescent="0.25" r="3177" customHeight="1" ht="17.25" hidden="1">
      <c r="A3177" s="112" t="s">
        <v>7895</v>
      </c>
      <c r="B3177" s="1" t="s">
        <v>2549</v>
      </c>
      <c r="C3177" s="1" t="s">
        <v>40</v>
      </c>
      <c r="D3177" s="1" t="s">
        <v>7896</v>
      </c>
      <c r="E3177" s="62">
        <v>25</v>
      </c>
      <c r="F3177" s="1" t="s">
        <v>2551</v>
      </c>
      <c r="G3177" s="1" t="s">
        <v>2552</v>
      </c>
    </row>
    <row x14ac:dyDescent="0.25" r="3178" customHeight="1" ht="17.25" hidden="1">
      <c r="A3178" s="112" t="s">
        <v>7897</v>
      </c>
      <c r="B3178" s="1" t="s">
        <v>2549</v>
      </c>
      <c r="C3178" s="1" t="s">
        <v>40</v>
      </c>
      <c r="D3178" s="1" t="s">
        <v>7898</v>
      </c>
      <c r="E3178" s="62">
        <v>23</v>
      </c>
      <c r="F3178" s="1" t="s">
        <v>2551</v>
      </c>
      <c r="G3178" s="1" t="s">
        <v>2558</v>
      </c>
    </row>
    <row x14ac:dyDescent="0.25" r="3179" customHeight="1" ht="17.25" hidden="1">
      <c r="A3179" s="112" t="s">
        <v>7899</v>
      </c>
      <c r="B3179" s="1" t="s">
        <v>2549</v>
      </c>
      <c r="C3179" s="1" t="s">
        <v>40</v>
      </c>
      <c r="D3179" s="1" t="s">
        <v>7900</v>
      </c>
      <c r="E3179" s="62">
        <v>42</v>
      </c>
      <c r="F3179" s="1" t="s">
        <v>2551</v>
      </c>
      <c r="G3179" s="1" t="s">
        <v>2555</v>
      </c>
    </row>
    <row x14ac:dyDescent="0.25" r="3180" customHeight="1" ht="17.25" hidden="1">
      <c r="A3180" s="112" t="s">
        <v>7901</v>
      </c>
      <c r="B3180" s="1" t="s">
        <v>2549</v>
      </c>
      <c r="C3180" s="1" t="s">
        <v>40</v>
      </c>
      <c r="D3180" s="1" t="s">
        <v>7902</v>
      </c>
      <c r="E3180" s="62">
        <v>25</v>
      </c>
      <c r="F3180" s="1" t="s">
        <v>2551</v>
      </c>
      <c r="G3180" s="1" t="s">
        <v>2555</v>
      </c>
    </row>
    <row x14ac:dyDescent="0.25" r="3181" customHeight="1" ht="17.25" hidden="1">
      <c r="A3181" s="112" t="s">
        <v>7903</v>
      </c>
      <c r="B3181" s="1" t="s">
        <v>2549</v>
      </c>
      <c r="C3181" s="1" t="s">
        <v>40</v>
      </c>
      <c r="D3181" s="1" t="s">
        <v>7904</v>
      </c>
      <c r="E3181" s="62">
        <v>29</v>
      </c>
      <c r="F3181" s="1" t="s">
        <v>2561</v>
      </c>
      <c r="G3181" s="1" t="s">
        <v>2555</v>
      </c>
    </row>
    <row x14ac:dyDescent="0.25" r="3182" customHeight="1" ht="17.25" hidden="1">
      <c r="A3182" s="112" t="s">
        <v>7905</v>
      </c>
      <c r="B3182" s="1" t="s">
        <v>2549</v>
      </c>
      <c r="C3182" s="1" t="s">
        <v>40</v>
      </c>
      <c r="D3182" s="1" t="s">
        <v>7906</v>
      </c>
      <c r="E3182" s="62">
        <v>39</v>
      </c>
      <c r="F3182" s="1" t="s">
        <v>2551</v>
      </c>
      <c r="G3182" s="1" t="s">
        <v>2555</v>
      </c>
    </row>
    <row x14ac:dyDescent="0.25" r="3183" customHeight="1" ht="17.25" hidden="1">
      <c r="A3183" s="112" t="s">
        <v>7907</v>
      </c>
      <c r="B3183" s="1" t="s">
        <v>2549</v>
      </c>
      <c r="C3183" s="1" t="s">
        <v>40</v>
      </c>
      <c r="D3183" s="1" t="s">
        <v>7908</v>
      </c>
      <c r="E3183" s="62">
        <v>19</v>
      </c>
      <c r="F3183" s="1" t="s">
        <v>2551</v>
      </c>
      <c r="G3183" s="1" t="s">
        <v>2558</v>
      </c>
    </row>
    <row x14ac:dyDescent="0.25" r="3184" customHeight="1" ht="17.25" hidden="1">
      <c r="A3184" s="112" t="s">
        <v>7909</v>
      </c>
      <c r="B3184" s="1" t="s">
        <v>2549</v>
      </c>
      <c r="C3184" s="1" t="s">
        <v>40</v>
      </c>
      <c r="D3184" s="1" t="s">
        <v>7910</v>
      </c>
      <c r="E3184" s="62">
        <v>25</v>
      </c>
      <c r="F3184" s="1" t="s">
        <v>2551</v>
      </c>
      <c r="G3184" s="1" t="s">
        <v>2552</v>
      </c>
    </row>
    <row x14ac:dyDescent="0.25" r="3185" customHeight="1" ht="17.25" hidden="1">
      <c r="A3185" s="112" t="s">
        <v>7911</v>
      </c>
      <c r="B3185" s="1" t="s">
        <v>2549</v>
      </c>
      <c r="C3185" s="1" t="s">
        <v>40</v>
      </c>
      <c r="D3185" s="1" t="s">
        <v>7912</v>
      </c>
      <c r="E3185" s="62">
        <v>23</v>
      </c>
      <c r="F3185" s="1" t="s">
        <v>2551</v>
      </c>
      <c r="G3185" s="1" t="s">
        <v>2552</v>
      </c>
    </row>
    <row x14ac:dyDescent="0.25" r="3186" customHeight="1" ht="17.25" hidden="1">
      <c r="A3186" s="112" t="s">
        <v>7913</v>
      </c>
      <c r="B3186" s="1" t="s">
        <v>2549</v>
      </c>
      <c r="C3186" s="1" t="s">
        <v>40</v>
      </c>
      <c r="D3186" s="1" t="s">
        <v>5663</v>
      </c>
      <c r="E3186" s="62">
        <v>29</v>
      </c>
      <c r="F3186" s="1" t="s">
        <v>2551</v>
      </c>
      <c r="G3186" s="1" t="s">
        <v>2552</v>
      </c>
    </row>
    <row x14ac:dyDescent="0.25" r="3187" customHeight="1" ht="17.25" hidden="1">
      <c r="A3187" s="112" t="s">
        <v>7913</v>
      </c>
      <c r="B3187" s="1" t="s">
        <v>2549</v>
      </c>
      <c r="C3187" s="1" t="s">
        <v>40</v>
      </c>
      <c r="D3187" s="1" t="s">
        <v>7914</v>
      </c>
      <c r="E3187" s="62">
        <v>33</v>
      </c>
      <c r="F3187" s="1" t="s">
        <v>2551</v>
      </c>
      <c r="G3187" s="1" t="s">
        <v>2555</v>
      </c>
    </row>
    <row x14ac:dyDescent="0.25" r="3188" customHeight="1" ht="17.25" hidden="1">
      <c r="A3188" s="112" t="s">
        <v>7915</v>
      </c>
      <c r="B3188" s="1" t="s">
        <v>2549</v>
      </c>
      <c r="C3188" s="1" t="s">
        <v>40</v>
      </c>
      <c r="D3188" s="1" t="s">
        <v>7916</v>
      </c>
      <c r="E3188" s="62">
        <v>35</v>
      </c>
      <c r="F3188" s="1" t="s">
        <v>2551</v>
      </c>
      <c r="G3188" s="1" t="s">
        <v>2558</v>
      </c>
    </row>
    <row x14ac:dyDescent="0.25" r="3189" customHeight="1" ht="17.25" hidden="1">
      <c r="A3189" s="112" t="s">
        <v>7917</v>
      </c>
      <c r="B3189" s="1" t="s">
        <v>2549</v>
      </c>
      <c r="C3189" s="1" t="s">
        <v>40</v>
      </c>
      <c r="D3189" s="1" t="s">
        <v>7918</v>
      </c>
      <c r="E3189" s="62">
        <v>23</v>
      </c>
      <c r="F3189" s="1" t="s">
        <v>2561</v>
      </c>
      <c r="G3189" s="1" t="s">
        <v>2552</v>
      </c>
    </row>
    <row x14ac:dyDescent="0.25" r="3190" customHeight="1" ht="17.25" hidden="1">
      <c r="A3190" s="112" t="s">
        <v>7917</v>
      </c>
      <c r="B3190" s="1" t="s">
        <v>2549</v>
      </c>
      <c r="C3190" s="1" t="s">
        <v>40</v>
      </c>
      <c r="D3190" s="1" t="s">
        <v>5099</v>
      </c>
      <c r="E3190" s="62">
        <v>21</v>
      </c>
      <c r="F3190" s="1" t="s">
        <v>2551</v>
      </c>
      <c r="G3190" s="1" t="s">
        <v>2552</v>
      </c>
    </row>
    <row x14ac:dyDescent="0.25" r="3191" customHeight="1" ht="17.25" hidden="1">
      <c r="A3191" s="112" t="s">
        <v>7919</v>
      </c>
      <c r="B3191" s="1" t="s">
        <v>2549</v>
      </c>
      <c r="C3191" s="1" t="s">
        <v>40</v>
      </c>
      <c r="D3191" s="1" t="s">
        <v>7920</v>
      </c>
      <c r="E3191" s="62">
        <v>18</v>
      </c>
      <c r="F3191" s="1" t="s">
        <v>2551</v>
      </c>
      <c r="G3191" s="1" t="s">
        <v>2552</v>
      </c>
    </row>
    <row x14ac:dyDescent="0.25" r="3192" customHeight="1" ht="17.25" hidden="1">
      <c r="A3192" s="112" t="s">
        <v>7921</v>
      </c>
      <c r="B3192" s="1" t="s">
        <v>2549</v>
      </c>
      <c r="C3192" s="1" t="s">
        <v>40</v>
      </c>
      <c r="D3192" s="1" t="s">
        <v>7922</v>
      </c>
      <c r="E3192" s="62">
        <v>23</v>
      </c>
      <c r="F3192" s="1" t="s">
        <v>2551</v>
      </c>
      <c r="G3192" s="1" t="s">
        <v>2552</v>
      </c>
    </row>
    <row x14ac:dyDescent="0.25" r="3193" customHeight="1" ht="17.25" hidden="1">
      <c r="A3193" s="112" t="s">
        <v>362</v>
      </c>
      <c r="B3193" s="1" t="s">
        <v>2549</v>
      </c>
      <c r="C3193" s="1" t="s">
        <v>40</v>
      </c>
      <c r="D3193" s="1" t="s">
        <v>7923</v>
      </c>
      <c r="E3193" s="62">
        <v>21</v>
      </c>
      <c r="F3193" s="1" t="s">
        <v>2551</v>
      </c>
      <c r="G3193" s="1" t="s">
        <v>2552</v>
      </c>
    </row>
    <row x14ac:dyDescent="0.25" r="3194" customHeight="1" ht="17.25" hidden="1">
      <c r="A3194" s="112" t="s">
        <v>362</v>
      </c>
      <c r="B3194" s="1" t="s">
        <v>2549</v>
      </c>
      <c r="C3194" s="1" t="s">
        <v>40</v>
      </c>
      <c r="D3194" s="1" t="s">
        <v>7924</v>
      </c>
      <c r="E3194" s="62">
        <v>22</v>
      </c>
      <c r="F3194" s="1" t="s">
        <v>2551</v>
      </c>
      <c r="G3194" s="1" t="s">
        <v>2558</v>
      </c>
    </row>
    <row x14ac:dyDescent="0.25" r="3195" customHeight="1" ht="17.25" hidden="1">
      <c r="A3195" s="112" t="s">
        <v>7925</v>
      </c>
      <c r="B3195" s="1" t="s">
        <v>2549</v>
      </c>
      <c r="C3195" s="1" t="s">
        <v>40</v>
      </c>
      <c r="D3195" s="1" t="s">
        <v>7926</v>
      </c>
      <c r="E3195" s="62">
        <v>31</v>
      </c>
      <c r="F3195" s="1" t="s">
        <v>2561</v>
      </c>
      <c r="G3195" s="1" t="s">
        <v>2555</v>
      </c>
    </row>
    <row x14ac:dyDescent="0.25" r="3196" customHeight="1" ht="17.25" hidden="1">
      <c r="A3196" s="112" t="s">
        <v>7927</v>
      </c>
      <c r="B3196" s="1" t="s">
        <v>2549</v>
      </c>
      <c r="C3196" s="1" t="s">
        <v>40</v>
      </c>
      <c r="D3196" s="1" t="s">
        <v>7928</v>
      </c>
      <c r="E3196" s="62">
        <v>18</v>
      </c>
      <c r="F3196" s="1" t="s">
        <v>2551</v>
      </c>
      <c r="G3196" s="1" t="s">
        <v>2552</v>
      </c>
    </row>
    <row x14ac:dyDescent="0.25" r="3197" customHeight="1" ht="17.25" hidden="1">
      <c r="A3197" s="112" t="s">
        <v>7929</v>
      </c>
      <c r="B3197" s="1" t="s">
        <v>2549</v>
      </c>
      <c r="C3197" s="1" t="s">
        <v>40</v>
      </c>
      <c r="D3197" s="1" t="s">
        <v>7930</v>
      </c>
      <c r="E3197" s="62">
        <v>21</v>
      </c>
      <c r="F3197" s="1" t="s">
        <v>2551</v>
      </c>
      <c r="G3197" s="1" t="s">
        <v>2552</v>
      </c>
    </row>
    <row x14ac:dyDescent="0.25" r="3198" customHeight="1" ht="17.25" hidden="1">
      <c r="A3198" s="112" t="s">
        <v>7931</v>
      </c>
      <c r="B3198" s="1" t="s">
        <v>2549</v>
      </c>
      <c r="C3198" s="1" t="s">
        <v>40</v>
      </c>
      <c r="D3198" s="1" t="s">
        <v>7932</v>
      </c>
      <c r="E3198" s="62">
        <v>19</v>
      </c>
      <c r="F3198" s="1" t="s">
        <v>2551</v>
      </c>
      <c r="G3198" s="1" t="s">
        <v>2552</v>
      </c>
    </row>
    <row x14ac:dyDescent="0.25" r="3199" customHeight="1" ht="17.25" hidden="1">
      <c r="A3199" s="112" t="s">
        <v>7933</v>
      </c>
      <c r="B3199" s="1" t="s">
        <v>2549</v>
      </c>
      <c r="C3199" s="1" t="s">
        <v>40</v>
      </c>
      <c r="D3199" s="1" t="s">
        <v>7934</v>
      </c>
      <c r="E3199" s="62">
        <v>25</v>
      </c>
      <c r="F3199" s="1" t="s">
        <v>2551</v>
      </c>
      <c r="G3199" s="1" t="s">
        <v>2552</v>
      </c>
    </row>
    <row x14ac:dyDescent="0.25" r="3200" customHeight="1" ht="17.25" hidden="1">
      <c r="A3200" s="112" t="s">
        <v>7935</v>
      </c>
      <c r="B3200" s="1" t="s">
        <v>2549</v>
      </c>
      <c r="C3200" s="1" t="s">
        <v>40</v>
      </c>
      <c r="D3200" s="1" t="s">
        <v>7936</v>
      </c>
      <c r="E3200" s="62">
        <v>28</v>
      </c>
      <c r="F3200" s="1" t="s">
        <v>2551</v>
      </c>
      <c r="G3200" s="1" t="s">
        <v>2552</v>
      </c>
    </row>
    <row x14ac:dyDescent="0.25" r="3201" customHeight="1" ht="17.25" hidden="1">
      <c r="A3201" s="112" t="s">
        <v>7937</v>
      </c>
      <c r="B3201" s="1" t="s">
        <v>2549</v>
      </c>
      <c r="C3201" s="1" t="s">
        <v>40</v>
      </c>
      <c r="D3201" s="1" t="s">
        <v>7938</v>
      </c>
      <c r="E3201" s="62">
        <v>45</v>
      </c>
      <c r="F3201" s="1" t="s">
        <v>2551</v>
      </c>
      <c r="G3201" s="1" t="s">
        <v>2555</v>
      </c>
    </row>
    <row x14ac:dyDescent="0.25" r="3202" customHeight="1" ht="17.25" hidden="1">
      <c r="A3202" s="112" t="s">
        <v>7939</v>
      </c>
      <c r="B3202" s="1" t="s">
        <v>2549</v>
      </c>
      <c r="C3202" s="1" t="s">
        <v>40</v>
      </c>
      <c r="D3202" s="1" t="s">
        <v>7940</v>
      </c>
      <c r="E3202" s="62">
        <v>24</v>
      </c>
      <c r="F3202" s="1" t="s">
        <v>2551</v>
      </c>
      <c r="G3202" s="1" t="s">
        <v>2555</v>
      </c>
    </row>
    <row x14ac:dyDescent="0.25" r="3203" customHeight="1" ht="17.25" hidden="1">
      <c r="A3203" s="112" t="s">
        <v>7941</v>
      </c>
      <c r="B3203" s="1" t="s">
        <v>2549</v>
      </c>
      <c r="C3203" s="1" t="s">
        <v>40</v>
      </c>
      <c r="D3203" s="1" t="s">
        <v>7942</v>
      </c>
      <c r="E3203" s="62">
        <v>19</v>
      </c>
      <c r="F3203" s="1" t="s">
        <v>2551</v>
      </c>
      <c r="G3203" s="1" t="s">
        <v>2552</v>
      </c>
    </row>
    <row x14ac:dyDescent="0.25" r="3204" customHeight="1" ht="17.25" hidden="1">
      <c r="A3204" s="112" t="s">
        <v>521</v>
      </c>
      <c r="B3204" s="1" t="s">
        <v>2549</v>
      </c>
      <c r="C3204" s="1" t="s">
        <v>40</v>
      </c>
      <c r="D3204" s="1" t="s">
        <v>523</v>
      </c>
      <c r="E3204" s="62">
        <v>50</v>
      </c>
      <c r="F3204" s="1" t="s">
        <v>2551</v>
      </c>
      <c r="G3204" s="1" t="s">
        <v>2555</v>
      </c>
    </row>
    <row x14ac:dyDescent="0.25" r="3205" customHeight="1" ht="17.25" hidden="1">
      <c r="A3205" s="112" t="s">
        <v>7943</v>
      </c>
      <c r="B3205" s="1" t="s">
        <v>2549</v>
      </c>
      <c r="C3205" s="1" t="s">
        <v>40</v>
      </c>
      <c r="D3205" s="1" t="s">
        <v>7944</v>
      </c>
      <c r="E3205" s="62">
        <v>35</v>
      </c>
      <c r="F3205" s="1" t="s">
        <v>2551</v>
      </c>
      <c r="G3205" s="1" t="s">
        <v>2555</v>
      </c>
    </row>
    <row x14ac:dyDescent="0.25" r="3206" customHeight="1" ht="17.25" hidden="1">
      <c r="A3206" s="112" t="s">
        <v>7945</v>
      </c>
      <c r="B3206" s="1" t="s">
        <v>2549</v>
      </c>
      <c r="C3206" s="1" t="s">
        <v>40</v>
      </c>
      <c r="D3206" s="1" t="s">
        <v>7946</v>
      </c>
      <c r="E3206" s="62">
        <v>22</v>
      </c>
      <c r="F3206" s="1" t="s">
        <v>2551</v>
      </c>
      <c r="G3206" s="1" t="s">
        <v>2558</v>
      </c>
    </row>
    <row x14ac:dyDescent="0.25" r="3207" customHeight="1" ht="17.25" hidden="1">
      <c r="A3207" s="112" t="s">
        <v>7947</v>
      </c>
      <c r="B3207" s="1" t="s">
        <v>2549</v>
      </c>
      <c r="C3207" s="1" t="s">
        <v>40</v>
      </c>
      <c r="D3207" s="1" t="s">
        <v>7948</v>
      </c>
      <c r="E3207" s="62">
        <v>30</v>
      </c>
      <c r="F3207" s="1" t="s">
        <v>2551</v>
      </c>
      <c r="G3207" s="1" t="s">
        <v>2552</v>
      </c>
    </row>
    <row x14ac:dyDescent="0.25" r="3208" customHeight="1" ht="17.25" hidden="1">
      <c r="A3208" s="112" t="s">
        <v>7947</v>
      </c>
      <c r="B3208" s="1" t="s">
        <v>2549</v>
      </c>
      <c r="C3208" s="1" t="s">
        <v>40</v>
      </c>
      <c r="D3208" s="1" t="s">
        <v>7949</v>
      </c>
      <c r="E3208" s="62">
        <v>28</v>
      </c>
      <c r="F3208" s="1" t="s">
        <v>2551</v>
      </c>
      <c r="G3208" s="1" t="s">
        <v>2552</v>
      </c>
    </row>
    <row x14ac:dyDescent="0.25" r="3209" customHeight="1" ht="17.25" hidden="1">
      <c r="A3209" s="112" t="s">
        <v>7950</v>
      </c>
      <c r="B3209" s="1" t="s">
        <v>2549</v>
      </c>
      <c r="C3209" s="1" t="s">
        <v>40</v>
      </c>
      <c r="D3209" s="1" t="s">
        <v>7951</v>
      </c>
      <c r="E3209" s="62">
        <v>22</v>
      </c>
      <c r="F3209" s="1" t="s">
        <v>2551</v>
      </c>
      <c r="G3209" s="1" t="s">
        <v>2555</v>
      </c>
    </row>
    <row x14ac:dyDescent="0.25" r="3210" customHeight="1" ht="17.25" hidden="1">
      <c r="A3210" s="112" t="s">
        <v>7952</v>
      </c>
      <c r="B3210" s="1" t="s">
        <v>2549</v>
      </c>
      <c r="C3210" s="1" t="s">
        <v>40</v>
      </c>
      <c r="D3210" s="1" t="s">
        <v>7953</v>
      </c>
      <c r="E3210" s="62">
        <v>38</v>
      </c>
      <c r="F3210" s="1" t="s">
        <v>2551</v>
      </c>
      <c r="G3210" s="1" t="s">
        <v>2552</v>
      </c>
    </row>
    <row x14ac:dyDescent="0.25" r="3211" customHeight="1" ht="17.25" hidden="1">
      <c r="A3211" s="112" t="s">
        <v>7954</v>
      </c>
      <c r="B3211" s="1" t="s">
        <v>2549</v>
      </c>
      <c r="C3211" s="1" t="s">
        <v>40</v>
      </c>
      <c r="D3211" s="1" t="s">
        <v>7955</v>
      </c>
      <c r="E3211" s="62">
        <v>18</v>
      </c>
      <c r="F3211" s="1" t="s">
        <v>2551</v>
      </c>
      <c r="G3211" s="1" t="s">
        <v>2552</v>
      </c>
    </row>
    <row x14ac:dyDescent="0.25" r="3212" customHeight="1" ht="17.25" hidden="1">
      <c r="A3212" s="112" t="s">
        <v>7956</v>
      </c>
      <c r="B3212" s="1" t="s">
        <v>2549</v>
      </c>
      <c r="C3212" s="1" t="s">
        <v>40</v>
      </c>
      <c r="D3212" s="1" t="s">
        <v>4187</v>
      </c>
      <c r="E3212" s="62">
        <v>19</v>
      </c>
      <c r="F3212" s="1" t="s">
        <v>2551</v>
      </c>
      <c r="G3212" s="1" t="s">
        <v>2552</v>
      </c>
    </row>
    <row x14ac:dyDescent="0.25" r="3213" customHeight="1" ht="17.25" hidden="1">
      <c r="A3213" s="112" t="s">
        <v>7957</v>
      </c>
      <c r="B3213" s="1" t="s">
        <v>2549</v>
      </c>
      <c r="C3213" s="1" t="s">
        <v>40</v>
      </c>
      <c r="D3213" s="1" t="s">
        <v>7958</v>
      </c>
      <c r="E3213" s="62">
        <v>27</v>
      </c>
      <c r="F3213" s="1" t="s">
        <v>2551</v>
      </c>
      <c r="G3213" s="1" t="s">
        <v>2555</v>
      </c>
    </row>
    <row x14ac:dyDescent="0.25" r="3214" customHeight="1" ht="17.25" hidden="1">
      <c r="A3214" s="112" t="s">
        <v>2027</v>
      </c>
      <c r="B3214" s="1" t="s">
        <v>2549</v>
      </c>
      <c r="C3214" s="1" t="s">
        <v>40</v>
      </c>
      <c r="D3214" s="1" t="s">
        <v>7959</v>
      </c>
      <c r="E3214" s="62">
        <v>27</v>
      </c>
      <c r="F3214" s="1" t="s">
        <v>2551</v>
      </c>
      <c r="G3214" s="1" t="s">
        <v>2555</v>
      </c>
    </row>
    <row x14ac:dyDescent="0.25" r="3215" customHeight="1" ht="17.25" hidden="1">
      <c r="A3215" s="112" t="s">
        <v>7960</v>
      </c>
      <c r="B3215" s="1" t="s">
        <v>2549</v>
      </c>
      <c r="C3215" s="1" t="s">
        <v>40</v>
      </c>
      <c r="D3215" s="1" t="s">
        <v>7961</v>
      </c>
      <c r="E3215" s="62">
        <v>23</v>
      </c>
      <c r="F3215" s="1" t="s">
        <v>2551</v>
      </c>
      <c r="G3215" s="1" t="s">
        <v>2552</v>
      </c>
    </row>
    <row x14ac:dyDescent="0.25" r="3216" customHeight="1" ht="17.25" hidden="1">
      <c r="A3216" s="112" t="s">
        <v>7960</v>
      </c>
      <c r="B3216" s="1" t="s">
        <v>2549</v>
      </c>
      <c r="C3216" s="1" t="s">
        <v>40</v>
      </c>
      <c r="D3216" s="1" t="s">
        <v>7962</v>
      </c>
      <c r="E3216" s="62">
        <v>27</v>
      </c>
      <c r="F3216" s="1" t="s">
        <v>2551</v>
      </c>
      <c r="G3216" s="1" t="s">
        <v>2552</v>
      </c>
    </row>
    <row x14ac:dyDescent="0.25" r="3217" customHeight="1" ht="17.25" hidden="1">
      <c r="A3217" s="112" t="s">
        <v>351</v>
      </c>
      <c r="B3217" s="1" t="s">
        <v>2549</v>
      </c>
      <c r="C3217" s="1" t="s">
        <v>40</v>
      </c>
      <c r="D3217" s="1" t="s">
        <v>7963</v>
      </c>
      <c r="E3217" s="62">
        <v>41</v>
      </c>
      <c r="F3217" s="1" t="s">
        <v>2551</v>
      </c>
      <c r="G3217" s="1" t="s">
        <v>2558</v>
      </c>
    </row>
    <row x14ac:dyDescent="0.25" r="3218" customHeight="1" ht="17.25" hidden="1">
      <c r="A3218" s="112" t="s">
        <v>7964</v>
      </c>
      <c r="B3218" s="1" t="s">
        <v>2549</v>
      </c>
      <c r="C3218" s="1" t="s">
        <v>40</v>
      </c>
      <c r="D3218" s="1" t="s">
        <v>7965</v>
      </c>
      <c r="E3218" s="62">
        <v>28</v>
      </c>
      <c r="F3218" s="1" t="s">
        <v>2551</v>
      </c>
      <c r="G3218" s="1" t="s">
        <v>2558</v>
      </c>
    </row>
    <row x14ac:dyDescent="0.25" r="3219" customHeight="1" ht="17.25" hidden="1">
      <c r="A3219" s="112" t="s">
        <v>7966</v>
      </c>
      <c r="B3219" s="1" t="s">
        <v>2549</v>
      </c>
      <c r="C3219" s="1" t="s">
        <v>40</v>
      </c>
      <c r="D3219" s="1" t="s">
        <v>7967</v>
      </c>
      <c r="E3219" s="62">
        <v>23</v>
      </c>
      <c r="F3219" s="1" t="s">
        <v>2551</v>
      </c>
      <c r="G3219" s="1" t="s">
        <v>2555</v>
      </c>
    </row>
    <row x14ac:dyDescent="0.25" r="3220" customHeight="1" ht="17.25" hidden="1">
      <c r="A3220" s="112" t="s">
        <v>7966</v>
      </c>
      <c r="B3220" s="1" t="s">
        <v>2549</v>
      </c>
      <c r="C3220" s="1" t="s">
        <v>40</v>
      </c>
      <c r="D3220" s="1" t="s">
        <v>7968</v>
      </c>
      <c r="E3220" s="62">
        <v>29</v>
      </c>
      <c r="F3220" s="1" t="s">
        <v>2551</v>
      </c>
      <c r="G3220" s="1" t="s">
        <v>2555</v>
      </c>
    </row>
    <row x14ac:dyDescent="0.25" r="3221" customHeight="1" ht="17.25" hidden="1">
      <c r="A3221" s="112" t="s">
        <v>7969</v>
      </c>
      <c r="B3221" s="1" t="s">
        <v>2549</v>
      </c>
      <c r="C3221" s="1" t="s">
        <v>40</v>
      </c>
      <c r="D3221" s="1" t="s">
        <v>7970</v>
      </c>
      <c r="E3221" s="62">
        <v>31</v>
      </c>
      <c r="F3221" s="1" t="s">
        <v>2551</v>
      </c>
      <c r="G3221" s="1" t="s">
        <v>2552</v>
      </c>
    </row>
    <row x14ac:dyDescent="0.25" r="3222" customHeight="1" ht="17.25" hidden="1">
      <c r="A3222" s="112" t="s">
        <v>7971</v>
      </c>
      <c r="B3222" s="1" t="s">
        <v>2549</v>
      </c>
      <c r="C3222" s="1" t="s">
        <v>40</v>
      </c>
      <c r="D3222" s="1" t="s">
        <v>7972</v>
      </c>
      <c r="E3222" s="62">
        <v>19</v>
      </c>
      <c r="F3222" s="1" t="s">
        <v>2551</v>
      </c>
      <c r="G3222" s="1" t="s">
        <v>2555</v>
      </c>
    </row>
    <row x14ac:dyDescent="0.25" r="3223" customHeight="1" ht="17.25" hidden="1">
      <c r="A3223" s="112" t="s">
        <v>2060</v>
      </c>
      <c r="B3223" s="1" t="s">
        <v>2549</v>
      </c>
      <c r="C3223" s="1" t="s">
        <v>40</v>
      </c>
      <c r="D3223" s="1" t="s">
        <v>2061</v>
      </c>
      <c r="E3223" s="62">
        <v>31</v>
      </c>
      <c r="F3223" s="1" t="s">
        <v>2551</v>
      </c>
      <c r="G3223" s="1" t="s">
        <v>2555</v>
      </c>
    </row>
    <row x14ac:dyDescent="0.25" r="3224" customHeight="1" ht="17.25" hidden="1">
      <c r="A3224" s="112" t="s">
        <v>7973</v>
      </c>
      <c r="B3224" s="1" t="s">
        <v>2549</v>
      </c>
      <c r="C3224" s="1" t="s">
        <v>40</v>
      </c>
      <c r="D3224" s="1" t="s">
        <v>7974</v>
      </c>
      <c r="E3224" s="62">
        <v>18</v>
      </c>
      <c r="F3224" s="1" t="s">
        <v>2551</v>
      </c>
      <c r="G3224" s="1" t="s">
        <v>2552</v>
      </c>
    </row>
    <row x14ac:dyDescent="0.25" r="3225" customHeight="1" ht="17.25" hidden="1">
      <c r="A3225" s="112" t="s">
        <v>7975</v>
      </c>
      <c r="B3225" s="1" t="s">
        <v>2549</v>
      </c>
      <c r="C3225" s="1" t="s">
        <v>40</v>
      </c>
      <c r="D3225" s="1" t="s">
        <v>7976</v>
      </c>
      <c r="E3225" s="62">
        <v>23</v>
      </c>
      <c r="F3225" s="1" t="s">
        <v>2551</v>
      </c>
      <c r="G3225" s="1" t="s">
        <v>2552</v>
      </c>
    </row>
    <row x14ac:dyDescent="0.25" r="3226" customHeight="1" ht="17.25" hidden="1">
      <c r="A3226" s="112" t="s">
        <v>7977</v>
      </c>
      <c r="B3226" s="1" t="s">
        <v>2549</v>
      </c>
      <c r="C3226" s="1" t="s">
        <v>40</v>
      </c>
      <c r="D3226" s="1" t="s">
        <v>7978</v>
      </c>
      <c r="E3226" s="62">
        <v>21</v>
      </c>
      <c r="F3226" s="1" t="s">
        <v>2551</v>
      </c>
      <c r="G3226" s="1" t="s">
        <v>2552</v>
      </c>
    </row>
    <row x14ac:dyDescent="0.25" r="3227" customHeight="1" ht="17.25" hidden="1">
      <c r="A3227" s="112" t="s">
        <v>7977</v>
      </c>
      <c r="B3227" s="1" t="s">
        <v>2549</v>
      </c>
      <c r="C3227" s="1" t="s">
        <v>40</v>
      </c>
      <c r="D3227" s="1" t="s">
        <v>7979</v>
      </c>
      <c r="E3227" s="62">
        <v>19</v>
      </c>
      <c r="F3227" s="1" t="s">
        <v>2551</v>
      </c>
      <c r="G3227" s="1" t="s">
        <v>2555</v>
      </c>
    </row>
    <row x14ac:dyDescent="0.25" r="3228" customHeight="1" ht="17.25" hidden="1">
      <c r="A3228" s="112" t="s">
        <v>7980</v>
      </c>
      <c r="B3228" s="1" t="s">
        <v>2549</v>
      </c>
      <c r="C3228" s="1" t="s">
        <v>40</v>
      </c>
      <c r="D3228" s="1" t="s">
        <v>7981</v>
      </c>
      <c r="E3228" s="62">
        <v>26</v>
      </c>
      <c r="F3228" s="1" t="s">
        <v>2551</v>
      </c>
      <c r="G3228" s="1" t="s">
        <v>2558</v>
      </c>
    </row>
    <row x14ac:dyDescent="0.25" r="3229" customHeight="1" ht="17.25" hidden="1">
      <c r="A3229" s="112" t="s">
        <v>7982</v>
      </c>
      <c r="B3229" s="1" t="s">
        <v>2549</v>
      </c>
      <c r="C3229" s="1" t="s">
        <v>40</v>
      </c>
      <c r="D3229" s="1" t="s">
        <v>7983</v>
      </c>
      <c r="E3229" s="62">
        <v>22</v>
      </c>
      <c r="F3229" s="1" t="s">
        <v>2551</v>
      </c>
      <c r="G3229" s="1" t="s">
        <v>2558</v>
      </c>
    </row>
    <row x14ac:dyDescent="0.25" r="3230" customHeight="1" ht="17.25" hidden="1">
      <c r="A3230" s="112" t="s">
        <v>7984</v>
      </c>
      <c r="B3230" s="1" t="s">
        <v>2549</v>
      </c>
      <c r="C3230" s="1" t="s">
        <v>40</v>
      </c>
      <c r="D3230" s="1" t="s">
        <v>7985</v>
      </c>
      <c r="E3230" s="62">
        <v>23</v>
      </c>
      <c r="F3230" s="1" t="s">
        <v>2551</v>
      </c>
      <c r="G3230" s="1" t="s">
        <v>2552</v>
      </c>
    </row>
    <row x14ac:dyDescent="0.25" r="3231" customHeight="1" ht="17.25" hidden="1">
      <c r="A3231" s="112" t="s">
        <v>7986</v>
      </c>
      <c r="B3231" s="1" t="s">
        <v>2549</v>
      </c>
      <c r="C3231" s="1" t="s">
        <v>40</v>
      </c>
      <c r="D3231" s="1" t="s">
        <v>7987</v>
      </c>
      <c r="E3231" s="62">
        <v>28</v>
      </c>
      <c r="F3231" s="1" t="s">
        <v>2551</v>
      </c>
      <c r="G3231" s="1" t="s">
        <v>2552</v>
      </c>
    </row>
    <row x14ac:dyDescent="0.25" r="3232" customHeight="1" ht="17.25" hidden="1">
      <c r="A3232" s="112" t="s">
        <v>7986</v>
      </c>
      <c r="B3232" s="1" t="s">
        <v>2549</v>
      </c>
      <c r="C3232" s="1" t="s">
        <v>40</v>
      </c>
      <c r="D3232" s="1" t="s">
        <v>7988</v>
      </c>
      <c r="E3232" s="62">
        <v>59</v>
      </c>
      <c r="F3232" s="1" t="s">
        <v>2561</v>
      </c>
      <c r="G3232" s="1" t="s">
        <v>2558</v>
      </c>
    </row>
    <row x14ac:dyDescent="0.25" r="3233" customHeight="1" ht="17.25" hidden="1">
      <c r="A3233" s="112" t="s">
        <v>7986</v>
      </c>
      <c r="B3233" s="1" t="s">
        <v>2549</v>
      </c>
      <c r="C3233" s="1" t="s">
        <v>40</v>
      </c>
      <c r="D3233" s="1" t="s">
        <v>7989</v>
      </c>
      <c r="E3233" s="62">
        <v>33</v>
      </c>
      <c r="F3233" s="1" t="s">
        <v>2551</v>
      </c>
      <c r="G3233" s="1" t="s">
        <v>2552</v>
      </c>
    </row>
    <row x14ac:dyDescent="0.25" r="3234" customHeight="1" ht="17.25" hidden="1">
      <c r="A3234" s="112" t="s">
        <v>7986</v>
      </c>
      <c r="B3234" s="1" t="s">
        <v>2549</v>
      </c>
      <c r="C3234" s="1" t="s">
        <v>40</v>
      </c>
      <c r="D3234" s="1" t="s">
        <v>7990</v>
      </c>
      <c r="E3234" s="62">
        <v>42</v>
      </c>
      <c r="F3234" s="1" t="s">
        <v>2561</v>
      </c>
      <c r="G3234" s="1" t="s">
        <v>2558</v>
      </c>
    </row>
    <row x14ac:dyDescent="0.25" r="3235" customHeight="1" ht="17.25" hidden="1">
      <c r="A3235" s="112" t="s">
        <v>7986</v>
      </c>
      <c r="B3235" s="1" t="s">
        <v>2549</v>
      </c>
      <c r="C3235" s="1" t="s">
        <v>40</v>
      </c>
      <c r="D3235" s="1" t="s">
        <v>7991</v>
      </c>
      <c r="E3235" s="62">
        <v>55</v>
      </c>
      <c r="F3235" s="1" t="s">
        <v>2561</v>
      </c>
      <c r="G3235" s="1" t="s">
        <v>2558</v>
      </c>
    </row>
    <row x14ac:dyDescent="0.25" r="3236" customHeight="1" ht="17.25" hidden="1">
      <c r="A3236" s="112" t="s">
        <v>7986</v>
      </c>
      <c r="B3236" s="1" t="s">
        <v>2549</v>
      </c>
      <c r="C3236" s="1" t="s">
        <v>40</v>
      </c>
      <c r="D3236" s="1" t="s">
        <v>7992</v>
      </c>
      <c r="E3236" s="62">
        <v>40</v>
      </c>
      <c r="F3236" s="1" t="s">
        <v>2561</v>
      </c>
      <c r="G3236" s="1" t="s">
        <v>2558</v>
      </c>
    </row>
    <row x14ac:dyDescent="0.25" r="3237" customHeight="1" ht="17.25" hidden="1">
      <c r="A3237" s="112" t="s">
        <v>7993</v>
      </c>
      <c r="B3237" s="1" t="s">
        <v>2549</v>
      </c>
      <c r="C3237" s="1" t="s">
        <v>40</v>
      </c>
      <c r="D3237" s="1" t="s">
        <v>7994</v>
      </c>
      <c r="E3237" s="62">
        <v>34</v>
      </c>
      <c r="F3237" s="1" t="s">
        <v>2551</v>
      </c>
      <c r="G3237" s="1" t="s">
        <v>2571</v>
      </c>
    </row>
    <row x14ac:dyDescent="0.25" r="3238" customHeight="1" ht="17.25" hidden="1">
      <c r="A3238" s="112" t="s">
        <v>7995</v>
      </c>
      <c r="B3238" s="1" t="s">
        <v>2549</v>
      </c>
      <c r="C3238" s="1" t="s">
        <v>40</v>
      </c>
      <c r="D3238" s="1" t="s">
        <v>7996</v>
      </c>
      <c r="E3238" s="62">
        <v>18</v>
      </c>
      <c r="F3238" s="1" t="s">
        <v>2551</v>
      </c>
      <c r="G3238" s="1" t="s">
        <v>2552</v>
      </c>
    </row>
    <row x14ac:dyDescent="0.25" r="3239" customHeight="1" ht="17.25" hidden="1">
      <c r="A3239" s="112" t="s">
        <v>7997</v>
      </c>
      <c r="B3239" s="1" t="s">
        <v>2549</v>
      </c>
      <c r="C3239" s="1" t="s">
        <v>40</v>
      </c>
      <c r="D3239" s="1" t="s">
        <v>7998</v>
      </c>
      <c r="E3239" s="62">
        <v>39</v>
      </c>
      <c r="F3239" s="1" t="s">
        <v>2551</v>
      </c>
      <c r="G3239" s="1" t="s">
        <v>2555</v>
      </c>
    </row>
    <row x14ac:dyDescent="0.25" r="3240" customHeight="1" ht="17.25" hidden="1">
      <c r="A3240" s="112" t="s">
        <v>7997</v>
      </c>
      <c r="B3240" s="1" t="s">
        <v>2549</v>
      </c>
      <c r="C3240" s="1" t="s">
        <v>40</v>
      </c>
      <c r="D3240" s="1" t="s">
        <v>7999</v>
      </c>
      <c r="E3240" s="62">
        <v>30</v>
      </c>
      <c r="F3240" s="1" t="s">
        <v>2551</v>
      </c>
      <c r="G3240" s="1" t="s">
        <v>2555</v>
      </c>
    </row>
    <row x14ac:dyDescent="0.25" r="3241" customHeight="1" ht="17.25" hidden="1">
      <c r="A3241" s="112" t="s">
        <v>8000</v>
      </c>
      <c r="B3241" s="1" t="s">
        <v>2549</v>
      </c>
      <c r="C3241" s="1" t="s">
        <v>40</v>
      </c>
      <c r="D3241" s="1" t="s">
        <v>8001</v>
      </c>
      <c r="E3241" s="62">
        <v>25</v>
      </c>
      <c r="F3241" s="1" t="s">
        <v>2561</v>
      </c>
      <c r="G3241" s="1" t="s">
        <v>2552</v>
      </c>
    </row>
    <row x14ac:dyDescent="0.25" r="3242" customHeight="1" ht="17.25" hidden="1">
      <c r="A3242" s="112" t="s">
        <v>8002</v>
      </c>
      <c r="B3242" s="1" t="s">
        <v>2549</v>
      </c>
      <c r="C3242" s="1" t="s">
        <v>40</v>
      </c>
      <c r="D3242" s="1" t="s">
        <v>8003</v>
      </c>
      <c r="E3242" s="62">
        <v>47</v>
      </c>
      <c r="F3242" s="1" t="s">
        <v>2561</v>
      </c>
      <c r="G3242" s="1" t="s">
        <v>2552</v>
      </c>
    </row>
    <row x14ac:dyDescent="0.25" r="3243" customHeight="1" ht="17.25" hidden="1">
      <c r="A3243" s="112" t="s">
        <v>8004</v>
      </c>
      <c r="B3243" s="1" t="s">
        <v>2549</v>
      </c>
      <c r="C3243" s="1" t="s">
        <v>40</v>
      </c>
      <c r="D3243" s="1" t="s">
        <v>8005</v>
      </c>
      <c r="E3243" s="62">
        <v>32</v>
      </c>
      <c r="F3243" s="1" t="s">
        <v>2551</v>
      </c>
      <c r="G3243" s="1" t="s">
        <v>2552</v>
      </c>
    </row>
    <row x14ac:dyDescent="0.25" r="3244" customHeight="1" ht="17.25" hidden="1">
      <c r="A3244" s="112" t="s">
        <v>8004</v>
      </c>
      <c r="B3244" s="1" t="s">
        <v>2549</v>
      </c>
      <c r="C3244" s="1" t="s">
        <v>40</v>
      </c>
      <c r="D3244" s="1" t="s">
        <v>8006</v>
      </c>
      <c r="E3244" s="62">
        <v>19</v>
      </c>
      <c r="F3244" s="1" t="s">
        <v>2551</v>
      </c>
      <c r="G3244" s="1" t="s">
        <v>2555</v>
      </c>
    </row>
    <row x14ac:dyDescent="0.25" r="3245" customHeight="1" ht="17.25" hidden="1">
      <c r="A3245" s="112" t="s">
        <v>8007</v>
      </c>
      <c r="B3245" s="1" t="s">
        <v>2549</v>
      </c>
      <c r="C3245" s="1" t="s">
        <v>40</v>
      </c>
      <c r="D3245" s="1" t="s">
        <v>8008</v>
      </c>
      <c r="E3245" s="62">
        <v>22</v>
      </c>
      <c r="F3245" s="1" t="s">
        <v>2551</v>
      </c>
      <c r="G3245" s="1" t="s">
        <v>2552</v>
      </c>
    </row>
    <row x14ac:dyDescent="0.25" r="3246" customHeight="1" ht="17.25" hidden="1">
      <c r="A3246" s="112" t="s">
        <v>8009</v>
      </c>
      <c r="B3246" s="1" t="s">
        <v>2549</v>
      </c>
      <c r="C3246" s="1" t="s">
        <v>40</v>
      </c>
      <c r="D3246" s="1" t="s">
        <v>8010</v>
      </c>
      <c r="E3246" s="62">
        <v>26</v>
      </c>
      <c r="F3246" s="1" t="s">
        <v>2551</v>
      </c>
      <c r="G3246" s="1" t="s">
        <v>2555</v>
      </c>
    </row>
    <row x14ac:dyDescent="0.25" r="3247" customHeight="1" ht="17.25" hidden="1">
      <c r="A3247" s="112" t="s">
        <v>8011</v>
      </c>
      <c r="B3247" s="1" t="s">
        <v>2549</v>
      </c>
      <c r="C3247" s="1" t="s">
        <v>40</v>
      </c>
      <c r="D3247" s="1" t="s">
        <v>8012</v>
      </c>
      <c r="E3247" s="62">
        <v>28</v>
      </c>
      <c r="F3247" s="1" t="s">
        <v>2551</v>
      </c>
      <c r="G3247" s="1" t="s">
        <v>2558</v>
      </c>
    </row>
    <row x14ac:dyDescent="0.25" r="3248" customHeight="1" ht="17.25" hidden="1">
      <c r="A3248" s="112" t="s">
        <v>8013</v>
      </c>
      <c r="B3248" s="1" t="s">
        <v>2549</v>
      </c>
      <c r="C3248" s="1" t="s">
        <v>40</v>
      </c>
      <c r="D3248" s="1" t="s">
        <v>8014</v>
      </c>
      <c r="E3248" s="62">
        <v>35</v>
      </c>
      <c r="F3248" s="1" t="s">
        <v>2551</v>
      </c>
      <c r="G3248" s="1" t="s">
        <v>2555</v>
      </c>
    </row>
    <row x14ac:dyDescent="0.25" r="3249" customHeight="1" ht="17.25" hidden="1">
      <c r="A3249" s="112" t="s">
        <v>8015</v>
      </c>
      <c r="B3249" s="1" t="s">
        <v>2549</v>
      </c>
      <c r="C3249" s="1" t="s">
        <v>40</v>
      </c>
      <c r="D3249" s="1" t="s">
        <v>8016</v>
      </c>
      <c r="E3249" s="62">
        <v>20</v>
      </c>
      <c r="F3249" s="1" t="s">
        <v>2551</v>
      </c>
      <c r="G3249" s="1" t="s">
        <v>2555</v>
      </c>
    </row>
    <row x14ac:dyDescent="0.25" r="3250" customHeight="1" ht="17.25" hidden="1">
      <c r="A3250" s="112" t="s">
        <v>8017</v>
      </c>
      <c r="B3250" s="1" t="s">
        <v>2549</v>
      </c>
      <c r="C3250" s="1" t="s">
        <v>40</v>
      </c>
      <c r="D3250" s="1" t="s">
        <v>8018</v>
      </c>
      <c r="E3250" s="62">
        <v>28</v>
      </c>
      <c r="F3250" s="1" t="s">
        <v>2551</v>
      </c>
      <c r="G3250" s="1" t="s">
        <v>2558</v>
      </c>
    </row>
    <row x14ac:dyDescent="0.25" r="3251" customHeight="1" ht="17.25" hidden="1">
      <c r="A3251" s="112" t="s">
        <v>8019</v>
      </c>
      <c r="B3251" s="1" t="s">
        <v>2549</v>
      </c>
      <c r="C3251" s="1" t="s">
        <v>40</v>
      </c>
      <c r="D3251" s="1" t="s">
        <v>8020</v>
      </c>
      <c r="E3251" s="62">
        <v>35</v>
      </c>
      <c r="F3251" s="1" t="s">
        <v>2551</v>
      </c>
      <c r="G3251" s="1" t="s">
        <v>2555</v>
      </c>
    </row>
    <row x14ac:dyDescent="0.25" r="3252" customHeight="1" ht="17.25" hidden="1">
      <c r="A3252" s="112" t="s">
        <v>8019</v>
      </c>
      <c r="B3252" s="1" t="s">
        <v>2549</v>
      </c>
      <c r="C3252" s="1" t="s">
        <v>40</v>
      </c>
      <c r="D3252" s="1" t="s">
        <v>8021</v>
      </c>
      <c r="E3252" s="62">
        <v>23</v>
      </c>
      <c r="F3252" s="1" t="s">
        <v>2551</v>
      </c>
      <c r="G3252" s="1" t="s">
        <v>2555</v>
      </c>
    </row>
    <row x14ac:dyDescent="0.25" r="3253" customHeight="1" ht="17.25" hidden="1">
      <c r="A3253" s="112" t="s">
        <v>8022</v>
      </c>
      <c r="B3253" s="1" t="s">
        <v>2549</v>
      </c>
      <c r="C3253" s="1" t="s">
        <v>40</v>
      </c>
      <c r="D3253" s="1" t="s">
        <v>8023</v>
      </c>
      <c r="E3253" s="54" t="s">
        <v>2571</v>
      </c>
      <c r="F3253" s="1" t="s">
        <v>2551</v>
      </c>
      <c r="G3253" s="1" t="s">
        <v>2555</v>
      </c>
    </row>
    <row x14ac:dyDescent="0.25" r="3254" customHeight="1" ht="17.25" hidden="1">
      <c r="A3254" s="112" t="s">
        <v>8022</v>
      </c>
      <c r="B3254" s="1" t="s">
        <v>2549</v>
      </c>
      <c r="C3254" s="1" t="s">
        <v>40</v>
      </c>
      <c r="D3254" s="1" t="s">
        <v>8024</v>
      </c>
      <c r="E3254" s="54" t="s">
        <v>2571</v>
      </c>
      <c r="F3254" s="1" t="s">
        <v>2551</v>
      </c>
      <c r="G3254" s="1" t="s">
        <v>2555</v>
      </c>
    </row>
    <row x14ac:dyDescent="0.25" r="3255" customHeight="1" ht="17.25" hidden="1">
      <c r="A3255" s="112" t="s">
        <v>8022</v>
      </c>
      <c r="B3255" s="1" t="s">
        <v>2549</v>
      </c>
      <c r="C3255" s="1" t="s">
        <v>40</v>
      </c>
      <c r="D3255" s="1" t="s">
        <v>8025</v>
      </c>
      <c r="E3255" s="54" t="s">
        <v>2571</v>
      </c>
      <c r="F3255" s="1" t="s">
        <v>2551</v>
      </c>
      <c r="G3255" s="1" t="s">
        <v>2555</v>
      </c>
    </row>
    <row x14ac:dyDescent="0.25" r="3256" customHeight="1" ht="17.25" hidden="1">
      <c r="A3256" s="112" t="s">
        <v>8022</v>
      </c>
      <c r="B3256" s="1" t="s">
        <v>2549</v>
      </c>
      <c r="C3256" s="1" t="s">
        <v>40</v>
      </c>
      <c r="D3256" s="1" t="s">
        <v>8026</v>
      </c>
      <c r="E3256" s="54" t="s">
        <v>2571</v>
      </c>
      <c r="F3256" s="1" t="s">
        <v>2551</v>
      </c>
      <c r="G3256" s="1" t="s">
        <v>2555</v>
      </c>
    </row>
    <row x14ac:dyDescent="0.25" r="3257" customHeight="1" ht="17.25" hidden="1">
      <c r="A3257" s="112" t="s">
        <v>8022</v>
      </c>
      <c r="B3257" s="1" t="s">
        <v>2549</v>
      </c>
      <c r="C3257" s="1" t="s">
        <v>40</v>
      </c>
      <c r="D3257" s="1" t="s">
        <v>8027</v>
      </c>
      <c r="E3257" s="54" t="s">
        <v>2571</v>
      </c>
      <c r="F3257" s="1" t="s">
        <v>2551</v>
      </c>
      <c r="G3257" s="1" t="s">
        <v>2552</v>
      </c>
    </row>
    <row x14ac:dyDescent="0.25" r="3258" customHeight="1" ht="17.25" hidden="1">
      <c r="A3258" s="112" t="s">
        <v>8028</v>
      </c>
      <c r="B3258" s="1" t="s">
        <v>2549</v>
      </c>
      <c r="C3258" s="1" t="s">
        <v>40</v>
      </c>
      <c r="D3258" s="1" t="s">
        <v>8029</v>
      </c>
      <c r="E3258" s="62">
        <v>33</v>
      </c>
      <c r="F3258" s="1" t="s">
        <v>2561</v>
      </c>
      <c r="G3258" s="1" t="s">
        <v>2552</v>
      </c>
    </row>
    <row x14ac:dyDescent="0.25" r="3259" customHeight="1" ht="17.25" hidden="1">
      <c r="A3259" s="112" t="s">
        <v>8030</v>
      </c>
      <c r="B3259" s="1" t="s">
        <v>2549</v>
      </c>
      <c r="C3259" s="1" t="s">
        <v>40</v>
      </c>
      <c r="D3259" s="1" t="s">
        <v>8031</v>
      </c>
      <c r="E3259" s="62">
        <v>37</v>
      </c>
      <c r="F3259" s="1" t="s">
        <v>2551</v>
      </c>
      <c r="G3259" s="1" t="s">
        <v>2558</v>
      </c>
    </row>
    <row x14ac:dyDescent="0.25" r="3260" customHeight="1" ht="17.25" hidden="1">
      <c r="A3260" s="112" t="s">
        <v>8032</v>
      </c>
      <c r="B3260" s="1" t="s">
        <v>2549</v>
      </c>
      <c r="C3260" s="1" t="s">
        <v>40</v>
      </c>
      <c r="D3260" s="1" t="s">
        <v>8033</v>
      </c>
      <c r="E3260" s="62">
        <v>21</v>
      </c>
      <c r="F3260" s="1" t="s">
        <v>2551</v>
      </c>
      <c r="G3260" s="1" t="s">
        <v>2555</v>
      </c>
    </row>
    <row x14ac:dyDescent="0.25" r="3261" customHeight="1" ht="17.25" hidden="1">
      <c r="A3261" s="112" t="s">
        <v>8034</v>
      </c>
      <c r="B3261" s="1" t="s">
        <v>2549</v>
      </c>
      <c r="C3261" s="1" t="s">
        <v>40</v>
      </c>
      <c r="D3261" s="1" t="s">
        <v>8035</v>
      </c>
      <c r="E3261" s="62">
        <v>28</v>
      </c>
      <c r="F3261" s="1" t="s">
        <v>2551</v>
      </c>
      <c r="G3261" s="1" t="s">
        <v>2555</v>
      </c>
    </row>
    <row x14ac:dyDescent="0.25" r="3262" customHeight="1" ht="17.25" hidden="1">
      <c r="A3262" s="112" t="s">
        <v>1057</v>
      </c>
      <c r="B3262" s="1" t="s">
        <v>2549</v>
      </c>
      <c r="C3262" s="1" t="s">
        <v>40</v>
      </c>
      <c r="D3262" s="1" t="s">
        <v>8036</v>
      </c>
      <c r="E3262" s="62">
        <v>49</v>
      </c>
      <c r="F3262" s="1" t="s">
        <v>2551</v>
      </c>
      <c r="G3262" s="1" t="s">
        <v>2555</v>
      </c>
    </row>
    <row x14ac:dyDescent="0.25" r="3263" customHeight="1" ht="17.25" hidden="1">
      <c r="A3263" s="112" t="s">
        <v>8037</v>
      </c>
      <c r="B3263" s="1" t="s">
        <v>2549</v>
      </c>
      <c r="C3263" s="1" t="s">
        <v>40</v>
      </c>
      <c r="D3263" s="1" t="s">
        <v>8033</v>
      </c>
      <c r="E3263" s="62">
        <v>21</v>
      </c>
      <c r="F3263" s="1" t="s">
        <v>2551</v>
      </c>
      <c r="G3263" s="1" t="s">
        <v>2555</v>
      </c>
    </row>
    <row x14ac:dyDescent="0.25" r="3264" customHeight="1" ht="17.25" hidden="1">
      <c r="A3264" s="112" t="s">
        <v>2305</v>
      </c>
      <c r="B3264" s="1" t="s">
        <v>2549</v>
      </c>
      <c r="C3264" s="1" t="s">
        <v>40</v>
      </c>
      <c r="D3264" s="1" t="s">
        <v>8038</v>
      </c>
      <c r="E3264" s="62">
        <v>24</v>
      </c>
      <c r="F3264" s="1" t="s">
        <v>2551</v>
      </c>
      <c r="G3264" s="1" t="s">
        <v>2558</v>
      </c>
    </row>
    <row x14ac:dyDescent="0.25" r="3265" customHeight="1" ht="17.25" hidden="1">
      <c r="A3265" s="112" t="s">
        <v>2305</v>
      </c>
      <c r="B3265" s="1" t="s">
        <v>2549</v>
      </c>
      <c r="C3265" s="1" t="s">
        <v>40</v>
      </c>
      <c r="D3265" s="1" t="s">
        <v>8039</v>
      </c>
      <c r="E3265" s="62">
        <v>21</v>
      </c>
      <c r="F3265" s="1" t="s">
        <v>2551</v>
      </c>
      <c r="G3265" s="1" t="s">
        <v>2552</v>
      </c>
    </row>
    <row x14ac:dyDescent="0.25" r="3266" customHeight="1" ht="17.25" hidden="1">
      <c r="A3266" s="112" t="s">
        <v>8040</v>
      </c>
      <c r="B3266" s="1" t="s">
        <v>2549</v>
      </c>
      <c r="C3266" s="1" t="s">
        <v>40</v>
      </c>
      <c r="D3266" s="1" t="s">
        <v>8041</v>
      </c>
      <c r="E3266" s="62">
        <v>18</v>
      </c>
      <c r="F3266" s="1" t="s">
        <v>2551</v>
      </c>
      <c r="G3266" s="1" t="s">
        <v>2555</v>
      </c>
    </row>
    <row x14ac:dyDescent="0.25" r="3267" customHeight="1" ht="17.25" hidden="1">
      <c r="A3267" s="112" t="s">
        <v>8042</v>
      </c>
      <c r="B3267" s="1" t="s">
        <v>2549</v>
      </c>
      <c r="C3267" s="1" t="s">
        <v>40</v>
      </c>
      <c r="D3267" s="1" t="s">
        <v>8043</v>
      </c>
      <c r="E3267" s="62">
        <v>24</v>
      </c>
      <c r="F3267" s="1" t="s">
        <v>2551</v>
      </c>
      <c r="G3267" s="1" t="s">
        <v>2552</v>
      </c>
    </row>
    <row x14ac:dyDescent="0.25" r="3268" customHeight="1" ht="17.25" hidden="1">
      <c r="A3268" s="112" t="s">
        <v>8044</v>
      </c>
      <c r="B3268" s="1" t="s">
        <v>2549</v>
      </c>
      <c r="C3268" s="1" t="s">
        <v>40</v>
      </c>
      <c r="D3268" s="1" t="s">
        <v>8045</v>
      </c>
      <c r="E3268" s="62">
        <v>20</v>
      </c>
      <c r="F3268" s="1" t="s">
        <v>2551</v>
      </c>
      <c r="G3268" s="1" t="s">
        <v>2552</v>
      </c>
    </row>
    <row x14ac:dyDescent="0.25" r="3269" customHeight="1" ht="17.25" hidden="1">
      <c r="A3269" s="112" t="s">
        <v>8046</v>
      </c>
      <c r="B3269" s="1" t="s">
        <v>2549</v>
      </c>
      <c r="C3269" s="1" t="s">
        <v>40</v>
      </c>
      <c r="D3269" s="1" t="s">
        <v>3261</v>
      </c>
      <c r="E3269" s="62">
        <v>19</v>
      </c>
      <c r="F3269" s="1" t="s">
        <v>2551</v>
      </c>
      <c r="G3269" s="1" t="s">
        <v>2552</v>
      </c>
    </row>
    <row x14ac:dyDescent="0.25" r="3270" customHeight="1" ht="17.25" hidden="1">
      <c r="A3270" s="112" t="s">
        <v>8046</v>
      </c>
      <c r="B3270" s="1" t="s">
        <v>2549</v>
      </c>
      <c r="C3270" s="1" t="s">
        <v>40</v>
      </c>
      <c r="D3270" s="1" t="s">
        <v>8047</v>
      </c>
      <c r="E3270" s="62">
        <v>19</v>
      </c>
      <c r="F3270" s="1" t="s">
        <v>2551</v>
      </c>
      <c r="G3270" s="1" t="s">
        <v>2552</v>
      </c>
    </row>
    <row x14ac:dyDescent="0.25" r="3271" customHeight="1" ht="17.25" hidden="1">
      <c r="A3271" s="112" t="s">
        <v>8048</v>
      </c>
      <c r="B3271" s="1" t="s">
        <v>2549</v>
      </c>
      <c r="C3271" s="1" t="s">
        <v>40</v>
      </c>
      <c r="D3271" s="1" t="s">
        <v>8049</v>
      </c>
      <c r="E3271" s="62">
        <v>33</v>
      </c>
      <c r="F3271" s="1" t="s">
        <v>2551</v>
      </c>
      <c r="G3271" s="1" t="s">
        <v>2555</v>
      </c>
    </row>
    <row x14ac:dyDescent="0.25" r="3272" customHeight="1" ht="17.25" hidden="1">
      <c r="A3272" s="112" t="s">
        <v>8050</v>
      </c>
      <c r="B3272" s="1" t="s">
        <v>2549</v>
      </c>
      <c r="C3272" s="1" t="s">
        <v>40</v>
      </c>
      <c r="D3272" s="1" t="s">
        <v>8051</v>
      </c>
      <c r="E3272" s="62">
        <v>39</v>
      </c>
      <c r="F3272" s="1" t="s">
        <v>2551</v>
      </c>
      <c r="G3272" s="1" t="s">
        <v>2552</v>
      </c>
    </row>
    <row x14ac:dyDescent="0.25" r="3273" customHeight="1" ht="17.25" hidden="1">
      <c r="A3273" s="112" t="s">
        <v>8052</v>
      </c>
      <c r="B3273" s="1" t="s">
        <v>2549</v>
      </c>
      <c r="C3273" s="1" t="s">
        <v>40</v>
      </c>
      <c r="D3273" s="1" t="s">
        <v>8053</v>
      </c>
      <c r="E3273" s="62">
        <v>55</v>
      </c>
      <c r="F3273" s="1" t="s">
        <v>2551</v>
      </c>
      <c r="G3273" s="1" t="s">
        <v>2558</v>
      </c>
    </row>
    <row x14ac:dyDescent="0.25" r="3274" customHeight="1" ht="17.25" hidden="1">
      <c r="A3274" s="112" t="s">
        <v>8054</v>
      </c>
      <c r="B3274" s="1" t="s">
        <v>2549</v>
      </c>
      <c r="C3274" s="1" t="s">
        <v>40</v>
      </c>
      <c r="D3274" s="1" t="s">
        <v>8055</v>
      </c>
      <c r="E3274" s="62">
        <v>35</v>
      </c>
      <c r="F3274" s="1" t="s">
        <v>2551</v>
      </c>
      <c r="G3274" s="1" t="s">
        <v>2555</v>
      </c>
    </row>
    <row x14ac:dyDescent="0.25" r="3275" customHeight="1" ht="17.25" hidden="1">
      <c r="A3275" s="112" t="s">
        <v>8054</v>
      </c>
      <c r="B3275" s="1" t="s">
        <v>2549</v>
      </c>
      <c r="C3275" s="1" t="s">
        <v>40</v>
      </c>
      <c r="D3275" s="1" t="s">
        <v>8056</v>
      </c>
      <c r="E3275" s="62">
        <v>35</v>
      </c>
      <c r="F3275" s="1" t="s">
        <v>2551</v>
      </c>
      <c r="G3275" s="1" t="s">
        <v>2552</v>
      </c>
    </row>
    <row x14ac:dyDescent="0.25" r="3276" customHeight="1" ht="17.25" hidden="1">
      <c r="A3276" s="112" t="s">
        <v>8054</v>
      </c>
      <c r="B3276" s="1" t="s">
        <v>2549</v>
      </c>
      <c r="C3276" s="1" t="s">
        <v>40</v>
      </c>
      <c r="D3276" s="1" t="s">
        <v>8057</v>
      </c>
      <c r="E3276" s="62">
        <v>48</v>
      </c>
      <c r="F3276" s="1" t="s">
        <v>2561</v>
      </c>
      <c r="G3276" s="1" t="s">
        <v>2552</v>
      </c>
    </row>
    <row x14ac:dyDescent="0.25" r="3277" customHeight="1" ht="17.25" hidden="1">
      <c r="A3277" s="112" t="s">
        <v>8058</v>
      </c>
      <c r="B3277" s="1" t="s">
        <v>2549</v>
      </c>
      <c r="C3277" s="1" t="s">
        <v>40</v>
      </c>
      <c r="D3277" s="1" t="s">
        <v>8059</v>
      </c>
      <c r="E3277" s="62">
        <v>24</v>
      </c>
      <c r="F3277" s="1" t="s">
        <v>2551</v>
      </c>
      <c r="G3277" s="1" t="s">
        <v>2552</v>
      </c>
    </row>
    <row x14ac:dyDescent="0.25" r="3278" customHeight="1" ht="17.25" hidden="1">
      <c r="A3278" s="112" t="s">
        <v>8060</v>
      </c>
      <c r="B3278" s="1" t="s">
        <v>2549</v>
      </c>
      <c r="C3278" s="1" t="s">
        <v>40</v>
      </c>
      <c r="D3278" s="1" t="s">
        <v>8061</v>
      </c>
      <c r="E3278" s="62">
        <v>35</v>
      </c>
      <c r="F3278" s="1" t="s">
        <v>2551</v>
      </c>
      <c r="G3278" s="1" t="s">
        <v>2552</v>
      </c>
    </row>
    <row x14ac:dyDescent="0.25" r="3279" customHeight="1" ht="17.25" hidden="1">
      <c r="A3279" s="112" t="s">
        <v>1683</v>
      </c>
      <c r="B3279" s="1" t="s">
        <v>2549</v>
      </c>
      <c r="C3279" s="1" t="s">
        <v>40</v>
      </c>
      <c r="D3279" s="1" t="s">
        <v>8062</v>
      </c>
      <c r="E3279" s="62">
        <v>19</v>
      </c>
      <c r="F3279" s="1" t="s">
        <v>2551</v>
      </c>
      <c r="G3279" s="1" t="s">
        <v>2555</v>
      </c>
    </row>
    <row x14ac:dyDescent="0.25" r="3280" customHeight="1" ht="17.25" hidden="1">
      <c r="A3280" s="112" t="s">
        <v>1683</v>
      </c>
      <c r="B3280" s="1" t="s">
        <v>2549</v>
      </c>
      <c r="C3280" s="1" t="s">
        <v>40</v>
      </c>
      <c r="D3280" s="1" t="s">
        <v>1995</v>
      </c>
      <c r="E3280" s="62">
        <v>40</v>
      </c>
      <c r="F3280" s="1" t="s">
        <v>2561</v>
      </c>
      <c r="G3280" s="1" t="s">
        <v>2555</v>
      </c>
    </row>
    <row x14ac:dyDescent="0.25" r="3281" customHeight="1" ht="17.25" hidden="1">
      <c r="A3281" s="112" t="s">
        <v>1683</v>
      </c>
      <c r="B3281" s="1" t="s">
        <v>2549</v>
      </c>
      <c r="C3281" s="1" t="s">
        <v>40</v>
      </c>
      <c r="D3281" s="1" t="s">
        <v>1993</v>
      </c>
      <c r="E3281" s="62">
        <v>44</v>
      </c>
      <c r="F3281" s="1" t="s">
        <v>2551</v>
      </c>
      <c r="G3281" s="1" t="s">
        <v>2552</v>
      </c>
    </row>
    <row x14ac:dyDescent="0.25" r="3282" customHeight="1" ht="17.25" hidden="1">
      <c r="A3282" s="112" t="s">
        <v>1683</v>
      </c>
      <c r="B3282" s="1" t="s">
        <v>2549</v>
      </c>
      <c r="C3282" s="1" t="s">
        <v>40</v>
      </c>
      <c r="D3282" s="1" t="s">
        <v>1689</v>
      </c>
      <c r="E3282" s="62">
        <v>19</v>
      </c>
      <c r="F3282" s="1" t="s">
        <v>2551</v>
      </c>
      <c r="G3282" s="1" t="s">
        <v>2555</v>
      </c>
    </row>
    <row x14ac:dyDescent="0.25" r="3283" customHeight="1" ht="17.25" hidden="1">
      <c r="A3283" s="112" t="s">
        <v>8063</v>
      </c>
      <c r="B3283" s="1" t="s">
        <v>2549</v>
      </c>
      <c r="C3283" s="1" t="s">
        <v>40</v>
      </c>
      <c r="D3283" s="1" t="s">
        <v>8064</v>
      </c>
      <c r="E3283" s="62">
        <v>37</v>
      </c>
      <c r="F3283" s="1" t="s">
        <v>2551</v>
      </c>
      <c r="G3283" s="1" t="s">
        <v>2558</v>
      </c>
    </row>
    <row x14ac:dyDescent="0.25" r="3284" customHeight="1" ht="17.25" hidden="1">
      <c r="A3284" s="112" t="s">
        <v>8065</v>
      </c>
      <c r="B3284" s="1" t="s">
        <v>2549</v>
      </c>
      <c r="C3284" s="1" t="s">
        <v>40</v>
      </c>
      <c r="D3284" s="1" t="s">
        <v>8066</v>
      </c>
      <c r="E3284" s="62">
        <v>35</v>
      </c>
      <c r="F3284" s="1" t="s">
        <v>2551</v>
      </c>
      <c r="G3284" s="1" t="s">
        <v>2555</v>
      </c>
    </row>
    <row x14ac:dyDescent="0.25" r="3285" customHeight="1" ht="17.25" hidden="1">
      <c r="A3285" s="112" t="s">
        <v>8067</v>
      </c>
      <c r="B3285" s="1" t="s">
        <v>2549</v>
      </c>
      <c r="C3285" s="1" t="s">
        <v>40</v>
      </c>
      <c r="D3285" s="1" t="s">
        <v>8068</v>
      </c>
      <c r="E3285" s="62">
        <v>31</v>
      </c>
      <c r="F3285" s="1" t="s">
        <v>2551</v>
      </c>
      <c r="G3285" s="1" t="s">
        <v>2558</v>
      </c>
    </row>
    <row x14ac:dyDescent="0.25" r="3286" customHeight="1" ht="17.25" hidden="1">
      <c r="A3286" s="112" t="s">
        <v>8069</v>
      </c>
      <c r="B3286" s="1" t="s">
        <v>2549</v>
      </c>
      <c r="C3286" s="1" t="s">
        <v>40</v>
      </c>
      <c r="D3286" s="1" t="s">
        <v>8070</v>
      </c>
      <c r="E3286" s="62">
        <v>44</v>
      </c>
      <c r="F3286" s="1" t="s">
        <v>2551</v>
      </c>
      <c r="G3286" s="1" t="s">
        <v>2555</v>
      </c>
    </row>
    <row x14ac:dyDescent="0.25" r="3287" customHeight="1" ht="17.25" hidden="1">
      <c r="A3287" s="112" t="s">
        <v>8071</v>
      </c>
      <c r="B3287" s="1" t="s">
        <v>2549</v>
      </c>
      <c r="C3287" s="1" t="s">
        <v>40</v>
      </c>
      <c r="D3287" s="1" t="s">
        <v>8072</v>
      </c>
      <c r="E3287" s="62">
        <v>19</v>
      </c>
      <c r="F3287" s="1" t="s">
        <v>2551</v>
      </c>
      <c r="G3287" s="1" t="s">
        <v>2552</v>
      </c>
    </row>
    <row x14ac:dyDescent="0.25" r="3288" customHeight="1" ht="17.25" hidden="1">
      <c r="A3288" s="112" t="s">
        <v>8073</v>
      </c>
      <c r="B3288" s="1" t="s">
        <v>2549</v>
      </c>
      <c r="C3288" s="1" t="s">
        <v>40</v>
      </c>
      <c r="D3288" s="1" t="s">
        <v>8074</v>
      </c>
      <c r="E3288" s="62">
        <v>33</v>
      </c>
      <c r="F3288" s="1" t="s">
        <v>2551</v>
      </c>
      <c r="G3288" s="1" t="s">
        <v>2552</v>
      </c>
    </row>
    <row x14ac:dyDescent="0.25" r="3289" customHeight="1" ht="17.25" hidden="1">
      <c r="A3289" s="112" t="s">
        <v>8075</v>
      </c>
      <c r="B3289" s="1" t="s">
        <v>2549</v>
      </c>
      <c r="C3289" s="1" t="s">
        <v>40</v>
      </c>
      <c r="D3289" s="1" t="s">
        <v>2581</v>
      </c>
      <c r="E3289" s="62">
        <v>34</v>
      </c>
      <c r="F3289" s="1" t="s">
        <v>2551</v>
      </c>
      <c r="G3289" s="1" t="s">
        <v>2555</v>
      </c>
    </row>
    <row x14ac:dyDescent="0.25" r="3290" customHeight="1" ht="17.25" hidden="1">
      <c r="A3290" s="112" t="s">
        <v>8076</v>
      </c>
      <c r="B3290" s="1" t="s">
        <v>2549</v>
      </c>
      <c r="C3290" s="1" t="s">
        <v>40</v>
      </c>
      <c r="D3290" s="1" t="s">
        <v>8077</v>
      </c>
      <c r="E3290" s="62">
        <v>31</v>
      </c>
      <c r="F3290" s="1" t="s">
        <v>2551</v>
      </c>
      <c r="G3290" s="1" t="s">
        <v>2558</v>
      </c>
    </row>
    <row x14ac:dyDescent="0.25" r="3291" customHeight="1" ht="17.25" hidden="1">
      <c r="A3291" s="112" t="s">
        <v>8078</v>
      </c>
      <c r="B3291" s="1" t="s">
        <v>2549</v>
      </c>
      <c r="C3291" s="1" t="s">
        <v>40</v>
      </c>
      <c r="D3291" s="1" t="s">
        <v>5849</v>
      </c>
      <c r="E3291" s="62">
        <v>37</v>
      </c>
      <c r="F3291" s="1" t="s">
        <v>2551</v>
      </c>
      <c r="G3291" s="1" t="s">
        <v>2552</v>
      </c>
    </row>
    <row x14ac:dyDescent="0.25" r="3292" customHeight="1" ht="17.25" hidden="1">
      <c r="A3292" s="112" t="s">
        <v>8079</v>
      </c>
      <c r="B3292" s="1" t="s">
        <v>2549</v>
      </c>
      <c r="C3292" s="1" t="s">
        <v>40</v>
      </c>
      <c r="D3292" s="1" t="s">
        <v>8080</v>
      </c>
      <c r="E3292" s="62">
        <v>23</v>
      </c>
      <c r="F3292" s="1" t="s">
        <v>2551</v>
      </c>
      <c r="G3292" s="1" t="s">
        <v>2552</v>
      </c>
    </row>
    <row x14ac:dyDescent="0.25" r="3293" customHeight="1" ht="17.25" hidden="1">
      <c r="A3293" s="112" t="s">
        <v>8081</v>
      </c>
      <c r="B3293" s="1" t="s">
        <v>2549</v>
      </c>
      <c r="C3293" s="1" t="s">
        <v>40</v>
      </c>
      <c r="D3293" s="1" t="s">
        <v>8082</v>
      </c>
      <c r="E3293" s="62">
        <v>29</v>
      </c>
      <c r="F3293" s="1" t="s">
        <v>2561</v>
      </c>
      <c r="G3293" s="1" t="s">
        <v>2552</v>
      </c>
    </row>
    <row x14ac:dyDescent="0.25" r="3294" customHeight="1" ht="17.25" hidden="1">
      <c r="A3294" s="112" t="s">
        <v>8081</v>
      </c>
      <c r="B3294" s="1" t="s">
        <v>2549</v>
      </c>
      <c r="C3294" s="1" t="s">
        <v>40</v>
      </c>
      <c r="D3294" s="1" t="s">
        <v>8083</v>
      </c>
      <c r="E3294" s="62">
        <v>26</v>
      </c>
      <c r="F3294" s="1" t="s">
        <v>2561</v>
      </c>
      <c r="G3294" s="1" t="s">
        <v>2552</v>
      </c>
    </row>
    <row x14ac:dyDescent="0.25" r="3295" customHeight="1" ht="17.25" hidden="1">
      <c r="A3295" s="112" t="s">
        <v>2234</v>
      </c>
      <c r="B3295" s="1" t="s">
        <v>2549</v>
      </c>
      <c r="C3295" s="1" t="s">
        <v>40</v>
      </c>
      <c r="D3295" s="1" t="s">
        <v>8084</v>
      </c>
      <c r="E3295" s="62">
        <v>43</v>
      </c>
      <c r="F3295" s="1" t="s">
        <v>2551</v>
      </c>
      <c r="G3295" s="1" t="s">
        <v>2555</v>
      </c>
    </row>
    <row x14ac:dyDescent="0.25" r="3296" customHeight="1" ht="17.25" hidden="1">
      <c r="A3296" s="112" t="s">
        <v>8085</v>
      </c>
      <c r="B3296" s="1" t="s">
        <v>2549</v>
      </c>
      <c r="C3296" s="1" t="s">
        <v>40</v>
      </c>
      <c r="D3296" s="1" t="s">
        <v>8086</v>
      </c>
      <c r="E3296" s="62">
        <v>30</v>
      </c>
      <c r="F3296" s="1" t="s">
        <v>2551</v>
      </c>
      <c r="G3296" s="1" t="s">
        <v>2552</v>
      </c>
    </row>
    <row x14ac:dyDescent="0.25" r="3297" customHeight="1" ht="17.25" hidden="1">
      <c r="A3297" s="112" t="s">
        <v>8087</v>
      </c>
      <c r="B3297" s="1" t="s">
        <v>2549</v>
      </c>
      <c r="C3297" s="1" t="s">
        <v>40</v>
      </c>
      <c r="D3297" s="1" t="s">
        <v>8088</v>
      </c>
      <c r="E3297" s="62">
        <v>34</v>
      </c>
      <c r="F3297" s="1" t="s">
        <v>2551</v>
      </c>
      <c r="G3297" s="1" t="s">
        <v>2552</v>
      </c>
    </row>
    <row x14ac:dyDescent="0.25" r="3298" customHeight="1" ht="17.25" hidden="1">
      <c r="A3298" s="112" t="s">
        <v>8089</v>
      </c>
      <c r="B3298" s="1" t="s">
        <v>2549</v>
      </c>
      <c r="C3298" s="1" t="s">
        <v>40</v>
      </c>
      <c r="D3298" s="1" t="s">
        <v>8090</v>
      </c>
      <c r="E3298" s="62">
        <v>33</v>
      </c>
      <c r="F3298" s="1" t="s">
        <v>2561</v>
      </c>
      <c r="G3298" s="1" t="s">
        <v>2558</v>
      </c>
    </row>
    <row x14ac:dyDescent="0.25" r="3299" customHeight="1" ht="17.25" hidden="1">
      <c r="A3299" s="112" t="s">
        <v>727</v>
      </c>
      <c r="B3299" s="1" t="s">
        <v>2549</v>
      </c>
      <c r="C3299" s="1" t="s">
        <v>40</v>
      </c>
      <c r="D3299" s="1" t="s">
        <v>8091</v>
      </c>
      <c r="E3299" s="62">
        <v>20</v>
      </c>
      <c r="F3299" s="1" t="s">
        <v>2551</v>
      </c>
      <c r="G3299" s="1" t="s">
        <v>2552</v>
      </c>
    </row>
    <row x14ac:dyDescent="0.25" r="3300" customHeight="1" ht="17.25" hidden="1">
      <c r="A3300" s="112" t="s">
        <v>8092</v>
      </c>
      <c r="B3300" s="1" t="s">
        <v>2549</v>
      </c>
      <c r="C3300" s="1" t="s">
        <v>40</v>
      </c>
      <c r="D3300" s="1" t="s">
        <v>8093</v>
      </c>
      <c r="E3300" s="62">
        <v>52</v>
      </c>
      <c r="F3300" s="1" t="s">
        <v>2551</v>
      </c>
      <c r="G3300" s="1" t="s">
        <v>2555</v>
      </c>
    </row>
    <row x14ac:dyDescent="0.25" r="3301" customHeight="1" ht="17.25" hidden="1">
      <c r="A3301" s="112" t="s">
        <v>8094</v>
      </c>
      <c r="B3301" s="1" t="s">
        <v>2549</v>
      </c>
      <c r="C3301" s="1" t="s">
        <v>40</v>
      </c>
      <c r="D3301" s="1" t="s">
        <v>8095</v>
      </c>
      <c r="E3301" s="62">
        <v>20</v>
      </c>
      <c r="F3301" s="1" t="s">
        <v>2551</v>
      </c>
      <c r="G3301" s="1" t="s">
        <v>2552</v>
      </c>
    </row>
    <row x14ac:dyDescent="0.25" r="3302" customHeight="1" ht="17.25" hidden="1">
      <c r="A3302" s="112" t="s">
        <v>8096</v>
      </c>
      <c r="B3302" s="1" t="s">
        <v>2549</v>
      </c>
      <c r="C3302" s="1" t="s">
        <v>40</v>
      </c>
      <c r="D3302" s="1" t="s">
        <v>8097</v>
      </c>
      <c r="E3302" s="62">
        <v>28</v>
      </c>
      <c r="F3302" s="1" t="s">
        <v>2561</v>
      </c>
      <c r="G3302" s="1" t="s">
        <v>2552</v>
      </c>
    </row>
    <row x14ac:dyDescent="0.25" r="3303" customHeight="1" ht="17.25" hidden="1">
      <c r="A3303" s="112" t="s">
        <v>8098</v>
      </c>
      <c r="B3303" s="1" t="s">
        <v>2549</v>
      </c>
      <c r="C3303" s="1" t="s">
        <v>40</v>
      </c>
      <c r="D3303" s="1" t="s">
        <v>8099</v>
      </c>
      <c r="E3303" s="62">
        <v>34</v>
      </c>
      <c r="F3303" s="1" t="s">
        <v>2551</v>
      </c>
      <c r="G3303" s="1" t="s">
        <v>2552</v>
      </c>
    </row>
    <row x14ac:dyDescent="0.25" r="3304" customHeight="1" ht="17.25" hidden="1">
      <c r="A3304" s="112" t="s">
        <v>8100</v>
      </c>
      <c r="B3304" s="1" t="s">
        <v>2549</v>
      </c>
      <c r="C3304" s="1" t="s">
        <v>40</v>
      </c>
      <c r="D3304" s="1" t="s">
        <v>8101</v>
      </c>
      <c r="E3304" s="62">
        <v>27</v>
      </c>
      <c r="F3304" s="1" t="s">
        <v>2551</v>
      </c>
      <c r="G3304" s="1" t="s">
        <v>2555</v>
      </c>
    </row>
    <row x14ac:dyDescent="0.25" r="3305" customHeight="1" ht="17.25" hidden="1">
      <c r="A3305" s="112" t="s">
        <v>8100</v>
      </c>
      <c r="B3305" s="1" t="s">
        <v>2549</v>
      </c>
      <c r="C3305" s="1" t="s">
        <v>40</v>
      </c>
      <c r="D3305" s="1" t="s">
        <v>8102</v>
      </c>
      <c r="E3305" s="62">
        <v>42</v>
      </c>
      <c r="F3305" s="1" t="s">
        <v>2551</v>
      </c>
      <c r="G3305" s="1" t="s">
        <v>2555</v>
      </c>
    </row>
    <row x14ac:dyDescent="0.25" r="3306" customHeight="1" ht="17.25" hidden="1">
      <c r="A3306" s="112" t="s">
        <v>8103</v>
      </c>
      <c r="B3306" s="1" t="s">
        <v>2549</v>
      </c>
      <c r="C3306" s="1" t="s">
        <v>40</v>
      </c>
      <c r="D3306" s="1" t="s">
        <v>8104</v>
      </c>
      <c r="E3306" s="62">
        <v>28</v>
      </c>
      <c r="F3306" s="1" t="s">
        <v>2551</v>
      </c>
      <c r="G3306" s="1" t="s">
        <v>2558</v>
      </c>
    </row>
    <row x14ac:dyDescent="0.25" r="3307" customHeight="1" ht="17.25" hidden="1">
      <c r="A3307" s="112" t="s">
        <v>8105</v>
      </c>
      <c r="B3307" s="1" t="s">
        <v>2549</v>
      </c>
      <c r="C3307" s="1" t="s">
        <v>40</v>
      </c>
      <c r="D3307" s="1" t="s">
        <v>8106</v>
      </c>
      <c r="E3307" s="62">
        <v>24</v>
      </c>
      <c r="F3307" s="1" t="s">
        <v>2551</v>
      </c>
      <c r="G3307" s="1" t="s">
        <v>2555</v>
      </c>
    </row>
    <row x14ac:dyDescent="0.25" r="3308" customHeight="1" ht="17.25" hidden="1">
      <c r="A3308" s="112" t="s">
        <v>8107</v>
      </c>
      <c r="B3308" s="1" t="s">
        <v>2549</v>
      </c>
      <c r="C3308" s="1" t="s">
        <v>40</v>
      </c>
      <c r="D3308" s="1" t="s">
        <v>8108</v>
      </c>
      <c r="E3308" s="62">
        <v>31</v>
      </c>
      <c r="F3308" s="1" t="s">
        <v>2551</v>
      </c>
      <c r="G3308" s="1" t="s">
        <v>2552</v>
      </c>
    </row>
    <row x14ac:dyDescent="0.25" r="3309" customHeight="1" ht="17.25" hidden="1">
      <c r="A3309" s="112" t="s">
        <v>8109</v>
      </c>
      <c r="B3309" s="1" t="s">
        <v>2549</v>
      </c>
      <c r="C3309" s="1" t="s">
        <v>40</v>
      </c>
      <c r="D3309" s="1" t="s">
        <v>8110</v>
      </c>
      <c r="E3309" s="62">
        <v>27</v>
      </c>
      <c r="F3309" s="1" t="s">
        <v>2551</v>
      </c>
      <c r="G3309" s="1" t="s">
        <v>2558</v>
      </c>
    </row>
    <row x14ac:dyDescent="0.25" r="3310" customHeight="1" ht="17.25" hidden="1">
      <c r="A3310" s="112" t="s">
        <v>8111</v>
      </c>
      <c r="B3310" s="1" t="s">
        <v>2549</v>
      </c>
      <c r="C3310" s="1" t="s">
        <v>40</v>
      </c>
      <c r="D3310" s="1" t="s">
        <v>5772</v>
      </c>
      <c r="E3310" s="62">
        <v>38</v>
      </c>
      <c r="F3310" s="1" t="s">
        <v>2561</v>
      </c>
      <c r="G3310" s="1" t="s">
        <v>2552</v>
      </c>
    </row>
    <row x14ac:dyDescent="0.25" r="3311" customHeight="1" ht="17.25" hidden="1">
      <c r="A3311" s="112" t="s">
        <v>8112</v>
      </c>
      <c r="B3311" s="1" t="s">
        <v>2549</v>
      </c>
      <c r="C3311" s="1" t="s">
        <v>40</v>
      </c>
      <c r="D3311" s="1" t="s">
        <v>8113</v>
      </c>
      <c r="E3311" s="62">
        <v>32</v>
      </c>
      <c r="F3311" s="1" t="s">
        <v>2551</v>
      </c>
      <c r="G3311" s="1" t="s">
        <v>2552</v>
      </c>
    </row>
    <row x14ac:dyDescent="0.25" r="3312" customHeight="1" ht="17.25" hidden="1">
      <c r="A3312" s="112" t="s">
        <v>8114</v>
      </c>
      <c r="B3312" s="1" t="s">
        <v>2549</v>
      </c>
      <c r="C3312" s="1" t="s">
        <v>40</v>
      </c>
      <c r="D3312" s="1" t="s">
        <v>8115</v>
      </c>
      <c r="E3312" s="62">
        <v>25</v>
      </c>
      <c r="F3312" s="1" t="s">
        <v>2551</v>
      </c>
      <c r="G3312" s="1" t="s">
        <v>2552</v>
      </c>
    </row>
    <row x14ac:dyDescent="0.25" r="3313" customHeight="1" ht="17.25" hidden="1">
      <c r="A3313" s="112" t="s">
        <v>8116</v>
      </c>
      <c r="B3313" s="1" t="s">
        <v>2549</v>
      </c>
      <c r="C3313" s="1" t="s">
        <v>40</v>
      </c>
      <c r="D3313" s="1" t="s">
        <v>8117</v>
      </c>
      <c r="E3313" s="62">
        <v>30</v>
      </c>
      <c r="F3313" s="1" t="s">
        <v>2551</v>
      </c>
      <c r="G3313" s="1" t="s">
        <v>2552</v>
      </c>
    </row>
    <row x14ac:dyDescent="0.25" r="3314" customHeight="1" ht="17.25" hidden="1">
      <c r="A3314" s="112" t="s">
        <v>8118</v>
      </c>
      <c r="B3314" s="1" t="s">
        <v>2549</v>
      </c>
      <c r="C3314" s="1" t="s">
        <v>40</v>
      </c>
      <c r="D3314" s="1" t="s">
        <v>2557</v>
      </c>
      <c r="E3314" s="62">
        <v>39</v>
      </c>
      <c r="F3314" s="1" t="s">
        <v>2551</v>
      </c>
      <c r="G3314" s="1" t="s">
        <v>2552</v>
      </c>
    </row>
    <row x14ac:dyDescent="0.25" r="3315" customHeight="1" ht="17.25" hidden="1">
      <c r="A3315" s="112" t="s">
        <v>8119</v>
      </c>
      <c r="B3315" s="1" t="s">
        <v>2549</v>
      </c>
      <c r="C3315" s="1" t="s">
        <v>40</v>
      </c>
      <c r="D3315" s="1" t="s">
        <v>8120</v>
      </c>
      <c r="E3315" s="62">
        <v>818</v>
      </c>
      <c r="F3315" s="1" t="s">
        <v>2551</v>
      </c>
      <c r="G3315" s="1" t="s">
        <v>2552</v>
      </c>
    </row>
    <row x14ac:dyDescent="0.25" r="3316" customHeight="1" ht="17.25" hidden="1">
      <c r="A3316" s="112" t="s">
        <v>8121</v>
      </c>
      <c r="B3316" s="1" t="s">
        <v>2549</v>
      </c>
      <c r="C3316" s="1" t="s">
        <v>40</v>
      </c>
      <c r="D3316" s="1" t="s">
        <v>4429</v>
      </c>
      <c r="E3316" s="62">
        <v>19</v>
      </c>
      <c r="F3316" s="1" t="s">
        <v>2551</v>
      </c>
      <c r="G3316" s="1" t="s">
        <v>2552</v>
      </c>
    </row>
    <row x14ac:dyDescent="0.25" r="3317" customHeight="1" ht="17.25" hidden="1">
      <c r="A3317" s="112" t="s">
        <v>8122</v>
      </c>
      <c r="B3317" s="1" t="s">
        <v>2549</v>
      </c>
      <c r="C3317" s="1" t="s">
        <v>40</v>
      </c>
      <c r="D3317" s="1" t="s">
        <v>8123</v>
      </c>
      <c r="E3317" s="62">
        <v>28</v>
      </c>
      <c r="F3317" s="1" t="s">
        <v>2551</v>
      </c>
      <c r="G3317" s="1" t="s">
        <v>2552</v>
      </c>
    </row>
    <row x14ac:dyDescent="0.25" r="3318" customHeight="1" ht="17.25" hidden="1">
      <c r="A3318" s="112" t="s">
        <v>8124</v>
      </c>
      <c r="B3318" s="1" t="s">
        <v>2549</v>
      </c>
      <c r="C3318" s="1" t="s">
        <v>40</v>
      </c>
      <c r="D3318" s="1" t="s">
        <v>8125</v>
      </c>
      <c r="E3318" s="62">
        <v>41</v>
      </c>
      <c r="F3318" s="1" t="s">
        <v>2561</v>
      </c>
      <c r="G3318" s="1" t="s">
        <v>2558</v>
      </c>
    </row>
    <row x14ac:dyDescent="0.25" r="3319" customHeight="1" ht="17.25" hidden="1">
      <c r="A3319" s="112" t="s">
        <v>8126</v>
      </c>
      <c r="B3319" s="1" t="s">
        <v>2549</v>
      </c>
      <c r="C3319" s="1" t="s">
        <v>40</v>
      </c>
      <c r="D3319" s="1" t="s">
        <v>8127</v>
      </c>
      <c r="E3319" s="62">
        <v>18</v>
      </c>
      <c r="F3319" s="1" t="s">
        <v>2551</v>
      </c>
      <c r="G3319" s="1" t="s">
        <v>2555</v>
      </c>
    </row>
    <row x14ac:dyDescent="0.25" r="3320" customHeight="1" ht="17.25" hidden="1">
      <c r="A3320" s="112" t="s">
        <v>8128</v>
      </c>
      <c r="B3320" s="1" t="s">
        <v>2549</v>
      </c>
      <c r="C3320" s="1" t="s">
        <v>40</v>
      </c>
      <c r="D3320" s="1" t="s">
        <v>8129</v>
      </c>
      <c r="E3320" s="62">
        <v>28</v>
      </c>
      <c r="F3320" s="1" t="s">
        <v>2551</v>
      </c>
      <c r="G3320" s="1" t="s">
        <v>2555</v>
      </c>
    </row>
    <row x14ac:dyDescent="0.25" r="3321" customHeight="1" ht="17.25" hidden="1">
      <c r="A3321" s="112" t="s">
        <v>8130</v>
      </c>
      <c r="B3321" s="1" t="s">
        <v>2549</v>
      </c>
      <c r="C3321" s="1" t="s">
        <v>40</v>
      </c>
      <c r="D3321" s="1" t="s">
        <v>8131</v>
      </c>
      <c r="E3321" s="62">
        <v>20</v>
      </c>
      <c r="F3321" s="1" t="s">
        <v>2551</v>
      </c>
      <c r="G3321" s="1" t="s">
        <v>2555</v>
      </c>
    </row>
    <row x14ac:dyDescent="0.25" r="3322" customHeight="1" ht="17.25" hidden="1">
      <c r="A3322" s="112" t="s">
        <v>8130</v>
      </c>
      <c r="B3322" s="1" t="s">
        <v>2549</v>
      </c>
      <c r="C3322" s="1" t="s">
        <v>40</v>
      </c>
      <c r="D3322" s="1" t="s">
        <v>8132</v>
      </c>
      <c r="E3322" s="62">
        <v>21</v>
      </c>
      <c r="F3322" s="1" t="s">
        <v>2551</v>
      </c>
      <c r="G3322" s="1" t="s">
        <v>2558</v>
      </c>
    </row>
    <row x14ac:dyDescent="0.25" r="3323" customHeight="1" ht="17.25" hidden="1">
      <c r="A3323" s="112" t="s">
        <v>8133</v>
      </c>
      <c r="B3323" s="1" t="s">
        <v>2549</v>
      </c>
      <c r="C3323" s="1" t="s">
        <v>40</v>
      </c>
      <c r="D3323" s="1" t="s">
        <v>8134</v>
      </c>
      <c r="E3323" s="62">
        <v>19</v>
      </c>
      <c r="F3323" s="1" t="s">
        <v>2551</v>
      </c>
      <c r="G3323" s="1" t="s">
        <v>2552</v>
      </c>
    </row>
    <row x14ac:dyDescent="0.25" r="3324" customHeight="1" ht="17.25" hidden="1">
      <c r="A3324" s="112" t="s">
        <v>8135</v>
      </c>
      <c r="B3324" s="1" t="s">
        <v>2549</v>
      </c>
      <c r="C3324" s="1" t="s">
        <v>67</v>
      </c>
      <c r="D3324" s="1" t="s">
        <v>8136</v>
      </c>
      <c r="E3324" s="62">
        <v>30</v>
      </c>
      <c r="F3324" s="1" t="s">
        <v>2551</v>
      </c>
      <c r="G3324" s="1" t="s">
        <v>2552</v>
      </c>
    </row>
    <row x14ac:dyDescent="0.25" r="3325" customHeight="1" ht="17.25" hidden="1">
      <c r="A3325" s="112" t="s">
        <v>8137</v>
      </c>
      <c r="B3325" s="1" t="s">
        <v>2549</v>
      </c>
      <c r="C3325" s="1" t="s">
        <v>67</v>
      </c>
      <c r="D3325" s="1" t="s">
        <v>8138</v>
      </c>
      <c r="E3325" s="62">
        <v>42</v>
      </c>
      <c r="F3325" s="1" t="s">
        <v>2551</v>
      </c>
      <c r="G3325" s="1" t="s">
        <v>2552</v>
      </c>
    </row>
    <row x14ac:dyDescent="0.25" r="3326" customHeight="1" ht="17.25" hidden="1">
      <c r="A3326" s="112" t="s">
        <v>8139</v>
      </c>
      <c r="B3326" s="1" t="s">
        <v>2549</v>
      </c>
      <c r="C3326" s="1" t="s">
        <v>67</v>
      </c>
      <c r="D3326" s="1" t="s">
        <v>8140</v>
      </c>
      <c r="E3326" s="62">
        <v>32</v>
      </c>
      <c r="F3326" s="1" t="s">
        <v>2551</v>
      </c>
      <c r="G3326" s="1" t="s">
        <v>2555</v>
      </c>
    </row>
    <row x14ac:dyDescent="0.25" r="3327" customHeight="1" ht="17.25" hidden="1">
      <c r="A3327" s="112" t="s">
        <v>8139</v>
      </c>
      <c r="B3327" s="1" t="s">
        <v>2549</v>
      </c>
      <c r="C3327" s="1" t="s">
        <v>67</v>
      </c>
      <c r="D3327" s="1" t="s">
        <v>8141</v>
      </c>
      <c r="E3327" s="62">
        <v>21</v>
      </c>
      <c r="F3327" s="1" t="s">
        <v>2561</v>
      </c>
      <c r="G3327" s="1" t="s">
        <v>2555</v>
      </c>
    </row>
    <row x14ac:dyDescent="0.25" r="3328" customHeight="1" ht="17.25" hidden="1">
      <c r="A3328" s="112" t="s">
        <v>8142</v>
      </c>
      <c r="B3328" s="1" t="s">
        <v>2549</v>
      </c>
      <c r="C3328" s="1" t="s">
        <v>67</v>
      </c>
      <c r="D3328" s="1" t="s">
        <v>8143</v>
      </c>
      <c r="E3328" s="62">
        <v>25</v>
      </c>
      <c r="F3328" s="1" t="s">
        <v>2551</v>
      </c>
      <c r="G3328" s="1" t="s">
        <v>2555</v>
      </c>
    </row>
    <row x14ac:dyDescent="0.25" r="3329" customHeight="1" ht="17.25" hidden="1">
      <c r="A3329" s="112" t="s">
        <v>8144</v>
      </c>
      <c r="B3329" s="1" t="s">
        <v>2549</v>
      </c>
      <c r="C3329" s="1" t="s">
        <v>67</v>
      </c>
      <c r="D3329" s="1" t="s">
        <v>8145</v>
      </c>
      <c r="E3329" s="62">
        <v>19</v>
      </c>
      <c r="F3329" s="1" t="s">
        <v>2551</v>
      </c>
      <c r="G3329" s="1" t="s">
        <v>2552</v>
      </c>
    </row>
    <row x14ac:dyDescent="0.25" r="3330" customHeight="1" ht="17.25" hidden="1">
      <c r="A3330" s="112" t="s">
        <v>8146</v>
      </c>
      <c r="B3330" s="1" t="s">
        <v>2549</v>
      </c>
      <c r="C3330" s="1" t="s">
        <v>67</v>
      </c>
      <c r="D3330" s="1" t="s">
        <v>8147</v>
      </c>
      <c r="E3330" s="62">
        <v>26</v>
      </c>
      <c r="F3330" s="1" t="s">
        <v>2551</v>
      </c>
      <c r="G3330" s="1" t="s">
        <v>2552</v>
      </c>
    </row>
    <row x14ac:dyDescent="0.25" r="3331" customHeight="1" ht="17.25" hidden="1">
      <c r="A3331" s="112" t="s">
        <v>8146</v>
      </c>
      <c r="B3331" s="1" t="s">
        <v>2549</v>
      </c>
      <c r="C3331" s="1" t="s">
        <v>67</v>
      </c>
      <c r="D3331" s="1" t="s">
        <v>8148</v>
      </c>
      <c r="E3331" s="62">
        <v>23</v>
      </c>
      <c r="F3331" s="1" t="s">
        <v>2551</v>
      </c>
      <c r="G3331" s="1" t="s">
        <v>2552</v>
      </c>
    </row>
    <row x14ac:dyDescent="0.25" r="3332" customHeight="1" ht="17.25" hidden="1">
      <c r="A3332" s="112" t="s">
        <v>8149</v>
      </c>
      <c r="B3332" s="1" t="s">
        <v>2549</v>
      </c>
      <c r="C3332" s="1" t="s">
        <v>67</v>
      </c>
      <c r="D3332" s="1" t="s">
        <v>8031</v>
      </c>
      <c r="E3332" s="62">
        <v>18</v>
      </c>
      <c r="F3332" s="1" t="s">
        <v>2551</v>
      </c>
      <c r="G3332" s="1" t="s">
        <v>2552</v>
      </c>
    </row>
    <row x14ac:dyDescent="0.25" r="3333" customHeight="1" ht="17.25" hidden="1">
      <c r="A3333" s="112" t="s">
        <v>8149</v>
      </c>
      <c r="B3333" s="1" t="s">
        <v>2549</v>
      </c>
      <c r="C3333" s="1" t="s">
        <v>67</v>
      </c>
      <c r="D3333" s="1" t="s">
        <v>8150</v>
      </c>
      <c r="E3333" s="62">
        <v>20</v>
      </c>
      <c r="F3333" s="1" t="s">
        <v>2551</v>
      </c>
      <c r="G3333" s="1" t="s">
        <v>2552</v>
      </c>
    </row>
    <row x14ac:dyDescent="0.25" r="3334" customHeight="1" ht="17.25" hidden="1">
      <c r="A3334" s="112" t="s">
        <v>8151</v>
      </c>
      <c r="B3334" s="1" t="s">
        <v>2549</v>
      </c>
      <c r="C3334" s="1" t="s">
        <v>67</v>
      </c>
      <c r="D3334" s="1" t="s">
        <v>8152</v>
      </c>
      <c r="E3334" s="62">
        <v>30</v>
      </c>
      <c r="F3334" s="1" t="s">
        <v>2551</v>
      </c>
      <c r="G3334" s="1" t="s">
        <v>2552</v>
      </c>
    </row>
    <row x14ac:dyDescent="0.25" r="3335" customHeight="1" ht="17.25" hidden="1">
      <c r="A3335" s="112" t="s">
        <v>8151</v>
      </c>
      <c r="B3335" s="1" t="s">
        <v>2549</v>
      </c>
      <c r="C3335" s="1" t="s">
        <v>67</v>
      </c>
      <c r="D3335" s="1" t="s">
        <v>8153</v>
      </c>
      <c r="E3335" s="62">
        <v>24</v>
      </c>
      <c r="F3335" s="1" t="s">
        <v>2551</v>
      </c>
      <c r="G3335" s="1" t="s">
        <v>2552</v>
      </c>
    </row>
    <row x14ac:dyDescent="0.25" r="3336" customHeight="1" ht="17.25" hidden="1">
      <c r="A3336" s="112" t="s">
        <v>8154</v>
      </c>
      <c r="B3336" s="1" t="s">
        <v>2549</v>
      </c>
      <c r="C3336" s="1" t="s">
        <v>67</v>
      </c>
      <c r="D3336" s="1" t="s">
        <v>8155</v>
      </c>
      <c r="E3336" s="62">
        <v>21</v>
      </c>
      <c r="F3336" s="1" t="s">
        <v>2551</v>
      </c>
      <c r="G3336" s="1" t="s">
        <v>2555</v>
      </c>
    </row>
    <row x14ac:dyDescent="0.25" r="3337" customHeight="1" ht="17.25" hidden="1">
      <c r="A3337" s="112" t="s">
        <v>8156</v>
      </c>
      <c r="B3337" s="1" t="s">
        <v>2549</v>
      </c>
      <c r="C3337" s="1" t="s">
        <v>67</v>
      </c>
      <c r="D3337" s="1" t="s">
        <v>8157</v>
      </c>
      <c r="E3337" s="62">
        <v>20</v>
      </c>
      <c r="F3337" s="1" t="s">
        <v>2551</v>
      </c>
      <c r="G3337" s="1" t="s">
        <v>2552</v>
      </c>
    </row>
    <row x14ac:dyDescent="0.25" r="3338" customHeight="1" ht="17.25" hidden="1">
      <c r="A3338" s="112" t="s">
        <v>8158</v>
      </c>
      <c r="B3338" s="1" t="s">
        <v>2549</v>
      </c>
      <c r="C3338" s="1" t="s">
        <v>67</v>
      </c>
      <c r="D3338" s="1" t="s">
        <v>8159</v>
      </c>
      <c r="E3338" s="62">
        <v>33</v>
      </c>
      <c r="F3338" s="1" t="s">
        <v>2551</v>
      </c>
      <c r="G3338" s="1" t="s">
        <v>2552</v>
      </c>
    </row>
    <row x14ac:dyDescent="0.25" r="3339" customHeight="1" ht="17.25" hidden="1">
      <c r="A3339" s="112" t="s">
        <v>8160</v>
      </c>
      <c r="B3339" s="1" t="s">
        <v>2549</v>
      </c>
      <c r="C3339" s="1" t="s">
        <v>67</v>
      </c>
      <c r="D3339" s="1" t="s">
        <v>8161</v>
      </c>
      <c r="E3339" s="62">
        <v>37</v>
      </c>
      <c r="F3339" s="1" t="s">
        <v>2561</v>
      </c>
      <c r="G3339" s="1" t="s">
        <v>2555</v>
      </c>
    </row>
    <row x14ac:dyDescent="0.25" r="3340" customHeight="1" ht="17.25" hidden="1">
      <c r="A3340" s="112" t="s">
        <v>8162</v>
      </c>
      <c r="B3340" s="1" t="s">
        <v>2549</v>
      </c>
      <c r="C3340" s="1" t="s">
        <v>67</v>
      </c>
      <c r="D3340" s="1" t="s">
        <v>8163</v>
      </c>
      <c r="E3340" s="62">
        <v>51</v>
      </c>
      <c r="F3340" s="1" t="s">
        <v>2551</v>
      </c>
      <c r="G3340" s="1" t="s">
        <v>2555</v>
      </c>
    </row>
    <row x14ac:dyDescent="0.25" r="3341" customHeight="1" ht="17.25" hidden="1">
      <c r="A3341" s="112" t="s">
        <v>8164</v>
      </c>
      <c r="B3341" s="1" t="s">
        <v>2549</v>
      </c>
      <c r="C3341" s="1" t="s">
        <v>67</v>
      </c>
      <c r="D3341" s="1" t="s">
        <v>8165</v>
      </c>
      <c r="E3341" s="62">
        <v>46</v>
      </c>
      <c r="F3341" s="1" t="s">
        <v>2551</v>
      </c>
      <c r="G3341" s="1" t="s">
        <v>2558</v>
      </c>
    </row>
    <row x14ac:dyDescent="0.25" r="3342" customHeight="1" ht="17.25" hidden="1">
      <c r="A3342" s="112" t="s">
        <v>8166</v>
      </c>
      <c r="B3342" s="1" t="s">
        <v>2549</v>
      </c>
      <c r="C3342" s="1" t="s">
        <v>67</v>
      </c>
      <c r="D3342" s="1" t="s">
        <v>8167</v>
      </c>
      <c r="E3342" s="62">
        <v>29</v>
      </c>
      <c r="F3342" s="1" t="s">
        <v>2551</v>
      </c>
      <c r="G3342" s="1" t="s">
        <v>2555</v>
      </c>
    </row>
    <row x14ac:dyDescent="0.25" r="3343" customHeight="1" ht="17.25" hidden="1">
      <c r="A3343" s="112" t="s">
        <v>8168</v>
      </c>
      <c r="B3343" s="1" t="s">
        <v>2549</v>
      </c>
      <c r="C3343" s="1" t="s">
        <v>67</v>
      </c>
      <c r="D3343" s="1" t="s">
        <v>8169</v>
      </c>
      <c r="E3343" s="62">
        <v>30</v>
      </c>
      <c r="F3343" s="1" t="s">
        <v>2551</v>
      </c>
      <c r="G3343" s="1" t="s">
        <v>2552</v>
      </c>
    </row>
    <row x14ac:dyDescent="0.25" r="3344" customHeight="1" ht="17.25" hidden="1">
      <c r="A3344" s="112" t="s">
        <v>8170</v>
      </c>
      <c r="B3344" s="1" t="s">
        <v>2549</v>
      </c>
      <c r="C3344" s="1" t="s">
        <v>67</v>
      </c>
      <c r="D3344" s="1" t="s">
        <v>8171</v>
      </c>
      <c r="E3344" s="62">
        <v>18</v>
      </c>
      <c r="F3344" s="1" t="s">
        <v>2551</v>
      </c>
      <c r="G3344" s="1" t="s">
        <v>2552</v>
      </c>
    </row>
    <row x14ac:dyDescent="0.25" r="3345" customHeight="1" ht="17.25" hidden="1">
      <c r="A3345" s="112" t="s">
        <v>8172</v>
      </c>
      <c r="B3345" s="1" t="s">
        <v>2549</v>
      </c>
      <c r="C3345" s="1" t="s">
        <v>67</v>
      </c>
      <c r="D3345" s="1" t="s">
        <v>8173</v>
      </c>
      <c r="E3345" s="62">
        <v>25</v>
      </c>
      <c r="F3345" s="1" t="s">
        <v>2551</v>
      </c>
      <c r="G3345" s="1" t="s">
        <v>2552</v>
      </c>
    </row>
    <row x14ac:dyDescent="0.25" r="3346" customHeight="1" ht="17.25" hidden="1">
      <c r="A3346" s="112" t="s">
        <v>8174</v>
      </c>
      <c r="B3346" s="1" t="s">
        <v>2549</v>
      </c>
      <c r="C3346" s="1" t="s">
        <v>67</v>
      </c>
      <c r="D3346" s="1" t="s">
        <v>8175</v>
      </c>
      <c r="E3346" s="62">
        <v>20</v>
      </c>
      <c r="F3346" s="1" t="s">
        <v>2551</v>
      </c>
      <c r="G3346" s="1" t="s">
        <v>2555</v>
      </c>
    </row>
    <row x14ac:dyDescent="0.25" r="3347" customHeight="1" ht="17.25" hidden="1">
      <c r="A3347" s="112" t="s">
        <v>8176</v>
      </c>
      <c r="B3347" s="1" t="s">
        <v>2549</v>
      </c>
      <c r="C3347" s="1" t="s">
        <v>67</v>
      </c>
      <c r="D3347" s="1" t="s">
        <v>8177</v>
      </c>
      <c r="E3347" s="62">
        <v>22</v>
      </c>
      <c r="F3347" s="1" t="s">
        <v>2551</v>
      </c>
      <c r="G3347" s="1" t="s">
        <v>2552</v>
      </c>
    </row>
    <row x14ac:dyDescent="0.25" r="3348" customHeight="1" ht="17.25" hidden="1">
      <c r="A3348" s="112" t="s">
        <v>8178</v>
      </c>
      <c r="B3348" s="1" t="s">
        <v>2549</v>
      </c>
      <c r="C3348" s="1" t="s">
        <v>67</v>
      </c>
      <c r="D3348" s="1" t="s">
        <v>8179</v>
      </c>
      <c r="E3348" s="62">
        <v>30</v>
      </c>
      <c r="F3348" s="1" t="s">
        <v>2551</v>
      </c>
      <c r="G3348" s="1" t="s">
        <v>2552</v>
      </c>
    </row>
    <row x14ac:dyDescent="0.25" r="3349" customHeight="1" ht="17.25" hidden="1">
      <c r="A3349" s="112" t="s">
        <v>8180</v>
      </c>
      <c r="B3349" s="1" t="s">
        <v>2549</v>
      </c>
      <c r="C3349" s="1" t="s">
        <v>67</v>
      </c>
      <c r="D3349" s="1" t="s">
        <v>8181</v>
      </c>
      <c r="E3349" s="62">
        <v>21</v>
      </c>
      <c r="F3349" s="1" t="s">
        <v>2551</v>
      </c>
      <c r="G3349" s="1" t="s">
        <v>2555</v>
      </c>
    </row>
    <row x14ac:dyDescent="0.25" r="3350" customHeight="1" ht="17.25" hidden="1">
      <c r="A3350" s="112" t="s">
        <v>8182</v>
      </c>
      <c r="B3350" s="1" t="s">
        <v>2549</v>
      </c>
      <c r="C3350" s="1" t="s">
        <v>67</v>
      </c>
      <c r="D3350" s="1" t="s">
        <v>8183</v>
      </c>
      <c r="E3350" s="62">
        <v>18</v>
      </c>
      <c r="F3350" s="1" t="s">
        <v>2561</v>
      </c>
      <c r="G3350" s="1" t="s">
        <v>2558</v>
      </c>
    </row>
    <row x14ac:dyDescent="0.25" r="3351" customHeight="1" ht="17.25" hidden="1">
      <c r="A3351" s="112" t="s">
        <v>8184</v>
      </c>
      <c r="B3351" s="1" t="s">
        <v>2549</v>
      </c>
      <c r="C3351" s="1" t="s">
        <v>67</v>
      </c>
      <c r="D3351" s="1" t="s">
        <v>8185</v>
      </c>
      <c r="E3351" s="62">
        <v>35</v>
      </c>
      <c r="F3351" s="1" t="s">
        <v>2561</v>
      </c>
      <c r="G3351" s="1" t="s">
        <v>2555</v>
      </c>
    </row>
    <row x14ac:dyDescent="0.25" r="3352" customHeight="1" ht="17.25" hidden="1">
      <c r="A3352" s="112" t="s">
        <v>8186</v>
      </c>
      <c r="B3352" s="1" t="s">
        <v>2549</v>
      </c>
      <c r="C3352" s="1" t="s">
        <v>67</v>
      </c>
      <c r="D3352" s="1" t="s">
        <v>8187</v>
      </c>
      <c r="E3352" s="62">
        <v>18</v>
      </c>
      <c r="F3352" s="1" t="s">
        <v>2551</v>
      </c>
      <c r="G3352" s="1" t="s">
        <v>4578</v>
      </c>
    </row>
    <row x14ac:dyDescent="0.25" r="3353" customHeight="1" ht="17.25" hidden="1">
      <c r="A3353" s="112" t="s">
        <v>1802</v>
      </c>
      <c r="B3353" s="1" t="s">
        <v>2549</v>
      </c>
      <c r="C3353" s="1" t="s">
        <v>67</v>
      </c>
      <c r="D3353" s="1" t="s">
        <v>1804</v>
      </c>
      <c r="E3353" s="62">
        <v>31</v>
      </c>
      <c r="F3353" s="1" t="s">
        <v>2551</v>
      </c>
      <c r="G3353" s="1" t="s">
        <v>2552</v>
      </c>
    </row>
    <row x14ac:dyDescent="0.25" r="3354" customHeight="1" ht="17.25" hidden="1">
      <c r="A3354" s="112" t="s">
        <v>8188</v>
      </c>
      <c r="B3354" s="1" t="s">
        <v>2549</v>
      </c>
      <c r="C3354" s="1" t="s">
        <v>67</v>
      </c>
      <c r="D3354" s="1" t="s">
        <v>8189</v>
      </c>
      <c r="E3354" s="62">
        <v>22</v>
      </c>
      <c r="F3354" s="1" t="s">
        <v>2551</v>
      </c>
      <c r="G3354" s="1" t="s">
        <v>2552</v>
      </c>
    </row>
    <row x14ac:dyDescent="0.25" r="3355" customHeight="1" ht="17.25" hidden="1">
      <c r="A3355" s="112" t="s">
        <v>8190</v>
      </c>
      <c r="B3355" s="1" t="s">
        <v>2549</v>
      </c>
      <c r="C3355" s="1" t="s">
        <v>67</v>
      </c>
      <c r="D3355" s="1" t="s">
        <v>8191</v>
      </c>
      <c r="E3355" s="62">
        <v>20</v>
      </c>
      <c r="F3355" s="1" t="s">
        <v>2551</v>
      </c>
      <c r="G3355" s="1" t="s">
        <v>2552</v>
      </c>
    </row>
    <row x14ac:dyDescent="0.25" r="3356" customHeight="1" ht="17.25" hidden="1">
      <c r="A3356" s="112" t="s">
        <v>8190</v>
      </c>
      <c r="B3356" s="1" t="s">
        <v>2549</v>
      </c>
      <c r="C3356" s="1" t="s">
        <v>67</v>
      </c>
      <c r="D3356" s="1" t="s">
        <v>8192</v>
      </c>
      <c r="E3356" s="62">
        <v>24</v>
      </c>
      <c r="F3356" s="1" t="s">
        <v>2551</v>
      </c>
      <c r="G3356" s="1" t="s">
        <v>2555</v>
      </c>
    </row>
    <row x14ac:dyDescent="0.25" r="3357" customHeight="1" ht="17.25" hidden="1">
      <c r="A3357" s="112" t="s">
        <v>8193</v>
      </c>
      <c r="B3357" s="1" t="s">
        <v>2549</v>
      </c>
      <c r="C3357" s="1" t="s">
        <v>67</v>
      </c>
      <c r="D3357" s="1" t="s">
        <v>8194</v>
      </c>
      <c r="E3357" s="62">
        <v>21</v>
      </c>
      <c r="F3357" s="1" t="s">
        <v>2551</v>
      </c>
      <c r="G3357" s="1" t="s">
        <v>2555</v>
      </c>
    </row>
    <row x14ac:dyDescent="0.25" r="3358" customHeight="1" ht="17.25" hidden="1">
      <c r="A3358" s="112" t="s">
        <v>8195</v>
      </c>
      <c r="B3358" s="1" t="s">
        <v>2549</v>
      </c>
      <c r="C3358" s="1" t="s">
        <v>67</v>
      </c>
      <c r="D3358" s="1" t="s">
        <v>8196</v>
      </c>
      <c r="E3358" s="62">
        <v>21</v>
      </c>
      <c r="F3358" s="1" t="s">
        <v>2551</v>
      </c>
      <c r="G3358" s="1" t="s">
        <v>2552</v>
      </c>
    </row>
    <row x14ac:dyDescent="0.25" r="3359" customHeight="1" ht="17.25" hidden="1">
      <c r="A3359" s="112" t="s">
        <v>8195</v>
      </c>
      <c r="B3359" s="1" t="s">
        <v>2549</v>
      </c>
      <c r="C3359" s="1" t="s">
        <v>67</v>
      </c>
      <c r="D3359" s="1" t="s">
        <v>8197</v>
      </c>
      <c r="E3359" s="62">
        <v>26</v>
      </c>
      <c r="F3359" s="1" t="s">
        <v>2551</v>
      </c>
      <c r="G3359" s="1" t="s">
        <v>2552</v>
      </c>
    </row>
    <row x14ac:dyDescent="0.25" r="3360" customHeight="1" ht="17.25" hidden="1">
      <c r="A3360" s="112" t="s">
        <v>8198</v>
      </c>
      <c r="B3360" s="1" t="s">
        <v>2549</v>
      </c>
      <c r="C3360" s="1" t="s">
        <v>67</v>
      </c>
      <c r="D3360" s="1" t="s">
        <v>8199</v>
      </c>
      <c r="E3360" s="62">
        <v>20</v>
      </c>
      <c r="F3360" s="1" t="s">
        <v>2551</v>
      </c>
      <c r="G3360" s="1" t="s">
        <v>2552</v>
      </c>
    </row>
    <row x14ac:dyDescent="0.25" r="3361" customHeight="1" ht="17.25" hidden="1">
      <c r="A3361" s="112" t="s">
        <v>8200</v>
      </c>
      <c r="B3361" s="1" t="s">
        <v>2549</v>
      </c>
      <c r="C3361" s="1" t="s">
        <v>67</v>
      </c>
      <c r="D3361" s="1" t="s">
        <v>8201</v>
      </c>
      <c r="E3361" s="62">
        <v>29</v>
      </c>
      <c r="F3361" s="1" t="s">
        <v>2551</v>
      </c>
      <c r="G3361" s="1" t="s">
        <v>2555</v>
      </c>
    </row>
    <row x14ac:dyDescent="0.25" r="3362" customHeight="1" ht="17.25" hidden="1">
      <c r="A3362" s="112" t="s">
        <v>8202</v>
      </c>
      <c r="B3362" s="1" t="s">
        <v>2549</v>
      </c>
      <c r="C3362" s="1" t="s">
        <v>67</v>
      </c>
      <c r="D3362" s="1" t="s">
        <v>8203</v>
      </c>
      <c r="E3362" s="62">
        <v>25</v>
      </c>
      <c r="F3362" s="1" t="s">
        <v>2551</v>
      </c>
      <c r="G3362" s="1" t="s">
        <v>2552</v>
      </c>
    </row>
    <row x14ac:dyDescent="0.25" r="3363" customHeight="1" ht="17.25" hidden="1">
      <c r="A3363" s="112" t="s">
        <v>8204</v>
      </c>
      <c r="B3363" s="1" t="s">
        <v>2549</v>
      </c>
      <c r="C3363" s="1" t="s">
        <v>67</v>
      </c>
      <c r="D3363" s="1" t="s">
        <v>8205</v>
      </c>
      <c r="E3363" s="62">
        <v>28</v>
      </c>
      <c r="F3363" s="1" t="s">
        <v>2551</v>
      </c>
      <c r="G3363" s="1" t="s">
        <v>2552</v>
      </c>
    </row>
    <row x14ac:dyDescent="0.25" r="3364" customHeight="1" ht="17.25" hidden="1">
      <c r="A3364" s="112" t="s">
        <v>1646</v>
      </c>
      <c r="B3364" s="1" t="s">
        <v>2549</v>
      </c>
      <c r="C3364" s="1" t="s">
        <v>67</v>
      </c>
      <c r="D3364" s="1" t="s">
        <v>1647</v>
      </c>
      <c r="E3364" s="62">
        <v>19</v>
      </c>
      <c r="F3364" s="1" t="s">
        <v>2551</v>
      </c>
      <c r="G3364" s="1" t="s">
        <v>2552</v>
      </c>
    </row>
    <row x14ac:dyDescent="0.25" r="3365" customHeight="1" ht="17.25" hidden="1">
      <c r="A3365" s="112" t="s">
        <v>8206</v>
      </c>
      <c r="B3365" s="1" t="s">
        <v>2549</v>
      </c>
      <c r="C3365" s="1" t="s">
        <v>67</v>
      </c>
      <c r="D3365" s="1" t="s">
        <v>8207</v>
      </c>
      <c r="E3365" s="62">
        <v>19</v>
      </c>
      <c r="F3365" s="1" t="s">
        <v>2551</v>
      </c>
      <c r="G3365" s="1" t="s">
        <v>2558</v>
      </c>
    </row>
    <row x14ac:dyDescent="0.25" r="3366" customHeight="1" ht="17.25" hidden="1">
      <c r="A3366" s="112" t="s">
        <v>8208</v>
      </c>
      <c r="B3366" s="1" t="s">
        <v>2549</v>
      </c>
      <c r="C3366" s="1" t="s">
        <v>67</v>
      </c>
      <c r="D3366" s="1" t="s">
        <v>8209</v>
      </c>
      <c r="E3366" s="62">
        <v>24</v>
      </c>
      <c r="F3366" s="1" t="s">
        <v>2551</v>
      </c>
      <c r="G3366" s="1" t="s">
        <v>2552</v>
      </c>
    </row>
    <row x14ac:dyDescent="0.25" r="3367" customHeight="1" ht="17.25" hidden="1">
      <c r="A3367" s="112" t="s">
        <v>8210</v>
      </c>
      <c r="B3367" s="1" t="s">
        <v>2549</v>
      </c>
      <c r="C3367" s="1" t="s">
        <v>67</v>
      </c>
      <c r="D3367" s="1" t="s">
        <v>8211</v>
      </c>
      <c r="E3367" s="62">
        <v>30</v>
      </c>
      <c r="F3367" s="1" t="s">
        <v>2551</v>
      </c>
      <c r="G3367" s="1" t="s">
        <v>2552</v>
      </c>
    </row>
    <row x14ac:dyDescent="0.25" r="3368" customHeight="1" ht="17.25" hidden="1">
      <c r="A3368" s="112" t="s">
        <v>8212</v>
      </c>
      <c r="B3368" s="1" t="s">
        <v>2549</v>
      </c>
      <c r="C3368" s="1" t="s">
        <v>67</v>
      </c>
      <c r="D3368" s="1" t="s">
        <v>8213</v>
      </c>
      <c r="E3368" s="62">
        <v>20</v>
      </c>
      <c r="F3368" s="1" t="s">
        <v>2551</v>
      </c>
      <c r="G3368" s="1" t="s">
        <v>2555</v>
      </c>
    </row>
    <row x14ac:dyDescent="0.25" r="3369" customHeight="1" ht="17.25" hidden="1">
      <c r="A3369" s="112" t="s">
        <v>8212</v>
      </c>
      <c r="B3369" s="1" t="s">
        <v>2549</v>
      </c>
      <c r="C3369" s="1" t="s">
        <v>67</v>
      </c>
      <c r="D3369" s="1" t="s">
        <v>8214</v>
      </c>
      <c r="E3369" s="62">
        <v>20</v>
      </c>
      <c r="F3369" s="1" t="s">
        <v>2551</v>
      </c>
      <c r="G3369" s="1" t="s">
        <v>2555</v>
      </c>
    </row>
    <row x14ac:dyDescent="0.25" r="3370" customHeight="1" ht="17.25" hidden="1">
      <c r="A3370" s="112" t="s">
        <v>8215</v>
      </c>
      <c r="B3370" s="1" t="s">
        <v>2549</v>
      </c>
      <c r="C3370" s="1" t="s">
        <v>67</v>
      </c>
      <c r="D3370" s="1" t="s">
        <v>8216</v>
      </c>
      <c r="E3370" s="62">
        <v>18</v>
      </c>
      <c r="F3370" s="1" t="s">
        <v>2551</v>
      </c>
      <c r="G3370" s="1" t="s">
        <v>2555</v>
      </c>
    </row>
    <row x14ac:dyDescent="0.25" r="3371" customHeight="1" ht="17.25" hidden="1">
      <c r="A3371" s="112" t="s">
        <v>8217</v>
      </c>
      <c r="B3371" s="1" t="s">
        <v>2549</v>
      </c>
      <c r="C3371" s="1" t="s">
        <v>67</v>
      </c>
      <c r="D3371" s="1" t="s">
        <v>8218</v>
      </c>
      <c r="E3371" s="62">
        <v>27</v>
      </c>
      <c r="F3371" s="1" t="s">
        <v>2551</v>
      </c>
      <c r="G3371" s="1" t="s">
        <v>2552</v>
      </c>
    </row>
    <row x14ac:dyDescent="0.25" r="3372" customHeight="1" ht="17.25" hidden="1">
      <c r="A3372" s="112" t="s">
        <v>8219</v>
      </c>
      <c r="B3372" s="1" t="s">
        <v>2549</v>
      </c>
      <c r="C3372" s="1" t="s">
        <v>67</v>
      </c>
      <c r="D3372" s="1" t="s">
        <v>8220</v>
      </c>
      <c r="E3372" s="62">
        <v>21</v>
      </c>
      <c r="F3372" s="1" t="s">
        <v>2551</v>
      </c>
      <c r="G3372" s="1" t="s">
        <v>2555</v>
      </c>
    </row>
    <row x14ac:dyDescent="0.25" r="3373" customHeight="1" ht="17.25" hidden="1">
      <c r="A3373" s="112" t="s">
        <v>8221</v>
      </c>
      <c r="B3373" s="1" t="s">
        <v>2549</v>
      </c>
      <c r="C3373" s="1" t="s">
        <v>67</v>
      </c>
      <c r="D3373" s="1" t="s">
        <v>8222</v>
      </c>
      <c r="E3373" s="62">
        <v>18</v>
      </c>
      <c r="F3373" s="1" t="s">
        <v>2561</v>
      </c>
      <c r="G3373" s="1" t="s">
        <v>2552</v>
      </c>
    </row>
    <row x14ac:dyDescent="0.25" r="3374" customHeight="1" ht="17.25" hidden="1">
      <c r="A3374" s="112" t="s">
        <v>8223</v>
      </c>
      <c r="B3374" s="1" t="s">
        <v>2549</v>
      </c>
      <c r="C3374" s="1" t="s">
        <v>67</v>
      </c>
      <c r="D3374" s="1" t="s">
        <v>8224</v>
      </c>
      <c r="E3374" s="62">
        <v>59</v>
      </c>
      <c r="F3374" s="1" t="s">
        <v>2561</v>
      </c>
      <c r="G3374" s="1" t="s">
        <v>2552</v>
      </c>
    </row>
    <row x14ac:dyDescent="0.25" r="3375" customHeight="1" ht="17.25" hidden="1">
      <c r="A3375" s="112" t="s">
        <v>8225</v>
      </c>
      <c r="B3375" s="1" t="s">
        <v>2549</v>
      </c>
      <c r="C3375" s="1" t="s">
        <v>67</v>
      </c>
      <c r="D3375" s="1" t="s">
        <v>8226</v>
      </c>
      <c r="E3375" s="62">
        <v>20</v>
      </c>
      <c r="F3375" s="1" t="s">
        <v>2551</v>
      </c>
      <c r="G3375" s="1" t="s">
        <v>2552</v>
      </c>
    </row>
    <row x14ac:dyDescent="0.25" r="3376" customHeight="1" ht="17.25" hidden="1">
      <c r="A3376" s="112" t="s">
        <v>8227</v>
      </c>
      <c r="B3376" s="1" t="s">
        <v>2549</v>
      </c>
      <c r="C3376" s="1" t="s">
        <v>67</v>
      </c>
      <c r="D3376" s="1" t="s">
        <v>8228</v>
      </c>
      <c r="E3376" s="62">
        <v>34</v>
      </c>
      <c r="F3376" s="1" t="s">
        <v>2551</v>
      </c>
      <c r="G3376" s="1" t="s">
        <v>2552</v>
      </c>
    </row>
    <row x14ac:dyDescent="0.25" r="3377" customHeight="1" ht="17.25" hidden="1">
      <c r="A3377" s="112" t="s">
        <v>8229</v>
      </c>
      <c r="B3377" s="1" t="s">
        <v>2549</v>
      </c>
      <c r="C3377" s="1" t="s">
        <v>67</v>
      </c>
      <c r="D3377" s="1" t="s">
        <v>8230</v>
      </c>
      <c r="E3377" s="62">
        <v>21</v>
      </c>
      <c r="F3377" s="1" t="s">
        <v>2551</v>
      </c>
      <c r="G3377" s="1" t="s">
        <v>2552</v>
      </c>
    </row>
    <row x14ac:dyDescent="0.25" r="3378" customHeight="1" ht="17.25" hidden="1">
      <c r="A3378" s="112" t="s">
        <v>8231</v>
      </c>
      <c r="B3378" s="1" t="s">
        <v>2549</v>
      </c>
      <c r="C3378" s="1" t="s">
        <v>67</v>
      </c>
      <c r="D3378" s="1" t="s">
        <v>8232</v>
      </c>
      <c r="E3378" s="62">
        <v>20</v>
      </c>
      <c r="F3378" s="1" t="s">
        <v>2551</v>
      </c>
      <c r="G3378" s="1" t="s">
        <v>2555</v>
      </c>
    </row>
    <row x14ac:dyDescent="0.25" r="3379" customHeight="1" ht="17.25" hidden="1">
      <c r="A3379" s="112" t="s">
        <v>8231</v>
      </c>
      <c r="B3379" s="1" t="s">
        <v>2549</v>
      </c>
      <c r="C3379" s="1" t="s">
        <v>67</v>
      </c>
      <c r="D3379" s="1" t="s">
        <v>8233</v>
      </c>
      <c r="E3379" s="62">
        <v>19</v>
      </c>
      <c r="F3379" s="1" t="s">
        <v>2551</v>
      </c>
      <c r="G3379" s="1" t="s">
        <v>2552</v>
      </c>
    </row>
    <row x14ac:dyDescent="0.25" r="3380" customHeight="1" ht="17.25" hidden="1">
      <c r="A3380" s="112" t="s">
        <v>8234</v>
      </c>
      <c r="B3380" s="1" t="s">
        <v>2549</v>
      </c>
      <c r="C3380" s="1" t="s">
        <v>67</v>
      </c>
      <c r="D3380" s="1" t="s">
        <v>8235</v>
      </c>
      <c r="E3380" s="62">
        <v>29</v>
      </c>
      <c r="F3380" s="1" t="s">
        <v>2551</v>
      </c>
      <c r="G3380" s="1" t="s">
        <v>2552</v>
      </c>
    </row>
    <row x14ac:dyDescent="0.25" r="3381" customHeight="1" ht="17.25" hidden="1">
      <c r="A3381" s="112" t="s">
        <v>8234</v>
      </c>
      <c r="B3381" s="1" t="s">
        <v>2549</v>
      </c>
      <c r="C3381" s="1" t="s">
        <v>67</v>
      </c>
      <c r="D3381" s="1" t="s">
        <v>8236</v>
      </c>
      <c r="E3381" s="62">
        <v>34</v>
      </c>
      <c r="F3381" s="1" t="s">
        <v>2551</v>
      </c>
      <c r="G3381" s="1" t="s">
        <v>2555</v>
      </c>
    </row>
    <row x14ac:dyDescent="0.25" r="3382" customHeight="1" ht="17.25" hidden="1">
      <c r="A3382" s="112" t="s">
        <v>8237</v>
      </c>
      <c r="B3382" s="1" t="s">
        <v>2549</v>
      </c>
      <c r="C3382" s="1" t="s">
        <v>67</v>
      </c>
      <c r="D3382" s="1" t="s">
        <v>8238</v>
      </c>
      <c r="E3382" s="62">
        <v>18</v>
      </c>
      <c r="F3382" s="1" t="s">
        <v>2551</v>
      </c>
      <c r="G3382" s="1" t="s">
        <v>2552</v>
      </c>
    </row>
    <row x14ac:dyDescent="0.25" r="3383" customHeight="1" ht="17.25" hidden="1">
      <c r="A3383" s="112" t="s">
        <v>1942</v>
      </c>
      <c r="B3383" s="1" t="s">
        <v>2549</v>
      </c>
      <c r="C3383" s="1" t="s">
        <v>67</v>
      </c>
      <c r="D3383" s="1" t="s">
        <v>1943</v>
      </c>
      <c r="E3383" s="62">
        <v>23</v>
      </c>
      <c r="F3383" s="1" t="s">
        <v>2551</v>
      </c>
      <c r="G3383" s="1" t="s">
        <v>2558</v>
      </c>
    </row>
    <row x14ac:dyDescent="0.25" r="3384" customHeight="1" ht="17.25" hidden="1">
      <c r="A3384" s="112" t="s">
        <v>8239</v>
      </c>
      <c r="B3384" s="1" t="s">
        <v>2549</v>
      </c>
      <c r="C3384" s="1" t="s">
        <v>67</v>
      </c>
      <c r="D3384" s="1" t="s">
        <v>8240</v>
      </c>
      <c r="E3384" s="62">
        <v>24</v>
      </c>
      <c r="F3384" s="1" t="s">
        <v>2561</v>
      </c>
      <c r="G3384" s="1" t="s">
        <v>2558</v>
      </c>
    </row>
    <row x14ac:dyDescent="0.25" r="3385" customHeight="1" ht="17.25" hidden="1">
      <c r="A3385" s="112" t="s">
        <v>8239</v>
      </c>
      <c r="B3385" s="1" t="s">
        <v>2549</v>
      </c>
      <c r="C3385" s="1" t="s">
        <v>67</v>
      </c>
      <c r="D3385" s="1" t="s">
        <v>8241</v>
      </c>
      <c r="E3385" s="62">
        <v>31</v>
      </c>
      <c r="F3385" s="1" t="s">
        <v>2551</v>
      </c>
      <c r="G3385" s="1" t="s">
        <v>2552</v>
      </c>
    </row>
    <row x14ac:dyDescent="0.25" r="3386" customHeight="1" ht="17.25" hidden="1">
      <c r="A3386" s="112" t="s">
        <v>8242</v>
      </c>
      <c r="B3386" s="1" t="s">
        <v>2549</v>
      </c>
      <c r="C3386" s="1" t="s">
        <v>67</v>
      </c>
      <c r="D3386" s="1" t="s">
        <v>8243</v>
      </c>
      <c r="E3386" s="62">
        <v>26</v>
      </c>
      <c r="F3386" s="1" t="s">
        <v>2551</v>
      </c>
      <c r="G3386" s="1" t="s">
        <v>2552</v>
      </c>
    </row>
    <row x14ac:dyDescent="0.25" r="3387" customHeight="1" ht="17.25" hidden="1">
      <c r="A3387" s="112" t="s">
        <v>8244</v>
      </c>
      <c r="B3387" s="1" t="s">
        <v>2549</v>
      </c>
      <c r="C3387" s="1" t="s">
        <v>67</v>
      </c>
      <c r="D3387" s="1" t="s">
        <v>8245</v>
      </c>
      <c r="E3387" s="62">
        <v>24</v>
      </c>
      <c r="F3387" s="1" t="s">
        <v>2551</v>
      </c>
      <c r="G3387" s="1" t="s">
        <v>2552</v>
      </c>
    </row>
    <row x14ac:dyDescent="0.25" r="3388" customHeight="1" ht="17.25" hidden="1">
      <c r="A3388" s="112" t="s">
        <v>8246</v>
      </c>
      <c r="B3388" s="1" t="s">
        <v>2549</v>
      </c>
      <c r="C3388" s="1" t="s">
        <v>67</v>
      </c>
      <c r="D3388" s="1" t="s">
        <v>8247</v>
      </c>
      <c r="E3388" s="62">
        <v>24</v>
      </c>
      <c r="F3388" s="1" t="s">
        <v>2561</v>
      </c>
      <c r="G3388" s="1" t="s">
        <v>2555</v>
      </c>
    </row>
    <row x14ac:dyDescent="0.25" r="3389" customHeight="1" ht="17.25" hidden="1">
      <c r="A3389" s="112" t="s">
        <v>8248</v>
      </c>
      <c r="B3389" s="1" t="s">
        <v>2549</v>
      </c>
      <c r="C3389" s="1" t="s">
        <v>67</v>
      </c>
      <c r="D3389" s="1" t="s">
        <v>8249</v>
      </c>
      <c r="E3389" s="62">
        <v>21</v>
      </c>
      <c r="F3389" s="1" t="s">
        <v>2551</v>
      </c>
      <c r="G3389" s="1" t="s">
        <v>2552</v>
      </c>
    </row>
    <row x14ac:dyDescent="0.25" r="3390" customHeight="1" ht="17.25" hidden="1">
      <c r="A3390" s="112" t="s">
        <v>8250</v>
      </c>
      <c r="B3390" s="1" t="s">
        <v>2549</v>
      </c>
      <c r="C3390" s="1" t="s">
        <v>67</v>
      </c>
      <c r="D3390" s="1" t="s">
        <v>8251</v>
      </c>
      <c r="E3390" s="62">
        <v>24</v>
      </c>
      <c r="F3390" s="1" t="s">
        <v>2551</v>
      </c>
      <c r="G3390" s="1" t="s">
        <v>2552</v>
      </c>
    </row>
    <row x14ac:dyDescent="0.25" r="3391" customHeight="1" ht="17.25" hidden="1">
      <c r="A3391" s="112" t="s">
        <v>8252</v>
      </c>
      <c r="B3391" s="1" t="s">
        <v>2549</v>
      </c>
      <c r="C3391" s="1" t="s">
        <v>67</v>
      </c>
      <c r="D3391" s="1" t="s">
        <v>8253</v>
      </c>
      <c r="E3391" s="62">
        <v>22</v>
      </c>
      <c r="F3391" s="1" t="s">
        <v>2551</v>
      </c>
      <c r="G3391" s="1" t="s">
        <v>2555</v>
      </c>
    </row>
    <row x14ac:dyDescent="0.25" r="3392" customHeight="1" ht="17.25" hidden="1">
      <c r="A3392" s="112" t="s">
        <v>8254</v>
      </c>
      <c r="B3392" s="1" t="s">
        <v>2549</v>
      </c>
      <c r="C3392" s="1" t="s">
        <v>67</v>
      </c>
      <c r="D3392" s="1" t="s">
        <v>8255</v>
      </c>
      <c r="E3392" s="62">
        <v>26</v>
      </c>
      <c r="F3392" s="1" t="s">
        <v>2551</v>
      </c>
      <c r="G3392" s="1" t="s">
        <v>2552</v>
      </c>
    </row>
    <row x14ac:dyDescent="0.25" r="3393" customHeight="1" ht="17.25" hidden="1">
      <c r="A3393" s="112" t="s">
        <v>8256</v>
      </c>
      <c r="B3393" s="1" t="s">
        <v>2549</v>
      </c>
      <c r="C3393" s="1" t="s">
        <v>67</v>
      </c>
      <c r="D3393" s="1" t="s">
        <v>8257</v>
      </c>
      <c r="E3393" s="62">
        <v>19</v>
      </c>
      <c r="F3393" s="1" t="s">
        <v>2551</v>
      </c>
      <c r="G3393" s="1" t="s">
        <v>2552</v>
      </c>
    </row>
    <row x14ac:dyDescent="0.25" r="3394" customHeight="1" ht="17.25" hidden="1">
      <c r="A3394" s="112" t="s">
        <v>8258</v>
      </c>
      <c r="B3394" s="1" t="s">
        <v>2549</v>
      </c>
      <c r="C3394" s="1" t="s">
        <v>67</v>
      </c>
      <c r="D3394" s="1" t="s">
        <v>8259</v>
      </c>
      <c r="E3394" s="62">
        <v>20</v>
      </c>
      <c r="F3394" s="1" t="s">
        <v>2551</v>
      </c>
      <c r="G3394" s="1" t="s">
        <v>2555</v>
      </c>
    </row>
    <row x14ac:dyDescent="0.25" r="3395" customHeight="1" ht="17.25" hidden="1">
      <c r="A3395" s="112" t="s">
        <v>8260</v>
      </c>
      <c r="B3395" s="1" t="s">
        <v>2549</v>
      </c>
      <c r="C3395" s="1" t="s">
        <v>67</v>
      </c>
      <c r="D3395" s="1" t="s">
        <v>8261</v>
      </c>
      <c r="E3395" s="62">
        <v>19</v>
      </c>
      <c r="F3395" s="1" t="s">
        <v>2551</v>
      </c>
      <c r="G3395" s="1" t="s">
        <v>2555</v>
      </c>
    </row>
    <row x14ac:dyDescent="0.25" r="3396" customHeight="1" ht="17.25" hidden="1">
      <c r="A3396" s="112" t="s">
        <v>8262</v>
      </c>
      <c r="B3396" s="1" t="s">
        <v>2549</v>
      </c>
      <c r="C3396" s="1" t="s">
        <v>67</v>
      </c>
      <c r="D3396" s="1" t="s">
        <v>8263</v>
      </c>
      <c r="E3396" s="62">
        <v>23</v>
      </c>
      <c r="F3396" s="1" t="s">
        <v>2551</v>
      </c>
      <c r="G3396" s="1" t="s">
        <v>2552</v>
      </c>
    </row>
    <row x14ac:dyDescent="0.25" r="3397" customHeight="1" ht="17.25" hidden="1">
      <c r="A3397" s="112" t="s">
        <v>8264</v>
      </c>
      <c r="B3397" s="1" t="s">
        <v>2549</v>
      </c>
      <c r="C3397" s="1" t="s">
        <v>67</v>
      </c>
      <c r="D3397" s="1" t="s">
        <v>8265</v>
      </c>
      <c r="E3397" s="62">
        <v>30</v>
      </c>
      <c r="F3397" s="1" t="s">
        <v>2551</v>
      </c>
      <c r="G3397" s="1" t="s">
        <v>2552</v>
      </c>
    </row>
    <row x14ac:dyDescent="0.25" r="3398" customHeight="1" ht="17.25" hidden="1">
      <c r="A3398" s="112" t="s">
        <v>8266</v>
      </c>
      <c r="B3398" s="1" t="s">
        <v>2549</v>
      </c>
      <c r="C3398" s="1" t="s">
        <v>67</v>
      </c>
      <c r="D3398" s="1" t="s">
        <v>8267</v>
      </c>
      <c r="E3398" s="62">
        <v>23</v>
      </c>
      <c r="F3398" s="1" t="s">
        <v>2551</v>
      </c>
      <c r="G3398" s="1" t="s">
        <v>2552</v>
      </c>
    </row>
    <row x14ac:dyDescent="0.25" r="3399" customHeight="1" ht="17.25" hidden="1">
      <c r="A3399" s="112" t="s">
        <v>8268</v>
      </c>
      <c r="B3399" s="1" t="s">
        <v>2549</v>
      </c>
      <c r="C3399" s="1" t="s">
        <v>67</v>
      </c>
      <c r="D3399" s="1" t="s">
        <v>8269</v>
      </c>
      <c r="E3399" s="62">
        <v>21</v>
      </c>
      <c r="F3399" s="1" t="s">
        <v>2551</v>
      </c>
      <c r="G3399" s="1" t="s">
        <v>2555</v>
      </c>
    </row>
    <row x14ac:dyDescent="0.25" r="3400" customHeight="1" ht="17.25" hidden="1">
      <c r="A3400" s="112" t="s">
        <v>8270</v>
      </c>
      <c r="B3400" s="1" t="s">
        <v>2549</v>
      </c>
      <c r="C3400" s="1" t="s">
        <v>67</v>
      </c>
      <c r="D3400" s="1" t="s">
        <v>3689</v>
      </c>
      <c r="E3400" s="62">
        <v>23</v>
      </c>
      <c r="F3400" s="1" t="s">
        <v>2551</v>
      </c>
      <c r="G3400" s="1" t="s">
        <v>2555</v>
      </c>
    </row>
    <row x14ac:dyDescent="0.25" r="3401" customHeight="1" ht="17.25" hidden="1">
      <c r="A3401" s="112" t="s">
        <v>8271</v>
      </c>
      <c r="B3401" s="1" t="s">
        <v>2549</v>
      </c>
      <c r="C3401" s="1" t="s">
        <v>67</v>
      </c>
      <c r="D3401" s="1" t="s">
        <v>8272</v>
      </c>
      <c r="E3401" s="62">
        <v>23</v>
      </c>
      <c r="F3401" s="1" t="s">
        <v>2551</v>
      </c>
      <c r="G3401" s="1" t="s">
        <v>2552</v>
      </c>
    </row>
    <row x14ac:dyDescent="0.25" r="3402" customHeight="1" ht="17.25" hidden="1">
      <c r="A3402" s="112" t="s">
        <v>1743</v>
      </c>
      <c r="B3402" s="1" t="s">
        <v>2549</v>
      </c>
      <c r="C3402" s="1" t="s">
        <v>67</v>
      </c>
      <c r="D3402" s="1" t="s">
        <v>1745</v>
      </c>
      <c r="E3402" s="62">
        <v>25</v>
      </c>
      <c r="F3402" s="1" t="s">
        <v>2551</v>
      </c>
      <c r="G3402" s="1" t="s">
        <v>2552</v>
      </c>
    </row>
    <row x14ac:dyDescent="0.25" r="3403" customHeight="1" ht="17.25" hidden="1">
      <c r="A3403" s="112" t="s">
        <v>900</v>
      </c>
      <c r="B3403" s="1" t="s">
        <v>2549</v>
      </c>
      <c r="C3403" s="1" t="s">
        <v>67</v>
      </c>
      <c r="D3403" s="1" t="s">
        <v>902</v>
      </c>
      <c r="E3403" s="62">
        <v>18</v>
      </c>
      <c r="F3403" s="1" t="s">
        <v>2551</v>
      </c>
      <c r="G3403" s="1" t="s">
        <v>2555</v>
      </c>
    </row>
    <row x14ac:dyDescent="0.25" r="3404" customHeight="1" ht="17.25" hidden="1">
      <c r="A3404" s="112" t="s">
        <v>8273</v>
      </c>
      <c r="B3404" s="1" t="s">
        <v>2549</v>
      </c>
      <c r="C3404" s="1" t="s">
        <v>67</v>
      </c>
      <c r="D3404" s="1" t="s">
        <v>8274</v>
      </c>
      <c r="E3404" s="62">
        <v>20</v>
      </c>
      <c r="F3404" s="1" t="s">
        <v>2551</v>
      </c>
      <c r="G3404" s="1" t="s">
        <v>2555</v>
      </c>
    </row>
    <row x14ac:dyDescent="0.25" r="3405" customHeight="1" ht="17.25" hidden="1">
      <c r="A3405" s="112" t="s">
        <v>8275</v>
      </c>
      <c r="B3405" s="1" t="s">
        <v>2549</v>
      </c>
      <c r="C3405" s="1" t="s">
        <v>67</v>
      </c>
      <c r="D3405" s="1" t="s">
        <v>8276</v>
      </c>
      <c r="E3405" s="62">
        <v>18</v>
      </c>
      <c r="F3405" s="1" t="s">
        <v>2551</v>
      </c>
      <c r="G3405" s="1" t="s">
        <v>2558</v>
      </c>
    </row>
    <row x14ac:dyDescent="0.25" r="3406" customHeight="1" ht="17.25" hidden="1">
      <c r="A3406" s="112" t="s">
        <v>8275</v>
      </c>
      <c r="B3406" s="1" t="s">
        <v>2549</v>
      </c>
      <c r="C3406" s="1" t="s">
        <v>67</v>
      </c>
      <c r="D3406" s="1" t="s">
        <v>8277</v>
      </c>
      <c r="E3406" s="62">
        <v>18</v>
      </c>
      <c r="F3406" s="1" t="s">
        <v>2551</v>
      </c>
      <c r="G3406" s="1" t="s">
        <v>2558</v>
      </c>
    </row>
    <row x14ac:dyDescent="0.25" r="3407" customHeight="1" ht="17.25" hidden="1">
      <c r="A3407" s="112" t="s">
        <v>8278</v>
      </c>
      <c r="B3407" s="1" t="s">
        <v>2549</v>
      </c>
      <c r="C3407" s="1" t="s">
        <v>67</v>
      </c>
      <c r="D3407" s="1" t="s">
        <v>8279</v>
      </c>
      <c r="E3407" s="62">
        <v>45</v>
      </c>
      <c r="F3407" s="1" t="s">
        <v>2561</v>
      </c>
      <c r="G3407" s="1" t="s">
        <v>2552</v>
      </c>
    </row>
    <row x14ac:dyDescent="0.25" r="3408" customHeight="1" ht="17.25" hidden="1">
      <c r="A3408" s="112" t="s">
        <v>8278</v>
      </c>
      <c r="B3408" s="1" t="s">
        <v>2549</v>
      </c>
      <c r="C3408" s="1" t="s">
        <v>67</v>
      </c>
      <c r="D3408" s="1" t="s">
        <v>7599</v>
      </c>
      <c r="E3408" s="62">
        <v>22</v>
      </c>
      <c r="F3408" s="1" t="s">
        <v>2551</v>
      </c>
      <c r="G3408" s="1" t="s">
        <v>2555</v>
      </c>
    </row>
    <row x14ac:dyDescent="0.25" r="3409" customHeight="1" ht="17.25" hidden="1">
      <c r="A3409" s="112" t="s">
        <v>8280</v>
      </c>
      <c r="B3409" s="1" t="s">
        <v>2549</v>
      </c>
      <c r="C3409" s="1" t="s">
        <v>67</v>
      </c>
      <c r="D3409" s="1" t="s">
        <v>8281</v>
      </c>
      <c r="E3409" s="62">
        <v>20</v>
      </c>
      <c r="F3409" s="1" t="s">
        <v>2551</v>
      </c>
      <c r="G3409" s="1" t="s">
        <v>2552</v>
      </c>
    </row>
    <row x14ac:dyDescent="0.25" r="3410" customHeight="1" ht="17.25" hidden="1">
      <c r="A3410" s="112" t="s">
        <v>1113</v>
      </c>
      <c r="B3410" s="1" t="s">
        <v>2549</v>
      </c>
      <c r="C3410" s="1" t="s">
        <v>67</v>
      </c>
      <c r="D3410" s="1" t="s">
        <v>1115</v>
      </c>
      <c r="E3410" s="62">
        <v>19</v>
      </c>
      <c r="F3410" s="1" t="s">
        <v>2551</v>
      </c>
      <c r="G3410" s="1" t="s">
        <v>2555</v>
      </c>
    </row>
    <row x14ac:dyDescent="0.25" r="3411" customHeight="1" ht="17.25" hidden="1">
      <c r="A3411" s="112" t="s">
        <v>8282</v>
      </c>
      <c r="B3411" s="1" t="s">
        <v>2549</v>
      </c>
      <c r="C3411" s="1" t="s">
        <v>67</v>
      </c>
      <c r="D3411" s="1" t="s">
        <v>8283</v>
      </c>
      <c r="E3411" s="62">
        <v>27</v>
      </c>
      <c r="F3411" s="1" t="s">
        <v>2551</v>
      </c>
      <c r="G3411" s="1" t="s">
        <v>2555</v>
      </c>
    </row>
    <row x14ac:dyDescent="0.25" r="3412" customHeight="1" ht="17.25" hidden="1">
      <c r="A3412" s="112" t="s">
        <v>8284</v>
      </c>
      <c r="B3412" s="1" t="s">
        <v>2549</v>
      </c>
      <c r="C3412" s="1" t="s">
        <v>67</v>
      </c>
      <c r="D3412" s="1" t="s">
        <v>8285</v>
      </c>
      <c r="E3412" s="62">
        <v>25</v>
      </c>
      <c r="F3412" s="1" t="s">
        <v>2551</v>
      </c>
      <c r="G3412" s="1" t="s">
        <v>2555</v>
      </c>
    </row>
    <row x14ac:dyDescent="0.25" r="3413" customHeight="1" ht="17.25" hidden="1">
      <c r="A3413" s="112" t="s">
        <v>8286</v>
      </c>
      <c r="B3413" s="1" t="s">
        <v>2549</v>
      </c>
      <c r="C3413" s="1" t="s">
        <v>67</v>
      </c>
      <c r="D3413" s="1" t="s">
        <v>8287</v>
      </c>
      <c r="E3413" s="62">
        <v>22</v>
      </c>
      <c r="F3413" s="1" t="s">
        <v>2551</v>
      </c>
      <c r="G3413" s="1" t="s">
        <v>2555</v>
      </c>
    </row>
    <row x14ac:dyDescent="0.25" r="3414" customHeight="1" ht="17.25" hidden="1">
      <c r="A3414" s="112" t="s">
        <v>8288</v>
      </c>
      <c r="B3414" s="1" t="s">
        <v>2549</v>
      </c>
      <c r="C3414" s="1" t="s">
        <v>67</v>
      </c>
      <c r="D3414" s="1" t="s">
        <v>8289</v>
      </c>
      <c r="E3414" s="62">
        <v>19</v>
      </c>
      <c r="F3414" s="1" t="s">
        <v>2551</v>
      </c>
      <c r="G3414" s="1" t="s">
        <v>2552</v>
      </c>
    </row>
    <row x14ac:dyDescent="0.25" r="3415" customHeight="1" ht="17.25" hidden="1">
      <c r="A3415" s="112" t="s">
        <v>8288</v>
      </c>
      <c r="B3415" s="1" t="s">
        <v>2549</v>
      </c>
      <c r="C3415" s="1" t="s">
        <v>67</v>
      </c>
      <c r="D3415" s="1" t="s">
        <v>8290</v>
      </c>
      <c r="E3415" s="62">
        <v>28</v>
      </c>
      <c r="F3415" s="1" t="s">
        <v>2551</v>
      </c>
      <c r="G3415" s="1" t="s">
        <v>2558</v>
      </c>
    </row>
    <row x14ac:dyDescent="0.25" r="3416" customHeight="1" ht="17.25" hidden="1">
      <c r="A3416" s="112" t="s">
        <v>8291</v>
      </c>
      <c r="B3416" s="1" t="s">
        <v>2549</v>
      </c>
      <c r="C3416" s="1" t="s">
        <v>67</v>
      </c>
      <c r="D3416" s="1" t="s">
        <v>8292</v>
      </c>
      <c r="E3416" s="62">
        <v>33</v>
      </c>
      <c r="F3416" s="1" t="s">
        <v>2551</v>
      </c>
      <c r="G3416" s="1" t="s">
        <v>2552</v>
      </c>
    </row>
    <row x14ac:dyDescent="0.25" r="3417" customHeight="1" ht="17.25" hidden="1">
      <c r="A3417" s="112" t="s">
        <v>8293</v>
      </c>
      <c r="B3417" s="1" t="s">
        <v>2549</v>
      </c>
      <c r="C3417" s="1" t="s">
        <v>67</v>
      </c>
      <c r="D3417" s="1" t="s">
        <v>8294</v>
      </c>
      <c r="E3417" s="62">
        <v>18</v>
      </c>
      <c r="F3417" s="1" t="s">
        <v>2551</v>
      </c>
      <c r="G3417" s="1" t="s">
        <v>2552</v>
      </c>
    </row>
    <row x14ac:dyDescent="0.25" r="3418" customHeight="1" ht="17.25" hidden="1">
      <c r="A3418" s="112" t="s">
        <v>8293</v>
      </c>
      <c r="B3418" s="1" t="s">
        <v>2549</v>
      </c>
      <c r="C3418" s="1" t="s">
        <v>67</v>
      </c>
      <c r="D3418" s="1" t="s">
        <v>8295</v>
      </c>
      <c r="E3418" s="62">
        <v>18</v>
      </c>
      <c r="F3418" s="1" t="s">
        <v>2551</v>
      </c>
      <c r="G3418" s="1" t="s">
        <v>2552</v>
      </c>
    </row>
    <row x14ac:dyDescent="0.25" r="3419" customHeight="1" ht="17.25" hidden="1">
      <c r="A3419" s="112" t="s">
        <v>8296</v>
      </c>
      <c r="B3419" s="1" t="s">
        <v>2549</v>
      </c>
      <c r="C3419" s="1" t="s">
        <v>67</v>
      </c>
      <c r="D3419" s="1" t="s">
        <v>8297</v>
      </c>
      <c r="E3419" s="62">
        <v>26</v>
      </c>
      <c r="F3419" s="1" t="s">
        <v>2551</v>
      </c>
      <c r="G3419" s="1" t="s">
        <v>2552</v>
      </c>
    </row>
    <row x14ac:dyDescent="0.25" r="3420" customHeight="1" ht="17.25" hidden="1">
      <c r="A3420" s="112" t="s">
        <v>8298</v>
      </c>
      <c r="B3420" s="1" t="s">
        <v>2549</v>
      </c>
      <c r="C3420" s="1" t="s">
        <v>67</v>
      </c>
      <c r="D3420" s="1" t="s">
        <v>8299</v>
      </c>
      <c r="E3420" s="62">
        <v>19</v>
      </c>
      <c r="F3420" s="1" t="s">
        <v>2551</v>
      </c>
      <c r="G3420" s="1" t="s">
        <v>2555</v>
      </c>
    </row>
    <row x14ac:dyDescent="0.25" r="3421" customHeight="1" ht="17.25" hidden="1">
      <c r="A3421" s="112" t="s">
        <v>8300</v>
      </c>
      <c r="B3421" s="1" t="s">
        <v>2549</v>
      </c>
      <c r="C3421" s="1" t="s">
        <v>67</v>
      </c>
      <c r="D3421" s="1" t="s">
        <v>8301</v>
      </c>
      <c r="E3421" s="62">
        <v>30</v>
      </c>
      <c r="F3421" s="1" t="s">
        <v>2551</v>
      </c>
      <c r="G3421" s="1" t="s">
        <v>2552</v>
      </c>
    </row>
    <row x14ac:dyDescent="0.25" r="3422" customHeight="1" ht="17.25" hidden="1">
      <c r="A3422" s="112" t="s">
        <v>8302</v>
      </c>
      <c r="B3422" s="1" t="s">
        <v>2549</v>
      </c>
      <c r="C3422" s="1" t="s">
        <v>67</v>
      </c>
      <c r="D3422" s="1" t="s">
        <v>8303</v>
      </c>
      <c r="E3422" s="62">
        <v>45</v>
      </c>
      <c r="F3422" s="1" t="s">
        <v>2551</v>
      </c>
      <c r="G3422" s="1" t="s">
        <v>2558</v>
      </c>
    </row>
    <row x14ac:dyDescent="0.25" r="3423" customHeight="1" ht="17.25" hidden="1">
      <c r="A3423" s="112" t="s">
        <v>8304</v>
      </c>
      <c r="B3423" s="1" t="s">
        <v>2549</v>
      </c>
      <c r="C3423" s="1" t="s">
        <v>67</v>
      </c>
      <c r="D3423" s="1" t="s">
        <v>8305</v>
      </c>
      <c r="E3423" s="62">
        <v>37</v>
      </c>
      <c r="F3423" s="1" t="s">
        <v>2551</v>
      </c>
      <c r="G3423" s="1" t="s">
        <v>2555</v>
      </c>
    </row>
    <row x14ac:dyDescent="0.25" r="3424" customHeight="1" ht="17.25" hidden="1">
      <c r="A3424" s="112" t="s">
        <v>8304</v>
      </c>
      <c r="B3424" s="1" t="s">
        <v>2549</v>
      </c>
      <c r="C3424" s="1" t="s">
        <v>67</v>
      </c>
      <c r="D3424" s="1" t="s">
        <v>8306</v>
      </c>
      <c r="E3424" s="62">
        <v>21</v>
      </c>
      <c r="F3424" s="1" t="s">
        <v>2551</v>
      </c>
      <c r="G3424" s="1" t="s">
        <v>2555</v>
      </c>
    </row>
    <row x14ac:dyDescent="0.25" r="3425" customHeight="1" ht="17.25" hidden="1">
      <c r="A3425" s="112" t="s">
        <v>8307</v>
      </c>
      <c r="B3425" s="1" t="s">
        <v>2549</v>
      </c>
      <c r="C3425" s="1" t="s">
        <v>67</v>
      </c>
      <c r="D3425" s="1" t="s">
        <v>8308</v>
      </c>
      <c r="E3425" s="62">
        <v>20</v>
      </c>
      <c r="F3425" s="1" t="s">
        <v>2551</v>
      </c>
      <c r="G3425" s="1" t="s">
        <v>2552</v>
      </c>
    </row>
    <row x14ac:dyDescent="0.25" r="3426" customHeight="1" ht="17.25" hidden="1">
      <c r="A3426" s="112" t="s">
        <v>8309</v>
      </c>
      <c r="B3426" s="1" t="s">
        <v>2549</v>
      </c>
      <c r="C3426" s="1" t="s">
        <v>67</v>
      </c>
      <c r="D3426" s="1" t="s">
        <v>8310</v>
      </c>
      <c r="E3426" s="62">
        <v>23</v>
      </c>
      <c r="F3426" s="1" t="s">
        <v>2551</v>
      </c>
      <c r="G3426" s="1" t="s">
        <v>2552</v>
      </c>
    </row>
    <row x14ac:dyDescent="0.25" r="3427" customHeight="1" ht="17.25" hidden="1">
      <c r="A3427" s="112" t="s">
        <v>8311</v>
      </c>
      <c r="B3427" s="1" t="s">
        <v>2549</v>
      </c>
      <c r="C3427" s="1" t="s">
        <v>67</v>
      </c>
      <c r="D3427" s="1" t="s">
        <v>8312</v>
      </c>
      <c r="E3427" s="62">
        <v>22</v>
      </c>
      <c r="F3427" s="1" t="s">
        <v>2551</v>
      </c>
      <c r="G3427" s="1" t="s">
        <v>2552</v>
      </c>
    </row>
    <row x14ac:dyDescent="0.25" r="3428" customHeight="1" ht="17.25" hidden="1">
      <c r="A3428" s="112" t="s">
        <v>8311</v>
      </c>
      <c r="B3428" s="1" t="s">
        <v>2549</v>
      </c>
      <c r="C3428" s="1" t="s">
        <v>67</v>
      </c>
      <c r="D3428" s="1" t="s">
        <v>8313</v>
      </c>
      <c r="E3428" s="62">
        <v>18</v>
      </c>
      <c r="F3428" s="1" t="s">
        <v>2551</v>
      </c>
      <c r="G3428" s="1" t="s">
        <v>2552</v>
      </c>
    </row>
    <row x14ac:dyDescent="0.25" r="3429" customHeight="1" ht="17.25" hidden="1">
      <c r="A3429" s="112" t="s">
        <v>8314</v>
      </c>
      <c r="B3429" s="1" t="s">
        <v>2549</v>
      </c>
      <c r="C3429" s="1" t="s">
        <v>67</v>
      </c>
      <c r="D3429" s="1" t="s">
        <v>8315</v>
      </c>
      <c r="E3429" s="62">
        <v>26</v>
      </c>
      <c r="F3429" s="1" t="s">
        <v>2551</v>
      </c>
      <c r="G3429" s="1" t="s">
        <v>2552</v>
      </c>
    </row>
    <row x14ac:dyDescent="0.25" r="3430" customHeight="1" ht="17.25" hidden="1">
      <c r="A3430" s="112" t="s">
        <v>8316</v>
      </c>
      <c r="B3430" s="1" t="s">
        <v>2549</v>
      </c>
      <c r="C3430" s="1" t="s">
        <v>67</v>
      </c>
      <c r="D3430" s="1" t="s">
        <v>8317</v>
      </c>
      <c r="E3430" s="62">
        <v>19</v>
      </c>
      <c r="F3430" s="1" t="s">
        <v>2551</v>
      </c>
      <c r="G3430" s="1" t="s">
        <v>2552</v>
      </c>
    </row>
    <row x14ac:dyDescent="0.25" r="3431" customHeight="1" ht="17.25" hidden="1">
      <c r="A3431" s="112" t="s">
        <v>627</v>
      </c>
      <c r="B3431" s="1" t="s">
        <v>2549</v>
      </c>
      <c r="C3431" s="1" t="s">
        <v>67</v>
      </c>
      <c r="D3431" s="1" t="s">
        <v>629</v>
      </c>
      <c r="E3431" s="62">
        <v>28</v>
      </c>
      <c r="F3431" s="1" t="s">
        <v>2551</v>
      </c>
      <c r="G3431" s="1" t="s">
        <v>2558</v>
      </c>
    </row>
    <row x14ac:dyDescent="0.25" r="3432" customHeight="1" ht="17.25" hidden="1">
      <c r="A3432" s="112" t="s">
        <v>1053</v>
      </c>
      <c r="B3432" s="1" t="s">
        <v>2549</v>
      </c>
      <c r="C3432" s="1" t="s">
        <v>67</v>
      </c>
      <c r="D3432" s="1" t="s">
        <v>8318</v>
      </c>
      <c r="E3432" s="62">
        <v>18</v>
      </c>
      <c r="F3432" s="1" t="s">
        <v>2551</v>
      </c>
      <c r="G3432" s="1" t="s">
        <v>2552</v>
      </c>
    </row>
    <row x14ac:dyDescent="0.25" r="3433" customHeight="1" ht="17.25" hidden="1">
      <c r="A3433" s="112" t="s">
        <v>1053</v>
      </c>
      <c r="B3433" s="1" t="s">
        <v>2549</v>
      </c>
      <c r="C3433" s="1" t="s">
        <v>67</v>
      </c>
      <c r="D3433" s="1" t="s">
        <v>1434</v>
      </c>
      <c r="E3433" s="62">
        <v>19</v>
      </c>
      <c r="F3433" s="1" t="s">
        <v>2551</v>
      </c>
      <c r="G3433" s="1" t="s">
        <v>2552</v>
      </c>
    </row>
    <row x14ac:dyDescent="0.25" r="3434" customHeight="1" ht="17.25" hidden="1">
      <c r="A3434" s="112" t="s">
        <v>8319</v>
      </c>
      <c r="B3434" s="1" t="s">
        <v>2549</v>
      </c>
      <c r="C3434" s="1" t="s">
        <v>67</v>
      </c>
      <c r="D3434" s="1" t="s">
        <v>8320</v>
      </c>
      <c r="E3434" s="62">
        <v>25</v>
      </c>
      <c r="F3434" s="1" t="s">
        <v>2551</v>
      </c>
      <c r="G3434" s="1" t="s">
        <v>2552</v>
      </c>
    </row>
    <row x14ac:dyDescent="0.25" r="3435" customHeight="1" ht="17.25" hidden="1">
      <c r="A3435" s="112" t="s">
        <v>8321</v>
      </c>
      <c r="B3435" s="1" t="s">
        <v>2549</v>
      </c>
      <c r="C3435" s="1" t="s">
        <v>67</v>
      </c>
      <c r="D3435" s="1" t="s">
        <v>8322</v>
      </c>
      <c r="E3435" s="62">
        <v>19</v>
      </c>
      <c r="F3435" s="1" t="s">
        <v>2551</v>
      </c>
      <c r="G3435" s="1" t="s">
        <v>2555</v>
      </c>
    </row>
    <row x14ac:dyDescent="0.25" r="3436" customHeight="1" ht="17.25" hidden="1">
      <c r="A3436" s="112" t="s">
        <v>8321</v>
      </c>
      <c r="B3436" s="1" t="s">
        <v>2549</v>
      </c>
      <c r="C3436" s="1" t="s">
        <v>67</v>
      </c>
      <c r="D3436" s="1" t="s">
        <v>8323</v>
      </c>
      <c r="E3436" s="62">
        <v>25</v>
      </c>
      <c r="F3436" s="1" t="s">
        <v>2551</v>
      </c>
      <c r="G3436" s="1" t="s">
        <v>2555</v>
      </c>
    </row>
    <row x14ac:dyDescent="0.25" r="3437" customHeight="1" ht="17.25" hidden="1">
      <c r="A3437" s="112" t="s">
        <v>8324</v>
      </c>
      <c r="B3437" s="1" t="s">
        <v>2549</v>
      </c>
      <c r="C3437" s="1" t="s">
        <v>67</v>
      </c>
      <c r="D3437" s="1" t="s">
        <v>8325</v>
      </c>
      <c r="E3437" s="62">
        <v>20</v>
      </c>
      <c r="F3437" s="1" t="s">
        <v>2551</v>
      </c>
      <c r="G3437" s="1" t="s">
        <v>2555</v>
      </c>
    </row>
    <row x14ac:dyDescent="0.25" r="3438" customHeight="1" ht="17.25" hidden="1">
      <c r="A3438" s="112" t="s">
        <v>8326</v>
      </c>
      <c r="B3438" s="1" t="s">
        <v>2549</v>
      </c>
      <c r="C3438" s="1" t="s">
        <v>67</v>
      </c>
      <c r="D3438" s="1" t="s">
        <v>8327</v>
      </c>
      <c r="E3438" s="62">
        <v>36</v>
      </c>
      <c r="F3438" s="1" t="s">
        <v>2551</v>
      </c>
      <c r="G3438" s="1" t="s">
        <v>2552</v>
      </c>
    </row>
    <row x14ac:dyDescent="0.25" r="3439" customHeight="1" ht="17.25" hidden="1">
      <c r="A3439" s="112" t="s">
        <v>750</v>
      </c>
      <c r="B3439" s="1" t="s">
        <v>2549</v>
      </c>
      <c r="C3439" s="1" t="s">
        <v>67</v>
      </c>
      <c r="D3439" s="1" t="s">
        <v>752</v>
      </c>
      <c r="E3439" s="62">
        <v>18</v>
      </c>
      <c r="F3439" s="1" t="s">
        <v>2551</v>
      </c>
      <c r="G3439" s="1" t="s">
        <v>2552</v>
      </c>
    </row>
    <row x14ac:dyDescent="0.25" r="3440" customHeight="1" ht="17.25" hidden="1">
      <c r="A3440" s="112" t="s">
        <v>8328</v>
      </c>
      <c r="B3440" s="1" t="s">
        <v>2549</v>
      </c>
      <c r="C3440" s="1" t="s">
        <v>67</v>
      </c>
      <c r="D3440" s="1" t="s">
        <v>8329</v>
      </c>
      <c r="E3440" s="62">
        <v>20</v>
      </c>
      <c r="F3440" s="1" t="s">
        <v>2551</v>
      </c>
      <c r="G3440" s="1" t="s">
        <v>2552</v>
      </c>
    </row>
    <row x14ac:dyDescent="0.25" r="3441" customHeight="1" ht="17.25" hidden="1">
      <c r="A3441" s="112" t="s">
        <v>8330</v>
      </c>
      <c r="B3441" s="1" t="s">
        <v>2549</v>
      </c>
      <c r="C3441" s="1" t="s">
        <v>67</v>
      </c>
      <c r="D3441" s="1" t="s">
        <v>8331</v>
      </c>
      <c r="E3441" s="62">
        <v>38</v>
      </c>
      <c r="F3441" s="1" t="s">
        <v>2551</v>
      </c>
      <c r="G3441" s="1" t="s">
        <v>2552</v>
      </c>
    </row>
    <row x14ac:dyDescent="0.25" r="3442" customHeight="1" ht="17.25" hidden="1">
      <c r="A3442" s="112" t="s">
        <v>8332</v>
      </c>
      <c r="B3442" s="1" t="s">
        <v>2549</v>
      </c>
      <c r="C3442" s="1" t="s">
        <v>67</v>
      </c>
      <c r="D3442" s="1" t="s">
        <v>8333</v>
      </c>
      <c r="E3442" s="62">
        <v>25</v>
      </c>
      <c r="F3442" s="1" t="s">
        <v>2551</v>
      </c>
      <c r="G3442" s="1" t="s">
        <v>2552</v>
      </c>
    </row>
    <row x14ac:dyDescent="0.25" r="3443" customHeight="1" ht="17.25" hidden="1">
      <c r="A3443" s="112" t="s">
        <v>8334</v>
      </c>
      <c r="B3443" s="1" t="s">
        <v>2549</v>
      </c>
      <c r="C3443" s="1" t="s">
        <v>67</v>
      </c>
      <c r="D3443" s="1" t="s">
        <v>8335</v>
      </c>
      <c r="E3443" s="62">
        <v>18</v>
      </c>
      <c r="F3443" s="1" t="s">
        <v>2551</v>
      </c>
      <c r="G3443" s="1" t="s">
        <v>2552</v>
      </c>
    </row>
    <row x14ac:dyDescent="0.25" r="3444" customHeight="1" ht="17.25" hidden="1">
      <c r="A3444" s="112" t="s">
        <v>8336</v>
      </c>
      <c r="B3444" s="1" t="s">
        <v>2549</v>
      </c>
      <c r="C3444" s="1" t="s">
        <v>67</v>
      </c>
      <c r="D3444" s="1" t="s">
        <v>8337</v>
      </c>
      <c r="E3444" s="62">
        <v>28</v>
      </c>
      <c r="F3444" s="1" t="s">
        <v>2561</v>
      </c>
      <c r="G3444" s="1" t="s">
        <v>2552</v>
      </c>
    </row>
    <row x14ac:dyDescent="0.25" r="3445" customHeight="1" ht="17.25" hidden="1">
      <c r="A3445" s="112" t="s">
        <v>8338</v>
      </c>
      <c r="B3445" s="1" t="s">
        <v>2549</v>
      </c>
      <c r="C3445" s="1" t="s">
        <v>67</v>
      </c>
      <c r="D3445" s="1" t="s">
        <v>8339</v>
      </c>
      <c r="E3445" s="62">
        <v>21</v>
      </c>
      <c r="F3445" s="1" t="s">
        <v>2561</v>
      </c>
      <c r="G3445" s="1" t="s">
        <v>2558</v>
      </c>
    </row>
    <row x14ac:dyDescent="0.25" r="3446" customHeight="1" ht="17.25" hidden="1">
      <c r="A3446" s="112" t="s">
        <v>8340</v>
      </c>
      <c r="B3446" s="1" t="s">
        <v>2549</v>
      </c>
      <c r="C3446" s="1" t="s">
        <v>67</v>
      </c>
      <c r="D3446" s="1" t="s">
        <v>8341</v>
      </c>
      <c r="E3446" s="62">
        <v>30</v>
      </c>
      <c r="F3446" s="1" t="s">
        <v>2551</v>
      </c>
      <c r="G3446" s="1" t="s">
        <v>2552</v>
      </c>
    </row>
    <row x14ac:dyDescent="0.25" r="3447" customHeight="1" ht="17.25" hidden="1">
      <c r="A3447" s="112" t="s">
        <v>8342</v>
      </c>
      <c r="B3447" s="1" t="s">
        <v>2549</v>
      </c>
      <c r="C3447" s="1" t="s">
        <v>67</v>
      </c>
      <c r="D3447" s="1" t="s">
        <v>8343</v>
      </c>
      <c r="E3447" s="62">
        <v>24</v>
      </c>
      <c r="F3447" s="1" t="s">
        <v>2551</v>
      </c>
      <c r="G3447" s="1" t="s">
        <v>2558</v>
      </c>
    </row>
    <row x14ac:dyDescent="0.25" r="3448" customHeight="1" ht="17.25" hidden="1">
      <c r="A3448" s="112" t="s">
        <v>8344</v>
      </c>
      <c r="B3448" s="1" t="s">
        <v>2549</v>
      </c>
      <c r="C3448" s="1" t="s">
        <v>67</v>
      </c>
      <c r="D3448" s="1" t="s">
        <v>8345</v>
      </c>
      <c r="E3448" s="62">
        <v>26</v>
      </c>
      <c r="F3448" s="1" t="s">
        <v>2551</v>
      </c>
      <c r="G3448" s="1" t="s">
        <v>2555</v>
      </c>
    </row>
    <row x14ac:dyDescent="0.25" r="3449" customHeight="1" ht="17.25" hidden="1">
      <c r="A3449" s="112" t="s">
        <v>8346</v>
      </c>
      <c r="B3449" s="1" t="s">
        <v>2549</v>
      </c>
      <c r="C3449" s="1" t="s">
        <v>67</v>
      </c>
      <c r="D3449" s="1" t="s">
        <v>8347</v>
      </c>
      <c r="E3449" s="62">
        <v>38</v>
      </c>
      <c r="F3449" s="1" t="s">
        <v>2551</v>
      </c>
      <c r="G3449" s="1" t="s">
        <v>2555</v>
      </c>
    </row>
    <row x14ac:dyDescent="0.25" r="3450" customHeight="1" ht="17.25" hidden="1">
      <c r="A3450" s="112" t="s">
        <v>8348</v>
      </c>
      <c r="B3450" s="1" t="s">
        <v>2549</v>
      </c>
      <c r="C3450" s="1" t="s">
        <v>67</v>
      </c>
      <c r="D3450" s="1" t="s">
        <v>8349</v>
      </c>
      <c r="E3450" s="62">
        <v>19</v>
      </c>
      <c r="F3450" s="1" t="s">
        <v>2551</v>
      </c>
      <c r="G3450" s="1" t="s">
        <v>2555</v>
      </c>
    </row>
    <row x14ac:dyDescent="0.25" r="3451" customHeight="1" ht="17.25" hidden="1">
      <c r="A3451" s="112" t="s">
        <v>8350</v>
      </c>
      <c r="B3451" s="1" t="s">
        <v>2549</v>
      </c>
      <c r="C3451" s="1" t="s">
        <v>67</v>
      </c>
      <c r="D3451" s="1" t="s">
        <v>8351</v>
      </c>
      <c r="E3451" s="62">
        <v>29</v>
      </c>
      <c r="F3451" s="1" t="s">
        <v>2551</v>
      </c>
      <c r="G3451" s="1" t="s">
        <v>2571</v>
      </c>
    </row>
    <row x14ac:dyDescent="0.25" r="3452" customHeight="1" ht="17.25" hidden="1">
      <c r="A3452" s="112" t="s">
        <v>8352</v>
      </c>
      <c r="B3452" s="1" t="s">
        <v>2549</v>
      </c>
      <c r="C3452" s="1" t="s">
        <v>67</v>
      </c>
      <c r="D3452" s="1" t="s">
        <v>8353</v>
      </c>
      <c r="E3452" s="62">
        <v>45</v>
      </c>
      <c r="F3452" s="1" t="s">
        <v>2551</v>
      </c>
      <c r="G3452" s="1" t="s">
        <v>2552</v>
      </c>
    </row>
    <row x14ac:dyDescent="0.25" r="3453" customHeight="1" ht="17.25" hidden="1">
      <c r="A3453" s="112" t="s">
        <v>8354</v>
      </c>
      <c r="B3453" s="1" t="s">
        <v>2549</v>
      </c>
      <c r="C3453" s="1" t="s">
        <v>67</v>
      </c>
      <c r="D3453" s="1" t="s">
        <v>8355</v>
      </c>
      <c r="E3453" s="62">
        <v>18</v>
      </c>
      <c r="F3453" s="1" t="s">
        <v>2551</v>
      </c>
      <c r="G3453" s="1" t="s">
        <v>2555</v>
      </c>
    </row>
    <row x14ac:dyDescent="0.25" r="3454" customHeight="1" ht="17.25" hidden="1">
      <c r="A3454" s="112" t="s">
        <v>816</v>
      </c>
      <c r="B3454" s="1" t="s">
        <v>2549</v>
      </c>
      <c r="C3454" s="1" t="s">
        <v>67</v>
      </c>
      <c r="D3454" s="1" t="s">
        <v>8356</v>
      </c>
      <c r="E3454" s="62">
        <v>33</v>
      </c>
      <c r="F3454" s="1" t="s">
        <v>2551</v>
      </c>
      <c r="G3454" s="1" t="s">
        <v>2552</v>
      </c>
    </row>
    <row x14ac:dyDescent="0.25" r="3455" customHeight="1" ht="17.25" hidden="1">
      <c r="A3455" s="112" t="s">
        <v>8357</v>
      </c>
      <c r="B3455" s="1" t="s">
        <v>2549</v>
      </c>
      <c r="C3455" s="1" t="s">
        <v>67</v>
      </c>
      <c r="D3455" s="1" t="s">
        <v>8358</v>
      </c>
      <c r="E3455" s="62">
        <v>34</v>
      </c>
      <c r="F3455" s="1" t="s">
        <v>2551</v>
      </c>
      <c r="G3455" s="1" t="s">
        <v>2552</v>
      </c>
    </row>
    <row x14ac:dyDescent="0.25" r="3456" customHeight="1" ht="17.25" hidden="1">
      <c r="A3456" s="112" t="s">
        <v>8359</v>
      </c>
      <c r="B3456" s="1" t="s">
        <v>2549</v>
      </c>
      <c r="C3456" s="1" t="s">
        <v>67</v>
      </c>
      <c r="D3456" s="1" t="s">
        <v>8360</v>
      </c>
      <c r="E3456" s="62">
        <v>31</v>
      </c>
      <c r="F3456" s="1" t="s">
        <v>2551</v>
      </c>
      <c r="G3456" s="1" t="s">
        <v>2555</v>
      </c>
    </row>
    <row x14ac:dyDescent="0.25" r="3457" customHeight="1" ht="17.25" hidden="1">
      <c r="A3457" s="112" t="s">
        <v>8361</v>
      </c>
      <c r="B3457" s="1" t="s">
        <v>2549</v>
      </c>
      <c r="C3457" s="1" t="s">
        <v>67</v>
      </c>
      <c r="D3457" s="1" t="s">
        <v>8362</v>
      </c>
      <c r="E3457" s="62">
        <v>21</v>
      </c>
      <c r="F3457" s="1" t="s">
        <v>2551</v>
      </c>
      <c r="G3457" s="1" t="s">
        <v>2555</v>
      </c>
    </row>
    <row x14ac:dyDescent="0.25" r="3458" customHeight="1" ht="17.25" hidden="1">
      <c r="A3458" s="112" t="s">
        <v>8363</v>
      </c>
      <c r="B3458" s="1" t="s">
        <v>2549</v>
      </c>
      <c r="C3458" s="1" t="s">
        <v>67</v>
      </c>
      <c r="D3458" s="1" t="s">
        <v>8364</v>
      </c>
      <c r="E3458" s="62">
        <v>24</v>
      </c>
      <c r="F3458" s="1" t="s">
        <v>2551</v>
      </c>
      <c r="G3458" s="1" t="s">
        <v>2558</v>
      </c>
    </row>
    <row x14ac:dyDescent="0.25" r="3459" customHeight="1" ht="17.25" hidden="1">
      <c r="A3459" s="112" t="s">
        <v>1158</v>
      </c>
      <c r="B3459" s="1" t="s">
        <v>2549</v>
      </c>
      <c r="C3459" s="1" t="s">
        <v>67</v>
      </c>
      <c r="D3459" s="1" t="s">
        <v>1160</v>
      </c>
      <c r="E3459" s="62">
        <v>18</v>
      </c>
      <c r="F3459" s="1" t="s">
        <v>2551</v>
      </c>
      <c r="G3459" s="1" t="s">
        <v>2558</v>
      </c>
    </row>
    <row x14ac:dyDescent="0.25" r="3460" customHeight="1" ht="17.25" hidden="1">
      <c r="A3460" s="112" t="s">
        <v>8365</v>
      </c>
      <c r="B3460" s="1" t="s">
        <v>2549</v>
      </c>
      <c r="C3460" s="1" t="s">
        <v>67</v>
      </c>
      <c r="D3460" s="1" t="s">
        <v>8366</v>
      </c>
      <c r="E3460" s="62">
        <v>29</v>
      </c>
      <c r="F3460" s="1" t="s">
        <v>2551</v>
      </c>
      <c r="G3460" s="1" t="s">
        <v>2558</v>
      </c>
    </row>
    <row x14ac:dyDescent="0.25" r="3461" customHeight="1" ht="17.25" hidden="1">
      <c r="A3461" s="112" t="s">
        <v>8367</v>
      </c>
      <c r="B3461" s="1" t="s">
        <v>2549</v>
      </c>
      <c r="C3461" s="1" t="s">
        <v>67</v>
      </c>
      <c r="D3461" s="1" t="s">
        <v>8368</v>
      </c>
      <c r="E3461" s="62">
        <v>23</v>
      </c>
      <c r="F3461" s="1" t="s">
        <v>2551</v>
      </c>
      <c r="G3461" s="1" t="s">
        <v>2555</v>
      </c>
    </row>
    <row x14ac:dyDescent="0.25" r="3462" customHeight="1" ht="17.25" hidden="1">
      <c r="A3462" s="112" t="s">
        <v>8369</v>
      </c>
      <c r="B3462" s="1" t="s">
        <v>2549</v>
      </c>
      <c r="C3462" s="1" t="s">
        <v>67</v>
      </c>
      <c r="D3462" s="1" t="s">
        <v>8370</v>
      </c>
      <c r="E3462" s="62">
        <v>22</v>
      </c>
      <c r="F3462" s="1" t="s">
        <v>2561</v>
      </c>
      <c r="G3462" s="1" t="s">
        <v>2552</v>
      </c>
    </row>
    <row x14ac:dyDescent="0.25" r="3463" customHeight="1" ht="17.25" hidden="1">
      <c r="A3463" s="112" t="s">
        <v>8371</v>
      </c>
      <c r="B3463" s="1" t="s">
        <v>2549</v>
      </c>
      <c r="C3463" s="1" t="s">
        <v>67</v>
      </c>
      <c r="D3463" s="1" t="s">
        <v>8372</v>
      </c>
      <c r="E3463" s="62">
        <v>20</v>
      </c>
      <c r="F3463" s="1" t="s">
        <v>2551</v>
      </c>
      <c r="G3463" s="1" t="s">
        <v>2555</v>
      </c>
    </row>
    <row x14ac:dyDescent="0.25" r="3464" customHeight="1" ht="17.25" hidden="1">
      <c r="A3464" s="112" t="s">
        <v>8373</v>
      </c>
      <c r="B3464" s="1" t="s">
        <v>2549</v>
      </c>
      <c r="C3464" s="1" t="s">
        <v>67</v>
      </c>
      <c r="D3464" s="1" t="s">
        <v>8374</v>
      </c>
      <c r="E3464" s="62">
        <v>21</v>
      </c>
      <c r="F3464" s="1" t="s">
        <v>2551</v>
      </c>
      <c r="G3464" s="1" t="s">
        <v>2558</v>
      </c>
    </row>
    <row x14ac:dyDescent="0.25" r="3465" customHeight="1" ht="17.25" hidden="1">
      <c r="A3465" s="112" t="s">
        <v>8375</v>
      </c>
      <c r="B3465" s="1" t="s">
        <v>2549</v>
      </c>
      <c r="C3465" s="1" t="s">
        <v>67</v>
      </c>
      <c r="D3465" s="1" t="s">
        <v>8376</v>
      </c>
      <c r="E3465" s="62">
        <v>30</v>
      </c>
      <c r="F3465" s="1" t="s">
        <v>2551</v>
      </c>
      <c r="G3465" s="1" t="s">
        <v>2558</v>
      </c>
    </row>
    <row x14ac:dyDescent="0.25" r="3466" customHeight="1" ht="17.25" hidden="1">
      <c r="A3466" s="112" t="s">
        <v>8375</v>
      </c>
      <c r="B3466" s="1" t="s">
        <v>2549</v>
      </c>
      <c r="C3466" s="1" t="s">
        <v>67</v>
      </c>
      <c r="D3466" s="1" t="s">
        <v>8377</v>
      </c>
      <c r="E3466" s="62">
        <v>36</v>
      </c>
      <c r="F3466" s="1" t="s">
        <v>2551</v>
      </c>
      <c r="G3466" s="1" t="s">
        <v>2558</v>
      </c>
    </row>
    <row x14ac:dyDescent="0.25" r="3467" customHeight="1" ht="17.25" hidden="1">
      <c r="A3467" s="112" t="s">
        <v>8378</v>
      </c>
      <c r="B3467" s="1" t="s">
        <v>2549</v>
      </c>
      <c r="C3467" s="1" t="s">
        <v>67</v>
      </c>
      <c r="D3467" s="1" t="s">
        <v>8379</v>
      </c>
      <c r="E3467" s="62">
        <v>26</v>
      </c>
      <c r="F3467" s="1" t="s">
        <v>2551</v>
      </c>
      <c r="G3467" s="1" t="s">
        <v>2558</v>
      </c>
    </row>
    <row x14ac:dyDescent="0.25" r="3468" customHeight="1" ht="17.25" hidden="1">
      <c r="A3468" s="112" t="s">
        <v>8380</v>
      </c>
      <c r="B3468" s="1" t="s">
        <v>2549</v>
      </c>
      <c r="C3468" s="1" t="s">
        <v>67</v>
      </c>
      <c r="D3468" s="1" t="s">
        <v>8381</v>
      </c>
      <c r="E3468" s="62">
        <v>18</v>
      </c>
      <c r="F3468" s="1" t="s">
        <v>2561</v>
      </c>
      <c r="G3468" s="1" t="s">
        <v>2552</v>
      </c>
    </row>
    <row x14ac:dyDescent="0.25" r="3469" customHeight="1" ht="17.25" hidden="1">
      <c r="A3469" s="112" t="s">
        <v>8380</v>
      </c>
      <c r="B3469" s="1" t="s">
        <v>2549</v>
      </c>
      <c r="C3469" s="1" t="s">
        <v>67</v>
      </c>
      <c r="D3469" s="1" t="s">
        <v>8382</v>
      </c>
      <c r="E3469" s="62">
        <v>25</v>
      </c>
      <c r="F3469" s="1" t="s">
        <v>2551</v>
      </c>
      <c r="G3469" s="1" t="s">
        <v>2552</v>
      </c>
    </row>
    <row x14ac:dyDescent="0.25" r="3470" customHeight="1" ht="17.25" hidden="1">
      <c r="A3470" s="112" t="s">
        <v>8380</v>
      </c>
      <c r="B3470" s="1" t="s">
        <v>2549</v>
      </c>
      <c r="C3470" s="1" t="s">
        <v>67</v>
      </c>
      <c r="D3470" s="1" t="s">
        <v>8383</v>
      </c>
      <c r="E3470" s="54" t="s">
        <v>2571</v>
      </c>
      <c r="F3470" s="1" t="s">
        <v>2551</v>
      </c>
      <c r="G3470" s="1" t="s">
        <v>2552</v>
      </c>
    </row>
    <row x14ac:dyDescent="0.25" r="3471" customHeight="1" ht="17.25" hidden="1">
      <c r="A3471" s="112" t="s">
        <v>8384</v>
      </c>
      <c r="B3471" s="1" t="s">
        <v>2549</v>
      </c>
      <c r="C3471" s="1" t="s">
        <v>67</v>
      </c>
      <c r="D3471" s="1" t="s">
        <v>8385</v>
      </c>
      <c r="E3471" s="62">
        <v>34</v>
      </c>
      <c r="F3471" s="1" t="s">
        <v>2551</v>
      </c>
      <c r="G3471" s="1" t="s">
        <v>2552</v>
      </c>
    </row>
    <row x14ac:dyDescent="0.25" r="3472" customHeight="1" ht="17.25" hidden="1">
      <c r="A3472" s="112" t="s">
        <v>8386</v>
      </c>
      <c r="B3472" s="1" t="s">
        <v>2549</v>
      </c>
      <c r="C3472" s="1" t="s">
        <v>67</v>
      </c>
      <c r="D3472" s="1" t="s">
        <v>8387</v>
      </c>
      <c r="E3472" s="62">
        <v>25</v>
      </c>
      <c r="F3472" s="1" t="s">
        <v>2551</v>
      </c>
      <c r="G3472" s="1" t="s">
        <v>2555</v>
      </c>
    </row>
    <row x14ac:dyDescent="0.25" r="3473" customHeight="1" ht="17.25" hidden="1">
      <c r="A3473" s="112" t="s">
        <v>8388</v>
      </c>
      <c r="B3473" s="1" t="s">
        <v>2549</v>
      </c>
      <c r="C3473" s="1" t="s">
        <v>67</v>
      </c>
      <c r="D3473" s="1" t="s">
        <v>8389</v>
      </c>
      <c r="E3473" s="62">
        <v>24</v>
      </c>
      <c r="F3473" s="1" t="s">
        <v>2561</v>
      </c>
      <c r="G3473" s="1" t="s">
        <v>2555</v>
      </c>
    </row>
    <row x14ac:dyDescent="0.25" r="3474" customHeight="1" ht="17.25" hidden="1">
      <c r="A3474" s="112" t="s">
        <v>8390</v>
      </c>
      <c r="B3474" s="1" t="s">
        <v>2549</v>
      </c>
      <c r="C3474" s="1" t="s">
        <v>67</v>
      </c>
      <c r="D3474" s="1" t="s">
        <v>8391</v>
      </c>
      <c r="E3474" s="62">
        <v>23</v>
      </c>
      <c r="F3474" s="1" t="s">
        <v>2551</v>
      </c>
      <c r="G3474" s="1" t="s">
        <v>2552</v>
      </c>
    </row>
    <row x14ac:dyDescent="0.25" r="3475" customHeight="1" ht="17.25" hidden="1">
      <c r="A3475" s="112" t="s">
        <v>8392</v>
      </c>
      <c r="B3475" s="1" t="s">
        <v>2549</v>
      </c>
      <c r="C3475" s="1" t="s">
        <v>67</v>
      </c>
      <c r="D3475" s="1" t="s">
        <v>8393</v>
      </c>
      <c r="E3475" s="62">
        <v>29</v>
      </c>
      <c r="F3475" s="1" t="s">
        <v>2551</v>
      </c>
      <c r="G3475" s="1" t="s">
        <v>2555</v>
      </c>
    </row>
    <row x14ac:dyDescent="0.25" r="3476" customHeight="1" ht="17.25" hidden="1">
      <c r="A3476" s="112" t="s">
        <v>8394</v>
      </c>
      <c r="B3476" s="1" t="s">
        <v>2549</v>
      </c>
      <c r="C3476" s="1" t="s">
        <v>67</v>
      </c>
      <c r="D3476" s="1" t="s">
        <v>8395</v>
      </c>
      <c r="E3476" s="62">
        <v>19</v>
      </c>
      <c r="F3476" s="1" t="s">
        <v>2551</v>
      </c>
      <c r="G3476" s="1" t="s">
        <v>2558</v>
      </c>
    </row>
    <row x14ac:dyDescent="0.25" r="3477" customHeight="1" ht="17.25" hidden="1">
      <c r="A3477" s="112" t="s">
        <v>8396</v>
      </c>
      <c r="B3477" s="1" t="s">
        <v>2549</v>
      </c>
      <c r="C3477" s="1" t="s">
        <v>67</v>
      </c>
      <c r="D3477" s="1" t="s">
        <v>8397</v>
      </c>
      <c r="E3477" s="62">
        <v>44</v>
      </c>
      <c r="F3477" s="1" t="s">
        <v>2551</v>
      </c>
      <c r="G3477" s="1" t="s">
        <v>2555</v>
      </c>
    </row>
    <row x14ac:dyDescent="0.25" r="3478" customHeight="1" ht="17.25" hidden="1">
      <c r="A3478" s="112" t="s">
        <v>8398</v>
      </c>
      <c r="B3478" s="1" t="s">
        <v>2549</v>
      </c>
      <c r="C3478" s="1" t="s">
        <v>67</v>
      </c>
      <c r="D3478" s="1" t="s">
        <v>8399</v>
      </c>
      <c r="E3478" s="62">
        <v>19</v>
      </c>
      <c r="F3478" s="1" t="s">
        <v>2551</v>
      </c>
      <c r="G3478" s="1" t="s">
        <v>2555</v>
      </c>
    </row>
    <row x14ac:dyDescent="0.25" r="3479" customHeight="1" ht="17.25" hidden="1">
      <c r="A3479" s="112" t="s">
        <v>8400</v>
      </c>
      <c r="B3479" s="1" t="s">
        <v>2549</v>
      </c>
      <c r="C3479" s="1" t="s">
        <v>67</v>
      </c>
      <c r="D3479" s="1" t="s">
        <v>8401</v>
      </c>
      <c r="E3479" s="62">
        <v>20</v>
      </c>
      <c r="F3479" s="1" t="s">
        <v>2551</v>
      </c>
      <c r="G3479" s="1" t="s">
        <v>2552</v>
      </c>
    </row>
    <row x14ac:dyDescent="0.25" r="3480" customHeight="1" ht="17.25" hidden="1">
      <c r="A3480" s="112" t="s">
        <v>8400</v>
      </c>
      <c r="B3480" s="1" t="s">
        <v>2549</v>
      </c>
      <c r="C3480" s="1" t="s">
        <v>67</v>
      </c>
      <c r="D3480" s="1" t="s">
        <v>8402</v>
      </c>
      <c r="E3480" s="62">
        <v>33</v>
      </c>
      <c r="F3480" s="1" t="s">
        <v>2551</v>
      </c>
      <c r="G3480" s="1" t="s">
        <v>2558</v>
      </c>
    </row>
    <row x14ac:dyDescent="0.25" r="3481" customHeight="1" ht="17.25" hidden="1">
      <c r="A3481" s="112" t="s">
        <v>8403</v>
      </c>
      <c r="B3481" s="1" t="s">
        <v>2549</v>
      </c>
      <c r="C3481" s="1" t="s">
        <v>67</v>
      </c>
      <c r="D3481" s="1" t="s">
        <v>8404</v>
      </c>
      <c r="E3481" s="62">
        <v>19</v>
      </c>
      <c r="F3481" s="1" t="s">
        <v>2551</v>
      </c>
      <c r="G3481" s="1" t="s">
        <v>2571</v>
      </c>
    </row>
    <row x14ac:dyDescent="0.25" r="3482" customHeight="1" ht="17.25" hidden="1">
      <c r="A3482" s="112" t="s">
        <v>8405</v>
      </c>
      <c r="B3482" s="1" t="s">
        <v>2549</v>
      </c>
      <c r="C3482" s="1" t="s">
        <v>67</v>
      </c>
      <c r="D3482" s="1" t="s">
        <v>8406</v>
      </c>
      <c r="E3482" s="62">
        <v>22</v>
      </c>
      <c r="F3482" s="1" t="s">
        <v>2551</v>
      </c>
      <c r="G3482" s="1" t="s">
        <v>2552</v>
      </c>
    </row>
    <row x14ac:dyDescent="0.25" r="3483" customHeight="1" ht="17.25" hidden="1">
      <c r="A3483" s="112" t="s">
        <v>8407</v>
      </c>
      <c r="B3483" s="1" t="s">
        <v>2549</v>
      </c>
      <c r="C3483" s="1" t="s">
        <v>67</v>
      </c>
      <c r="D3483" s="1" t="s">
        <v>8408</v>
      </c>
      <c r="E3483" s="62">
        <v>41</v>
      </c>
      <c r="F3483" s="1" t="s">
        <v>2551</v>
      </c>
      <c r="G3483" s="1" t="s">
        <v>2552</v>
      </c>
    </row>
    <row x14ac:dyDescent="0.25" r="3484" customHeight="1" ht="17.25" hidden="1">
      <c r="A3484" s="112" t="s">
        <v>8409</v>
      </c>
      <c r="B3484" s="1" t="s">
        <v>2549</v>
      </c>
      <c r="C3484" s="1" t="s">
        <v>67</v>
      </c>
      <c r="D3484" s="1" t="s">
        <v>8410</v>
      </c>
      <c r="E3484" s="62">
        <v>24</v>
      </c>
      <c r="F3484" s="1" t="s">
        <v>2551</v>
      </c>
      <c r="G3484" s="1" t="s">
        <v>2552</v>
      </c>
    </row>
    <row x14ac:dyDescent="0.25" r="3485" customHeight="1" ht="17.25" hidden="1">
      <c r="A3485" s="112" t="s">
        <v>8411</v>
      </c>
      <c r="B3485" s="1" t="s">
        <v>2549</v>
      </c>
      <c r="C3485" s="1" t="s">
        <v>67</v>
      </c>
      <c r="D3485" s="1" t="s">
        <v>8412</v>
      </c>
      <c r="E3485" s="62">
        <v>31</v>
      </c>
      <c r="F3485" s="1" t="s">
        <v>2551</v>
      </c>
      <c r="G3485" s="1" t="s">
        <v>2558</v>
      </c>
    </row>
    <row x14ac:dyDescent="0.25" r="3486" customHeight="1" ht="17.25" hidden="1">
      <c r="A3486" s="112" t="s">
        <v>8411</v>
      </c>
      <c r="B3486" s="1" t="s">
        <v>2549</v>
      </c>
      <c r="C3486" s="1" t="s">
        <v>67</v>
      </c>
      <c r="D3486" s="1" t="s">
        <v>1434</v>
      </c>
      <c r="E3486" s="62">
        <v>19</v>
      </c>
      <c r="F3486" s="1" t="s">
        <v>2551</v>
      </c>
      <c r="G3486" s="1" t="s">
        <v>2552</v>
      </c>
    </row>
    <row x14ac:dyDescent="0.25" r="3487" customHeight="1" ht="17.25" hidden="1">
      <c r="A3487" s="112" t="s">
        <v>8413</v>
      </c>
      <c r="B3487" s="1" t="s">
        <v>2549</v>
      </c>
      <c r="C3487" s="1" t="s">
        <v>67</v>
      </c>
      <c r="D3487" s="1" t="s">
        <v>8414</v>
      </c>
      <c r="E3487" s="62">
        <v>21</v>
      </c>
      <c r="F3487" s="1" t="s">
        <v>2551</v>
      </c>
      <c r="G3487" s="1" t="s">
        <v>2552</v>
      </c>
    </row>
    <row x14ac:dyDescent="0.25" r="3488" customHeight="1" ht="17.25" hidden="1">
      <c r="A3488" s="112" t="s">
        <v>8415</v>
      </c>
      <c r="B3488" s="1" t="s">
        <v>2549</v>
      </c>
      <c r="C3488" s="1" t="s">
        <v>67</v>
      </c>
      <c r="D3488" s="1" t="s">
        <v>8416</v>
      </c>
      <c r="E3488" s="62">
        <v>24</v>
      </c>
      <c r="F3488" s="1" t="s">
        <v>2551</v>
      </c>
      <c r="G3488" s="1" t="s">
        <v>2555</v>
      </c>
    </row>
    <row x14ac:dyDescent="0.25" r="3489" customHeight="1" ht="17.25" hidden="1">
      <c r="A3489" s="112" t="s">
        <v>8417</v>
      </c>
      <c r="B3489" s="1" t="s">
        <v>2549</v>
      </c>
      <c r="C3489" s="1" t="s">
        <v>67</v>
      </c>
      <c r="D3489" s="1" t="s">
        <v>8418</v>
      </c>
      <c r="E3489" s="62">
        <v>24</v>
      </c>
      <c r="F3489" s="1" t="s">
        <v>2551</v>
      </c>
      <c r="G3489" s="1" t="s">
        <v>2555</v>
      </c>
    </row>
    <row x14ac:dyDescent="0.25" r="3490" customHeight="1" ht="17.25" hidden="1">
      <c r="A3490" s="112" t="s">
        <v>8417</v>
      </c>
      <c r="B3490" s="1" t="s">
        <v>2549</v>
      </c>
      <c r="C3490" s="1" t="s">
        <v>67</v>
      </c>
      <c r="D3490" s="1" t="s">
        <v>8419</v>
      </c>
      <c r="E3490" s="62">
        <v>22</v>
      </c>
      <c r="F3490" s="1" t="s">
        <v>2551</v>
      </c>
      <c r="G3490" s="1" t="s">
        <v>2552</v>
      </c>
    </row>
    <row x14ac:dyDescent="0.25" r="3491" customHeight="1" ht="17.25" hidden="1">
      <c r="A3491" s="112" t="s">
        <v>8420</v>
      </c>
      <c r="B3491" s="1" t="s">
        <v>2549</v>
      </c>
      <c r="C3491" s="1" t="s">
        <v>67</v>
      </c>
      <c r="D3491" s="1" t="s">
        <v>8421</v>
      </c>
      <c r="E3491" s="62">
        <v>23</v>
      </c>
      <c r="F3491" s="1" t="s">
        <v>2551</v>
      </c>
      <c r="G3491" s="1" t="s">
        <v>2555</v>
      </c>
    </row>
    <row x14ac:dyDescent="0.25" r="3492" customHeight="1" ht="17.25" hidden="1">
      <c r="A3492" s="112" t="s">
        <v>8422</v>
      </c>
      <c r="B3492" s="1" t="s">
        <v>2549</v>
      </c>
      <c r="C3492" s="1" t="s">
        <v>67</v>
      </c>
      <c r="D3492" s="1" t="s">
        <v>8423</v>
      </c>
      <c r="E3492" s="62">
        <v>21</v>
      </c>
      <c r="F3492" s="1" t="s">
        <v>2561</v>
      </c>
      <c r="G3492" s="1" t="s">
        <v>2552</v>
      </c>
    </row>
    <row x14ac:dyDescent="0.25" r="3493" customHeight="1" ht="17.25" hidden="1">
      <c r="A3493" s="112" t="s">
        <v>8424</v>
      </c>
      <c r="B3493" s="1" t="s">
        <v>2549</v>
      </c>
      <c r="C3493" s="1" t="s">
        <v>67</v>
      </c>
      <c r="D3493" s="1" t="s">
        <v>1526</v>
      </c>
      <c r="E3493" s="62">
        <v>34</v>
      </c>
      <c r="F3493" s="1" t="s">
        <v>2551</v>
      </c>
      <c r="G3493" s="1" t="s">
        <v>2555</v>
      </c>
    </row>
    <row x14ac:dyDescent="0.25" r="3494" customHeight="1" ht="17.25" hidden="1">
      <c r="A3494" s="112" t="s">
        <v>8425</v>
      </c>
      <c r="B3494" s="1" t="s">
        <v>2549</v>
      </c>
      <c r="C3494" s="1" t="s">
        <v>68</v>
      </c>
      <c r="D3494" s="1" t="s">
        <v>8426</v>
      </c>
      <c r="E3494" s="62">
        <v>22</v>
      </c>
      <c r="F3494" s="1" t="s">
        <v>2551</v>
      </c>
      <c r="G3494" s="1" t="s">
        <v>2555</v>
      </c>
    </row>
    <row x14ac:dyDescent="0.25" r="3495" customHeight="1" ht="17.25" hidden="1">
      <c r="A3495" s="112" t="s">
        <v>8427</v>
      </c>
      <c r="B3495" s="1" t="s">
        <v>2549</v>
      </c>
      <c r="C3495" s="1" t="s">
        <v>68</v>
      </c>
      <c r="D3495" s="1" t="s">
        <v>8428</v>
      </c>
      <c r="E3495" s="62">
        <v>18</v>
      </c>
      <c r="F3495" s="1" t="s">
        <v>2551</v>
      </c>
      <c r="G3495" s="1" t="s">
        <v>2558</v>
      </c>
    </row>
    <row x14ac:dyDescent="0.25" r="3496" customHeight="1" ht="17.25" hidden="1">
      <c r="A3496" s="112" t="s">
        <v>1075</v>
      </c>
      <c r="B3496" s="1" t="s">
        <v>2549</v>
      </c>
      <c r="C3496" s="1" t="s">
        <v>68</v>
      </c>
      <c r="D3496" s="1" t="s">
        <v>1076</v>
      </c>
      <c r="E3496" s="62">
        <v>29</v>
      </c>
      <c r="F3496" s="1" t="s">
        <v>2551</v>
      </c>
      <c r="G3496" s="1" t="s">
        <v>2552</v>
      </c>
    </row>
    <row x14ac:dyDescent="0.25" r="3497" customHeight="1" ht="17.25" hidden="1">
      <c r="A3497" s="112" t="s">
        <v>8429</v>
      </c>
      <c r="B3497" s="1" t="s">
        <v>2549</v>
      </c>
      <c r="C3497" s="1" t="s">
        <v>68</v>
      </c>
      <c r="D3497" s="1" t="s">
        <v>8430</v>
      </c>
      <c r="E3497" s="62">
        <v>34</v>
      </c>
      <c r="F3497" s="1" t="s">
        <v>2551</v>
      </c>
      <c r="G3497" s="1" t="s">
        <v>2552</v>
      </c>
    </row>
    <row x14ac:dyDescent="0.25" r="3498" customHeight="1" ht="17.25" hidden="1">
      <c r="A3498" s="112" t="s">
        <v>8431</v>
      </c>
      <c r="B3498" s="1" t="s">
        <v>2549</v>
      </c>
      <c r="C3498" s="1" t="s">
        <v>68</v>
      </c>
      <c r="D3498" s="1" t="s">
        <v>8432</v>
      </c>
      <c r="E3498" s="62">
        <v>46</v>
      </c>
      <c r="F3498" s="1" t="s">
        <v>2551</v>
      </c>
      <c r="G3498" s="1" t="s">
        <v>2552</v>
      </c>
    </row>
    <row x14ac:dyDescent="0.25" r="3499" customHeight="1" ht="17.25" hidden="1">
      <c r="A3499" s="112" t="s">
        <v>8433</v>
      </c>
      <c r="B3499" s="1" t="s">
        <v>2549</v>
      </c>
      <c r="C3499" s="1" t="s">
        <v>68</v>
      </c>
      <c r="D3499" s="1" t="s">
        <v>8434</v>
      </c>
      <c r="E3499" s="62">
        <v>26</v>
      </c>
      <c r="F3499" s="1" t="s">
        <v>2551</v>
      </c>
      <c r="G3499" s="1" t="s">
        <v>2552</v>
      </c>
    </row>
    <row x14ac:dyDescent="0.25" r="3500" customHeight="1" ht="17.25" hidden="1">
      <c r="A3500" s="112" t="s">
        <v>8435</v>
      </c>
      <c r="B3500" s="1" t="s">
        <v>2549</v>
      </c>
      <c r="C3500" s="1" t="s">
        <v>68</v>
      </c>
      <c r="D3500" s="1" t="s">
        <v>8436</v>
      </c>
      <c r="E3500" s="62">
        <v>22</v>
      </c>
      <c r="F3500" s="1" t="s">
        <v>2551</v>
      </c>
      <c r="G3500" s="1" t="s">
        <v>2552</v>
      </c>
    </row>
    <row x14ac:dyDescent="0.25" r="3501" customHeight="1" ht="17.25" hidden="1">
      <c r="A3501" s="112" t="s">
        <v>8437</v>
      </c>
      <c r="B3501" s="1" t="s">
        <v>2549</v>
      </c>
      <c r="C3501" s="1" t="s">
        <v>68</v>
      </c>
      <c r="D3501" s="1" t="s">
        <v>8438</v>
      </c>
      <c r="E3501" s="62">
        <v>31</v>
      </c>
      <c r="F3501" s="1" t="s">
        <v>2551</v>
      </c>
      <c r="G3501" s="1" t="s">
        <v>2558</v>
      </c>
    </row>
    <row x14ac:dyDescent="0.25" r="3502" customHeight="1" ht="17.25" hidden="1">
      <c r="A3502" s="112" t="s">
        <v>8439</v>
      </c>
      <c r="B3502" s="1" t="s">
        <v>2549</v>
      </c>
      <c r="C3502" s="1" t="s">
        <v>68</v>
      </c>
      <c r="D3502" s="1" t="s">
        <v>8440</v>
      </c>
      <c r="E3502" s="62">
        <v>37</v>
      </c>
      <c r="F3502" s="1" t="s">
        <v>2551</v>
      </c>
      <c r="G3502" s="1" t="s">
        <v>2555</v>
      </c>
    </row>
    <row x14ac:dyDescent="0.25" r="3503" customHeight="1" ht="17.25" hidden="1">
      <c r="A3503" s="112" t="s">
        <v>8441</v>
      </c>
      <c r="B3503" s="1" t="s">
        <v>2549</v>
      </c>
      <c r="C3503" s="1" t="s">
        <v>68</v>
      </c>
      <c r="D3503" s="1" t="s">
        <v>8442</v>
      </c>
      <c r="E3503" s="62">
        <v>18</v>
      </c>
      <c r="F3503" s="1" t="s">
        <v>2551</v>
      </c>
      <c r="G3503" s="1" t="s">
        <v>2555</v>
      </c>
    </row>
    <row x14ac:dyDescent="0.25" r="3504" customHeight="1" ht="17.25" hidden="1">
      <c r="A3504" s="112" t="s">
        <v>8441</v>
      </c>
      <c r="B3504" s="1" t="s">
        <v>2549</v>
      </c>
      <c r="C3504" s="1" t="s">
        <v>68</v>
      </c>
      <c r="D3504" s="1" t="s">
        <v>8443</v>
      </c>
      <c r="E3504" s="62">
        <v>20</v>
      </c>
      <c r="F3504" s="1" t="s">
        <v>2561</v>
      </c>
      <c r="G3504" s="1" t="s">
        <v>2555</v>
      </c>
    </row>
    <row x14ac:dyDescent="0.25" r="3505" customHeight="1" ht="17.25" hidden="1">
      <c r="A3505" s="112" t="s">
        <v>8444</v>
      </c>
      <c r="B3505" s="1" t="s">
        <v>2549</v>
      </c>
      <c r="C3505" s="1" t="s">
        <v>68</v>
      </c>
      <c r="D3505" s="1" t="s">
        <v>8445</v>
      </c>
      <c r="E3505" s="62">
        <v>20</v>
      </c>
      <c r="F3505" s="1" t="s">
        <v>2551</v>
      </c>
      <c r="G3505" s="1" t="s">
        <v>2555</v>
      </c>
    </row>
    <row x14ac:dyDescent="0.25" r="3506" customHeight="1" ht="17.25" hidden="1">
      <c r="A3506" s="112" t="s">
        <v>8446</v>
      </c>
      <c r="B3506" s="1" t="s">
        <v>2549</v>
      </c>
      <c r="C3506" s="1" t="s">
        <v>68</v>
      </c>
      <c r="D3506" s="1" t="s">
        <v>8447</v>
      </c>
      <c r="E3506" s="62">
        <v>19</v>
      </c>
      <c r="F3506" s="1" t="s">
        <v>2551</v>
      </c>
      <c r="G3506" s="1" t="s">
        <v>2555</v>
      </c>
    </row>
    <row x14ac:dyDescent="0.25" r="3507" customHeight="1" ht="17.25" hidden="1">
      <c r="A3507" s="112" t="s">
        <v>8446</v>
      </c>
      <c r="B3507" s="1" t="s">
        <v>2549</v>
      </c>
      <c r="C3507" s="1" t="s">
        <v>68</v>
      </c>
      <c r="D3507" s="1" t="s">
        <v>8448</v>
      </c>
      <c r="E3507" s="62">
        <v>48</v>
      </c>
      <c r="F3507" s="1" t="s">
        <v>2551</v>
      </c>
      <c r="G3507" s="1" t="s">
        <v>2558</v>
      </c>
    </row>
    <row x14ac:dyDescent="0.25" r="3508" customHeight="1" ht="17.25" hidden="1">
      <c r="A3508" s="112" t="s">
        <v>8449</v>
      </c>
      <c r="B3508" s="1" t="s">
        <v>2549</v>
      </c>
      <c r="C3508" s="1" t="s">
        <v>68</v>
      </c>
      <c r="D3508" s="1" t="s">
        <v>8450</v>
      </c>
      <c r="E3508" s="62">
        <v>20</v>
      </c>
      <c r="F3508" s="1" t="s">
        <v>2551</v>
      </c>
      <c r="G3508" s="1" t="s">
        <v>2552</v>
      </c>
    </row>
    <row x14ac:dyDescent="0.25" r="3509" customHeight="1" ht="17.25" hidden="1">
      <c r="A3509" s="112" t="s">
        <v>8451</v>
      </c>
      <c r="B3509" s="1" t="s">
        <v>2549</v>
      </c>
      <c r="C3509" s="1" t="s">
        <v>68</v>
      </c>
      <c r="D3509" s="1" t="s">
        <v>8452</v>
      </c>
      <c r="E3509" s="62">
        <v>26</v>
      </c>
      <c r="F3509" s="1" t="s">
        <v>2551</v>
      </c>
      <c r="G3509" s="1" t="s">
        <v>2558</v>
      </c>
    </row>
    <row x14ac:dyDescent="0.25" r="3510" customHeight="1" ht="17.25" hidden="1">
      <c r="A3510" s="112" t="s">
        <v>8453</v>
      </c>
      <c r="B3510" s="1" t="s">
        <v>2549</v>
      </c>
      <c r="C3510" s="1" t="s">
        <v>68</v>
      </c>
      <c r="D3510" s="1" t="s">
        <v>8454</v>
      </c>
      <c r="E3510" s="62">
        <v>29</v>
      </c>
      <c r="F3510" s="1" t="s">
        <v>2551</v>
      </c>
      <c r="G3510" s="1" t="s">
        <v>2555</v>
      </c>
    </row>
    <row x14ac:dyDescent="0.25" r="3511" customHeight="1" ht="17.25" hidden="1">
      <c r="A3511" s="112" t="s">
        <v>8455</v>
      </c>
      <c r="B3511" s="1" t="s">
        <v>2549</v>
      </c>
      <c r="C3511" s="1" t="s">
        <v>68</v>
      </c>
      <c r="D3511" s="1" t="s">
        <v>8456</v>
      </c>
      <c r="E3511" s="62">
        <v>21</v>
      </c>
      <c r="F3511" s="1" t="s">
        <v>2551</v>
      </c>
      <c r="G3511" s="1" t="s">
        <v>2552</v>
      </c>
    </row>
    <row x14ac:dyDescent="0.25" r="3512" customHeight="1" ht="17.25" hidden="1">
      <c r="A3512" s="112" t="s">
        <v>1284</v>
      </c>
      <c r="B3512" s="1" t="s">
        <v>2549</v>
      </c>
      <c r="C3512" s="1" t="s">
        <v>68</v>
      </c>
      <c r="D3512" s="1" t="s">
        <v>1286</v>
      </c>
      <c r="E3512" s="62">
        <v>29</v>
      </c>
      <c r="F3512" s="1" t="s">
        <v>2551</v>
      </c>
      <c r="G3512" s="1" t="s">
        <v>2552</v>
      </c>
    </row>
    <row x14ac:dyDescent="0.25" r="3513" customHeight="1" ht="17.25" hidden="1">
      <c r="A3513" s="112" t="s">
        <v>8457</v>
      </c>
      <c r="B3513" s="1" t="s">
        <v>2549</v>
      </c>
      <c r="C3513" s="1" t="s">
        <v>68</v>
      </c>
      <c r="D3513" s="1" t="s">
        <v>8458</v>
      </c>
      <c r="E3513" s="62">
        <v>20</v>
      </c>
      <c r="F3513" s="1" t="s">
        <v>2551</v>
      </c>
      <c r="G3513" s="1" t="s">
        <v>2555</v>
      </c>
    </row>
    <row x14ac:dyDescent="0.25" r="3514" customHeight="1" ht="17.25" hidden="1">
      <c r="A3514" s="112" t="s">
        <v>8457</v>
      </c>
      <c r="B3514" s="1" t="s">
        <v>2549</v>
      </c>
      <c r="C3514" s="1" t="s">
        <v>68</v>
      </c>
      <c r="D3514" s="1" t="s">
        <v>8459</v>
      </c>
      <c r="E3514" s="62">
        <v>18</v>
      </c>
      <c r="F3514" s="1" t="s">
        <v>2551</v>
      </c>
      <c r="G3514" s="1" t="s">
        <v>2555</v>
      </c>
    </row>
    <row x14ac:dyDescent="0.25" r="3515" customHeight="1" ht="17.25" hidden="1">
      <c r="A3515" s="112" t="s">
        <v>8457</v>
      </c>
      <c r="B3515" s="1" t="s">
        <v>2549</v>
      </c>
      <c r="C3515" s="1" t="s">
        <v>68</v>
      </c>
      <c r="D3515" s="1" t="s">
        <v>8460</v>
      </c>
      <c r="E3515" s="62">
        <v>21</v>
      </c>
      <c r="F3515" s="1" t="s">
        <v>2551</v>
      </c>
      <c r="G3515" s="1" t="s">
        <v>2552</v>
      </c>
    </row>
    <row x14ac:dyDescent="0.25" r="3516" customHeight="1" ht="17.25" hidden="1">
      <c r="A3516" s="112" t="s">
        <v>8461</v>
      </c>
      <c r="B3516" s="1" t="s">
        <v>2549</v>
      </c>
      <c r="C3516" s="1" t="s">
        <v>68</v>
      </c>
      <c r="D3516" s="1" t="s">
        <v>8462</v>
      </c>
      <c r="E3516" s="62">
        <v>29</v>
      </c>
      <c r="F3516" s="1" t="s">
        <v>2551</v>
      </c>
      <c r="G3516" s="1" t="s">
        <v>2552</v>
      </c>
    </row>
    <row x14ac:dyDescent="0.25" r="3517" customHeight="1" ht="17.25" hidden="1">
      <c r="A3517" s="112" t="s">
        <v>8463</v>
      </c>
      <c r="B3517" s="1" t="s">
        <v>2549</v>
      </c>
      <c r="C3517" s="1" t="s">
        <v>68</v>
      </c>
      <c r="D3517" s="1" t="s">
        <v>8464</v>
      </c>
      <c r="E3517" s="62">
        <v>25</v>
      </c>
      <c r="F3517" s="1" t="s">
        <v>2551</v>
      </c>
      <c r="G3517" s="1" t="s">
        <v>2555</v>
      </c>
    </row>
    <row x14ac:dyDescent="0.25" r="3518" customHeight="1" ht="17.25" hidden="1">
      <c r="A3518" s="112" t="s">
        <v>8465</v>
      </c>
      <c r="B3518" s="1" t="s">
        <v>2549</v>
      </c>
      <c r="C3518" s="1" t="s">
        <v>68</v>
      </c>
      <c r="D3518" s="1" t="s">
        <v>8466</v>
      </c>
      <c r="E3518" s="62">
        <v>32</v>
      </c>
      <c r="F3518" s="1" t="s">
        <v>2551</v>
      </c>
      <c r="G3518" s="1" t="s">
        <v>2552</v>
      </c>
    </row>
    <row x14ac:dyDescent="0.25" r="3519" customHeight="1" ht="17.25" hidden="1">
      <c r="A3519" s="112" t="s">
        <v>8465</v>
      </c>
      <c r="B3519" s="1" t="s">
        <v>2549</v>
      </c>
      <c r="C3519" s="1" t="s">
        <v>68</v>
      </c>
      <c r="D3519" s="1" t="s">
        <v>8467</v>
      </c>
      <c r="E3519" s="62">
        <v>29</v>
      </c>
      <c r="F3519" s="1" t="s">
        <v>2561</v>
      </c>
      <c r="G3519" s="1" t="s">
        <v>2555</v>
      </c>
    </row>
    <row x14ac:dyDescent="0.25" r="3520" customHeight="1" ht="17.25" hidden="1">
      <c r="A3520" s="112" t="s">
        <v>8468</v>
      </c>
      <c r="B3520" s="1" t="s">
        <v>2549</v>
      </c>
      <c r="C3520" s="1" t="s">
        <v>68</v>
      </c>
      <c r="D3520" s="1" t="s">
        <v>8469</v>
      </c>
      <c r="E3520" s="62">
        <v>41</v>
      </c>
      <c r="F3520" s="1" t="s">
        <v>2551</v>
      </c>
      <c r="G3520" s="1" t="s">
        <v>2552</v>
      </c>
    </row>
    <row x14ac:dyDescent="0.25" r="3521" customHeight="1" ht="17.25" hidden="1">
      <c r="A3521" s="112" t="s">
        <v>8470</v>
      </c>
      <c r="B3521" s="1" t="s">
        <v>2549</v>
      </c>
      <c r="C3521" s="1" t="s">
        <v>68</v>
      </c>
      <c r="D3521" s="1" t="s">
        <v>8471</v>
      </c>
      <c r="E3521" s="62">
        <v>32</v>
      </c>
      <c r="F3521" s="1" t="s">
        <v>2551</v>
      </c>
      <c r="G3521" s="1" t="s">
        <v>2555</v>
      </c>
    </row>
    <row x14ac:dyDescent="0.25" r="3522" customHeight="1" ht="17.25" hidden="1">
      <c r="A3522" s="112" t="s">
        <v>8472</v>
      </c>
      <c r="B3522" s="1" t="s">
        <v>2549</v>
      </c>
      <c r="C3522" s="1" t="s">
        <v>68</v>
      </c>
      <c r="D3522" s="1" t="s">
        <v>8473</v>
      </c>
      <c r="E3522" s="62">
        <v>20</v>
      </c>
      <c r="F3522" s="1" t="s">
        <v>2551</v>
      </c>
      <c r="G3522" s="1" t="s">
        <v>2558</v>
      </c>
    </row>
    <row x14ac:dyDescent="0.25" r="3523" customHeight="1" ht="17.25" hidden="1">
      <c r="A3523" s="112" t="s">
        <v>8474</v>
      </c>
      <c r="B3523" s="1" t="s">
        <v>2549</v>
      </c>
      <c r="C3523" s="1" t="s">
        <v>68</v>
      </c>
      <c r="D3523" s="1" t="s">
        <v>8475</v>
      </c>
      <c r="E3523" s="62">
        <v>34</v>
      </c>
      <c r="F3523" s="1" t="s">
        <v>2561</v>
      </c>
      <c r="G3523" s="1" t="s">
        <v>2555</v>
      </c>
    </row>
    <row x14ac:dyDescent="0.25" r="3524" customHeight="1" ht="17.25" hidden="1">
      <c r="A3524" s="112" t="s">
        <v>8476</v>
      </c>
      <c r="B3524" s="1" t="s">
        <v>2549</v>
      </c>
      <c r="C3524" s="1" t="s">
        <v>68</v>
      </c>
      <c r="D3524" s="1" t="s">
        <v>8477</v>
      </c>
      <c r="E3524" s="62">
        <v>23</v>
      </c>
      <c r="F3524" s="1" t="s">
        <v>2551</v>
      </c>
      <c r="G3524" s="1" t="s">
        <v>2552</v>
      </c>
    </row>
    <row x14ac:dyDescent="0.25" r="3525" customHeight="1" ht="17.25" hidden="1">
      <c r="A3525" s="112" t="s">
        <v>8478</v>
      </c>
      <c r="B3525" s="1" t="s">
        <v>2549</v>
      </c>
      <c r="C3525" s="1" t="s">
        <v>68</v>
      </c>
      <c r="D3525" s="1" t="s">
        <v>8479</v>
      </c>
      <c r="E3525" s="62">
        <v>30</v>
      </c>
      <c r="F3525" s="1" t="s">
        <v>2551</v>
      </c>
      <c r="G3525" s="1" t="s">
        <v>2552</v>
      </c>
    </row>
    <row x14ac:dyDescent="0.25" r="3526" customHeight="1" ht="17.25" hidden="1">
      <c r="A3526" s="112" t="s">
        <v>8480</v>
      </c>
      <c r="B3526" s="1" t="s">
        <v>2549</v>
      </c>
      <c r="C3526" s="1" t="s">
        <v>68</v>
      </c>
      <c r="D3526" s="1" t="s">
        <v>8481</v>
      </c>
      <c r="E3526" s="62">
        <v>25</v>
      </c>
      <c r="F3526" s="1" t="s">
        <v>2551</v>
      </c>
      <c r="G3526" s="1" t="s">
        <v>2558</v>
      </c>
    </row>
    <row x14ac:dyDescent="0.25" r="3527" customHeight="1" ht="17.25" hidden="1">
      <c r="A3527" s="112" t="s">
        <v>1709</v>
      </c>
      <c r="B3527" s="1" t="s">
        <v>2549</v>
      </c>
      <c r="C3527" s="1" t="s">
        <v>68</v>
      </c>
      <c r="D3527" s="1" t="s">
        <v>8482</v>
      </c>
      <c r="E3527" s="62">
        <v>18</v>
      </c>
      <c r="F3527" s="1" t="s">
        <v>2551</v>
      </c>
      <c r="G3527" s="1" t="s">
        <v>2552</v>
      </c>
    </row>
    <row x14ac:dyDescent="0.25" r="3528" customHeight="1" ht="17.25" hidden="1">
      <c r="A3528" s="112" t="s">
        <v>1709</v>
      </c>
      <c r="B3528" s="1" t="s">
        <v>2549</v>
      </c>
      <c r="C3528" s="1" t="s">
        <v>68</v>
      </c>
      <c r="D3528" s="1" t="s">
        <v>8483</v>
      </c>
      <c r="E3528" s="62">
        <v>21</v>
      </c>
      <c r="F3528" s="1" t="s">
        <v>2551</v>
      </c>
      <c r="G3528" s="1" t="s">
        <v>2552</v>
      </c>
    </row>
    <row x14ac:dyDescent="0.25" r="3529" customHeight="1" ht="17.25" hidden="1">
      <c r="A3529" s="112" t="s">
        <v>8484</v>
      </c>
      <c r="B3529" s="1" t="s">
        <v>2549</v>
      </c>
      <c r="C3529" s="1" t="s">
        <v>68</v>
      </c>
      <c r="D3529" s="1" t="s">
        <v>8485</v>
      </c>
      <c r="E3529" s="62">
        <v>19</v>
      </c>
      <c r="F3529" s="1" t="s">
        <v>2551</v>
      </c>
      <c r="G3529" s="1" t="s">
        <v>2552</v>
      </c>
    </row>
    <row x14ac:dyDescent="0.25" r="3530" customHeight="1" ht="17.25" hidden="1">
      <c r="A3530" s="112" t="s">
        <v>8486</v>
      </c>
      <c r="B3530" s="1" t="s">
        <v>2549</v>
      </c>
      <c r="C3530" s="1" t="s">
        <v>68</v>
      </c>
      <c r="D3530" s="1" t="s">
        <v>8487</v>
      </c>
      <c r="E3530" s="62">
        <v>39</v>
      </c>
      <c r="F3530" s="1" t="s">
        <v>2551</v>
      </c>
      <c r="G3530" s="1" t="s">
        <v>2552</v>
      </c>
    </row>
    <row x14ac:dyDescent="0.25" r="3531" customHeight="1" ht="17.25" hidden="1">
      <c r="A3531" s="112" t="s">
        <v>8488</v>
      </c>
      <c r="B3531" s="1" t="s">
        <v>2549</v>
      </c>
      <c r="C3531" s="1" t="s">
        <v>68</v>
      </c>
      <c r="D3531" s="1" t="s">
        <v>8489</v>
      </c>
      <c r="E3531" s="62">
        <v>18</v>
      </c>
      <c r="F3531" s="1" t="s">
        <v>2551</v>
      </c>
      <c r="G3531" s="1" t="s">
        <v>2558</v>
      </c>
    </row>
    <row x14ac:dyDescent="0.25" r="3532" customHeight="1" ht="17.25" hidden="1">
      <c r="A3532" s="112" t="s">
        <v>8490</v>
      </c>
      <c r="B3532" s="1" t="s">
        <v>2549</v>
      </c>
      <c r="C3532" s="1" t="s">
        <v>68</v>
      </c>
      <c r="D3532" s="1" t="s">
        <v>8491</v>
      </c>
      <c r="E3532" s="62">
        <v>21</v>
      </c>
      <c r="F3532" s="1" t="s">
        <v>2551</v>
      </c>
      <c r="G3532" s="1" t="s">
        <v>2555</v>
      </c>
    </row>
    <row x14ac:dyDescent="0.25" r="3533" customHeight="1" ht="17.25" hidden="1">
      <c r="A3533" s="112" t="s">
        <v>8490</v>
      </c>
      <c r="B3533" s="1" t="s">
        <v>2549</v>
      </c>
      <c r="C3533" s="1" t="s">
        <v>68</v>
      </c>
      <c r="D3533" s="1" t="s">
        <v>8492</v>
      </c>
      <c r="E3533" s="62">
        <v>27</v>
      </c>
      <c r="F3533" s="1" t="s">
        <v>2551</v>
      </c>
      <c r="G3533" s="1" t="s">
        <v>2555</v>
      </c>
    </row>
    <row x14ac:dyDescent="0.25" r="3534" customHeight="1" ht="17.25" hidden="1">
      <c r="A3534" s="112" t="s">
        <v>8493</v>
      </c>
      <c r="B3534" s="1" t="s">
        <v>2549</v>
      </c>
      <c r="C3534" s="1" t="s">
        <v>68</v>
      </c>
      <c r="D3534" s="1" t="s">
        <v>5628</v>
      </c>
      <c r="E3534" s="62">
        <v>27</v>
      </c>
      <c r="F3534" s="1" t="s">
        <v>2551</v>
      </c>
      <c r="G3534" s="1" t="s">
        <v>2552</v>
      </c>
    </row>
    <row x14ac:dyDescent="0.25" r="3535" customHeight="1" ht="17.25" hidden="1">
      <c r="A3535" s="112" t="s">
        <v>8494</v>
      </c>
      <c r="B3535" s="1" t="s">
        <v>2549</v>
      </c>
      <c r="C3535" s="1" t="s">
        <v>68</v>
      </c>
      <c r="D3535" s="1" t="s">
        <v>8495</v>
      </c>
      <c r="E3535" s="62">
        <v>19</v>
      </c>
      <c r="F3535" s="1" t="s">
        <v>2551</v>
      </c>
      <c r="G3535" s="1" t="s">
        <v>2555</v>
      </c>
    </row>
    <row x14ac:dyDescent="0.25" r="3536" customHeight="1" ht="17.25" hidden="1">
      <c r="A3536" s="112" t="s">
        <v>8496</v>
      </c>
      <c r="B3536" s="1" t="s">
        <v>2549</v>
      </c>
      <c r="C3536" s="1" t="s">
        <v>68</v>
      </c>
      <c r="D3536" s="1" t="s">
        <v>8497</v>
      </c>
      <c r="E3536" s="62">
        <v>28</v>
      </c>
      <c r="F3536" s="1" t="s">
        <v>2551</v>
      </c>
      <c r="G3536" s="1" t="s">
        <v>2552</v>
      </c>
    </row>
    <row x14ac:dyDescent="0.25" r="3537" customHeight="1" ht="17.25" hidden="1">
      <c r="A3537" s="112" t="s">
        <v>8498</v>
      </c>
      <c r="B3537" s="1" t="s">
        <v>2549</v>
      </c>
      <c r="C3537" s="1" t="s">
        <v>68</v>
      </c>
      <c r="D3537" s="1" t="s">
        <v>8499</v>
      </c>
      <c r="E3537" s="54" t="s">
        <v>2571</v>
      </c>
      <c r="F3537" s="1" t="s">
        <v>2551</v>
      </c>
      <c r="G3537" s="1" t="s">
        <v>2571</v>
      </c>
    </row>
    <row x14ac:dyDescent="0.25" r="3538" customHeight="1" ht="17.25" hidden="1">
      <c r="A3538" s="112" t="s">
        <v>8498</v>
      </c>
      <c r="B3538" s="1" t="s">
        <v>2549</v>
      </c>
      <c r="C3538" s="1" t="s">
        <v>68</v>
      </c>
      <c r="D3538" s="1" t="s">
        <v>8500</v>
      </c>
      <c r="E3538" s="62">
        <v>48</v>
      </c>
      <c r="F3538" s="1" t="s">
        <v>2551</v>
      </c>
      <c r="G3538" s="1" t="s">
        <v>2571</v>
      </c>
    </row>
    <row x14ac:dyDescent="0.25" r="3539" customHeight="1" ht="17.25" hidden="1">
      <c r="A3539" s="112" t="s">
        <v>8498</v>
      </c>
      <c r="B3539" s="1" t="s">
        <v>2549</v>
      </c>
      <c r="C3539" s="1" t="s">
        <v>68</v>
      </c>
      <c r="D3539" s="1" t="s">
        <v>8501</v>
      </c>
      <c r="E3539" s="62">
        <v>29</v>
      </c>
      <c r="F3539" s="1" t="s">
        <v>2551</v>
      </c>
      <c r="G3539" s="1" t="s">
        <v>2571</v>
      </c>
    </row>
    <row x14ac:dyDescent="0.25" r="3540" customHeight="1" ht="17.25" hidden="1">
      <c r="A3540" s="112" t="s">
        <v>8498</v>
      </c>
      <c r="B3540" s="1" t="s">
        <v>2549</v>
      </c>
      <c r="C3540" s="1" t="s">
        <v>68</v>
      </c>
      <c r="D3540" s="1" t="s">
        <v>8502</v>
      </c>
      <c r="E3540" s="62">
        <v>21</v>
      </c>
      <c r="F3540" s="1" t="s">
        <v>2551</v>
      </c>
      <c r="G3540" s="1" t="s">
        <v>2555</v>
      </c>
    </row>
    <row x14ac:dyDescent="0.25" r="3541" customHeight="1" ht="17.25" hidden="1">
      <c r="A3541" s="112" t="s">
        <v>8498</v>
      </c>
      <c r="B3541" s="1" t="s">
        <v>2549</v>
      </c>
      <c r="C3541" s="1" t="s">
        <v>68</v>
      </c>
      <c r="D3541" s="1" t="s">
        <v>5545</v>
      </c>
      <c r="E3541" s="62">
        <v>27</v>
      </c>
      <c r="F3541" s="1" t="s">
        <v>2551</v>
      </c>
      <c r="G3541" s="1" t="s">
        <v>2552</v>
      </c>
    </row>
    <row x14ac:dyDescent="0.25" r="3542" customHeight="1" ht="17.25" hidden="1">
      <c r="A3542" s="112" t="s">
        <v>8498</v>
      </c>
      <c r="B3542" s="1" t="s">
        <v>2549</v>
      </c>
      <c r="C3542" s="1" t="s">
        <v>68</v>
      </c>
      <c r="D3542" s="1" t="s">
        <v>8503</v>
      </c>
      <c r="E3542" s="62">
        <v>41</v>
      </c>
      <c r="F3542" s="1" t="s">
        <v>2551</v>
      </c>
      <c r="G3542" s="1" t="s">
        <v>2571</v>
      </c>
    </row>
    <row x14ac:dyDescent="0.25" r="3543" customHeight="1" ht="17.25" hidden="1">
      <c r="A3543" s="112" t="s">
        <v>8504</v>
      </c>
      <c r="B3543" s="1" t="s">
        <v>2549</v>
      </c>
      <c r="C3543" s="1" t="s">
        <v>68</v>
      </c>
      <c r="D3543" s="1" t="s">
        <v>8505</v>
      </c>
      <c r="E3543" s="62">
        <v>34</v>
      </c>
      <c r="F3543" s="1" t="s">
        <v>2551</v>
      </c>
      <c r="G3543" s="1" t="s">
        <v>2558</v>
      </c>
    </row>
    <row x14ac:dyDescent="0.25" r="3544" customHeight="1" ht="17.25" hidden="1">
      <c r="A3544" s="112" t="s">
        <v>8506</v>
      </c>
      <c r="B3544" s="1" t="s">
        <v>2549</v>
      </c>
      <c r="C3544" s="1" t="s">
        <v>68</v>
      </c>
      <c r="D3544" s="1" t="s">
        <v>8507</v>
      </c>
      <c r="E3544" s="62">
        <v>20</v>
      </c>
      <c r="F3544" s="1" t="s">
        <v>2551</v>
      </c>
      <c r="G3544" s="1" t="s">
        <v>2552</v>
      </c>
    </row>
    <row x14ac:dyDescent="0.25" r="3545" customHeight="1" ht="17.25" hidden="1">
      <c r="A3545" s="112" t="s">
        <v>8508</v>
      </c>
      <c r="B3545" s="1" t="s">
        <v>2549</v>
      </c>
      <c r="C3545" s="1" t="s">
        <v>68</v>
      </c>
      <c r="D3545" s="1" t="s">
        <v>8509</v>
      </c>
      <c r="E3545" s="62">
        <v>25</v>
      </c>
      <c r="F3545" s="1" t="s">
        <v>2551</v>
      </c>
      <c r="G3545" s="1" t="s">
        <v>2555</v>
      </c>
    </row>
    <row x14ac:dyDescent="0.25" r="3546" customHeight="1" ht="17.25" hidden="1">
      <c r="A3546" s="112" t="s">
        <v>8510</v>
      </c>
      <c r="B3546" s="1" t="s">
        <v>2549</v>
      </c>
      <c r="C3546" s="1" t="s">
        <v>68</v>
      </c>
      <c r="D3546" s="1" t="s">
        <v>8511</v>
      </c>
      <c r="E3546" s="62">
        <v>27</v>
      </c>
      <c r="F3546" s="1" t="s">
        <v>2551</v>
      </c>
      <c r="G3546" s="1" t="s">
        <v>2558</v>
      </c>
    </row>
    <row x14ac:dyDescent="0.25" r="3547" customHeight="1" ht="17.25" hidden="1">
      <c r="A3547" s="112" t="s">
        <v>8512</v>
      </c>
      <c r="B3547" s="1" t="s">
        <v>2549</v>
      </c>
      <c r="C3547" s="1" t="s">
        <v>68</v>
      </c>
      <c r="D3547" s="1" t="s">
        <v>8513</v>
      </c>
      <c r="E3547" s="62">
        <v>40</v>
      </c>
      <c r="F3547" s="1" t="s">
        <v>2551</v>
      </c>
      <c r="G3547" s="1" t="s">
        <v>2558</v>
      </c>
    </row>
    <row x14ac:dyDescent="0.25" r="3548" customHeight="1" ht="17.25" hidden="1">
      <c r="A3548" s="112" t="s">
        <v>8514</v>
      </c>
      <c r="B3548" s="1" t="s">
        <v>2549</v>
      </c>
      <c r="C3548" s="1" t="s">
        <v>68</v>
      </c>
      <c r="D3548" s="1" t="s">
        <v>8515</v>
      </c>
      <c r="E3548" s="62">
        <v>32</v>
      </c>
      <c r="F3548" s="1" t="s">
        <v>2551</v>
      </c>
      <c r="G3548" s="1" t="s">
        <v>2552</v>
      </c>
    </row>
    <row x14ac:dyDescent="0.25" r="3549" customHeight="1" ht="17.25" hidden="1">
      <c r="A3549" s="112" t="s">
        <v>8516</v>
      </c>
      <c r="B3549" s="1" t="s">
        <v>2549</v>
      </c>
      <c r="C3549" s="1" t="s">
        <v>68</v>
      </c>
      <c r="D3549" s="1" t="s">
        <v>8517</v>
      </c>
      <c r="E3549" s="62">
        <v>37</v>
      </c>
      <c r="F3549" s="1" t="s">
        <v>2551</v>
      </c>
      <c r="G3549" s="1" t="s">
        <v>2555</v>
      </c>
    </row>
    <row x14ac:dyDescent="0.25" r="3550" customHeight="1" ht="17.25" hidden="1">
      <c r="A3550" s="112" t="s">
        <v>8518</v>
      </c>
      <c r="B3550" s="1" t="s">
        <v>2549</v>
      </c>
      <c r="C3550" s="1" t="s">
        <v>68</v>
      </c>
      <c r="D3550" s="1" t="s">
        <v>8519</v>
      </c>
      <c r="E3550" s="62">
        <v>55</v>
      </c>
      <c r="F3550" s="1" t="s">
        <v>2551</v>
      </c>
      <c r="G3550" s="1" t="s">
        <v>2555</v>
      </c>
    </row>
    <row x14ac:dyDescent="0.25" r="3551" customHeight="1" ht="17.25" hidden="1">
      <c r="A3551" s="112" t="s">
        <v>8520</v>
      </c>
      <c r="B3551" s="1" t="s">
        <v>2549</v>
      </c>
      <c r="C3551" s="1" t="s">
        <v>68</v>
      </c>
      <c r="D3551" s="1" t="s">
        <v>8521</v>
      </c>
      <c r="E3551" s="62">
        <v>32</v>
      </c>
      <c r="F3551" s="1" t="s">
        <v>2551</v>
      </c>
      <c r="G3551" s="1" t="s">
        <v>2552</v>
      </c>
    </row>
    <row x14ac:dyDescent="0.25" r="3552" customHeight="1" ht="17.25" hidden="1">
      <c r="A3552" s="112" t="s">
        <v>8522</v>
      </c>
      <c r="B3552" s="1" t="s">
        <v>2549</v>
      </c>
      <c r="C3552" s="1" t="s">
        <v>68</v>
      </c>
      <c r="D3552" s="1" t="s">
        <v>8523</v>
      </c>
      <c r="E3552" s="62">
        <v>38</v>
      </c>
      <c r="F3552" s="1" t="s">
        <v>2551</v>
      </c>
      <c r="G3552" s="1" t="s">
        <v>2552</v>
      </c>
    </row>
    <row x14ac:dyDescent="0.25" r="3553" customHeight="1" ht="17.25" hidden="1">
      <c r="A3553" s="112" t="s">
        <v>8524</v>
      </c>
      <c r="B3553" s="1" t="s">
        <v>2549</v>
      </c>
      <c r="C3553" s="1" t="s">
        <v>68</v>
      </c>
      <c r="D3553" s="1" t="s">
        <v>8525</v>
      </c>
      <c r="E3553" s="62">
        <v>22</v>
      </c>
      <c r="F3553" s="1" t="s">
        <v>2551</v>
      </c>
      <c r="G3553" s="1" t="s">
        <v>2552</v>
      </c>
    </row>
    <row x14ac:dyDescent="0.25" r="3554" customHeight="1" ht="17.25" hidden="1">
      <c r="A3554" s="112" t="s">
        <v>8526</v>
      </c>
      <c r="B3554" s="1" t="s">
        <v>2549</v>
      </c>
      <c r="C3554" s="1" t="s">
        <v>68</v>
      </c>
      <c r="D3554" s="1" t="s">
        <v>8527</v>
      </c>
      <c r="E3554" s="62">
        <v>18</v>
      </c>
      <c r="F3554" s="1" t="s">
        <v>2551</v>
      </c>
      <c r="G3554" s="1" t="s">
        <v>2552</v>
      </c>
    </row>
    <row x14ac:dyDescent="0.25" r="3555" customHeight="1" ht="17.25" hidden="1">
      <c r="A3555" s="112" t="s">
        <v>8528</v>
      </c>
      <c r="B3555" s="1" t="s">
        <v>2549</v>
      </c>
      <c r="C3555" s="1" t="s">
        <v>68</v>
      </c>
      <c r="D3555" s="1" t="s">
        <v>8529</v>
      </c>
      <c r="E3555" s="62">
        <v>24</v>
      </c>
      <c r="F3555" s="1" t="s">
        <v>2551</v>
      </c>
      <c r="G3555" s="1" t="s">
        <v>2552</v>
      </c>
    </row>
    <row x14ac:dyDescent="0.25" r="3556" customHeight="1" ht="17.25" hidden="1">
      <c r="A3556" s="112" t="s">
        <v>8530</v>
      </c>
      <c r="B3556" s="1" t="s">
        <v>2549</v>
      </c>
      <c r="C3556" s="1" t="s">
        <v>68</v>
      </c>
      <c r="D3556" s="1" t="s">
        <v>8531</v>
      </c>
      <c r="E3556" s="62">
        <v>30</v>
      </c>
      <c r="F3556" s="1" t="s">
        <v>2551</v>
      </c>
      <c r="G3556" s="1" t="s">
        <v>2555</v>
      </c>
    </row>
    <row x14ac:dyDescent="0.25" r="3557" customHeight="1" ht="17.25" hidden="1">
      <c r="A3557" s="112" t="s">
        <v>8532</v>
      </c>
      <c r="B3557" s="1" t="s">
        <v>2549</v>
      </c>
      <c r="C3557" s="1" t="s">
        <v>68</v>
      </c>
      <c r="D3557" s="1" t="s">
        <v>8533</v>
      </c>
      <c r="E3557" s="62">
        <v>26</v>
      </c>
      <c r="F3557" s="1" t="s">
        <v>2551</v>
      </c>
      <c r="G3557" s="1" t="s">
        <v>2552</v>
      </c>
    </row>
    <row x14ac:dyDescent="0.25" r="3558" customHeight="1" ht="17.25" hidden="1">
      <c r="A3558" s="112" t="s">
        <v>8534</v>
      </c>
      <c r="B3558" s="1" t="s">
        <v>2549</v>
      </c>
      <c r="C3558" s="1" t="s">
        <v>68</v>
      </c>
      <c r="D3558" s="1" t="s">
        <v>8535</v>
      </c>
      <c r="E3558" s="62">
        <v>19</v>
      </c>
      <c r="F3558" s="1" t="s">
        <v>2551</v>
      </c>
      <c r="G3558" s="1" t="s">
        <v>2552</v>
      </c>
    </row>
    <row x14ac:dyDescent="0.25" r="3559" customHeight="1" ht="17.25" hidden="1">
      <c r="A3559" s="112" t="s">
        <v>8536</v>
      </c>
      <c r="B3559" s="1" t="s">
        <v>2549</v>
      </c>
      <c r="C3559" s="1" t="s">
        <v>68</v>
      </c>
      <c r="D3559" s="1" t="s">
        <v>8537</v>
      </c>
      <c r="E3559" s="62">
        <v>20</v>
      </c>
      <c r="F3559" s="1" t="s">
        <v>2551</v>
      </c>
      <c r="G3559" s="1" t="s">
        <v>2558</v>
      </c>
    </row>
    <row x14ac:dyDescent="0.25" r="3560" customHeight="1" ht="17.25" hidden="1">
      <c r="A3560" s="112" t="s">
        <v>8538</v>
      </c>
      <c r="B3560" s="1" t="s">
        <v>2549</v>
      </c>
      <c r="C3560" s="1" t="s">
        <v>68</v>
      </c>
      <c r="D3560" s="1" t="s">
        <v>8539</v>
      </c>
      <c r="E3560" s="62">
        <v>23</v>
      </c>
      <c r="F3560" s="1" t="s">
        <v>2551</v>
      </c>
      <c r="G3560" s="1" t="s">
        <v>2558</v>
      </c>
    </row>
    <row x14ac:dyDescent="0.25" r="3561" customHeight="1" ht="17.25" hidden="1">
      <c r="A3561" s="112" t="s">
        <v>8540</v>
      </c>
      <c r="B3561" s="1" t="s">
        <v>2549</v>
      </c>
      <c r="C3561" s="1" t="s">
        <v>68</v>
      </c>
      <c r="D3561" s="1" t="s">
        <v>8541</v>
      </c>
      <c r="E3561" s="62">
        <v>41</v>
      </c>
      <c r="F3561" s="1" t="s">
        <v>2561</v>
      </c>
      <c r="G3561" s="1" t="s">
        <v>2552</v>
      </c>
    </row>
    <row x14ac:dyDescent="0.25" r="3562" customHeight="1" ht="17.25" hidden="1">
      <c r="A3562" s="112" t="s">
        <v>8540</v>
      </c>
      <c r="B3562" s="1" t="s">
        <v>2549</v>
      </c>
      <c r="C3562" s="1" t="s">
        <v>68</v>
      </c>
      <c r="D3562" s="1" t="s">
        <v>8542</v>
      </c>
      <c r="E3562" s="62">
        <v>27</v>
      </c>
      <c r="F3562" s="1" t="s">
        <v>2551</v>
      </c>
      <c r="G3562" s="1" t="s">
        <v>2555</v>
      </c>
    </row>
    <row x14ac:dyDescent="0.25" r="3563" customHeight="1" ht="17.25" hidden="1">
      <c r="A3563" s="112" t="s">
        <v>8543</v>
      </c>
      <c r="B3563" s="1" t="s">
        <v>2549</v>
      </c>
      <c r="C3563" s="1" t="s">
        <v>68</v>
      </c>
      <c r="D3563" s="1" t="s">
        <v>8544</v>
      </c>
      <c r="E3563" s="62">
        <v>30</v>
      </c>
      <c r="F3563" s="1" t="s">
        <v>2551</v>
      </c>
      <c r="G3563" s="1" t="s">
        <v>2558</v>
      </c>
    </row>
    <row x14ac:dyDescent="0.25" r="3564" customHeight="1" ht="17.25" hidden="1">
      <c r="A3564" s="112" t="s">
        <v>8545</v>
      </c>
      <c r="B3564" s="1" t="s">
        <v>2549</v>
      </c>
      <c r="C3564" s="1" t="s">
        <v>68</v>
      </c>
      <c r="D3564" s="1" t="s">
        <v>8546</v>
      </c>
      <c r="E3564" s="62">
        <v>25</v>
      </c>
      <c r="F3564" s="1" t="s">
        <v>2551</v>
      </c>
      <c r="G3564" s="1" t="s">
        <v>2555</v>
      </c>
    </row>
    <row x14ac:dyDescent="0.25" r="3565" customHeight="1" ht="17.25" hidden="1">
      <c r="A3565" s="112" t="s">
        <v>8547</v>
      </c>
      <c r="B3565" s="1" t="s">
        <v>2549</v>
      </c>
      <c r="C3565" s="1" t="s">
        <v>68</v>
      </c>
      <c r="D3565" s="1" t="s">
        <v>8548</v>
      </c>
      <c r="E3565" s="62">
        <v>24</v>
      </c>
      <c r="F3565" s="1" t="s">
        <v>2551</v>
      </c>
      <c r="G3565" s="1" t="s">
        <v>2555</v>
      </c>
    </row>
    <row x14ac:dyDescent="0.25" r="3566" customHeight="1" ht="17.25" hidden="1">
      <c r="A3566" s="112" t="s">
        <v>8549</v>
      </c>
      <c r="B3566" s="1" t="s">
        <v>2549</v>
      </c>
      <c r="C3566" s="1" t="s">
        <v>68</v>
      </c>
      <c r="D3566" s="1" t="s">
        <v>8550</v>
      </c>
      <c r="E3566" s="62">
        <v>22</v>
      </c>
      <c r="F3566" s="1" t="s">
        <v>2551</v>
      </c>
      <c r="G3566" s="1" t="s">
        <v>2555</v>
      </c>
    </row>
    <row x14ac:dyDescent="0.25" r="3567" customHeight="1" ht="17.25" hidden="1">
      <c r="A3567" s="112" t="s">
        <v>8549</v>
      </c>
      <c r="B3567" s="1" t="s">
        <v>2549</v>
      </c>
      <c r="C3567" s="1" t="s">
        <v>68</v>
      </c>
      <c r="D3567" s="1" t="s">
        <v>8551</v>
      </c>
      <c r="E3567" s="62">
        <v>24</v>
      </c>
      <c r="F3567" s="1" t="s">
        <v>2551</v>
      </c>
      <c r="G3567" s="1" t="s">
        <v>2555</v>
      </c>
    </row>
    <row x14ac:dyDescent="0.25" r="3568" customHeight="1" ht="17.25" hidden="1">
      <c r="A3568" s="112" t="s">
        <v>8552</v>
      </c>
      <c r="B3568" s="1" t="s">
        <v>2549</v>
      </c>
      <c r="C3568" s="1" t="s">
        <v>68</v>
      </c>
      <c r="D3568" s="1" t="s">
        <v>8553</v>
      </c>
      <c r="E3568" s="62">
        <v>18</v>
      </c>
      <c r="F3568" s="1" t="s">
        <v>2551</v>
      </c>
      <c r="G3568" s="1" t="s">
        <v>2552</v>
      </c>
    </row>
    <row x14ac:dyDescent="0.25" r="3569" customHeight="1" ht="17.25" hidden="1">
      <c r="A3569" s="112" t="s">
        <v>8554</v>
      </c>
      <c r="B3569" s="1" t="s">
        <v>2549</v>
      </c>
      <c r="C3569" s="1" t="s">
        <v>68</v>
      </c>
      <c r="D3569" s="1" t="s">
        <v>8555</v>
      </c>
      <c r="E3569" s="62">
        <v>817</v>
      </c>
      <c r="F3569" s="1" t="s">
        <v>2551</v>
      </c>
      <c r="G3569" s="1" t="s">
        <v>2552</v>
      </c>
    </row>
    <row x14ac:dyDescent="0.25" r="3570" customHeight="1" ht="17.25" hidden="1">
      <c r="A3570" s="112" t="s">
        <v>8556</v>
      </c>
      <c r="B3570" s="1" t="s">
        <v>2549</v>
      </c>
      <c r="C3570" s="1" t="s">
        <v>68</v>
      </c>
      <c r="D3570" s="1" t="s">
        <v>8557</v>
      </c>
      <c r="E3570" s="62">
        <v>28</v>
      </c>
      <c r="F3570" s="1" t="s">
        <v>2551</v>
      </c>
      <c r="G3570" s="1" t="s">
        <v>2555</v>
      </c>
    </row>
    <row x14ac:dyDescent="0.25" r="3571" customHeight="1" ht="17.25" hidden="1">
      <c r="A3571" s="112" t="s">
        <v>8558</v>
      </c>
      <c r="B3571" s="1" t="s">
        <v>2549</v>
      </c>
      <c r="C3571" s="1" t="s">
        <v>68</v>
      </c>
      <c r="D3571" s="1" t="s">
        <v>8559</v>
      </c>
      <c r="E3571" s="62">
        <v>22</v>
      </c>
      <c r="F3571" s="1" t="s">
        <v>2551</v>
      </c>
      <c r="G3571" s="1" t="s">
        <v>2555</v>
      </c>
    </row>
    <row x14ac:dyDescent="0.25" r="3572" customHeight="1" ht="17.25" hidden="1">
      <c r="A3572" s="112" t="s">
        <v>8560</v>
      </c>
      <c r="B3572" s="1" t="s">
        <v>2549</v>
      </c>
      <c r="C3572" s="1" t="s">
        <v>68</v>
      </c>
      <c r="D3572" s="1" t="s">
        <v>8561</v>
      </c>
      <c r="E3572" s="62">
        <v>19</v>
      </c>
      <c r="F3572" s="1" t="s">
        <v>2551</v>
      </c>
      <c r="G3572" s="1" t="s">
        <v>2571</v>
      </c>
    </row>
    <row x14ac:dyDescent="0.25" r="3573" customHeight="1" ht="17.25" hidden="1">
      <c r="A3573" s="112" t="s">
        <v>8562</v>
      </c>
      <c r="B3573" s="1" t="s">
        <v>2549</v>
      </c>
      <c r="C3573" s="1" t="s">
        <v>68</v>
      </c>
      <c r="D3573" s="1" t="s">
        <v>8563</v>
      </c>
      <c r="E3573" s="62">
        <v>19</v>
      </c>
      <c r="F3573" s="1" t="s">
        <v>2551</v>
      </c>
      <c r="G3573" s="1" t="s">
        <v>2552</v>
      </c>
    </row>
    <row x14ac:dyDescent="0.25" r="3574" customHeight="1" ht="17.25" hidden="1">
      <c r="A3574" s="112" t="s">
        <v>8564</v>
      </c>
      <c r="B3574" s="1" t="s">
        <v>2549</v>
      </c>
      <c r="C3574" s="1" t="s">
        <v>68</v>
      </c>
      <c r="D3574" s="1" t="s">
        <v>8565</v>
      </c>
      <c r="E3574" s="62">
        <v>19</v>
      </c>
      <c r="F3574" s="1" t="s">
        <v>2551</v>
      </c>
      <c r="G3574" s="1" t="s">
        <v>2555</v>
      </c>
    </row>
    <row x14ac:dyDescent="0.25" r="3575" customHeight="1" ht="17.25" hidden="1">
      <c r="A3575" s="112" t="s">
        <v>8566</v>
      </c>
      <c r="B3575" s="1" t="s">
        <v>2549</v>
      </c>
      <c r="C3575" s="1" t="s">
        <v>68</v>
      </c>
      <c r="D3575" s="1" t="s">
        <v>8567</v>
      </c>
      <c r="E3575" s="62">
        <v>38</v>
      </c>
      <c r="F3575" s="1" t="s">
        <v>2551</v>
      </c>
      <c r="G3575" s="1" t="s">
        <v>2552</v>
      </c>
    </row>
    <row x14ac:dyDescent="0.25" r="3576" customHeight="1" ht="17.25" hidden="1">
      <c r="A3576" s="112" t="s">
        <v>8568</v>
      </c>
      <c r="B3576" s="1" t="s">
        <v>2549</v>
      </c>
      <c r="C3576" s="1" t="s">
        <v>68</v>
      </c>
      <c r="D3576" s="1" t="s">
        <v>8569</v>
      </c>
      <c r="E3576" s="62">
        <v>32</v>
      </c>
      <c r="F3576" s="1" t="s">
        <v>2551</v>
      </c>
      <c r="G3576" s="1" t="s">
        <v>2552</v>
      </c>
    </row>
    <row x14ac:dyDescent="0.25" r="3577" customHeight="1" ht="17.25" hidden="1">
      <c r="A3577" s="112" t="s">
        <v>8570</v>
      </c>
      <c r="B3577" s="1" t="s">
        <v>2549</v>
      </c>
      <c r="C3577" s="1" t="s">
        <v>68</v>
      </c>
      <c r="D3577" s="1" t="s">
        <v>8571</v>
      </c>
      <c r="E3577" s="62">
        <v>24</v>
      </c>
      <c r="F3577" s="1" t="s">
        <v>2551</v>
      </c>
      <c r="G3577" s="1" t="s">
        <v>2558</v>
      </c>
    </row>
    <row x14ac:dyDescent="0.25" r="3578" customHeight="1" ht="17.25" hidden="1">
      <c r="A3578" s="112" t="s">
        <v>8572</v>
      </c>
      <c r="B3578" s="1" t="s">
        <v>2549</v>
      </c>
      <c r="C3578" s="1" t="s">
        <v>68</v>
      </c>
      <c r="D3578" s="1" t="s">
        <v>8573</v>
      </c>
      <c r="E3578" s="62">
        <v>21</v>
      </c>
      <c r="F3578" s="1" t="s">
        <v>2551</v>
      </c>
      <c r="G3578" s="1" t="s">
        <v>2555</v>
      </c>
    </row>
    <row x14ac:dyDescent="0.25" r="3579" customHeight="1" ht="17.25" hidden="1">
      <c r="A3579" s="112" t="s">
        <v>8574</v>
      </c>
      <c r="B3579" s="1" t="s">
        <v>2549</v>
      </c>
      <c r="C3579" s="1" t="s">
        <v>68</v>
      </c>
      <c r="D3579" s="1" t="s">
        <v>8575</v>
      </c>
      <c r="E3579" s="62">
        <v>34</v>
      </c>
      <c r="F3579" s="1" t="s">
        <v>2551</v>
      </c>
      <c r="G3579" s="1" t="s">
        <v>2552</v>
      </c>
    </row>
    <row x14ac:dyDescent="0.25" r="3580" customHeight="1" ht="17.25" hidden="1">
      <c r="A3580" s="112" t="s">
        <v>8576</v>
      </c>
      <c r="B3580" s="1" t="s">
        <v>2549</v>
      </c>
      <c r="C3580" s="1" t="s">
        <v>68</v>
      </c>
      <c r="D3580" s="1" t="s">
        <v>8577</v>
      </c>
      <c r="E3580" s="62">
        <v>19</v>
      </c>
      <c r="F3580" s="1" t="s">
        <v>2551</v>
      </c>
      <c r="G3580" s="1" t="s">
        <v>2552</v>
      </c>
    </row>
    <row x14ac:dyDescent="0.25" r="3581" customHeight="1" ht="17.25" hidden="1">
      <c r="A3581" s="112" t="s">
        <v>8578</v>
      </c>
      <c r="B3581" s="1" t="s">
        <v>2549</v>
      </c>
      <c r="C3581" s="1" t="s">
        <v>68</v>
      </c>
      <c r="D3581" s="1" t="s">
        <v>8579</v>
      </c>
      <c r="E3581" s="62">
        <v>29</v>
      </c>
      <c r="F3581" s="1" t="s">
        <v>2551</v>
      </c>
      <c r="G3581" s="1" t="s">
        <v>2552</v>
      </c>
    </row>
    <row x14ac:dyDescent="0.25" r="3582" customHeight="1" ht="17.25" hidden="1">
      <c r="A3582" s="112" t="s">
        <v>8578</v>
      </c>
      <c r="B3582" s="1" t="s">
        <v>2549</v>
      </c>
      <c r="C3582" s="1" t="s">
        <v>68</v>
      </c>
      <c r="D3582" s="1" t="s">
        <v>8580</v>
      </c>
      <c r="E3582" s="62">
        <v>20</v>
      </c>
      <c r="F3582" s="1" t="s">
        <v>2551</v>
      </c>
      <c r="G3582" s="1" t="s">
        <v>2552</v>
      </c>
    </row>
    <row x14ac:dyDescent="0.25" r="3583" customHeight="1" ht="17.25" hidden="1">
      <c r="A3583" s="112" t="s">
        <v>8581</v>
      </c>
      <c r="B3583" s="1" t="s">
        <v>2549</v>
      </c>
      <c r="C3583" s="1" t="s">
        <v>68</v>
      </c>
      <c r="D3583" s="1" t="s">
        <v>8582</v>
      </c>
      <c r="E3583" s="62">
        <v>34</v>
      </c>
      <c r="F3583" s="1" t="s">
        <v>2551</v>
      </c>
      <c r="G3583" s="1" t="s">
        <v>2555</v>
      </c>
    </row>
    <row x14ac:dyDescent="0.25" r="3584" customHeight="1" ht="17.25" hidden="1">
      <c r="A3584" s="112" t="s">
        <v>8583</v>
      </c>
      <c r="B3584" s="1" t="s">
        <v>2549</v>
      </c>
      <c r="C3584" s="1" t="s">
        <v>68</v>
      </c>
      <c r="D3584" s="1" t="s">
        <v>8584</v>
      </c>
      <c r="E3584" s="62">
        <v>41</v>
      </c>
      <c r="F3584" s="1" t="s">
        <v>2551</v>
      </c>
      <c r="G3584" s="1" t="s">
        <v>2552</v>
      </c>
    </row>
    <row x14ac:dyDescent="0.25" r="3585" customHeight="1" ht="17.25" hidden="1">
      <c r="A3585" s="112" t="s">
        <v>8585</v>
      </c>
      <c r="B3585" s="1" t="s">
        <v>2549</v>
      </c>
      <c r="C3585" s="1" t="s">
        <v>68</v>
      </c>
      <c r="D3585" s="1" t="s">
        <v>8586</v>
      </c>
      <c r="E3585" s="62">
        <v>30</v>
      </c>
      <c r="F3585" s="1" t="s">
        <v>2551</v>
      </c>
      <c r="G3585" s="1" t="s">
        <v>2552</v>
      </c>
    </row>
    <row x14ac:dyDescent="0.25" r="3586" customHeight="1" ht="17.25" hidden="1">
      <c r="A3586" s="112" t="s">
        <v>8587</v>
      </c>
      <c r="B3586" s="1" t="s">
        <v>2549</v>
      </c>
      <c r="C3586" s="1" t="s">
        <v>68</v>
      </c>
      <c r="D3586" s="1" t="s">
        <v>8588</v>
      </c>
      <c r="E3586" s="62">
        <v>27</v>
      </c>
      <c r="F3586" s="1" t="s">
        <v>2551</v>
      </c>
      <c r="G3586" s="1" t="s">
        <v>2555</v>
      </c>
    </row>
    <row x14ac:dyDescent="0.25" r="3587" customHeight="1" ht="17.25" hidden="1">
      <c r="A3587" s="112" t="s">
        <v>8587</v>
      </c>
      <c r="B3587" s="1" t="s">
        <v>2549</v>
      </c>
      <c r="C3587" s="1" t="s">
        <v>68</v>
      </c>
      <c r="D3587" s="1" t="s">
        <v>8589</v>
      </c>
      <c r="E3587" s="62">
        <v>34</v>
      </c>
      <c r="F3587" s="1" t="s">
        <v>2551</v>
      </c>
      <c r="G3587" s="1" t="s">
        <v>2555</v>
      </c>
    </row>
    <row x14ac:dyDescent="0.25" r="3588" customHeight="1" ht="17.25" hidden="1">
      <c r="A3588" s="112" t="s">
        <v>8590</v>
      </c>
      <c r="B3588" s="1" t="s">
        <v>2549</v>
      </c>
      <c r="C3588" s="1" t="s">
        <v>68</v>
      </c>
      <c r="D3588" s="1" t="s">
        <v>8591</v>
      </c>
      <c r="E3588" s="62">
        <v>22</v>
      </c>
      <c r="F3588" s="1" t="s">
        <v>2551</v>
      </c>
      <c r="G3588" s="1" t="s">
        <v>2552</v>
      </c>
    </row>
    <row x14ac:dyDescent="0.25" r="3589" customHeight="1" ht="17.25" hidden="1">
      <c r="A3589" s="112" t="s">
        <v>1167</v>
      </c>
      <c r="B3589" s="1" t="s">
        <v>2549</v>
      </c>
      <c r="C3589" s="1" t="s">
        <v>68</v>
      </c>
      <c r="D3589" s="1" t="s">
        <v>1168</v>
      </c>
      <c r="E3589" s="62">
        <v>22</v>
      </c>
      <c r="F3589" s="1" t="s">
        <v>2551</v>
      </c>
      <c r="G3589" s="1" t="s">
        <v>2552</v>
      </c>
    </row>
    <row x14ac:dyDescent="0.25" r="3590" customHeight="1" ht="17.25" hidden="1">
      <c r="A3590" s="112" t="s">
        <v>8592</v>
      </c>
      <c r="B3590" s="1" t="s">
        <v>2549</v>
      </c>
      <c r="C3590" s="1" t="s">
        <v>68</v>
      </c>
      <c r="D3590" s="1" t="s">
        <v>8593</v>
      </c>
      <c r="E3590" s="62">
        <v>28</v>
      </c>
      <c r="F3590" s="1" t="s">
        <v>2551</v>
      </c>
      <c r="G3590" s="1" t="s">
        <v>2552</v>
      </c>
    </row>
    <row x14ac:dyDescent="0.25" r="3591" customHeight="1" ht="17.25" hidden="1">
      <c r="A3591" s="112" t="s">
        <v>8594</v>
      </c>
      <c r="B3591" s="1" t="s">
        <v>2549</v>
      </c>
      <c r="C3591" s="1" t="s">
        <v>68</v>
      </c>
      <c r="D3591" s="1" t="s">
        <v>8595</v>
      </c>
      <c r="E3591" s="62">
        <v>21</v>
      </c>
      <c r="F3591" s="1" t="s">
        <v>2561</v>
      </c>
      <c r="G3591" s="1" t="s">
        <v>2552</v>
      </c>
    </row>
    <row x14ac:dyDescent="0.25" r="3592" customHeight="1" ht="17.25" hidden="1">
      <c r="A3592" s="112" t="s">
        <v>8596</v>
      </c>
      <c r="B3592" s="1" t="s">
        <v>2549</v>
      </c>
      <c r="C3592" s="1" t="s">
        <v>68</v>
      </c>
      <c r="D3592" s="1" t="s">
        <v>8597</v>
      </c>
      <c r="E3592" s="62">
        <v>30</v>
      </c>
      <c r="F3592" s="1" t="s">
        <v>2551</v>
      </c>
      <c r="G3592" s="1" t="s">
        <v>2552</v>
      </c>
    </row>
    <row x14ac:dyDescent="0.25" r="3593" customHeight="1" ht="17.25" hidden="1">
      <c r="A3593" s="112" t="s">
        <v>8596</v>
      </c>
      <c r="B3593" s="1" t="s">
        <v>2549</v>
      </c>
      <c r="C3593" s="1" t="s">
        <v>68</v>
      </c>
      <c r="D3593" s="1" t="s">
        <v>8598</v>
      </c>
      <c r="E3593" s="62">
        <v>24</v>
      </c>
      <c r="F3593" s="1" t="s">
        <v>2551</v>
      </c>
      <c r="G3593" s="1" t="s">
        <v>2552</v>
      </c>
    </row>
    <row x14ac:dyDescent="0.25" r="3594" customHeight="1" ht="17.25" hidden="1">
      <c r="A3594" s="112" t="s">
        <v>8599</v>
      </c>
      <c r="B3594" s="1" t="s">
        <v>2549</v>
      </c>
      <c r="C3594" s="1" t="s">
        <v>68</v>
      </c>
      <c r="D3594" s="1" t="s">
        <v>8600</v>
      </c>
      <c r="E3594" s="62">
        <v>30</v>
      </c>
      <c r="F3594" s="1" t="s">
        <v>2551</v>
      </c>
      <c r="G3594" s="1" t="s">
        <v>2555</v>
      </c>
    </row>
    <row x14ac:dyDescent="0.25" r="3595" customHeight="1" ht="17.25" hidden="1">
      <c r="A3595" s="112" t="s">
        <v>8601</v>
      </c>
      <c r="B3595" s="1" t="s">
        <v>2549</v>
      </c>
      <c r="C3595" s="1" t="s">
        <v>68</v>
      </c>
      <c r="D3595" s="1" t="s">
        <v>8602</v>
      </c>
      <c r="E3595" s="62">
        <v>25</v>
      </c>
      <c r="F3595" s="1" t="s">
        <v>2551</v>
      </c>
      <c r="G3595" s="1" t="s">
        <v>2552</v>
      </c>
    </row>
    <row x14ac:dyDescent="0.25" r="3596" customHeight="1" ht="17.25" hidden="1">
      <c r="A3596" s="112" t="s">
        <v>8603</v>
      </c>
      <c r="B3596" s="1" t="s">
        <v>2549</v>
      </c>
      <c r="C3596" s="1" t="s">
        <v>68</v>
      </c>
      <c r="D3596" s="1" t="s">
        <v>8604</v>
      </c>
      <c r="E3596" s="62">
        <v>26</v>
      </c>
      <c r="F3596" s="1" t="s">
        <v>2551</v>
      </c>
      <c r="G3596" s="1" t="s">
        <v>2552</v>
      </c>
    </row>
    <row x14ac:dyDescent="0.25" r="3597" customHeight="1" ht="17.25" hidden="1">
      <c r="A3597" s="112" t="s">
        <v>8605</v>
      </c>
      <c r="B3597" s="1" t="s">
        <v>2549</v>
      </c>
      <c r="C3597" s="1" t="s">
        <v>68</v>
      </c>
      <c r="D3597" s="1" t="s">
        <v>8606</v>
      </c>
      <c r="E3597" s="62">
        <v>45</v>
      </c>
      <c r="F3597" s="1" t="s">
        <v>2561</v>
      </c>
      <c r="G3597" s="1" t="s">
        <v>2552</v>
      </c>
    </row>
    <row x14ac:dyDescent="0.25" r="3598" customHeight="1" ht="17.25" hidden="1">
      <c r="A3598" s="112" t="s">
        <v>8607</v>
      </c>
      <c r="B3598" s="1" t="s">
        <v>2549</v>
      </c>
      <c r="C3598" s="1" t="s">
        <v>68</v>
      </c>
      <c r="D3598" s="1" t="s">
        <v>8608</v>
      </c>
      <c r="E3598" s="62">
        <v>27</v>
      </c>
      <c r="F3598" s="1" t="s">
        <v>2551</v>
      </c>
      <c r="G3598" s="1" t="s">
        <v>2558</v>
      </c>
    </row>
    <row x14ac:dyDescent="0.25" r="3599" customHeight="1" ht="17.25" hidden="1">
      <c r="A3599" s="112" t="s">
        <v>8609</v>
      </c>
      <c r="B3599" s="1" t="s">
        <v>2549</v>
      </c>
      <c r="C3599" s="1" t="s">
        <v>68</v>
      </c>
      <c r="D3599" s="1" t="s">
        <v>8610</v>
      </c>
      <c r="E3599" s="62">
        <v>28</v>
      </c>
      <c r="F3599" s="1" t="s">
        <v>2551</v>
      </c>
      <c r="G3599" s="1" t="s">
        <v>2552</v>
      </c>
    </row>
    <row x14ac:dyDescent="0.25" r="3600" customHeight="1" ht="17.25" hidden="1">
      <c r="A3600" s="112" t="s">
        <v>2268</v>
      </c>
      <c r="B3600" s="1" t="s">
        <v>2549</v>
      </c>
      <c r="C3600" s="1" t="s">
        <v>68</v>
      </c>
      <c r="D3600" s="1" t="s">
        <v>2269</v>
      </c>
      <c r="E3600" s="62">
        <v>46</v>
      </c>
      <c r="F3600" s="1" t="s">
        <v>2551</v>
      </c>
      <c r="G3600" s="1" t="s">
        <v>2555</v>
      </c>
    </row>
    <row x14ac:dyDescent="0.25" r="3601" customHeight="1" ht="17.25" hidden="1">
      <c r="A3601" s="112" t="s">
        <v>8611</v>
      </c>
      <c r="B3601" s="1" t="s">
        <v>2549</v>
      </c>
      <c r="C3601" s="1" t="s">
        <v>68</v>
      </c>
      <c r="D3601" s="1" t="s">
        <v>8612</v>
      </c>
      <c r="E3601" s="62">
        <v>29</v>
      </c>
      <c r="F3601" s="1" t="s">
        <v>2551</v>
      </c>
      <c r="G3601" s="1" t="s">
        <v>2552</v>
      </c>
    </row>
    <row x14ac:dyDescent="0.25" r="3602" customHeight="1" ht="17.25" hidden="1">
      <c r="A3602" s="112" t="s">
        <v>8613</v>
      </c>
      <c r="B3602" s="1" t="s">
        <v>2549</v>
      </c>
      <c r="C3602" s="1" t="s">
        <v>68</v>
      </c>
      <c r="D3602" s="1" t="s">
        <v>8614</v>
      </c>
      <c r="E3602" s="62">
        <v>25</v>
      </c>
      <c r="F3602" s="1" t="s">
        <v>2551</v>
      </c>
      <c r="G3602" s="1" t="s">
        <v>2552</v>
      </c>
    </row>
    <row x14ac:dyDescent="0.25" r="3603" customHeight="1" ht="17.25" hidden="1">
      <c r="A3603" s="112" t="s">
        <v>8615</v>
      </c>
      <c r="B3603" s="1" t="s">
        <v>2549</v>
      </c>
      <c r="C3603" s="1" t="s">
        <v>68</v>
      </c>
      <c r="D3603" s="1" t="s">
        <v>8616</v>
      </c>
      <c r="E3603" s="62">
        <v>40</v>
      </c>
      <c r="F3603" s="1" t="s">
        <v>2551</v>
      </c>
      <c r="G3603" s="1" t="s">
        <v>2555</v>
      </c>
    </row>
    <row x14ac:dyDescent="0.25" r="3604" customHeight="1" ht="17.25" hidden="1">
      <c r="A3604" s="112" t="s">
        <v>605</v>
      </c>
      <c r="B3604" s="1" t="s">
        <v>2549</v>
      </c>
      <c r="C3604" s="1" t="s">
        <v>68</v>
      </c>
      <c r="D3604" s="1" t="s">
        <v>607</v>
      </c>
      <c r="E3604" s="62">
        <v>18</v>
      </c>
      <c r="F3604" s="1" t="s">
        <v>2551</v>
      </c>
      <c r="G3604" s="1" t="s">
        <v>2555</v>
      </c>
    </row>
    <row x14ac:dyDescent="0.25" r="3605" customHeight="1" ht="17.25" hidden="1">
      <c r="A3605" s="112" t="s">
        <v>8617</v>
      </c>
      <c r="B3605" s="1" t="s">
        <v>2549</v>
      </c>
      <c r="C3605" s="1" t="s">
        <v>68</v>
      </c>
      <c r="D3605" s="1" t="s">
        <v>8618</v>
      </c>
      <c r="E3605" s="62">
        <v>22</v>
      </c>
      <c r="F3605" s="1" t="s">
        <v>2551</v>
      </c>
      <c r="G3605" s="1" t="s">
        <v>2558</v>
      </c>
    </row>
    <row x14ac:dyDescent="0.25" r="3606" customHeight="1" ht="17.25" hidden="1">
      <c r="A3606" s="112" t="s">
        <v>1143</v>
      </c>
      <c r="B3606" s="1" t="s">
        <v>2549</v>
      </c>
      <c r="C3606" s="1" t="s">
        <v>68</v>
      </c>
      <c r="D3606" s="1" t="s">
        <v>1145</v>
      </c>
      <c r="E3606" s="62">
        <v>25</v>
      </c>
      <c r="F3606" s="1" t="s">
        <v>2551</v>
      </c>
      <c r="G3606" s="1" t="s">
        <v>2552</v>
      </c>
    </row>
    <row x14ac:dyDescent="0.25" r="3607" customHeight="1" ht="17.25" hidden="1">
      <c r="A3607" s="112" t="s">
        <v>8619</v>
      </c>
      <c r="B3607" s="1" t="s">
        <v>2549</v>
      </c>
      <c r="C3607" s="1" t="s">
        <v>68</v>
      </c>
      <c r="D3607" s="1" t="s">
        <v>8620</v>
      </c>
      <c r="E3607" s="62">
        <v>47</v>
      </c>
      <c r="F3607" s="1" t="s">
        <v>2551</v>
      </c>
      <c r="G3607" s="1" t="s">
        <v>2555</v>
      </c>
    </row>
    <row x14ac:dyDescent="0.25" r="3608" customHeight="1" ht="17.25" hidden="1">
      <c r="A3608" s="112" t="s">
        <v>8621</v>
      </c>
      <c r="B3608" s="1" t="s">
        <v>2549</v>
      </c>
      <c r="C3608" s="1" t="s">
        <v>68</v>
      </c>
      <c r="D3608" s="1" t="s">
        <v>8622</v>
      </c>
      <c r="E3608" s="62">
        <v>25</v>
      </c>
      <c r="F3608" s="1" t="s">
        <v>2551</v>
      </c>
      <c r="G3608" s="1" t="s">
        <v>2552</v>
      </c>
    </row>
    <row x14ac:dyDescent="0.25" r="3609" customHeight="1" ht="17.25" hidden="1">
      <c r="A3609" s="112" t="s">
        <v>8623</v>
      </c>
      <c r="B3609" s="1" t="s">
        <v>2549</v>
      </c>
      <c r="C3609" s="1" t="s">
        <v>68</v>
      </c>
      <c r="D3609" s="1" t="s">
        <v>8624</v>
      </c>
      <c r="E3609" s="62">
        <v>18</v>
      </c>
      <c r="F3609" s="1" t="s">
        <v>2551</v>
      </c>
      <c r="G3609" s="1" t="s">
        <v>2558</v>
      </c>
    </row>
    <row x14ac:dyDescent="0.25" r="3610" customHeight="1" ht="17.25" hidden="1">
      <c r="A3610" s="112" t="s">
        <v>8625</v>
      </c>
      <c r="B3610" s="1" t="s">
        <v>2549</v>
      </c>
      <c r="C3610" s="1" t="s">
        <v>68</v>
      </c>
      <c r="D3610" s="1" t="s">
        <v>8626</v>
      </c>
      <c r="E3610" s="62">
        <v>35</v>
      </c>
      <c r="F3610" s="1" t="s">
        <v>2551</v>
      </c>
      <c r="G3610" s="1" t="s">
        <v>2552</v>
      </c>
    </row>
    <row x14ac:dyDescent="0.25" r="3611" customHeight="1" ht="17.25" hidden="1">
      <c r="A3611" s="112" t="s">
        <v>8627</v>
      </c>
      <c r="B3611" s="1" t="s">
        <v>2549</v>
      </c>
      <c r="C3611" s="1" t="s">
        <v>68</v>
      </c>
      <c r="D3611" s="1" t="s">
        <v>4965</v>
      </c>
      <c r="E3611" s="62">
        <v>24</v>
      </c>
      <c r="F3611" s="1" t="s">
        <v>2551</v>
      </c>
      <c r="G3611" s="1" t="s">
        <v>2552</v>
      </c>
    </row>
    <row x14ac:dyDescent="0.25" r="3612" customHeight="1" ht="17.25" hidden="1">
      <c r="A3612" s="112" t="s">
        <v>1103</v>
      </c>
      <c r="B3612" s="1" t="s">
        <v>2549</v>
      </c>
      <c r="C3612" s="1" t="s">
        <v>68</v>
      </c>
      <c r="D3612" s="1" t="s">
        <v>1105</v>
      </c>
      <c r="E3612" s="62">
        <v>29</v>
      </c>
      <c r="F3612" s="1" t="s">
        <v>2551</v>
      </c>
      <c r="G3612" s="1" t="s">
        <v>2555</v>
      </c>
    </row>
    <row x14ac:dyDescent="0.25" r="3613" customHeight="1" ht="17.25" hidden="1">
      <c r="A3613" s="112" t="s">
        <v>8628</v>
      </c>
      <c r="B3613" s="1" t="s">
        <v>2549</v>
      </c>
      <c r="C3613" s="1" t="s">
        <v>68</v>
      </c>
      <c r="D3613" s="1" t="s">
        <v>8629</v>
      </c>
      <c r="E3613" s="62">
        <v>40</v>
      </c>
      <c r="F3613" s="1" t="s">
        <v>2551</v>
      </c>
      <c r="G3613" s="1" t="s">
        <v>2552</v>
      </c>
    </row>
    <row x14ac:dyDescent="0.25" r="3614" customHeight="1" ht="17.25" hidden="1">
      <c r="A3614" s="112" t="s">
        <v>8630</v>
      </c>
      <c r="B3614" s="1" t="s">
        <v>2549</v>
      </c>
      <c r="C3614" s="1" t="s">
        <v>68</v>
      </c>
      <c r="D3614" s="1" t="s">
        <v>8631</v>
      </c>
      <c r="E3614" s="62">
        <v>22</v>
      </c>
      <c r="F3614" s="1" t="s">
        <v>2551</v>
      </c>
      <c r="G3614" s="1" t="s">
        <v>2555</v>
      </c>
    </row>
    <row x14ac:dyDescent="0.25" r="3615" customHeight="1" ht="17.25" hidden="1">
      <c r="A3615" s="112" t="s">
        <v>8632</v>
      </c>
      <c r="B3615" s="1" t="s">
        <v>2549</v>
      </c>
      <c r="C3615" s="1" t="s">
        <v>68</v>
      </c>
      <c r="D3615" s="1" t="s">
        <v>8633</v>
      </c>
      <c r="E3615" s="62">
        <v>22</v>
      </c>
      <c r="F3615" s="1" t="s">
        <v>2551</v>
      </c>
      <c r="G3615" s="1" t="s">
        <v>2552</v>
      </c>
    </row>
    <row x14ac:dyDescent="0.25" r="3616" customHeight="1" ht="17.25" hidden="1">
      <c r="A3616" s="112" t="s">
        <v>8634</v>
      </c>
      <c r="B3616" s="1" t="s">
        <v>2549</v>
      </c>
      <c r="C3616" s="1" t="s">
        <v>68</v>
      </c>
      <c r="D3616" s="1" t="s">
        <v>8635</v>
      </c>
      <c r="E3616" s="62">
        <v>26</v>
      </c>
      <c r="F3616" s="1" t="s">
        <v>2551</v>
      </c>
      <c r="G3616" s="1" t="s">
        <v>2558</v>
      </c>
    </row>
    <row x14ac:dyDescent="0.25" r="3617" customHeight="1" ht="17.25" hidden="1">
      <c r="A3617" s="112" t="s">
        <v>8636</v>
      </c>
      <c r="B3617" s="1" t="s">
        <v>2549</v>
      </c>
      <c r="C3617" s="1" t="s">
        <v>68</v>
      </c>
      <c r="D3617" s="1" t="s">
        <v>8637</v>
      </c>
      <c r="E3617" s="62">
        <v>36</v>
      </c>
      <c r="F3617" s="1" t="s">
        <v>2551</v>
      </c>
      <c r="G3617" s="1" t="s">
        <v>2552</v>
      </c>
    </row>
    <row x14ac:dyDescent="0.25" r="3618" customHeight="1" ht="17.25" hidden="1">
      <c r="A3618" s="112" t="s">
        <v>8636</v>
      </c>
      <c r="B3618" s="1" t="s">
        <v>2549</v>
      </c>
      <c r="C3618" s="1" t="s">
        <v>68</v>
      </c>
      <c r="D3618" s="1" t="s">
        <v>6723</v>
      </c>
      <c r="E3618" s="62">
        <v>20</v>
      </c>
      <c r="F3618" s="1" t="s">
        <v>2551</v>
      </c>
      <c r="G3618" s="1" t="s">
        <v>2552</v>
      </c>
    </row>
    <row x14ac:dyDescent="0.25" r="3619" customHeight="1" ht="17.25" hidden="1">
      <c r="A3619" s="112" t="s">
        <v>8638</v>
      </c>
      <c r="B3619" s="1" t="s">
        <v>2549</v>
      </c>
      <c r="C3619" s="1" t="s">
        <v>68</v>
      </c>
      <c r="D3619" s="1" t="s">
        <v>8639</v>
      </c>
      <c r="E3619" s="62">
        <v>29</v>
      </c>
      <c r="F3619" s="1" t="s">
        <v>2551</v>
      </c>
      <c r="G3619" s="1" t="s">
        <v>2555</v>
      </c>
    </row>
    <row x14ac:dyDescent="0.25" r="3620" customHeight="1" ht="17.25" hidden="1">
      <c r="A3620" s="112" t="s">
        <v>8640</v>
      </c>
      <c r="B3620" s="1" t="s">
        <v>2549</v>
      </c>
      <c r="C3620" s="1" t="s">
        <v>68</v>
      </c>
      <c r="D3620" s="1" t="s">
        <v>8641</v>
      </c>
      <c r="E3620" s="62">
        <v>22</v>
      </c>
      <c r="F3620" s="1" t="s">
        <v>2551</v>
      </c>
      <c r="G3620" s="1" t="s">
        <v>2555</v>
      </c>
    </row>
    <row x14ac:dyDescent="0.25" r="3621" customHeight="1" ht="17.25" hidden="1">
      <c r="A3621" s="112" t="s">
        <v>8642</v>
      </c>
      <c r="B3621" s="1" t="s">
        <v>2549</v>
      </c>
      <c r="C3621" s="1" t="s">
        <v>68</v>
      </c>
      <c r="D3621" s="1" t="s">
        <v>8643</v>
      </c>
      <c r="E3621" s="62">
        <v>21</v>
      </c>
      <c r="F3621" s="1" t="s">
        <v>2551</v>
      </c>
      <c r="G3621" s="1" t="s">
        <v>2555</v>
      </c>
    </row>
    <row x14ac:dyDescent="0.25" r="3622" customHeight="1" ht="17.25" hidden="1">
      <c r="A3622" s="112" t="s">
        <v>8644</v>
      </c>
      <c r="B3622" s="1" t="s">
        <v>2549</v>
      </c>
      <c r="C3622" s="1" t="s">
        <v>68</v>
      </c>
      <c r="D3622" s="1" t="s">
        <v>8645</v>
      </c>
      <c r="E3622" s="62">
        <v>36</v>
      </c>
      <c r="F3622" s="1" t="s">
        <v>2561</v>
      </c>
      <c r="G3622" s="1" t="s">
        <v>2555</v>
      </c>
    </row>
    <row x14ac:dyDescent="0.25" r="3623" customHeight="1" ht="17.25" hidden="1">
      <c r="A3623" s="112" t="s">
        <v>8646</v>
      </c>
      <c r="B3623" s="1" t="s">
        <v>2549</v>
      </c>
      <c r="C3623" s="1" t="s">
        <v>68</v>
      </c>
      <c r="D3623" s="1" t="s">
        <v>7923</v>
      </c>
      <c r="E3623" s="62">
        <v>21</v>
      </c>
      <c r="F3623" s="1" t="s">
        <v>2551</v>
      </c>
      <c r="G3623" s="1" t="s">
        <v>2552</v>
      </c>
    </row>
    <row x14ac:dyDescent="0.25" r="3624" customHeight="1" ht="17.25" hidden="1">
      <c r="A3624" s="112" t="s">
        <v>8647</v>
      </c>
      <c r="B3624" s="1" t="s">
        <v>2549</v>
      </c>
      <c r="C3624" s="1" t="s">
        <v>68</v>
      </c>
      <c r="D3624" s="1" t="s">
        <v>8648</v>
      </c>
      <c r="E3624" s="62">
        <v>38</v>
      </c>
      <c r="F3624" s="1" t="s">
        <v>2561</v>
      </c>
      <c r="G3624" s="1" t="s">
        <v>2558</v>
      </c>
    </row>
    <row x14ac:dyDescent="0.25" r="3625" customHeight="1" ht="17.25" hidden="1">
      <c r="A3625" s="112" t="s">
        <v>8649</v>
      </c>
      <c r="B3625" s="1" t="s">
        <v>2549</v>
      </c>
      <c r="C3625" s="1" t="s">
        <v>68</v>
      </c>
      <c r="D3625" s="1" t="s">
        <v>8650</v>
      </c>
      <c r="E3625" s="62">
        <v>25</v>
      </c>
      <c r="F3625" s="1" t="s">
        <v>2551</v>
      </c>
      <c r="G3625" s="1" t="s">
        <v>2552</v>
      </c>
    </row>
    <row x14ac:dyDescent="0.25" r="3626" customHeight="1" ht="17.25" hidden="1">
      <c r="A3626" s="112" t="s">
        <v>8651</v>
      </c>
      <c r="B3626" s="1" t="s">
        <v>2549</v>
      </c>
      <c r="C3626" s="1" t="s">
        <v>68</v>
      </c>
      <c r="D3626" s="1" t="s">
        <v>8652</v>
      </c>
      <c r="E3626" s="62">
        <v>24</v>
      </c>
      <c r="F3626" s="1" t="s">
        <v>2551</v>
      </c>
      <c r="G3626" s="1" t="s">
        <v>2552</v>
      </c>
    </row>
    <row x14ac:dyDescent="0.25" r="3627" customHeight="1" ht="17.25" hidden="1">
      <c r="A3627" s="112" t="s">
        <v>8653</v>
      </c>
      <c r="B3627" s="1" t="s">
        <v>2549</v>
      </c>
      <c r="C3627" s="1" t="s">
        <v>69</v>
      </c>
      <c r="D3627" s="1" t="s">
        <v>8654</v>
      </c>
      <c r="E3627" s="62">
        <v>44</v>
      </c>
      <c r="F3627" s="1" t="s">
        <v>2551</v>
      </c>
      <c r="G3627" s="1" t="s">
        <v>2555</v>
      </c>
    </row>
    <row x14ac:dyDescent="0.25" r="3628" customHeight="1" ht="17.25" hidden="1">
      <c r="A3628" s="112" t="s">
        <v>8655</v>
      </c>
      <c r="B3628" s="1" t="s">
        <v>2549</v>
      </c>
      <c r="C3628" s="1" t="s">
        <v>69</v>
      </c>
      <c r="D3628" s="1" t="s">
        <v>8656</v>
      </c>
      <c r="E3628" s="62">
        <v>39</v>
      </c>
      <c r="F3628" s="1" t="s">
        <v>2551</v>
      </c>
      <c r="G3628" s="1" t="s">
        <v>2552</v>
      </c>
    </row>
    <row x14ac:dyDescent="0.25" r="3629" customHeight="1" ht="17.25" hidden="1">
      <c r="A3629" s="112" t="s">
        <v>8657</v>
      </c>
      <c r="B3629" s="1" t="s">
        <v>2549</v>
      </c>
      <c r="C3629" s="1" t="s">
        <v>69</v>
      </c>
      <c r="D3629" s="1" t="s">
        <v>8658</v>
      </c>
      <c r="E3629" s="62">
        <v>30</v>
      </c>
      <c r="F3629" s="1" t="s">
        <v>2551</v>
      </c>
      <c r="G3629" s="1" t="s">
        <v>2552</v>
      </c>
    </row>
    <row x14ac:dyDescent="0.25" r="3630" customHeight="1" ht="17.25" hidden="1">
      <c r="A3630" s="112" t="s">
        <v>8659</v>
      </c>
      <c r="B3630" s="1" t="s">
        <v>2549</v>
      </c>
      <c r="C3630" s="1" t="s">
        <v>69</v>
      </c>
      <c r="D3630" s="1" t="s">
        <v>8660</v>
      </c>
      <c r="E3630" s="62">
        <v>25</v>
      </c>
      <c r="F3630" s="1" t="s">
        <v>2561</v>
      </c>
      <c r="G3630" s="1" t="s">
        <v>2555</v>
      </c>
    </row>
    <row x14ac:dyDescent="0.25" r="3631" customHeight="1" ht="17.25" hidden="1">
      <c r="A3631" s="112" t="s">
        <v>8659</v>
      </c>
      <c r="B3631" s="1" t="s">
        <v>2549</v>
      </c>
      <c r="C3631" s="1" t="s">
        <v>69</v>
      </c>
      <c r="D3631" s="1" t="s">
        <v>8661</v>
      </c>
      <c r="E3631" s="62">
        <v>27</v>
      </c>
      <c r="F3631" s="1" t="s">
        <v>2551</v>
      </c>
      <c r="G3631" s="1" t="s">
        <v>2552</v>
      </c>
    </row>
    <row x14ac:dyDescent="0.25" r="3632" customHeight="1" ht="17.25" hidden="1">
      <c r="A3632" s="112" t="s">
        <v>8662</v>
      </c>
      <c r="B3632" s="1" t="s">
        <v>2549</v>
      </c>
      <c r="C3632" s="1" t="s">
        <v>69</v>
      </c>
      <c r="D3632" s="1" t="s">
        <v>8663</v>
      </c>
      <c r="E3632" s="62">
        <v>43</v>
      </c>
      <c r="F3632" s="1" t="s">
        <v>2551</v>
      </c>
      <c r="G3632" s="1" t="s">
        <v>2558</v>
      </c>
    </row>
    <row x14ac:dyDescent="0.25" r="3633" customHeight="1" ht="17.25" hidden="1">
      <c r="A3633" s="112" t="s">
        <v>8664</v>
      </c>
      <c r="B3633" s="1" t="s">
        <v>2549</v>
      </c>
      <c r="C3633" s="1" t="s">
        <v>69</v>
      </c>
      <c r="D3633" s="1" t="s">
        <v>8665</v>
      </c>
      <c r="E3633" s="62">
        <v>18</v>
      </c>
      <c r="F3633" s="1" t="s">
        <v>2551</v>
      </c>
      <c r="G3633" s="1" t="s">
        <v>2552</v>
      </c>
    </row>
    <row x14ac:dyDescent="0.25" r="3634" customHeight="1" ht="17.25" hidden="1">
      <c r="A3634" s="112" t="s">
        <v>8666</v>
      </c>
      <c r="B3634" s="1" t="s">
        <v>2549</v>
      </c>
      <c r="C3634" s="1" t="s">
        <v>69</v>
      </c>
      <c r="D3634" s="1" t="s">
        <v>8667</v>
      </c>
      <c r="E3634" s="62">
        <v>22</v>
      </c>
      <c r="F3634" s="1" t="s">
        <v>2551</v>
      </c>
      <c r="G3634" s="1" t="s">
        <v>2552</v>
      </c>
    </row>
    <row x14ac:dyDescent="0.25" r="3635" customHeight="1" ht="17.25" hidden="1">
      <c r="A3635" s="112" t="s">
        <v>8668</v>
      </c>
      <c r="B3635" s="1" t="s">
        <v>2549</v>
      </c>
      <c r="C3635" s="1" t="s">
        <v>69</v>
      </c>
      <c r="D3635" s="1" t="s">
        <v>8669</v>
      </c>
      <c r="E3635" s="62">
        <v>24</v>
      </c>
      <c r="F3635" s="1" t="s">
        <v>2551</v>
      </c>
      <c r="G3635" s="1" t="s">
        <v>2552</v>
      </c>
    </row>
    <row x14ac:dyDescent="0.25" r="3636" customHeight="1" ht="17.25" hidden="1">
      <c r="A3636" s="112" t="s">
        <v>8670</v>
      </c>
      <c r="B3636" s="1" t="s">
        <v>2549</v>
      </c>
      <c r="C3636" s="1" t="s">
        <v>69</v>
      </c>
      <c r="D3636" s="1" t="s">
        <v>8671</v>
      </c>
      <c r="E3636" s="62">
        <v>34</v>
      </c>
      <c r="F3636" s="1" t="s">
        <v>2551</v>
      </c>
      <c r="G3636" s="1" t="s">
        <v>2555</v>
      </c>
    </row>
    <row x14ac:dyDescent="0.25" r="3637" customHeight="1" ht="17.25" hidden="1">
      <c r="A3637" s="112" t="s">
        <v>8672</v>
      </c>
      <c r="B3637" s="1" t="s">
        <v>2549</v>
      </c>
      <c r="C3637" s="1" t="s">
        <v>69</v>
      </c>
      <c r="D3637" s="1" t="s">
        <v>8673</v>
      </c>
      <c r="E3637" s="62">
        <v>33</v>
      </c>
      <c r="F3637" s="1" t="s">
        <v>2551</v>
      </c>
      <c r="G3637" s="1" t="s">
        <v>2552</v>
      </c>
    </row>
    <row x14ac:dyDescent="0.25" r="3638" customHeight="1" ht="17.25" hidden="1">
      <c r="A3638" s="112" t="s">
        <v>8674</v>
      </c>
      <c r="B3638" s="1" t="s">
        <v>2549</v>
      </c>
      <c r="C3638" s="1" t="s">
        <v>69</v>
      </c>
      <c r="D3638" s="1" t="s">
        <v>7371</v>
      </c>
      <c r="E3638" s="62">
        <v>30</v>
      </c>
      <c r="F3638" s="1" t="s">
        <v>2551</v>
      </c>
      <c r="G3638" s="1" t="s">
        <v>2555</v>
      </c>
    </row>
    <row x14ac:dyDescent="0.25" r="3639" customHeight="1" ht="17.25" hidden="1">
      <c r="A3639" s="112" t="s">
        <v>8675</v>
      </c>
      <c r="B3639" s="1" t="s">
        <v>2549</v>
      </c>
      <c r="C3639" s="1" t="s">
        <v>69</v>
      </c>
      <c r="D3639" s="1" t="s">
        <v>8676</v>
      </c>
      <c r="E3639" s="62">
        <v>20</v>
      </c>
      <c r="F3639" s="1" t="s">
        <v>2551</v>
      </c>
      <c r="G3639" s="1" t="s">
        <v>2552</v>
      </c>
    </row>
    <row x14ac:dyDescent="0.25" r="3640" customHeight="1" ht="17.25" hidden="1">
      <c r="A3640" s="112" t="s">
        <v>8677</v>
      </c>
      <c r="B3640" s="1" t="s">
        <v>2549</v>
      </c>
      <c r="C3640" s="1" t="s">
        <v>69</v>
      </c>
      <c r="D3640" s="1" t="s">
        <v>8678</v>
      </c>
      <c r="E3640" s="62">
        <v>39</v>
      </c>
      <c r="F3640" s="1" t="s">
        <v>2551</v>
      </c>
      <c r="G3640" s="1" t="s">
        <v>2552</v>
      </c>
    </row>
    <row x14ac:dyDescent="0.25" r="3641" customHeight="1" ht="17.25" hidden="1">
      <c r="A3641" s="112" t="s">
        <v>8679</v>
      </c>
      <c r="B3641" s="1" t="s">
        <v>2549</v>
      </c>
      <c r="C3641" s="1" t="s">
        <v>69</v>
      </c>
      <c r="D3641" s="1" t="s">
        <v>8680</v>
      </c>
      <c r="E3641" s="62">
        <v>27</v>
      </c>
      <c r="F3641" s="1" t="s">
        <v>2551</v>
      </c>
      <c r="G3641" s="1" t="s">
        <v>2558</v>
      </c>
    </row>
    <row x14ac:dyDescent="0.25" r="3642" customHeight="1" ht="17.25" hidden="1">
      <c r="A3642" s="112" t="s">
        <v>2396</v>
      </c>
      <c r="B3642" s="1" t="s">
        <v>2549</v>
      </c>
      <c r="C3642" s="1" t="s">
        <v>69</v>
      </c>
      <c r="D3642" s="1" t="s">
        <v>2397</v>
      </c>
      <c r="E3642" s="62">
        <v>26</v>
      </c>
      <c r="F3642" s="1" t="s">
        <v>2551</v>
      </c>
      <c r="G3642" s="1" t="s">
        <v>2552</v>
      </c>
    </row>
    <row x14ac:dyDescent="0.25" r="3643" customHeight="1" ht="17.25" hidden="1">
      <c r="A3643" s="112" t="s">
        <v>8681</v>
      </c>
      <c r="B3643" s="1" t="s">
        <v>2549</v>
      </c>
      <c r="C3643" s="1" t="s">
        <v>69</v>
      </c>
      <c r="D3643" s="1" t="s">
        <v>8682</v>
      </c>
      <c r="E3643" s="62">
        <v>23</v>
      </c>
      <c r="F3643" s="1" t="s">
        <v>2551</v>
      </c>
      <c r="G3643" s="1" t="s">
        <v>2555</v>
      </c>
    </row>
    <row x14ac:dyDescent="0.25" r="3644" customHeight="1" ht="17.25" hidden="1">
      <c r="A3644" s="112" t="s">
        <v>8683</v>
      </c>
      <c r="B3644" s="1" t="s">
        <v>2549</v>
      </c>
      <c r="C3644" s="1" t="s">
        <v>69</v>
      </c>
      <c r="D3644" s="1" t="s">
        <v>8684</v>
      </c>
      <c r="E3644" s="62">
        <v>43</v>
      </c>
      <c r="F3644" s="1" t="s">
        <v>2551</v>
      </c>
      <c r="G3644" s="1" t="s">
        <v>2555</v>
      </c>
    </row>
    <row x14ac:dyDescent="0.25" r="3645" customHeight="1" ht="17.25" hidden="1">
      <c r="A3645" s="112" t="s">
        <v>8685</v>
      </c>
      <c r="B3645" s="1" t="s">
        <v>2549</v>
      </c>
      <c r="C3645" s="1" t="s">
        <v>69</v>
      </c>
      <c r="D3645" s="1" t="s">
        <v>8686</v>
      </c>
      <c r="E3645" s="62">
        <v>19</v>
      </c>
      <c r="F3645" s="1" t="s">
        <v>2551</v>
      </c>
      <c r="G3645" s="1" t="s">
        <v>2552</v>
      </c>
    </row>
    <row x14ac:dyDescent="0.25" r="3646" customHeight="1" ht="17.25" hidden="1">
      <c r="A3646" s="112" t="s">
        <v>8687</v>
      </c>
      <c r="B3646" s="1" t="s">
        <v>2549</v>
      </c>
      <c r="C3646" s="1" t="s">
        <v>69</v>
      </c>
      <c r="D3646" s="1" t="s">
        <v>8688</v>
      </c>
      <c r="E3646" s="62">
        <v>31</v>
      </c>
      <c r="F3646" s="1" t="s">
        <v>2551</v>
      </c>
      <c r="G3646" s="1" t="s">
        <v>2558</v>
      </c>
    </row>
    <row x14ac:dyDescent="0.25" r="3647" customHeight="1" ht="17.25" hidden="1">
      <c r="A3647" s="112" t="s">
        <v>8687</v>
      </c>
      <c r="B3647" s="1" t="s">
        <v>2549</v>
      </c>
      <c r="C3647" s="1" t="s">
        <v>69</v>
      </c>
      <c r="D3647" s="1" t="s">
        <v>8689</v>
      </c>
      <c r="E3647" s="62">
        <v>26</v>
      </c>
      <c r="F3647" s="1" t="s">
        <v>2551</v>
      </c>
      <c r="G3647" s="1" t="s">
        <v>2555</v>
      </c>
    </row>
    <row x14ac:dyDescent="0.25" r="3648" customHeight="1" ht="17.25" hidden="1">
      <c r="A3648" s="112" t="s">
        <v>8690</v>
      </c>
      <c r="B3648" s="1" t="s">
        <v>2549</v>
      </c>
      <c r="C3648" s="1" t="s">
        <v>69</v>
      </c>
      <c r="D3648" s="1" t="s">
        <v>8691</v>
      </c>
      <c r="E3648" s="62">
        <v>36</v>
      </c>
      <c r="F3648" s="1" t="s">
        <v>2551</v>
      </c>
      <c r="G3648" s="1" t="s">
        <v>2555</v>
      </c>
    </row>
    <row x14ac:dyDescent="0.25" r="3649" customHeight="1" ht="17.25" hidden="1">
      <c r="A3649" s="112" t="s">
        <v>8692</v>
      </c>
      <c r="B3649" s="1" t="s">
        <v>2549</v>
      </c>
      <c r="C3649" s="1" t="s">
        <v>69</v>
      </c>
      <c r="D3649" s="1" t="s">
        <v>8693</v>
      </c>
      <c r="E3649" s="62">
        <v>50</v>
      </c>
      <c r="F3649" s="1" t="s">
        <v>2561</v>
      </c>
      <c r="G3649" s="1" t="s">
        <v>2552</v>
      </c>
    </row>
    <row x14ac:dyDescent="0.25" r="3650" customHeight="1" ht="17.25" hidden="1">
      <c r="A3650" s="112" t="s">
        <v>8692</v>
      </c>
      <c r="B3650" s="1" t="s">
        <v>2549</v>
      </c>
      <c r="C3650" s="1" t="s">
        <v>69</v>
      </c>
      <c r="D3650" s="1" t="s">
        <v>8694</v>
      </c>
      <c r="E3650" s="62">
        <v>40</v>
      </c>
      <c r="F3650" s="1" t="s">
        <v>2551</v>
      </c>
      <c r="G3650" s="1" t="s">
        <v>2552</v>
      </c>
    </row>
    <row x14ac:dyDescent="0.25" r="3651" customHeight="1" ht="17.25" hidden="1">
      <c r="A3651" s="112" t="s">
        <v>2203</v>
      </c>
      <c r="B3651" s="1" t="s">
        <v>2549</v>
      </c>
      <c r="C3651" s="1" t="s">
        <v>69</v>
      </c>
      <c r="D3651" s="1" t="s">
        <v>2215</v>
      </c>
      <c r="E3651" s="62">
        <v>27</v>
      </c>
      <c r="F3651" s="1" t="s">
        <v>2551</v>
      </c>
      <c r="G3651" s="1" t="s">
        <v>2555</v>
      </c>
    </row>
    <row x14ac:dyDescent="0.25" r="3652" customHeight="1" ht="17.25" hidden="1">
      <c r="A3652" s="112" t="s">
        <v>2203</v>
      </c>
      <c r="B3652" s="1" t="s">
        <v>2549</v>
      </c>
      <c r="C3652" s="1" t="s">
        <v>69</v>
      </c>
      <c r="D3652" s="1" t="s">
        <v>8695</v>
      </c>
      <c r="E3652" s="62">
        <v>22</v>
      </c>
      <c r="F3652" s="1" t="s">
        <v>2551</v>
      </c>
      <c r="G3652" s="1" t="s">
        <v>2555</v>
      </c>
    </row>
    <row x14ac:dyDescent="0.25" r="3653" customHeight="1" ht="17.25" hidden="1">
      <c r="A3653" s="112" t="s">
        <v>2203</v>
      </c>
      <c r="B3653" s="1" t="s">
        <v>2549</v>
      </c>
      <c r="C3653" s="1" t="s">
        <v>69</v>
      </c>
      <c r="D3653" s="1" t="s">
        <v>2204</v>
      </c>
      <c r="E3653" s="62">
        <v>23</v>
      </c>
      <c r="F3653" s="1" t="s">
        <v>2561</v>
      </c>
      <c r="G3653" s="1" t="s">
        <v>2555</v>
      </c>
    </row>
    <row x14ac:dyDescent="0.25" r="3654" customHeight="1" ht="17.25" hidden="1">
      <c r="A3654" s="112" t="s">
        <v>8696</v>
      </c>
      <c r="B3654" s="1" t="s">
        <v>2549</v>
      </c>
      <c r="C3654" s="1" t="s">
        <v>69</v>
      </c>
      <c r="D3654" s="1" t="s">
        <v>8697</v>
      </c>
      <c r="E3654" s="62">
        <v>24</v>
      </c>
      <c r="F3654" s="1" t="s">
        <v>2551</v>
      </c>
      <c r="G3654" s="1" t="s">
        <v>2558</v>
      </c>
    </row>
    <row x14ac:dyDescent="0.25" r="3655" customHeight="1" ht="17.25" hidden="1">
      <c r="A3655" s="112" t="s">
        <v>8698</v>
      </c>
      <c r="B3655" s="1" t="s">
        <v>2549</v>
      </c>
      <c r="C3655" s="1" t="s">
        <v>69</v>
      </c>
      <c r="D3655" s="1" t="s">
        <v>8699</v>
      </c>
      <c r="E3655" s="62">
        <v>27</v>
      </c>
      <c r="F3655" s="1" t="s">
        <v>2551</v>
      </c>
      <c r="G3655" s="1" t="s">
        <v>2552</v>
      </c>
    </row>
    <row x14ac:dyDescent="0.25" r="3656" customHeight="1" ht="17.25" hidden="1">
      <c r="A3656" s="112" t="s">
        <v>8700</v>
      </c>
      <c r="B3656" s="1" t="s">
        <v>2549</v>
      </c>
      <c r="C3656" s="1" t="s">
        <v>69</v>
      </c>
      <c r="D3656" s="1" t="s">
        <v>8701</v>
      </c>
      <c r="E3656" s="62">
        <v>35</v>
      </c>
      <c r="F3656" s="1" t="s">
        <v>2551</v>
      </c>
      <c r="G3656" s="1" t="s">
        <v>2555</v>
      </c>
    </row>
    <row x14ac:dyDescent="0.25" r="3657" customHeight="1" ht="17.25" hidden="1">
      <c r="A3657" s="112" t="s">
        <v>8700</v>
      </c>
      <c r="B3657" s="1" t="s">
        <v>2549</v>
      </c>
      <c r="C3657" s="1" t="s">
        <v>69</v>
      </c>
      <c r="D3657" s="1" t="s">
        <v>8702</v>
      </c>
      <c r="E3657" s="62">
        <v>30</v>
      </c>
      <c r="F3657" s="1" t="s">
        <v>2551</v>
      </c>
      <c r="G3657" s="1" t="s">
        <v>2555</v>
      </c>
    </row>
    <row x14ac:dyDescent="0.25" r="3658" customHeight="1" ht="17.25" hidden="1">
      <c r="A3658" s="112" t="s">
        <v>8703</v>
      </c>
      <c r="B3658" s="1" t="s">
        <v>2549</v>
      </c>
      <c r="C3658" s="1" t="s">
        <v>69</v>
      </c>
      <c r="D3658" s="1" t="s">
        <v>8704</v>
      </c>
      <c r="E3658" s="62">
        <v>31</v>
      </c>
      <c r="F3658" s="1" t="s">
        <v>2551</v>
      </c>
      <c r="G3658" s="1" t="s">
        <v>2555</v>
      </c>
    </row>
    <row x14ac:dyDescent="0.25" r="3659" customHeight="1" ht="17.25" hidden="1">
      <c r="A3659" s="112" t="s">
        <v>8705</v>
      </c>
      <c r="B3659" s="1" t="s">
        <v>2549</v>
      </c>
      <c r="C3659" s="1" t="s">
        <v>69</v>
      </c>
      <c r="D3659" s="1" t="s">
        <v>8706</v>
      </c>
      <c r="E3659" s="62">
        <v>67</v>
      </c>
      <c r="F3659" s="1" t="s">
        <v>2551</v>
      </c>
      <c r="G3659" s="1" t="s">
        <v>2555</v>
      </c>
    </row>
    <row x14ac:dyDescent="0.25" r="3660" customHeight="1" ht="17.25" hidden="1">
      <c r="A3660" s="112" t="s">
        <v>1291</v>
      </c>
      <c r="B3660" s="1" t="s">
        <v>2549</v>
      </c>
      <c r="C3660" s="1" t="s">
        <v>69</v>
      </c>
      <c r="D3660" s="1" t="s">
        <v>1293</v>
      </c>
      <c r="E3660" s="62">
        <v>31</v>
      </c>
      <c r="F3660" s="1" t="s">
        <v>2551</v>
      </c>
      <c r="G3660" s="1" t="s">
        <v>2555</v>
      </c>
    </row>
    <row x14ac:dyDescent="0.25" r="3661" customHeight="1" ht="17.25" hidden="1">
      <c r="A3661" s="112" t="s">
        <v>8707</v>
      </c>
      <c r="B3661" s="1" t="s">
        <v>2549</v>
      </c>
      <c r="C3661" s="1" t="s">
        <v>69</v>
      </c>
      <c r="D3661" s="1" t="s">
        <v>8708</v>
      </c>
      <c r="E3661" s="62">
        <v>20</v>
      </c>
      <c r="F3661" s="1" t="s">
        <v>2551</v>
      </c>
      <c r="G3661" s="1" t="s">
        <v>2555</v>
      </c>
    </row>
    <row x14ac:dyDescent="0.25" r="3662" customHeight="1" ht="17.25" hidden="1">
      <c r="A3662" s="112" t="s">
        <v>8709</v>
      </c>
      <c r="B3662" s="1" t="s">
        <v>2549</v>
      </c>
      <c r="C3662" s="1" t="s">
        <v>69</v>
      </c>
      <c r="D3662" s="1" t="s">
        <v>8710</v>
      </c>
      <c r="E3662" s="62">
        <v>21</v>
      </c>
      <c r="F3662" s="1" t="s">
        <v>2551</v>
      </c>
      <c r="G3662" s="1" t="s">
        <v>2555</v>
      </c>
    </row>
    <row x14ac:dyDescent="0.25" r="3663" customHeight="1" ht="17.25" hidden="1">
      <c r="A3663" s="112" t="s">
        <v>8711</v>
      </c>
      <c r="B3663" s="1" t="s">
        <v>2549</v>
      </c>
      <c r="C3663" s="1" t="s">
        <v>69</v>
      </c>
      <c r="D3663" s="1" t="s">
        <v>8712</v>
      </c>
      <c r="E3663" s="62">
        <v>23</v>
      </c>
      <c r="F3663" s="1" t="s">
        <v>2551</v>
      </c>
      <c r="G3663" s="1" t="s">
        <v>2555</v>
      </c>
    </row>
    <row x14ac:dyDescent="0.25" r="3664" customHeight="1" ht="17.25" hidden="1">
      <c r="A3664" s="112" t="s">
        <v>8713</v>
      </c>
      <c r="B3664" s="1" t="s">
        <v>2549</v>
      </c>
      <c r="C3664" s="1" t="s">
        <v>69</v>
      </c>
      <c r="D3664" s="1" t="s">
        <v>8714</v>
      </c>
      <c r="E3664" s="62">
        <v>23</v>
      </c>
      <c r="F3664" s="1" t="s">
        <v>2551</v>
      </c>
      <c r="G3664" s="1" t="s">
        <v>2552</v>
      </c>
    </row>
    <row x14ac:dyDescent="0.25" r="3665" customHeight="1" ht="17.25" hidden="1">
      <c r="A3665" s="112" t="s">
        <v>8715</v>
      </c>
      <c r="B3665" s="1" t="s">
        <v>2549</v>
      </c>
      <c r="C3665" s="1" t="s">
        <v>69</v>
      </c>
      <c r="D3665" s="1" t="s">
        <v>8716</v>
      </c>
      <c r="E3665" s="62">
        <v>33</v>
      </c>
      <c r="F3665" s="1" t="s">
        <v>2551</v>
      </c>
      <c r="G3665" s="1" t="s">
        <v>2552</v>
      </c>
    </row>
    <row x14ac:dyDescent="0.25" r="3666" customHeight="1" ht="17.25" hidden="1">
      <c r="A3666" s="112" t="s">
        <v>8717</v>
      </c>
      <c r="B3666" s="1" t="s">
        <v>2549</v>
      </c>
      <c r="C3666" s="1" t="s">
        <v>69</v>
      </c>
      <c r="D3666" s="1" t="s">
        <v>8718</v>
      </c>
      <c r="E3666" s="62">
        <v>29</v>
      </c>
      <c r="F3666" s="1" t="s">
        <v>2551</v>
      </c>
      <c r="G3666" s="1" t="s">
        <v>2558</v>
      </c>
    </row>
    <row x14ac:dyDescent="0.25" r="3667" customHeight="1" ht="17.25" hidden="1">
      <c r="A3667" s="112" t="s">
        <v>8719</v>
      </c>
      <c r="B3667" s="1" t="s">
        <v>2549</v>
      </c>
      <c r="C3667" s="1" t="s">
        <v>69</v>
      </c>
      <c r="D3667" s="1" t="s">
        <v>8720</v>
      </c>
      <c r="E3667" s="62">
        <v>18</v>
      </c>
      <c r="F3667" s="1" t="s">
        <v>2551</v>
      </c>
      <c r="G3667" s="1" t="s">
        <v>2552</v>
      </c>
    </row>
    <row x14ac:dyDescent="0.25" r="3668" customHeight="1" ht="17.25" hidden="1">
      <c r="A3668" s="112" t="s">
        <v>969</v>
      </c>
      <c r="B3668" s="1" t="s">
        <v>2549</v>
      </c>
      <c r="C3668" s="1" t="s">
        <v>69</v>
      </c>
      <c r="D3668" s="1" t="s">
        <v>970</v>
      </c>
      <c r="E3668" s="62">
        <v>20</v>
      </c>
      <c r="F3668" s="1" t="s">
        <v>2551</v>
      </c>
      <c r="G3668" s="1" t="s">
        <v>2558</v>
      </c>
    </row>
    <row x14ac:dyDescent="0.25" r="3669" customHeight="1" ht="17.25" hidden="1">
      <c r="A3669" s="112" t="s">
        <v>8721</v>
      </c>
      <c r="B3669" s="1" t="s">
        <v>2549</v>
      </c>
      <c r="C3669" s="1" t="s">
        <v>69</v>
      </c>
      <c r="D3669" s="1" t="s">
        <v>8722</v>
      </c>
      <c r="E3669" s="62">
        <v>22</v>
      </c>
      <c r="F3669" s="1" t="s">
        <v>2551</v>
      </c>
      <c r="G3669" s="1" t="s">
        <v>2558</v>
      </c>
    </row>
    <row x14ac:dyDescent="0.25" r="3670" customHeight="1" ht="17.25" hidden="1">
      <c r="A3670" s="112" t="s">
        <v>8723</v>
      </c>
      <c r="B3670" s="1" t="s">
        <v>2549</v>
      </c>
      <c r="C3670" s="1" t="s">
        <v>69</v>
      </c>
      <c r="D3670" s="1" t="s">
        <v>8724</v>
      </c>
      <c r="E3670" s="62">
        <v>28</v>
      </c>
      <c r="F3670" s="1" t="s">
        <v>2551</v>
      </c>
      <c r="G3670" s="1" t="s">
        <v>2552</v>
      </c>
    </row>
    <row x14ac:dyDescent="0.25" r="3671" customHeight="1" ht="17.25" hidden="1">
      <c r="A3671" s="112" t="s">
        <v>8723</v>
      </c>
      <c r="B3671" s="1" t="s">
        <v>2549</v>
      </c>
      <c r="C3671" s="1" t="s">
        <v>69</v>
      </c>
      <c r="D3671" s="1" t="s">
        <v>8725</v>
      </c>
      <c r="E3671" s="62">
        <v>46</v>
      </c>
      <c r="F3671" s="1" t="s">
        <v>2551</v>
      </c>
      <c r="G3671" s="1" t="s">
        <v>2555</v>
      </c>
    </row>
    <row x14ac:dyDescent="0.25" r="3672" customHeight="1" ht="17.25" hidden="1">
      <c r="A3672" s="112" t="s">
        <v>8723</v>
      </c>
      <c r="B3672" s="1" t="s">
        <v>2549</v>
      </c>
      <c r="C3672" s="1" t="s">
        <v>69</v>
      </c>
      <c r="D3672" s="1" t="s">
        <v>8726</v>
      </c>
      <c r="E3672" s="62">
        <v>29</v>
      </c>
      <c r="F3672" s="1" t="s">
        <v>2551</v>
      </c>
      <c r="G3672" s="1" t="s">
        <v>2552</v>
      </c>
    </row>
    <row x14ac:dyDescent="0.25" r="3673" customHeight="1" ht="17.25" hidden="1">
      <c r="A3673" s="112" t="s">
        <v>8723</v>
      </c>
      <c r="B3673" s="1" t="s">
        <v>2549</v>
      </c>
      <c r="C3673" s="1" t="s">
        <v>69</v>
      </c>
      <c r="D3673" s="1" t="s">
        <v>8727</v>
      </c>
      <c r="E3673" s="62">
        <v>44</v>
      </c>
      <c r="F3673" s="1" t="s">
        <v>2551</v>
      </c>
      <c r="G3673" s="1" t="s">
        <v>2555</v>
      </c>
    </row>
    <row x14ac:dyDescent="0.25" r="3674" customHeight="1" ht="17.25" hidden="1">
      <c r="A3674" s="112" t="s">
        <v>1547</v>
      </c>
      <c r="B3674" s="1" t="s">
        <v>2549</v>
      </c>
      <c r="C3674" s="1" t="s">
        <v>69</v>
      </c>
      <c r="D3674" s="1" t="s">
        <v>1549</v>
      </c>
      <c r="E3674" s="62">
        <v>21</v>
      </c>
      <c r="F3674" s="1" t="s">
        <v>2551</v>
      </c>
      <c r="G3674" s="1" t="s">
        <v>2558</v>
      </c>
    </row>
    <row x14ac:dyDescent="0.25" r="3675" customHeight="1" ht="17.25" hidden="1">
      <c r="A3675" s="112" t="s">
        <v>1547</v>
      </c>
      <c r="B3675" s="1" t="s">
        <v>2549</v>
      </c>
      <c r="C3675" s="1" t="s">
        <v>69</v>
      </c>
      <c r="D3675" s="1" t="s">
        <v>1549</v>
      </c>
      <c r="E3675" s="62">
        <v>21</v>
      </c>
      <c r="F3675" s="1" t="s">
        <v>2551</v>
      </c>
      <c r="G3675" s="1" t="s">
        <v>2558</v>
      </c>
    </row>
    <row x14ac:dyDescent="0.25" r="3676" customHeight="1" ht="17.25" hidden="1">
      <c r="A3676" s="112" t="s">
        <v>1547</v>
      </c>
      <c r="B3676" s="1" t="s">
        <v>2549</v>
      </c>
      <c r="C3676" s="1" t="s">
        <v>69</v>
      </c>
      <c r="D3676" s="1" t="s">
        <v>8728</v>
      </c>
      <c r="E3676" s="62">
        <v>26</v>
      </c>
      <c r="F3676" s="1" t="s">
        <v>2551</v>
      </c>
      <c r="G3676" s="1" t="s">
        <v>2552</v>
      </c>
    </row>
    <row x14ac:dyDescent="0.25" r="3677" customHeight="1" ht="17.25" hidden="1">
      <c r="A3677" s="112" t="s">
        <v>8729</v>
      </c>
      <c r="B3677" s="1" t="s">
        <v>2549</v>
      </c>
      <c r="C3677" s="1" t="s">
        <v>69</v>
      </c>
      <c r="D3677" s="1" t="s">
        <v>6531</v>
      </c>
      <c r="E3677" s="62">
        <v>20</v>
      </c>
      <c r="F3677" s="1" t="s">
        <v>2551</v>
      </c>
      <c r="G3677" s="1" t="s">
        <v>2552</v>
      </c>
    </row>
    <row x14ac:dyDescent="0.25" r="3678" customHeight="1" ht="17.25" hidden="1">
      <c r="A3678" s="112" t="s">
        <v>8730</v>
      </c>
      <c r="B3678" s="1" t="s">
        <v>2549</v>
      </c>
      <c r="C3678" s="1" t="s">
        <v>69</v>
      </c>
      <c r="D3678" s="1" t="s">
        <v>8731</v>
      </c>
      <c r="E3678" s="62">
        <v>20</v>
      </c>
      <c r="F3678" s="1" t="s">
        <v>2551</v>
      </c>
      <c r="G3678" s="1" t="s">
        <v>2552</v>
      </c>
    </row>
    <row x14ac:dyDescent="0.25" r="3679" customHeight="1" ht="17.25" hidden="1">
      <c r="A3679" s="112" t="s">
        <v>8730</v>
      </c>
      <c r="B3679" s="1" t="s">
        <v>2549</v>
      </c>
      <c r="C3679" s="1" t="s">
        <v>69</v>
      </c>
      <c r="D3679" s="1" t="s">
        <v>8732</v>
      </c>
      <c r="E3679" s="62">
        <v>24</v>
      </c>
      <c r="F3679" s="1" t="s">
        <v>2551</v>
      </c>
      <c r="G3679" s="1" t="s">
        <v>2555</v>
      </c>
    </row>
    <row x14ac:dyDescent="0.25" r="3680" customHeight="1" ht="17.25" hidden="1">
      <c r="A3680" s="112" t="s">
        <v>8730</v>
      </c>
      <c r="B3680" s="1" t="s">
        <v>2549</v>
      </c>
      <c r="C3680" s="1" t="s">
        <v>69</v>
      </c>
      <c r="D3680" s="1" t="s">
        <v>8733</v>
      </c>
      <c r="E3680" s="62">
        <v>49</v>
      </c>
      <c r="F3680" s="1" t="s">
        <v>2551</v>
      </c>
      <c r="G3680" s="1" t="s">
        <v>2552</v>
      </c>
    </row>
    <row x14ac:dyDescent="0.25" r="3681" customHeight="1" ht="17.25" hidden="1">
      <c r="A3681" s="112" t="s">
        <v>8734</v>
      </c>
      <c r="B3681" s="1" t="s">
        <v>2549</v>
      </c>
      <c r="C3681" s="1" t="s">
        <v>69</v>
      </c>
      <c r="D3681" s="1" t="s">
        <v>8735</v>
      </c>
      <c r="E3681" s="62">
        <v>20</v>
      </c>
      <c r="F3681" s="1" t="s">
        <v>2551</v>
      </c>
      <c r="G3681" s="1" t="s">
        <v>2552</v>
      </c>
    </row>
    <row x14ac:dyDescent="0.25" r="3682" customHeight="1" ht="17.25" hidden="1">
      <c r="A3682" s="112" t="s">
        <v>8736</v>
      </c>
      <c r="B3682" s="1" t="s">
        <v>2549</v>
      </c>
      <c r="C3682" s="1" t="s">
        <v>69</v>
      </c>
      <c r="D3682" s="1" t="s">
        <v>8737</v>
      </c>
      <c r="E3682" s="62">
        <v>44</v>
      </c>
      <c r="F3682" s="1" t="s">
        <v>2551</v>
      </c>
      <c r="G3682" s="1" t="s">
        <v>2555</v>
      </c>
    </row>
    <row x14ac:dyDescent="0.25" r="3683" customHeight="1" ht="17.25" hidden="1">
      <c r="A3683" s="112" t="s">
        <v>8738</v>
      </c>
      <c r="B3683" s="1" t="s">
        <v>2549</v>
      </c>
      <c r="C3683" s="1" t="s">
        <v>69</v>
      </c>
      <c r="D3683" s="1" t="s">
        <v>8739</v>
      </c>
      <c r="E3683" s="62">
        <v>20</v>
      </c>
      <c r="F3683" s="1" t="s">
        <v>2551</v>
      </c>
      <c r="G3683" s="1" t="s">
        <v>2552</v>
      </c>
    </row>
    <row x14ac:dyDescent="0.25" r="3684" customHeight="1" ht="17.25" hidden="1">
      <c r="A3684" s="112" t="s">
        <v>8740</v>
      </c>
      <c r="B3684" s="1" t="s">
        <v>2549</v>
      </c>
      <c r="C3684" s="1" t="s">
        <v>69</v>
      </c>
      <c r="D3684" s="1" t="s">
        <v>8741</v>
      </c>
      <c r="E3684" s="62">
        <v>31</v>
      </c>
      <c r="F3684" s="1" t="s">
        <v>2551</v>
      </c>
      <c r="G3684" s="1" t="s">
        <v>2555</v>
      </c>
    </row>
    <row x14ac:dyDescent="0.25" r="3685" customHeight="1" ht="17.25" hidden="1">
      <c r="A3685" s="112" t="s">
        <v>8742</v>
      </c>
      <c r="B3685" s="1" t="s">
        <v>2549</v>
      </c>
      <c r="C3685" s="1" t="s">
        <v>69</v>
      </c>
      <c r="D3685" s="1" t="s">
        <v>8743</v>
      </c>
      <c r="E3685" s="62">
        <v>22</v>
      </c>
      <c r="F3685" s="1" t="s">
        <v>2551</v>
      </c>
      <c r="G3685" s="1" t="s">
        <v>2555</v>
      </c>
    </row>
    <row x14ac:dyDescent="0.25" r="3686" customHeight="1" ht="17.25" hidden="1">
      <c r="A3686" s="112" t="s">
        <v>8744</v>
      </c>
      <c r="B3686" s="1" t="s">
        <v>2549</v>
      </c>
      <c r="C3686" s="1" t="s">
        <v>69</v>
      </c>
      <c r="D3686" s="1" t="s">
        <v>5194</v>
      </c>
      <c r="E3686" s="62">
        <v>63</v>
      </c>
      <c r="F3686" s="1" t="s">
        <v>2551</v>
      </c>
      <c r="G3686" s="1" t="s">
        <v>2552</v>
      </c>
    </row>
    <row x14ac:dyDescent="0.25" r="3687" customHeight="1" ht="17.25" hidden="1">
      <c r="A3687" s="112" t="s">
        <v>8745</v>
      </c>
      <c r="B3687" s="1" t="s">
        <v>2549</v>
      </c>
      <c r="C3687" s="1" t="s">
        <v>69</v>
      </c>
      <c r="D3687" s="1" t="s">
        <v>8746</v>
      </c>
      <c r="E3687" s="62">
        <v>19</v>
      </c>
      <c r="F3687" s="1" t="s">
        <v>2551</v>
      </c>
      <c r="G3687" s="1" t="s">
        <v>2552</v>
      </c>
    </row>
    <row x14ac:dyDescent="0.25" r="3688" customHeight="1" ht="17.25" hidden="1">
      <c r="A3688" s="112" t="s">
        <v>8747</v>
      </c>
      <c r="B3688" s="1" t="s">
        <v>2549</v>
      </c>
      <c r="C3688" s="1" t="s">
        <v>69</v>
      </c>
      <c r="D3688" s="1" t="s">
        <v>8748</v>
      </c>
      <c r="E3688" s="62">
        <v>22</v>
      </c>
      <c r="F3688" s="1" t="s">
        <v>2551</v>
      </c>
      <c r="G3688" s="1" t="s">
        <v>2552</v>
      </c>
    </row>
    <row x14ac:dyDescent="0.25" r="3689" customHeight="1" ht="17.25" hidden="1">
      <c r="A3689" s="112" t="s">
        <v>8749</v>
      </c>
      <c r="B3689" s="1" t="s">
        <v>2549</v>
      </c>
      <c r="C3689" s="1" t="s">
        <v>69</v>
      </c>
      <c r="D3689" s="1" t="s">
        <v>8750</v>
      </c>
      <c r="E3689" s="62">
        <v>18</v>
      </c>
      <c r="F3689" s="1" t="s">
        <v>2551</v>
      </c>
      <c r="G3689" s="1" t="s">
        <v>2552</v>
      </c>
    </row>
    <row x14ac:dyDescent="0.25" r="3690" customHeight="1" ht="17.25" hidden="1">
      <c r="A3690" s="112" t="s">
        <v>8751</v>
      </c>
      <c r="B3690" s="1" t="s">
        <v>2549</v>
      </c>
      <c r="C3690" s="1" t="s">
        <v>69</v>
      </c>
      <c r="D3690" s="1" t="s">
        <v>607</v>
      </c>
      <c r="E3690" s="62">
        <v>18</v>
      </c>
      <c r="F3690" s="1" t="s">
        <v>2551</v>
      </c>
      <c r="G3690" s="1" t="s">
        <v>2552</v>
      </c>
    </row>
    <row x14ac:dyDescent="0.25" r="3691" customHeight="1" ht="17.25" hidden="1">
      <c r="A3691" s="112" t="s">
        <v>8752</v>
      </c>
      <c r="B3691" s="1" t="s">
        <v>2549</v>
      </c>
      <c r="C3691" s="1" t="s">
        <v>69</v>
      </c>
      <c r="D3691" s="1" t="s">
        <v>8753</v>
      </c>
      <c r="E3691" s="62">
        <v>18</v>
      </c>
      <c r="F3691" s="1" t="s">
        <v>2551</v>
      </c>
      <c r="G3691" s="1" t="s">
        <v>2552</v>
      </c>
    </row>
    <row x14ac:dyDescent="0.25" r="3692" customHeight="1" ht="17.25" hidden="1">
      <c r="A3692" s="112" t="s">
        <v>8754</v>
      </c>
      <c r="B3692" s="1" t="s">
        <v>2549</v>
      </c>
      <c r="C3692" s="1" t="s">
        <v>69</v>
      </c>
      <c r="D3692" s="1" t="s">
        <v>8755</v>
      </c>
      <c r="E3692" s="62">
        <v>21</v>
      </c>
      <c r="F3692" s="1" t="s">
        <v>2551</v>
      </c>
      <c r="G3692" s="1" t="s">
        <v>2552</v>
      </c>
    </row>
    <row x14ac:dyDescent="0.25" r="3693" customHeight="1" ht="17.25" hidden="1">
      <c r="A3693" s="112" t="s">
        <v>8756</v>
      </c>
      <c r="B3693" s="1" t="s">
        <v>2549</v>
      </c>
      <c r="C3693" s="1" t="s">
        <v>69</v>
      </c>
      <c r="D3693" s="1" t="s">
        <v>8757</v>
      </c>
      <c r="E3693" s="62">
        <v>19</v>
      </c>
      <c r="F3693" s="1" t="s">
        <v>2551</v>
      </c>
      <c r="G3693" s="1" t="s">
        <v>2555</v>
      </c>
    </row>
    <row x14ac:dyDescent="0.25" r="3694" customHeight="1" ht="17.25" hidden="1">
      <c r="A3694" s="112" t="s">
        <v>8758</v>
      </c>
      <c r="B3694" s="1" t="s">
        <v>2549</v>
      </c>
      <c r="C3694" s="1" t="s">
        <v>69</v>
      </c>
      <c r="D3694" s="1" t="s">
        <v>8759</v>
      </c>
      <c r="E3694" s="62">
        <v>21</v>
      </c>
      <c r="F3694" s="1" t="s">
        <v>2551</v>
      </c>
      <c r="G3694" s="1" t="s">
        <v>2555</v>
      </c>
    </row>
    <row x14ac:dyDescent="0.25" r="3695" customHeight="1" ht="17.25" hidden="1">
      <c r="A3695" s="112" t="s">
        <v>8760</v>
      </c>
      <c r="B3695" s="1" t="s">
        <v>2549</v>
      </c>
      <c r="C3695" s="1" t="s">
        <v>69</v>
      </c>
      <c r="D3695" s="1" t="s">
        <v>8761</v>
      </c>
      <c r="E3695" s="62">
        <v>24</v>
      </c>
      <c r="F3695" s="1" t="s">
        <v>2551</v>
      </c>
      <c r="G3695" s="1" t="s">
        <v>2552</v>
      </c>
    </row>
    <row x14ac:dyDescent="0.25" r="3696" customHeight="1" ht="17.25" hidden="1">
      <c r="A3696" s="112" t="s">
        <v>8762</v>
      </c>
      <c r="B3696" s="1" t="s">
        <v>2549</v>
      </c>
      <c r="C3696" s="1" t="s">
        <v>69</v>
      </c>
      <c r="D3696" s="1" t="s">
        <v>8763</v>
      </c>
      <c r="E3696" s="62">
        <v>46</v>
      </c>
      <c r="F3696" s="1" t="s">
        <v>2551</v>
      </c>
      <c r="G3696" s="1" t="s">
        <v>2555</v>
      </c>
    </row>
    <row x14ac:dyDescent="0.25" r="3697" customHeight="1" ht="17.25" hidden="1">
      <c r="A3697" s="112" t="s">
        <v>8764</v>
      </c>
      <c r="B3697" s="1" t="s">
        <v>2549</v>
      </c>
      <c r="C3697" s="1" t="s">
        <v>69</v>
      </c>
      <c r="D3697" s="1" t="s">
        <v>8765</v>
      </c>
      <c r="E3697" s="62">
        <v>21</v>
      </c>
      <c r="F3697" s="1" t="s">
        <v>2551</v>
      </c>
      <c r="G3697" s="1" t="s">
        <v>2552</v>
      </c>
    </row>
    <row x14ac:dyDescent="0.25" r="3698" customHeight="1" ht="17.25" hidden="1">
      <c r="A3698" s="112" t="s">
        <v>8766</v>
      </c>
      <c r="B3698" s="1" t="s">
        <v>2549</v>
      </c>
      <c r="C3698" s="1" t="s">
        <v>69</v>
      </c>
      <c r="D3698" s="1" t="s">
        <v>8767</v>
      </c>
      <c r="E3698" s="62">
        <v>19</v>
      </c>
      <c r="F3698" s="1" t="s">
        <v>2551</v>
      </c>
      <c r="G3698" s="1" t="s">
        <v>2552</v>
      </c>
    </row>
    <row x14ac:dyDescent="0.25" r="3699" customHeight="1" ht="17.25" hidden="1">
      <c r="A3699" s="112" t="s">
        <v>8768</v>
      </c>
      <c r="B3699" s="1" t="s">
        <v>2549</v>
      </c>
      <c r="C3699" s="1" t="s">
        <v>69</v>
      </c>
      <c r="D3699" s="1" t="s">
        <v>8769</v>
      </c>
      <c r="E3699" s="62">
        <v>29</v>
      </c>
      <c r="F3699" s="1" t="s">
        <v>2551</v>
      </c>
      <c r="G3699" s="1" t="s">
        <v>2555</v>
      </c>
    </row>
    <row x14ac:dyDescent="0.25" r="3700" customHeight="1" ht="17.25" hidden="1">
      <c r="A3700" s="112" t="s">
        <v>8770</v>
      </c>
      <c r="B3700" s="1" t="s">
        <v>2549</v>
      </c>
      <c r="C3700" s="1" t="s">
        <v>69</v>
      </c>
      <c r="D3700" s="1" t="s">
        <v>8771</v>
      </c>
      <c r="E3700" s="62">
        <v>19</v>
      </c>
      <c r="F3700" s="1" t="s">
        <v>2551</v>
      </c>
      <c r="G3700" s="1" t="s">
        <v>2555</v>
      </c>
    </row>
    <row x14ac:dyDescent="0.25" r="3701" customHeight="1" ht="17.25" hidden="1">
      <c r="A3701" s="112" t="s">
        <v>8772</v>
      </c>
      <c r="B3701" s="1" t="s">
        <v>2549</v>
      </c>
      <c r="C3701" s="1" t="s">
        <v>69</v>
      </c>
      <c r="D3701" s="1" t="s">
        <v>8773</v>
      </c>
      <c r="E3701" s="62">
        <v>36</v>
      </c>
      <c r="F3701" s="1" t="s">
        <v>2551</v>
      </c>
      <c r="G3701" s="1" t="s">
        <v>2552</v>
      </c>
    </row>
    <row x14ac:dyDescent="0.25" r="3702" customHeight="1" ht="17.25" hidden="1">
      <c r="A3702" s="112" t="s">
        <v>8774</v>
      </c>
      <c r="B3702" s="1" t="s">
        <v>2549</v>
      </c>
      <c r="C3702" s="1" t="s">
        <v>69</v>
      </c>
      <c r="D3702" s="1" t="s">
        <v>8775</v>
      </c>
      <c r="E3702" s="62">
        <v>24</v>
      </c>
      <c r="F3702" s="1" t="s">
        <v>2551</v>
      </c>
      <c r="G3702" s="1" t="s">
        <v>2552</v>
      </c>
    </row>
    <row x14ac:dyDescent="0.25" r="3703" customHeight="1" ht="17.25" hidden="1">
      <c r="A3703" s="112" t="s">
        <v>8776</v>
      </c>
      <c r="B3703" s="1" t="s">
        <v>2549</v>
      </c>
      <c r="C3703" s="1" t="s">
        <v>69</v>
      </c>
      <c r="D3703" s="1" t="s">
        <v>8777</v>
      </c>
      <c r="E3703" s="62">
        <v>18</v>
      </c>
      <c r="F3703" s="1" t="s">
        <v>2551</v>
      </c>
      <c r="G3703" s="1" t="s">
        <v>2555</v>
      </c>
    </row>
    <row x14ac:dyDescent="0.25" r="3704" customHeight="1" ht="17.25" hidden="1">
      <c r="A3704" s="112" t="s">
        <v>8778</v>
      </c>
      <c r="B3704" s="1" t="s">
        <v>2549</v>
      </c>
      <c r="C3704" s="1" t="s">
        <v>69</v>
      </c>
      <c r="D3704" s="1" t="s">
        <v>8779</v>
      </c>
      <c r="E3704" s="62">
        <v>35</v>
      </c>
      <c r="F3704" s="1" t="s">
        <v>2551</v>
      </c>
      <c r="G3704" s="1" t="s">
        <v>2552</v>
      </c>
    </row>
    <row x14ac:dyDescent="0.25" r="3705" customHeight="1" ht="17.25" hidden="1">
      <c r="A3705" s="112" t="s">
        <v>1520</v>
      </c>
      <c r="B3705" s="1" t="s">
        <v>2549</v>
      </c>
      <c r="C3705" s="1" t="s">
        <v>69</v>
      </c>
      <c r="D3705" s="1" t="s">
        <v>1521</v>
      </c>
      <c r="E3705" s="62">
        <v>19</v>
      </c>
      <c r="F3705" s="1" t="s">
        <v>2551</v>
      </c>
      <c r="G3705" s="1" t="s">
        <v>2552</v>
      </c>
    </row>
    <row x14ac:dyDescent="0.25" r="3706" customHeight="1" ht="17.25" hidden="1">
      <c r="A3706" s="112" t="s">
        <v>8780</v>
      </c>
      <c r="B3706" s="1" t="s">
        <v>2549</v>
      </c>
      <c r="C3706" s="1" t="s">
        <v>69</v>
      </c>
      <c r="D3706" s="1" t="s">
        <v>8781</v>
      </c>
      <c r="E3706" s="62">
        <v>49</v>
      </c>
      <c r="F3706" s="1" t="s">
        <v>2551</v>
      </c>
      <c r="G3706" s="1" t="s">
        <v>2555</v>
      </c>
    </row>
    <row x14ac:dyDescent="0.25" r="3707" customHeight="1" ht="17.25" hidden="1">
      <c r="A3707" s="112" t="s">
        <v>8782</v>
      </c>
      <c r="B3707" s="1" t="s">
        <v>2549</v>
      </c>
      <c r="C3707" s="1" t="s">
        <v>69</v>
      </c>
      <c r="D3707" s="1" t="s">
        <v>8783</v>
      </c>
      <c r="E3707" s="62">
        <v>24</v>
      </c>
      <c r="F3707" s="1" t="s">
        <v>2551</v>
      </c>
      <c r="G3707" s="1" t="s">
        <v>2552</v>
      </c>
    </row>
    <row x14ac:dyDescent="0.25" r="3708" customHeight="1" ht="17.25" hidden="1">
      <c r="A3708" s="112" t="s">
        <v>8784</v>
      </c>
      <c r="B3708" s="1" t="s">
        <v>2549</v>
      </c>
      <c r="C3708" s="1" t="s">
        <v>69</v>
      </c>
      <c r="D3708" s="1" t="s">
        <v>8785</v>
      </c>
      <c r="E3708" s="62">
        <v>23</v>
      </c>
      <c r="F3708" s="1" t="s">
        <v>2551</v>
      </c>
      <c r="G3708" s="1" t="s">
        <v>2558</v>
      </c>
    </row>
    <row x14ac:dyDescent="0.25" r="3709" customHeight="1" ht="17.25" hidden="1">
      <c r="A3709" s="112" t="s">
        <v>8786</v>
      </c>
      <c r="B3709" s="1" t="s">
        <v>2549</v>
      </c>
      <c r="C3709" s="1" t="s">
        <v>69</v>
      </c>
      <c r="D3709" s="1" t="s">
        <v>8787</v>
      </c>
      <c r="E3709" s="62">
        <v>26</v>
      </c>
      <c r="F3709" s="1" t="s">
        <v>2551</v>
      </c>
      <c r="G3709" s="1" t="s">
        <v>2571</v>
      </c>
    </row>
    <row x14ac:dyDescent="0.25" r="3710" customHeight="1" ht="17.25" hidden="1">
      <c r="A3710" s="112" t="s">
        <v>8788</v>
      </c>
      <c r="B3710" s="1" t="s">
        <v>2549</v>
      </c>
      <c r="C3710" s="1" t="s">
        <v>69</v>
      </c>
      <c r="D3710" s="1" t="s">
        <v>8789</v>
      </c>
      <c r="E3710" s="62">
        <v>27</v>
      </c>
      <c r="F3710" s="1" t="s">
        <v>2551</v>
      </c>
      <c r="G3710" s="1" t="s">
        <v>2558</v>
      </c>
    </row>
    <row x14ac:dyDescent="0.25" r="3711" customHeight="1" ht="17.25" hidden="1">
      <c r="A3711" s="112" t="s">
        <v>8790</v>
      </c>
      <c r="B3711" s="1" t="s">
        <v>2549</v>
      </c>
      <c r="C3711" s="1" t="s">
        <v>69</v>
      </c>
      <c r="D3711" s="1" t="s">
        <v>8791</v>
      </c>
      <c r="E3711" s="62">
        <v>29</v>
      </c>
      <c r="F3711" s="1" t="s">
        <v>2551</v>
      </c>
      <c r="G3711" s="1" t="s">
        <v>2555</v>
      </c>
    </row>
    <row x14ac:dyDescent="0.25" r="3712" customHeight="1" ht="17.25" hidden="1">
      <c r="A3712" s="112" t="s">
        <v>8792</v>
      </c>
      <c r="B3712" s="1" t="s">
        <v>2549</v>
      </c>
      <c r="C3712" s="1" t="s">
        <v>69</v>
      </c>
      <c r="D3712" s="1" t="s">
        <v>8793</v>
      </c>
      <c r="E3712" s="62">
        <v>32</v>
      </c>
      <c r="F3712" s="1" t="s">
        <v>2561</v>
      </c>
      <c r="G3712" s="1" t="s">
        <v>2552</v>
      </c>
    </row>
    <row x14ac:dyDescent="0.25" r="3713" customHeight="1" ht="17.25" hidden="1">
      <c r="A3713" s="112" t="s">
        <v>8794</v>
      </c>
      <c r="B3713" s="1" t="s">
        <v>2549</v>
      </c>
      <c r="C3713" s="1" t="s">
        <v>69</v>
      </c>
      <c r="D3713" s="1" t="s">
        <v>8795</v>
      </c>
      <c r="E3713" s="62">
        <v>26</v>
      </c>
      <c r="F3713" s="1" t="s">
        <v>2551</v>
      </c>
      <c r="G3713" s="1" t="s">
        <v>2552</v>
      </c>
    </row>
    <row x14ac:dyDescent="0.25" r="3714" customHeight="1" ht="17.25" hidden="1">
      <c r="A3714" s="112" t="s">
        <v>8796</v>
      </c>
      <c r="B3714" s="1" t="s">
        <v>2549</v>
      </c>
      <c r="C3714" s="1" t="s">
        <v>69</v>
      </c>
      <c r="D3714" s="1" t="s">
        <v>8797</v>
      </c>
      <c r="E3714" s="62">
        <v>35</v>
      </c>
      <c r="F3714" s="1" t="s">
        <v>2561</v>
      </c>
      <c r="G3714" s="1" t="s">
        <v>2552</v>
      </c>
    </row>
    <row x14ac:dyDescent="0.25" r="3715" customHeight="1" ht="17.25" hidden="1">
      <c r="A3715" s="112" t="s">
        <v>8798</v>
      </c>
      <c r="B3715" s="1" t="s">
        <v>2549</v>
      </c>
      <c r="C3715" s="1" t="s">
        <v>69</v>
      </c>
      <c r="D3715" s="1" t="s">
        <v>8799</v>
      </c>
      <c r="E3715" s="62">
        <v>19</v>
      </c>
      <c r="F3715" s="1" t="s">
        <v>2551</v>
      </c>
      <c r="G3715" s="1" t="s">
        <v>2555</v>
      </c>
    </row>
    <row x14ac:dyDescent="0.25" r="3716" customHeight="1" ht="17.25" hidden="1">
      <c r="A3716" s="112" t="s">
        <v>8800</v>
      </c>
      <c r="B3716" s="1" t="s">
        <v>2549</v>
      </c>
      <c r="C3716" s="1" t="s">
        <v>69</v>
      </c>
      <c r="D3716" s="1" t="s">
        <v>8801</v>
      </c>
      <c r="E3716" s="62">
        <v>25</v>
      </c>
      <c r="F3716" s="1" t="s">
        <v>2551</v>
      </c>
      <c r="G3716" s="1" t="s">
        <v>2555</v>
      </c>
    </row>
    <row x14ac:dyDescent="0.25" r="3717" customHeight="1" ht="17.25" hidden="1">
      <c r="A3717" s="112" t="s">
        <v>8802</v>
      </c>
      <c r="B3717" s="1" t="s">
        <v>2549</v>
      </c>
      <c r="C3717" s="1" t="s">
        <v>69</v>
      </c>
      <c r="D3717" s="1" t="s">
        <v>8803</v>
      </c>
      <c r="E3717" s="62">
        <v>31</v>
      </c>
      <c r="F3717" s="1" t="s">
        <v>2551</v>
      </c>
      <c r="G3717" s="1" t="s">
        <v>2558</v>
      </c>
    </row>
    <row x14ac:dyDescent="0.25" r="3718" customHeight="1" ht="17.25" hidden="1">
      <c r="A3718" s="112" t="s">
        <v>8802</v>
      </c>
      <c r="B3718" s="1" t="s">
        <v>2549</v>
      </c>
      <c r="C3718" s="1" t="s">
        <v>69</v>
      </c>
      <c r="D3718" s="1" t="s">
        <v>8804</v>
      </c>
      <c r="E3718" s="62">
        <v>23</v>
      </c>
      <c r="F3718" s="1" t="s">
        <v>2551</v>
      </c>
      <c r="G3718" s="1" t="s">
        <v>2555</v>
      </c>
    </row>
    <row x14ac:dyDescent="0.25" r="3719" customHeight="1" ht="17.25" hidden="1">
      <c r="A3719" s="112" t="s">
        <v>8805</v>
      </c>
      <c r="B3719" s="1" t="s">
        <v>2549</v>
      </c>
      <c r="C3719" s="1" t="s">
        <v>69</v>
      </c>
      <c r="D3719" s="1" t="s">
        <v>8806</v>
      </c>
      <c r="E3719" s="62">
        <v>30</v>
      </c>
      <c r="F3719" s="1" t="s">
        <v>2551</v>
      </c>
      <c r="G3719" s="1" t="s">
        <v>2555</v>
      </c>
    </row>
    <row x14ac:dyDescent="0.25" r="3720" customHeight="1" ht="17.25" hidden="1">
      <c r="A3720" s="112" t="s">
        <v>8807</v>
      </c>
      <c r="B3720" s="1" t="s">
        <v>2549</v>
      </c>
      <c r="C3720" s="1" t="s">
        <v>69</v>
      </c>
      <c r="D3720" s="1" t="s">
        <v>8808</v>
      </c>
      <c r="E3720" s="62">
        <v>25</v>
      </c>
      <c r="F3720" s="1" t="s">
        <v>2551</v>
      </c>
      <c r="G3720" s="1" t="s">
        <v>2555</v>
      </c>
    </row>
    <row x14ac:dyDescent="0.25" r="3721" customHeight="1" ht="17.25" hidden="1">
      <c r="A3721" s="112" t="s">
        <v>8809</v>
      </c>
      <c r="B3721" s="1" t="s">
        <v>2549</v>
      </c>
      <c r="C3721" s="1" t="s">
        <v>69</v>
      </c>
      <c r="D3721" s="1" t="s">
        <v>8810</v>
      </c>
      <c r="E3721" s="62">
        <v>19</v>
      </c>
      <c r="F3721" s="1" t="s">
        <v>2551</v>
      </c>
      <c r="G3721" s="1" t="s">
        <v>2552</v>
      </c>
    </row>
    <row x14ac:dyDescent="0.25" r="3722" customHeight="1" ht="17.25" hidden="1">
      <c r="A3722" s="112" t="s">
        <v>8811</v>
      </c>
      <c r="B3722" s="1" t="s">
        <v>2549</v>
      </c>
      <c r="C3722" s="1" t="s">
        <v>69</v>
      </c>
      <c r="D3722" s="1" t="s">
        <v>8812</v>
      </c>
      <c r="E3722" s="62">
        <v>43</v>
      </c>
      <c r="F3722" s="1" t="s">
        <v>2551</v>
      </c>
      <c r="G3722" s="1" t="s">
        <v>2552</v>
      </c>
    </row>
    <row x14ac:dyDescent="0.25" r="3723" customHeight="1" ht="17.25" hidden="1">
      <c r="A3723" s="112" t="s">
        <v>8813</v>
      </c>
      <c r="B3723" s="1" t="s">
        <v>2549</v>
      </c>
      <c r="C3723" s="1" t="s">
        <v>69</v>
      </c>
      <c r="D3723" s="1" t="s">
        <v>8814</v>
      </c>
      <c r="E3723" s="62">
        <v>22</v>
      </c>
      <c r="F3723" s="1" t="s">
        <v>2551</v>
      </c>
      <c r="G3723" s="1" t="s">
        <v>2555</v>
      </c>
    </row>
    <row x14ac:dyDescent="0.25" r="3724" customHeight="1" ht="17.25" hidden="1">
      <c r="A3724" s="112" t="s">
        <v>8815</v>
      </c>
      <c r="B3724" s="1" t="s">
        <v>2549</v>
      </c>
      <c r="C3724" s="1" t="s">
        <v>69</v>
      </c>
      <c r="D3724" s="1" t="s">
        <v>8816</v>
      </c>
      <c r="E3724" s="62">
        <v>28</v>
      </c>
      <c r="F3724" s="1" t="s">
        <v>2551</v>
      </c>
      <c r="G3724" s="1" t="s">
        <v>2552</v>
      </c>
    </row>
    <row x14ac:dyDescent="0.25" r="3725" customHeight="1" ht="17.25" hidden="1">
      <c r="A3725" s="112" t="s">
        <v>1491</v>
      </c>
      <c r="B3725" s="1" t="s">
        <v>2549</v>
      </c>
      <c r="C3725" s="1" t="s">
        <v>69</v>
      </c>
      <c r="D3725" s="1" t="s">
        <v>1493</v>
      </c>
      <c r="E3725" s="62">
        <v>22</v>
      </c>
      <c r="F3725" s="1" t="s">
        <v>2551</v>
      </c>
      <c r="G3725" s="1" t="s">
        <v>2555</v>
      </c>
    </row>
    <row x14ac:dyDescent="0.25" r="3726" customHeight="1" ht="17.25" hidden="1">
      <c r="A3726" s="112" t="s">
        <v>8817</v>
      </c>
      <c r="B3726" s="1" t="s">
        <v>2549</v>
      </c>
      <c r="C3726" s="1" t="s">
        <v>69</v>
      </c>
      <c r="D3726" s="1" t="s">
        <v>8818</v>
      </c>
      <c r="E3726" s="62">
        <v>21</v>
      </c>
      <c r="F3726" s="1" t="s">
        <v>2551</v>
      </c>
      <c r="G3726" s="1" t="s">
        <v>2552</v>
      </c>
    </row>
    <row x14ac:dyDescent="0.25" r="3727" customHeight="1" ht="17.25" hidden="1">
      <c r="A3727" s="112" t="s">
        <v>8819</v>
      </c>
      <c r="B3727" s="1" t="s">
        <v>2549</v>
      </c>
      <c r="C3727" s="1" t="s">
        <v>69</v>
      </c>
      <c r="D3727" s="1" t="s">
        <v>8820</v>
      </c>
      <c r="E3727" s="62">
        <v>32</v>
      </c>
      <c r="F3727" s="1" t="s">
        <v>2551</v>
      </c>
      <c r="G3727" s="1" t="s">
        <v>2555</v>
      </c>
    </row>
    <row x14ac:dyDescent="0.25" r="3728" customHeight="1" ht="17.25" hidden="1">
      <c r="A3728" s="112" t="s">
        <v>8821</v>
      </c>
      <c r="B3728" s="1" t="s">
        <v>2549</v>
      </c>
      <c r="C3728" s="1" t="s">
        <v>69</v>
      </c>
      <c r="D3728" s="1" t="s">
        <v>8822</v>
      </c>
      <c r="E3728" s="62">
        <v>33</v>
      </c>
      <c r="F3728" s="1" t="s">
        <v>2561</v>
      </c>
      <c r="G3728" s="1" t="s">
        <v>2552</v>
      </c>
    </row>
    <row x14ac:dyDescent="0.25" r="3729" customHeight="1" ht="17.25" hidden="1">
      <c r="A3729" s="112" t="s">
        <v>8823</v>
      </c>
      <c r="B3729" s="1" t="s">
        <v>2549</v>
      </c>
      <c r="C3729" s="1" t="s">
        <v>69</v>
      </c>
      <c r="D3729" s="1" t="s">
        <v>8824</v>
      </c>
      <c r="E3729" s="62">
        <v>24</v>
      </c>
      <c r="F3729" s="1" t="s">
        <v>2551</v>
      </c>
      <c r="G3729" s="1" t="s">
        <v>2555</v>
      </c>
    </row>
    <row x14ac:dyDescent="0.25" r="3730" customHeight="1" ht="17.25" hidden="1">
      <c r="A3730" s="112" t="s">
        <v>8825</v>
      </c>
      <c r="B3730" s="1" t="s">
        <v>2549</v>
      </c>
      <c r="C3730" s="1" t="s">
        <v>69</v>
      </c>
      <c r="D3730" s="1" t="s">
        <v>8826</v>
      </c>
      <c r="E3730" s="62">
        <v>33</v>
      </c>
      <c r="F3730" s="1" t="s">
        <v>2561</v>
      </c>
      <c r="G3730" s="1" t="s">
        <v>2552</v>
      </c>
    </row>
    <row x14ac:dyDescent="0.25" r="3731" customHeight="1" ht="17.25" hidden="1">
      <c r="A3731" s="112" t="s">
        <v>8825</v>
      </c>
      <c r="B3731" s="1" t="s">
        <v>2549</v>
      </c>
      <c r="C3731" s="1" t="s">
        <v>69</v>
      </c>
      <c r="D3731" s="1" t="s">
        <v>8827</v>
      </c>
      <c r="E3731" s="62">
        <v>24</v>
      </c>
      <c r="F3731" s="1" t="s">
        <v>2561</v>
      </c>
      <c r="G3731" s="1" t="s">
        <v>2558</v>
      </c>
    </row>
    <row x14ac:dyDescent="0.25" r="3732" customHeight="1" ht="17.25" hidden="1">
      <c r="A3732" s="112" t="s">
        <v>8828</v>
      </c>
      <c r="B3732" s="1" t="s">
        <v>2549</v>
      </c>
      <c r="C3732" s="1" t="s">
        <v>69</v>
      </c>
      <c r="D3732" s="1" t="s">
        <v>8829</v>
      </c>
      <c r="E3732" s="62">
        <v>39</v>
      </c>
      <c r="F3732" s="1" t="s">
        <v>2551</v>
      </c>
      <c r="G3732" s="1" t="s">
        <v>2552</v>
      </c>
    </row>
    <row x14ac:dyDescent="0.25" r="3733" customHeight="1" ht="17.25" hidden="1">
      <c r="A3733" s="112" t="s">
        <v>8830</v>
      </c>
      <c r="B3733" s="1" t="s">
        <v>2549</v>
      </c>
      <c r="C3733" s="1" t="s">
        <v>69</v>
      </c>
      <c r="D3733" s="1" t="s">
        <v>8831</v>
      </c>
      <c r="E3733" s="62">
        <v>29</v>
      </c>
      <c r="F3733" s="1" t="s">
        <v>2551</v>
      </c>
      <c r="G3733" s="1" t="s">
        <v>2555</v>
      </c>
    </row>
    <row x14ac:dyDescent="0.25" r="3734" customHeight="1" ht="17.25" hidden="1">
      <c r="A3734" s="112" t="s">
        <v>8832</v>
      </c>
      <c r="B3734" s="1" t="s">
        <v>2549</v>
      </c>
      <c r="C3734" s="1" t="s">
        <v>69</v>
      </c>
      <c r="D3734" s="1" t="s">
        <v>8833</v>
      </c>
      <c r="E3734" s="62">
        <v>18</v>
      </c>
      <c r="F3734" s="1" t="s">
        <v>2551</v>
      </c>
      <c r="G3734" s="1" t="s">
        <v>2552</v>
      </c>
    </row>
    <row x14ac:dyDescent="0.25" r="3735" customHeight="1" ht="17.25" hidden="1">
      <c r="A3735" s="112" t="s">
        <v>8834</v>
      </c>
      <c r="B3735" s="1" t="s">
        <v>2549</v>
      </c>
      <c r="C3735" s="1" t="s">
        <v>69</v>
      </c>
      <c r="D3735" s="1" t="s">
        <v>8835</v>
      </c>
      <c r="E3735" s="62">
        <v>36</v>
      </c>
      <c r="F3735" s="1" t="s">
        <v>2551</v>
      </c>
      <c r="G3735" s="1" t="s">
        <v>2558</v>
      </c>
    </row>
    <row x14ac:dyDescent="0.25" r="3736" customHeight="1" ht="17.25" hidden="1">
      <c r="A3736" s="112" t="s">
        <v>8836</v>
      </c>
      <c r="B3736" s="1" t="s">
        <v>2549</v>
      </c>
      <c r="C3736" s="1" t="s">
        <v>69</v>
      </c>
      <c r="D3736" s="1" t="s">
        <v>8837</v>
      </c>
      <c r="E3736" s="62">
        <v>22</v>
      </c>
      <c r="F3736" s="1" t="s">
        <v>2551</v>
      </c>
      <c r="G3736" s="1" t="s">
        <v>2552</v>
      </c>
    </row>
    <row x14ac:dyDescent="0.25" r="3737" customHeight="1" ht="17.25" hidden="1">
      <c r="A3737" s="112" t="s">
        <v>8838</v>
      </c>
      <c r="B3737" s="1" t="s">
        <v>2549</v>
      </c>
      <c r="C3737" s="1" t="s">
        <v>69</v>
      </c>
      <c r="D3737" s="1" t="s">
        <v>8839</v>
      </c>
      <c r="E3737" s="62">
        <v>22</v>
      </c>
      <c r="F3737" s="1" t="s">
        <v>2551</v>
      </c>
      <c r="G3737" s="1" t="s">
        <v>2552</v>
      </c>
    </row>
    <row x14ac:dyDescent="0.25" r="3738" customHeight="1" ht="17.25" hidden="1">
      <c r="A3738" s="112" t="s">
        <v>8840</v>
      </c>
      <c r="B3738" s="1" t="s">
        <v>2549</v>
      </c>
      <c r="C3738" s="1" t="s">
        <v>69</v>
      </c>
      <c r="D3738" s="1" t="s">
        <v>8841</v>
      </c>
      <c r="E3738" s="62">
        <v>38</v>
      </c>
      <c r="F3738" s="1" t="s">
        <v>2551</v>
      </c>
      <c r="G3738" s="1" t="s">
        <v>2552</v>
      </c>
    </row>
    <row x14ac:dyDescent="0.25" r="3739" customHeight="1" ht="17.25" hidden="1">
      <c r="A3739" s="112" t="s">
        <v>8842</v>
      </c>
      <c r="B3739" s="1" t="s">
        <v>2549</v>
      </c>
      <c r="C3739" s="1" t="s">
        <v>69</v>
      </c>
      <c r="D3739" s="1" t="s">
        <v>8843</v>
      </c>
      <c r="E3739" s="62">
        <v>37</v>
      </c>
      <c r="F3739" s="1" t="s">
        <v>2561</v>
      </c>
      <c r="G3739" s="1" t="s">
        <v>2552</v>
      </c>
    </row>
    <row x14ac:dyDescent="0.25" r="3740" customHeight="1" ht="17.25" hidden="1">
      <c r="A3740" s="112" t="s">
        <v>8842</v>
      </c>
      <c r="B3740" s="1" t="s">
        <v>2549</v>
      </c>
      <c r="C3740" s="1" t="s">
        <v>69</v>
      </c>
      <c r="D3740" s="1" t="s">
        <v>8844</v>
      </c>
      <c r="E3740" s="62">
        <v>32</v>
      </c>
      <c r="F3740" s="1" t="s">
        <v>2561</v>
      </c>
      <c r="G3740" s="1" t="s">
        <v>2552</v>
      </c>
    </row>
    <row x14ac:dyDescent="0.25" r="3741" customHeight="1" ht="17.25" hidden="1">
      <c r="A3741" s="112" t="s">
        <v>8845</v>
      </c>
      <c r="B3741" s="1" t="s">
        <v>2549</v>
      </c>
      <c r="C3741" s="1" t="s">
        <v>69</v>
      </c>
      <c r="D3741" s="1" t="s">
        <v>8846</v>
      </c>
      <c r="E3741" s="62">
        <v>22</v>
      </c>
      <c r="F3741" s="1" t="s">
        <v>2551</v>
      </c>
      <c r="G3741" s="1" t="s">
        <v>2552</v>
      </c>
    </row>
    <row x14ac:dyDescent="0.25" r="3742" customHeight="1" ht="17.25" hidden="1">
      <c r="A3742" s="112" t="s">
        <v>8847</v>
      </c>
      <c r="B3742" s="1" t="s">
        <v>2549</v>
      </c>
      <c r="C3742" s="1" t="s">
        <v>69</v>
      </c>
      <c r="D3742" s="1" t="s">
        <v>8848</v>
      </c>
      <c r="E3742" s="62">
        <v>26</v>
      </c>
      <c r="F3742" s="1" t="s">
        <v>2561</v>
      </c>
      <c r="G3742" s="1" t="s">
        <v>2552</v>
      </c>
    </row>
    <row x14ac:dyDescent="0.25" r="3743" customHeight="1" ht="17.25" hidden="1">
      <c r="A3743" s="112" t="s">
        <v>8849</v>
      </c>
      <c r="B3743" s="1" t="s">
        <v>2549</v>
      </c>
      <c r="C3743" s="1" t="s">
        <v>69</v>
      </c>
      <c r="D3743" s="1" t="s">
        <v>8850</v>
      </c>
      <c r="E3743" s="62">
        <v>38</v>
      </c>
      <c r="F3743" s="1" t="s">
        <v>2551</v>
      </c>
      <c r="G3743" s="1" t="s">
        <v>2555</v>
      </c>
    </row>
    <row x14ac:dyDescent="0.25" r="3744" customHeight="1" ht="17.25" hidden="1">
      <c r="A3744" s="112" t="s">
        <v>8851</v>
      </c>
      <c r="B3744" s="1" t="s">
        <v>2549</v>
      </c>
      <c r="C3744" s="1" t="s">
        <v>69</v>
      </c>
      <c r="D3744" s="1" t="s">
        <v>8852</v>
      </c>
      <c r="E3744" s="62">
        <v>46</v>
      </c>
      <c r="F3744" s="1" t="s">
        <v>2551</v>
      </c>
      <c r="G3744" s="1" t="s">
        <v>2552</v>
      </c>
    </row>
    <row x14ac:dyDescent="0.25" r="3745" customHeight="1" ht="17.25" hidden="1">
      <c r="A3745" s="112" t="s">
        <v>8853</v>
      </c>
      <c r="B3745" s="1" t="s">
        <v>2549</v>
      </c>
      <c r="C3745" s="1" t="s">
        <v>69</v>
      </c>
      <c r="D3745" s="1" t="s">
        <v>8854</v>
      </c>
      <c r="E3745" s="62">
        <v>25</v>
      </c>
      <c r="F3745" s="1" t="s">
        <v>2551</v>
      </c>
      <c r="G3745" s="1" t="s">
        <v>2552</v>
      </c>
    </row>
    <row x14ac:dyDescent="0.25" r="3746" customHeight="1" ht="17.25" hidden="1">
      <c r="A3746" s="112" t="s">
        <v>8855</v>
      </c>
      <c r="B3746" s="1" t="s">
        <v>2549</v>
      </c>
      <c r="C3746" s="1" t="s">
        <v>69</v>
      </c>
      <c r="D3746" s="1" t="s">
        <v>8003</v>
      </c>
      <c r="E3746" s="62">
        <v>47</v>
      </c>
      <c r="F3746" s="1" t="s">
        <v>2561</v>
      </c>
      <c r="G3746" s="1" t="s">
        <v>2552</v>
      </c>
    </row>
    <row x14ac:dyDescent="0.25" r="3747" customHeight="1" ht="17.25" hidden="1">
      <c r="A3747" s="112" t="s">
        <v>8856</v>
      </c>
      <c r="B3747" s="1" t="s">
        <v>2549</v>
      </c>
      <c r="C3747" s="1" t="s">
        <v>69</v>
      </c>
      <c r="D3747" s="1" t="s">
        <v>8857</v>
      </c>
      <c r="E3747" s="62">
        <v>25</v>
      </c>
      <c r="F3747" s="1" t="s">
        <v>2551</v>
      </c>
      <c r="G3747" s="1" t="s">
        <v>2552</v>
      </c>
    </row>
    <row x14ac:dyDescent="0.25" r="3748" customHeight="1" ht="17.25" hidden="1">
      <c r="A3748" s="112" t="s">
        <v>8858</v>
      </c>
      <c r="B3748" s="1" t="s">
        <v>2549</v>
      </c>
      <c r="C3748" s="1" t="s">
        <v>69</v>
      </c>
      <c r="D3748" s="1" t="s">
        <v>8859</v>
      </c>
      <c r="E3748" s="62">
        <v>32</v>
      </c>
      <c r="F3748" s="1" t="s">
        <v>2551</v>
      </c>
      <c r="G3748" s="1" t="s">
        <v>2552</v>
      </c>
    </row>
    <row x14ac:dyDescent="0.25" r="3749" customHeight="1" ht="17.25" hidden="1">
      <c r="A3749" s="112" t="s">
        <v>8860</v>
      </c>
      <c r="B3749" s="1" t="s">
        <v>2549</v>
      </c>
      <c r="C3749" s="1" t="s">
        <v>69</v>
      </c>
      <c r="D3749" s="1" t="s">
        <v>8861</v>
      </c>
      <c r="E3749" s="62">
        <v>22</v>
      </c>
      <c r="F3749" s="1" t="s">
        <v>2551</v>
      </c>
      <c r="G3749" s="1" t="s">
        <v>2552</v>
      </c>
    </row>
    <row x14ac:dyDescent="0.25" r="3750" customHeight="1" ht="17.25" hidden="1">
      <c r="A3750" s="112" t="s">
        <v>8862</v>
      </c>
      <c r="B3750" s="1" t="s">
        <v>2549</v>
      </c>
      <c r="C3750" s="1" t="s">
        <v>69</v>
      </c>
      <c r="D3750" s="1" t="s">
        <v>8863</v>
      </c>
      <c r="E3750" s="62">
        <v>28</v>
      </c>
      <c r="F3750" s="1" t="s">
        <v>2551</v>
      </c>
      <c r="G3750" s="1" t="s">
        <v>2555</v>
      </c>
    </row>
    <row x14ac:dyDescent="0.25" r="3751" customHeight="1" ht="17.25" hidden="1">
      <c r="A3751" s="112" t="s">
        <v>8864</v>
      </c>
      <c r="B3751" s="1" t="s">
        <v>2549</v>
      </c>
      <c r="C3751" s="1" t="s">
        <v>69</v>
      </c>
      <c r="D3751" s="1" t="s">
        <v>8865</v>
      </c>
      <c r="E3751" s="62">
        <v>22</v>
      </c>
      <c r="F3751" s="1" t="s">
        <v>2551</v>
      </c>
      <c r="G3751" s="1" t="s">
        <v>2552</v>
      </c>
    </row>
    <row x14ac:dyDescent="0.25" r="3752" customHeight="1" ht="17.25" hidden="1">
      <c r="A3752" s="112" t="s">
        <v>8864</v>
      </c>
      <c r="B3752" s="1" t="s">
        <v>2549</v>
      </c>
      <c r="C3752" s="1" t="s">
        <v>69</v>
      </c>
      <c r="D3752" s="1" t="s">
        <v>8866</v>
      </c>
      <c r="E3752" s="62">
        <v>24</v>
      </c>
      <c r="F3752" s="1" t="s">
        <v>2551</v>
      </c>
      <c r="G3752" s="1" t="s">
        <v>2552</v>
      </c>
    </row>
    <row x14ac:dyDescent="0.25" r="3753" customHeight="1" ht="17.25" hidden="1">
      <c r="A3753" s="112" t="s">
        <v>8867</v>
      </c>
      <c r="B3753" s="1" t="s">
        <v>2549</v>
      </c>
      <c r="C3753" s="1" t="s">
        <v>69</v>
      </c>
      <c r="D3753" s="1" t="s">
        <v>8868</v>
      </c>
      <c r="E3753" s="62">
        <v>18</v>
      </c>
      <c r="F3753" s="1" t="s">
        <v>2551</v>
      </c>
      <c r="G3753" s="1" t="s">
        <v>2552</v>
      </c>
    </row>
    <row x14ac:dyDescent="0.25" r="3754" customHeight="1" ht="17.25" hidden="1">
      <c r="A3754" s="112" t="s">
        <v>8869</v>
      </c>
      <c r="B3754" s="1" t="s">
        <v>2549</v>
      </c>
      <c r="C3754" s="1" t="s">
        <v>69</v>
      </c>
      <c r="D3754" s="1" t="s">
        <v>8870</v>
      </c>
      <c r="E3754" s="62">
        <v>25</v>
      </c>
      <c r="F3754" s="1" t="s">
        <v>2551</v>
      </c>
      <c r="G3754" s="1" t="s">
        <v>2552</v>
      </c>
    </row>
    <row x14ac:dyDescent="0.25" r="3755" customHeight="1" ht="17.25" hidden="1">
      <c r="A3755" s="112" t="s">
        <v>8869</v>
      </c>
      <c r="B3755" s="1" t="s">
        <v>2549</v>
      </c>
      <c r="C3755" s="1" t="s">
        <v>69</v>
      </c>
      <c r="D3755" s="1" t="s">
        <v>8871</v>
      </c>
      <c r="E3755" s="62">
        <v>26</v>
      </c>
      <c r="F3755" s="1" t="s">
        <v>2551</v>
      </c>
      <c r="G3755" s="1" t="s">
        <v>2552</v>
      </c>
    </row>
    <row x14ac:dyDescent="0.25" r="3756" customHeight="1" ht="17.25" hidden="1">
      <c r="A3756" s="112" t="s">
        <v>8872</v>
      </c>
      <c r="B3756" s="1" t="s">
        <v>2549</v>
      </c>
      <c r="C3756" s="1" t="s">
        <v>69</v>
      </c>
      <c r="D3756" s="1" t="s">
        <v>8873</v>
      </c>
      <c r="E3756" s="62">
        <v>24</v>
      </c>
      <c r="F3756" s="1" t="s">
        <v>2551</v>
      </c>
      <c r="G3756" s="1" t="s">
        <v>2555</v>
      </c>
    </row>
    <row x14ac:dyDescent="0.25" r="3757" customHeight="1" ht="17.25" hidden="1">
      <c r="A3757" s="112" t="s">
        <v>8874</v>
      </c>
      <c r="B3757" s="1" t="s">
        <v>2549</v>
      </c>
      <c r="C3757" s="1" t="s">
        <v>69</v>
      </c>
      <c r="D3757" s="1" t="s">
        <v>8875</v>
      </c>
      <c r="E3757" s="62">
        <v>25</v>
      </c>
      <c r="F3757" s="1" t="s">
        <v>2551</v>
      </c>
      <c r="G3757" s="1" t="s">
        <v>2552</v>
      </c>
    </row>
    <row x14ac:dyDescent="0.25" r="3758" customHeight="1" ht="17.25" hidden="1">
      <c r="A3758" s="112" t="s">
        <v>8876</v>
      </c>
      <c r="B3758" s="1" t="s">
        <v>2549</v>
      </c>
      <c r="C3758" s="1" t="s">
        <v>69</v>
      </c>
      <c r="D3758" s="1" t="s">
        <v>8877</v>
      </c>
      <c r="E3758" s="62">
        <v>32</v>
      </c>
      <c r="F3758" s="1" t="s">
        <v>2551</v>
      </c>
      <c r="G3758" s="1" t="s">
        <v>2555</v>
      </c>
    </row>
    <row x14ac:dyDescent="0.25" r="3759" customHeight="1" ht="17.25" hidden="1">
      <c r="A3759" s="112" t="s">
        <v>8878</v>
      </c>
      <c r="B3759" s="1" t="s">
        <v>2549</v>
      </c>
      <c r="C3759" s="1" t="s">
        <v>69</v>
      </c>
      <c r="D3759" s="1" t="s">
        <v>8676</v>
      </c>
      <c r="E3759" s="62">
        <v>21</v>
      </c>
      <c r="F3759" s="1" t="s">
        <v>2551</v>
      </c>
      <c r="G3759" s="1" t="s">
        <v>2555</v>
      </c>
    </row>
    <row x14ac:dyDescent="0.25" r="3760" customHeight="1" ht="17.25" hidden="1">
      <c r="A3760" s="112" t="s">
        <v>8879</v>
      </c>
      <c r="B3760" s="1" t="s">
        <v>2549</v>
      </c>
      <c r="C3760" s="1" t="s">
        <v>69</v>
      </c>
      <c r="D3760" s="1" t="s">
        <v>8880</v>
      </c>
      <c r="E3760" s="62">
        <v>23</v>
      </c>
      <c r="F3760" s="1" t="s">
        <v>2551</v>
      </c>
      <c r="G3760" s="1" t="s">
        <v>2552</v>
      </c>
    </row>
    <row x14ac:dyDescent="0.25" r="3761" customHeight="1" ht="17.25" hidden="1">
      <c r="A3761" s="112" t="s">
        <v>8881</v>
      </c>
      <c r="B3761" s="1" t="s">
        <v>2549</v>
      </c>
      <c r="C3761" s="1" t="s">
        <v>69</v>
      </c>
      <c r="D3761" s="1" t="s">
        <v>8882</v>
      </c>
      <c r="E3761" s="62">
        <v>23</v>
      </c>
      <c r="F3761" s="1" t="s">
        <v>2551</v>
      </c>
      <c r="G3761" s="1" t="s">
        <v>2552</v>
      </c>
    </row>
    <row x14ac:dyDescent="0.25" r="3762" customHeight="1" ht="17.25" hidden="1">
      <c r="A3762" s="112" t="s">
        <v>8883</v>
      </c>
      <c r="B3762" s="1" t="s">
        <v>2549</v>
      </c>
      <c r="C3762" s="1" t="s">
        <v>69</v>
      </c>
      <c r="D3762" s="1" t="s">
        <v>8884</v>
      </c>
      <c r="E3762" s="62">
        <v>52</v>
      </c>
      <c r="F3762" s="1" t="s">
        <v>2551</v>
      </c>
      <c r="G3762" s="1" t="s">
        <v>2558</v>
      </c>
    </row>
    <row x14ac:dyDescent="0.25" r="3763" customHeight="1" ht="17.25" hidden="1">
      <c r="A3763" s="112" t="s">
        <v>8885</v>
      </c>
      <c r="B3763" s="1" t="s">
        <v>2549</v>
      </c>
      <c r="C3763" s="1" t="s">
        <v>69</v>
      </c>
      <c r="D3763" s="1" t="s">
        <v>8886</v>
      </c>
      <c r="E3763" s="62">
        <v>34</v>
      </c>
      <c r="F3763" s="1" t="s">
        <v>2561</v>
      </c>
      <c r="G3763" s="1" t="s">
        <v>2552</v>
      </c>
    </row>
    <row x14ac:dyDescent="0.25" r="3764" customHeight="1" ht="17.25" hidden="1">
      <c r="A3764" s="112" t="s">
        <v>8885</v>
      </c>
      <c r="B3764" s="1" t="s">
        <v>2549</v>
      </c>
      <c r="C3764" s="1" t="s">
        <v>69</v>
      </c>
      <c r="D3764" s="1" t="s">
        <v>8887</v>
      </c>
      <c r="E3764" s="62">
        <v>37</v>
      </c>
      <c r="F3764" s="1" t="s">
        <v>2551</v>
      </c>
      <c r="G3764" s="1" t="s">
        <v>2552</v>
      </c>
    </row>
    <row x14ac:dyDescent="0.25" r="3765" customHeight="1" ht="17.25" hidden="1">
      <c r="A3765" s="112" t="s">
        <v>8888</v>
      </c>
      <c r="B3765" s="1" t="s">
        <v>2549</v>
      </c>
      <c r="C3765" s="1" t="s">
        <v>69</v>
      </c>
      <c r="D3765" s="1" t="s">
        <v>8889</v>
      </c>
      <c r="E3765" s="62">
        <v>29</v>
      </c>
      <c r="F3765" s="1" t="s">
        <v>2551</v>
      </c>
      <c r="G3765" s="1" t="s">
        <v>2552</v>
      </c>
    </row>
    <row x14ac:dyDescent="0.25" r="3766" customHeight="1" ht="17.25" hidden="1">
      <c r="A3766" s="112" t="s">
        <v>8890</v>
      </c>
      <c r="B3766" s="1" t="s">
        <v>2549</v>
      </c>
      <c r="C3766" s="1" t="s">
        <v>69</v>
      </c>
      <c r="D3766" s="1" t="s">
        <v>8891</v>
      </c>
      <c r="E3766" s="62">
        <v>38</v>
      </c>
      <c r="F3766" s="1" t="s">
        <v>2551</v>
      </c>
      <c r="G3766" s="1" t="s">
        <v>2555</v>
      </c>
    </row>
    <row x14ac:dyDescent="0.25" r="3767" customHeight="1" ht="17.25" hidden="1">
      <c r="A3767" s="112" t="s">
        <v>8892</v>
      </c>
      <c r="B3767" s="1" t="s">
        <v>2549</v>
      </c>
      <c r="C3767" s="1" t="s">
        <v>69</v>
      </c>
      <c r="D3767" s="1" t="s">
        <v>8893</v>
      </c>
      <c r="E3767" s="62">
        <v>28</v>
      </c>
      <c r="F3767" s="1" t="s">
        <v>2551</v>
      </c>
      <c r="G3767" s="1" t="s">
        <v>2555</v>
      </c>
    </row>
    <row x14ac:dyDescent="0.25" r="3768" customHeight="1" ht="17.25" hidden="1">
      <c r="A3768" s="112" t="s">
        <v>8892</v>
      </c>
      <c r="B3768" s="1" t="s">
        <v>2549</v>
      </c>
      <c r="C3768" s="1" t="s">
        <v>69</v>
      </c>
      <c r="D3768" s="1" t="s">
        <v>8894</v>
      </c>
      <c r="E3768" s="62">
        <v>34</v>
      </c>
      <c r="F3768" s="1" t="s">
        <v>2551</v>
      </c>
      <c r="G3768" s="1" t="s">
        <v>2558</v>
      </c>
    </row>
    <row x14ac:dyDescent="0.25" r="3769" customHeight="1" ht="17.25" hidden="1">
      <c r="A3769" s="112" t="s">
        <v>1359</v>
      </c>
      <c r="B3769" s="1" t="s">
        <v>2549</v>
      </c>
      <c r="C3769" s="1" t="s">
        <v>69</v>
      </c>
      <c r="D3769" s="1" t="s">
        <v>1360</v>
      </c>
      <c r="E3769" s="62">
        <v>30</v>
      </c>
      <c r="F3769" s="1" t="s">
        <v>2551</v>
      </c>
      <c r="G3769" s="1" t="s">
        <v>2552</v>
      </c>
    </row>
    <row x14ac:dyDescent="0.25" r="3770" customHeight="1" ht="17.25" hidden="1">
      <c r="A3770" s="112" t="s">
        <v>8895</v>
      </c>
      <c r="B3770" s="1" t="s">
        <v>2549</v>
      </c>
      <c r="C3770" s="1" t="s">
        <v>69</v>
      </c>
      <c r="D3770" s="1" t="s">
        <v>8896</v>
      </c>
      <c r="E3770" s="62">
        <v>20</v>
      </c>
      <c r="F3770" s="1" t="s">
        <v>2551</v>
      </c>
      <c r="G3770" s="1" t="s">
        <v>2555</v>
      </c>
    </row>
    <row x14ac:dyDescent="0.25" r="3771" customHeight="1" ht="17.25" hidden="1">
      <c r="A3771" s="112" t="s">
        <v>8895</v>
      </c>
      <c r="B3771" s="1" t="s">
        <v>2549</v>
      </c>
      <c r="C3771" s="1" t="s">
        <v>69</v>
      </c>
      <c r="D3771" s="1" t="s">
        <v>8897</v>
      </c>
      <c r="E3771" s="62">
        <v>19</v>
      </c>
      <c r="F3771" s="1" t="s">
        <v>2551</v>
      </c>
      <c r="G3771" s="1" t="s">
        <v>2552</v>
      </c>
    </row>
    <row x14ac:dyDescent="0.25" r="3772" customHeight="1" ht="17.25" hidden="1">
      <c r="A3772" s="112" t="s">
        <v>8898</v>
      </c>
      <c r="B3772" s="1" t="s">
        <v>2549</v>
      </c>
      <c r="C3772" s="1" t="s">
        <v>69</v>
      </c>
      <c r="D3772" s="1" t="s">
        <v>8899</v>
      </c>
      <c r="E3772" s="62">
        <v>19</v>
      </c>
      <c r="F3772" s="1" t="s">
        <v>2551</v>
      </c>
      <c r="G3772" s="1" t="s">
        <v>2558</v>
      </c>
    </row>
    <row x14ac:dyDescent="0.25" r="3773" customHeight="1" ht="17.25" hidden="1">
      <c r="A3773" s="112" t="s">
        <v>8900</v>
      </c>
      <c r="B3773" s="1" t="s">
        <v>2549</v>
      </c>
      <c r="C3773" s="1" t="s">
        <v>69</v>
      </c>
      <c r="D3773" s="1" t="s">
        <v>8901</v>
      </c>
      <c r="E3773" s="62">
        <v>52</v>
      </c>
      <c r="F3773" s="1" t="s">
        <v>2551</v>
      </c>
      <c r="G3773" s="1" t="s">
        <v>2552</v>
      </c>
    </row>
    <row x14ac:dyDescent="0.25" r="3774" customHeight="1" ht="17.25" hidden="1">
      <c r="A3774" s="112" t="s">
        <v>8902</v>
      </c>
      <c r="B3774" s="1" t="s">
        <v>2549</v>
      </c>
      <c r="C3774" s="1" t="s">
        <v>69</v>
      </c>
      <c r="D3774" s="1" t="s">
        <v>8299</v>
      </c>
      <c r="E3774" s="62">
        <v>19</v>
      </c>
      <c r="F3774" s="1" t="s">
        <v>2551</v>
      </c>
      <c r="G3774" s="1" t="s">
        <v>2555</v>
      </c>
    </row>
    <row x14ac:dyDescent="0.25" r="3775" customHeight="1" ht="17.25" hidden="1">
      <c r="A3775" s="112" t="s">
        <v>8903</v>
      </c>
      <c r="B3775" s="1" t="s">
        <v>2549</v>
      </c>
      <c r="C3775" s="1" t="s">
        <v>69</v>
      </c>
      <c r="D3775" s="1" t="s">
        <v>8904</v>
      </c>
      <c r="E3775" s="62">
        <v>25</v>
      </c>
      <c r="F3775" s="1" t="s">
        <v>2551</v>
      </c>
      <c r="G3775" s="1" t="s">
        <v>2552</v>
      </c>
    </row>
    <row x14ac:dyDescent="0.25" r="3776" customHeight="1" ht="17.25" hidden="1">
      <c r="A3776" s="112" t="s">
        <v>8905</v>
      </c>
      <c r="B3776" s="1" t="s">
        <v>2549</v>
      </c>
      <c r="C3776" s="1" t="s">
        <v>69</v>
      </c>
      <c r="D3776" s="1" t="s">
        <v>8906</v>
      </c>
      <c r="E3776" s="62">
        <v>20</v>
      </c>
      <c r="F3776" s="1" t="s">
        <v>2551</v>
      </c>
      <c r="G3776" s="1" t="s">
        <v>2555</v>
      </c>
    </row>
    <row x14ac:dyDescent="0.25" r="3777" customHeight="1" ht="17.25" hidden="1">
      <c r="A3777" s="112" t="s">
        <v>8907</v>
      </c>
      <c r="B3777" s="1" t="s">
        <v>2549</v>
      </c>
      <c r="C3777" s="1" t="s">
        <v>69</v>
      </c>
      <c r="D3777" s="1" t="s">
        <v>8908</v>
      </c>
      <c r="E3777" s="62">
        <v>28</v>
      </c>
      <c r="F3777" s="1" t="s">
        <v>2561</v>
      </c>
      <c r="G3777" s="1" t="s">
        <v>2555</v>
      </c>
    </row>
    <row x14ac:dyDescent="0.25" r="3778" customHeight="1" ht="17.25" hidden="1">
      <c r="A3778" s="112" t="s">
        <v>8909</v>
      </c>
      <c r="B3778" s="1" t="s">
        <v>2549</v>
      </c>
      <c r="C3778" s="1" t="s">
        <v>69</v>
      </c>
      <c r="D3778" s="1" t="s">
        <v>8910</v>
      </c>
      <c r="E3778" s="62">
        <v>22</v>
      </c>
      <c r="F3778" s="1" t="s">
        <v>2561</v>
      </c>
      <c r="G3778" s="1" t="s">
        <v>2552</v>
      </c>
    </row>
    <row x14ac:dyDescent="0.25" r="3779" customHeight="1" ht="17.25" hidden="1">
      <c r="A3779" s="112" t="s">
        <v>8911</v>
      </c>
      <c r="B3779" s="1" t="s">
        <v>2549</v>
      </c>
      <c r="C3779" s="1" t="s">
        <v>69</v>
      </c>
      <c r="D3779" s="1" t="s">
        <v>8912</v>
      </c>
      <c r="E3779" s="62">
        <v>28</v>
      </c>
      <c r="F3779" s="1" t="s">
        <v>2551</v>
      </c>
      <c r="G3779" s="1" t="s">
        <v>2555</v>
      </c>
    </row>
    <row x14ac:dyDescent="0.25" r="3780" customHeight="1" ht="17.25" hidden="1">
      <c r="A3780" s="112" t="s">
        <v>8913</v>
      </c>
      <c r="B3780" s="1" t="s">
        <v>2549</v>
      </c>
      <c r="C3780" s="1" t="s">
        <v>69</v>
      </c>
      <c r="D3780" s="1" t="s">
        <v>8914</v>
      </c>
      <c r="E3780" s="62">
        <v>22</v>
      </c>
      <c r="F3780" s="1" t="s">
        <v>2551</v>
      </c>
      <c r="G3780" s="1" t="s">
        <v>2555</v>
      </c>
    </row>
    <row x14ac:dyDescent="0.25" r="3781" customHeight="1" ht="17.25" hidden="1">
      <c r="A3781" s="112" t="s">
        <v>8915</v>
      </c>
      <c r="B3781" s="1" t="s">
        <v>2549</v>
      </c>
      <c r="C3781" s="1" t="s">
        <v>69</v>
      </c>
      <c r="D3781" s="1" t="s">
        <v>8916</v>
      </c>
      <c r="E3781" s="62">
        <v>25</v>
      </c>
      <c r="F3781" s="1" t="s">
        <v>2551</v>
      </c>
      <c r="G3781" s="1" t="s">
        <v>2552</v>
      </c>
    </row>
    <row x14ac:dyDescent="0.25" r="3782" customHeight="1" ht="17.25" hidden="1">
      <c r="A3782" s="112" t="s">
        <v>8917</v>
      </c>
      <c r="B3782" s="1" t="s">
        <v>2549</v>
      </c>
      <c r="C3782" s="1" t="s">
        <v>69</v>
      </c>
      <c r="D3782" s="1" t="s">
        <v>8918</v>
      </c>
      <c r="E3782" s="62">
        <v>32</v>
      </c>
      <c r="F3782" s="1" t="s">
        <v>2551</v>
      </c>
      <c r="G3782" s="1" t="s">
        <v>2555</v>
      </c>
    </row>
    <row x14ac:dyDescent="0.25" r="3783" customHeight="1" ht="17.25" hidden="1">
      <c r="A3783" s="112" t="s">
        <v>8919</v>
      </c>
      <c r="B3783" s="1" t="s">
        <v>2549</v>
      </c>
      <c r="C3783" s="1" t="s">
        <v>69</v>
      </c>
      <c r="D3783" s="1" t="s">
        <v>8920</v>
      </c>
      <c r="E3783" s="62">
        <v>30</v>
      </c>
      <c r="F3783" s="1" t="s">
        <v>2551</v>
      </c>
      <c r="G3783" s="1" t="s">
        <v>2558</v>
      </c>
    </row>
    <row x14ac:dyDescent="0.25" r="3784" customHeight="1" ht="17.25" hidden="1">
      <c r="A3784" s="112" t="s">
        <v>8919</v>
      </c>
      <c r="B3784" s="1" t="s">
        <v>2549</v>
      </c>
      <c r="C3784" s="1" t="s">
        <v>69</v>
      </c>
      <c r="D3784" s="1" t="s">
        <v>8921</v>
      </c>
      <c r="E3784" s="62">
        <v>35</v>
      </c>
      <c r="F3784" s="1" t="s">
        <v>2551</v>
      </c>
      <c r="G3784" s="1" t="s">
        <v>2555</v>
      </c>
    </row>
    <row x14ac:dyDescent="0.25" r="3785" customHeight="1" ht="17.25" hidden="1">
      <c r="A3785" s="112" t="s">
        <v>8922</v>
      </c>
      <c r="B3785" s="1" t="s">
        <v>2549</v>
      </c>
      <c r="C3785" s="1" t="s">
        <v>69</v>
      </c>
      <c r="D3785" s="1" t="s">
        <v>8395</v>
      </c>
      <c r="E3785" s="62">
        <v>23</v>
      </c>
      <c r="F3785" s="1" t="s">
        <v>2551</v>
      </c>
      <c r="G3785" s="1" t="s">
        <v>2552</v>
      </c>
    </row>
    <row x14ac:dyDescent="0.25" r="3786" customHeight="1" ht="17.25" hidden="1">
      <c r="A3786" s="112" t="s">
        <v>8923</v>
      </c>
      <c r="B3786" s="1" t="s">
        <v>2549</v>
      </c>
      <c r="C3786" s="1" t="s">
        <v>69</v>
      </c>
      <c r="D3786" s="1" t="s">
        <v>8924</v>
      </c>
      <c r="E3786" s="62">
        <v>18</v>
      </c>
      <c r="F3786" s="1" t="s">
        <v>2551</v>
      </c>
      <c r="G3786" s="1" t="s">
        <v>2558</v>
      </c>
    </row>
    <row x14ac:dyDescent="0.25" r="3787" customHeight="1" ht="17.25" hidden="1">
      <c r="A3787" s="112" t="s">
        <v>8925</v>
      </c>
      <c r="B3787" s="1" t="s">
        <v>2549</v>
      </c>
      <c r="C3787" s="1" t="s">
        <v>69</v>
      </c>
      <c r="D3787" s="1" t="s">
        <v>8926</v>
      </c>
      <c r="E3787" s="62">
        <v>23</v>
      </c>
      <c r="F3787" s="1" t="s">
        <v>2551</v>
      </c>
      <c r="G3787" s="1" t="s">
        <v>2555</v>
      </c>
    </row>
    <row x14ac:dyDescent="0.25" r="3788" customHeight="1" ht="17.25" hidden="1">
      <c r="A3788" s="112" t="s">
        <v>8927</v>
      </c>
      <c r="B3788" s="1" t="s">
        <v>2549</v>
      </c>
      <c r="C3788" s="1" t="s">
        <v>69</v>
      </c>
      <c r="D3788" s="1" t="s">
        <v>8928</v>
      </c>
      <c r="E3788" s="62">
        <v>32</v>
      </c>
      <c r="F3788" s="1" t="s">
        <v>2551</v>
      </c>
      <c r="G3788" s="1" t="s">
        <v>2555</v>
      </c>
    </row>
    <row x14ac:dyDescent="0.25" r="3789" customHeight="1" ht="17.25" hidden="1">
      <c r="A3789" s="112" t="s">
        <v>8929</v>
      </c>
      <c r="B3789" s="1" t="s">
        <v>2549</v>
      </c>
      <c r="C3789" s="1" t="s">
        <v>69</v>
      </c>
      <c r="D3789" s="1" t="s">
        <v>8930</v>
      </c>
      <c r="E3789" s="62">
        <v>29</v>
      </c>
      <c r="F3789" s="1" t="s">
        <v>2551</v>
      </c>
      <c r="G3789" s="1" t="s">
        <v>2552</v>
      </c>
    </row>
    <row x14ac:dyDescent="0.25" r="3790" customHeight="1" ht="17.25" hidden="1">
      <c r="A3790" s="112" t="s">
        <v>8931</v>
      </c>
      <c r="B3790" s="1" t="s">
        <v>2549</v>
      </c>
      <c r="C3790" s="1" t="s">
        <v>69</v>
      </c>
      <c r="D3790" s="1" t="s">
        <v>4489</v>
      </c>
      <c r="E3790" s="62">
        <v>18</v>
      </c>
      <c r="F3790" s="1" t="s">
        <v>2551</v>
      </c>
      <c r="G3790" s="1" t="s">
        <v>2558</v>
      </c>
    </row>
    <row x14ac:dyDescent="0.25" r="3791" customHeight="1" ht="17.25" hidden="1">
      <c r="A3791" s="112" t="s">
        <v>8932</v>
      </c>
      <c r="B3791" s="1" t="s">
        <v>2549</v>
      </c>
      <c r="C3791" s="1" t="s">
        <v>69</v>
      </c>
      <c r="D3791" s="1" t="s">
        <v>8933</v>
      </c>
      <c r="E3791" s="62">
        <v>21</v>
      </c>
      <c r="F3791" s="1" t="s">
        <v>2551</v>
      </c>
      <c r="G3791" s="1" t="s">
        <v>2555</v>
      </c>
    </row>
    <row x14ac:dyDescent="0.25" r="3792" customHeight="1" ht="17.25" hidden="1">
      <c r="A3792" s="112" t="s">
        <v>8934</v>
      </c>
      <c r="B3792" s="1" t="s">
        <v>2549</v>
      </c>
      <c r="C3792" s="1" t="s">
        <v>69</v>
      </c>
      <c r="D3792" s="1" t="s">
        <v>8935</v>
      </c>
      <c r="E3792" s="62">
        <v>21</v>
      </c>
      <c r="F3792" s="1" t="s">
        <v>2551</v>
      </c>
      <c r="G3792" s="1" t="s">
        <v>2552</v>
      </c>
    </row>
    <row x14ac:dyDescent="0.25" r="3793" customHeight="1" ht="17.25" hidden="1">
      <c r="A3793" s="112" t="s">
        <v>8934</v>
      </c>
      <c r="B3793" s="1" t="s">
        <v>2549</v>
      </c>
      <c r="C3793" s="1" t="s">
        <v>69</v>
      </c>
      <c r="D3793" s="1" t="s">
        <v>8936</v>
      </c>
      <c r="E3793" s="62">
        <v>29</v>
      </c>
      <c r="F3793" s="1" t="s">
        <v>2551</v>
      </c>
      <c r="G3793" s="1" t="s">
        <v>2552</v>
      </c>
    </row>
    <row x14ac:dyDescent="0.25" r="3794" customHeight="1" ht="17.25" hidden="1">
      <c r="A3794" s="112" t="s">
        <v>586</v>
      </c>
      <c r="B3794" s="1" t="s">
        <v>2549</v>
      </c>
      <c r="C3794" s="1" t="s">
        <v>69</v>
      </c>
      <c r="D3794" s="1" t="s">
        <v>587</v>
      </c>
      <c r="E3794" s="62">
        <v>21</v>
      </c>
      <c r="F3794" s="1" t="s">
        <v>2551</v>
      </c>
      <c r="G3794" s="1" t="s">
        <v>2555</v>
      </c>
    </row>
    <row x14ac:dyDescent="0.25" r="3795" customHeight="1" ht="17.25" hidden="1">
      <c r="A3795" s="112" t="s">
        <v>8937</v>
      </c>
      <c r="B3795" s="1" t="s">
        <v>2549</v>
      </c>
      <c r="C3795" s="1" t="s">
        <v>69</v>
      </c>
      <c r="D3795" s="1" t="s">
        <v>8938</v>
      </c>
      <c r="E3795" s="62">
        <v>18</v>
      </c>
      <c r="F3795" s="1" t="s">
        <v>2551</v>
      </c>
      <c r="G3795" s="1" t="s">
        <v>2552</v>
      </c>
    </row>
    <row x14ac:dyDescent="0.25" r="3796" customHeight="1" ht="17.25" hidden="1">
      <c r="A3796" s="112" t="s">
        <v>8939</v>
      </c>
      <c r="B3796" s="1" t="s">
        <v>2549</v>
      </c>
      <c r="C3796" s="1" t="s">
        <v>69</v>
      </c>
      <c r="D3796" s="1" t="s">
        <v>8940</v>
      </c>
      <c r="E3796" s="62">
        <v>30</v>
      </c>
      <c r="F3796" s="1" t="s">
        <v>2551</v>
      </c>
      <c r="G3796" s="1" t="s">
        <v>2555</v>
      </c>
    </row>
    <row x14ac:dyDescent="0.25" r="3797" customHeight="1" ht="17.25" hidden="1">
      <c r="A3797" s="112" t="s">
        <v>8941</v>
      </c>
      <c r="B3797" s="1" t="s">
        <v>2549</v>
      </c>
      <c r="C3797" s="1" t="s">
        <v>69</v>
      </c>
      <c r="D3797" s="1" t="s">
        <v>8942</v>
      </c>
      <c r="E3797" s="62">
        <v>23</v>
      </c>
      <c r="F3797" s="1" t="s">
        <v>2551</v>
      </c>
      <c r="G3797" s="1" t="s">
        <v>4578</v>
      </c>
    </row>
    <row x14ac:dyDescent="0.25" r="3798" customHeight="1" ht="17.25" hidden="1">
      <c r="A3798" s="112" t="s">
        <v>8943</v>
      </c>
      <c r="B3798" s="1" t="s">
        <v>2549</v>
      </c>
      <c r="C3798" s="1" t="s">
        <v>69</v>
      </c>
      <c r="D3798" s="1" t="s">
        <v>8944</v>
      </c>
      <c r="E3798" s="62">
        <v>27</v>
      </c>
      <c r="F3798" s="1" t="s">
        <v>2551</v>
      </c>
      <c r="G3798" s="1" t="s">
        <v>2552</v>
      </c>
    </row>
    <row x14ac:dyDescent="0.25" r="3799" customHeight="1" ht="17.25" hidden="1">
      <c r="A3799" s="112" t="s">
        <v>8945</v>
      </c>
      <c r="B3799" s="1" t="s">
        <v>2549</v>
      </c>
      <c r="C3799" s="1" t="s">
        <v>69</v>
      </c>
      <c r="D3799" s="1" t="s">
        <v>8946</v>
      </c>
      <c r="E3799" s="62">
        <v>19</v>
      </c>
      <c r="F3799" s="1" t="s">
        <v>2551</v>
      </c>
      <c r="G3799" s="1" t="s">
        <v>2555</v>
      </c>
    </row>
    <row x14ac:dyDescent="0.25" r="3800" customHeight="1" ht="17.25" hidden="1">
      <c r="A3800" s="112" t="s">
        <v>8947</v>
      </c>
      <c r="B3800" s="1" t="s">
        <v>2549</v>
      </c>
      <c r="C3800" s="1" t="s">
        <v>69</v>
      </c>
      <c r="D3800" s="1" t="s">
        <v>8948</v>
      </c>
      <c r="E3800" s="62">
        <v>23</v>
      </c>
      <c r="F3800" s="1" t="s">
        <v>2551</v>
      </c>
      <c r="G3800" s="1" t="s">
        <v>2555</v>
      </c>
    </row>
    <row x14ac:dyDescent="0.25" r="3801" customHeight="1" ht="17.25" hidden="1">
      <c r="A3801" s="112" t="s">
        <v>8947</v>
      </c>
      <c r="B3801" s="1" t="s">
        <v>2549</v>
      </c>
      <c r="C3801" s="1" t="s">
        <v>69</v>
      </c>
      <c r="D3801" s="1" t="s">
        <v>8949</v>
      </c>
      <c r="E3801" s="62">
        <v>38</v>
      </c>
      <c r="F3801" s="1" t="s">
        <v>2551</v>
      </c>
      <c r="G3801" s="1" t="s">
        <v>2555</v>
      </c>
    </row>
    <row x14ac:dyDescent="0.25" r="3802" customHeight="1" ht="17.25" hidden="1">
      <c r="A3802" s="112" t="s">
        <v>8950</v>
      </c>
      <c r="B3802" s="1" t="s">
        <v>2549</v>
      </c>
      <c r="C3802" s="1" t="s">
        <v>69</v>
      </c>
      <c r="D3802" s="1" t="s">
        <v>8951</v>
      </c>
      <c r="E3802" s="62">
        <v>32</v>
      </c>
      <c r="F3802" s="1" t="s">
        <v>2561</v>
      </c>
      <c r="G3802" s="1" t="s">
        <v>2555</v>
      </c>
    </row>
    <row x14ac:dyDescent="0.25" r="3803" customHeight="1" ht="17.25" hidden="1">
      <c r="A3803" s="112" t="s">
        <v>8952</v>
      </c>
      <c r="B3803" s="1" t="s">
        <v>2549</v>
      </c>
      <c r="C3803" s="1" t="s">
        <v>69</v>
      </c>
      <c r="D3803" s="1" t="s">
        <v>6051</v>
      </c>
      <c r="E3803" s="62">
        <v>23</v>
      </c>
      <c r="F3803" s="1" t="s">
        <v>2551</v>
      </c>
      <c r="G3803" s="1" t="s">
        <v>2555</v>
      </c>
    </row>
    <row x14ac:dyDescent="0.25" r="3804" customHeight="1" ht="17.25" hidden="1">
      <c r="A3804" s="112" t="s">
        <v>8952</v>
      </c>
      <c r="B3804" s="1" t="s">
        <v>2549</v>
      </c>
      <c r="C3804" s="1" t="s">
        <v>69</v>
      </c>
      <c r="D3804" s="1" t="s">
        <v>8953</v>
      </c>
      <c r="E3804" s="62">
        <v>23</v>
      </c>
      <c r="F3804" s="1" t="s">
        <v>2551</v>
      </c>
      <c r="G3804" s="1" t="s">
        <v>2552</v>
      </c>
    </row>
    <row x14ac:dyDescent="0.25" r="3805" customHeight="1" ht="17.25" hidden="1">
      <c r="A3805" s="112" t="s">
        <v>1595</v>
      </c>
      <c r="B3805" s="1" t="s">
        <v>2549</v>
      </c>
      <c r="C3805" s="1" t="s">
        <v>41</v>
      </c>
      <c r="D3805" s="1" t="s">
        <v>1596</v>
      </c>
      <c r="E3805" s="62">
        <v>53</v>
      </c>
      <c r="F3805" s="1" t="s">
        <v>2551</v>
      </c>
      <c r="G3805" s="1" t="s">
        <v>2552</v>
      </c>
    </row>
    <row x14ac:dyDescent="0.25" r="3806" customHeight="1" ht="17.25" hidden="1">
      <c r="A3806" s="112" t="s">
        <v>8954</v>
      </c>
      <c r="B3806" s="1" t="s">
        <v>2549</v>
      </c>
      <c r="C3806" s="1" t="s">
        <v>41</v>
      </c>
      <c r="D3806" s="1" t="s">
        <v>8955</v>
      </c>
      <c r="E3806" s="62">
        <v>31</v>
      </c>
      <c r="F3806" s="1" t="s">
        <v>2551</v>
      </c>
      <c r="G3806" s="1" t="s">
        <v>2552</v>
      </c>
    </row>
    <row x14ac:dyDescent="0.25" r="3807" customHeight="1" ht="17.25" hidden="1">
      <c r="A3807" s="112" t="s">
        <v>8956</v>
      </c>
      <c r="B3807" s="1" t="s">
        <v>2549</v>
      </c>
      <c r="C3807" s="1" t="s">
        <v>41</v>
      </c>
      <c r="D3807" s="1" t="s">
        <v>8957</v>
      </c>
      <c r="E3807" s="62">
        <v>20</v>
      </c>
      <c r="F3807" s="1" t="s">
        <v>2551</v>
      </c>
      <c r="G3807" s="1" t="s">
        <v>2555</v>
      </c>
    </row>
    <row x14ac:dyDescent="0.25" r="3808" customHeight="1" ht="17.25" hidden="1">
      <c r="A3808" s="112" t="s">
        <v>8958</v>
      </c>
      <c r="B3808" s="1" t="s">
        <v>2549</v>
      </c>
      <c r="C3808" s="1" t="s">
        <v>41</v>
      </c>
      <c r="D3808" s="1" t="s">
        <v>8959</v>
      </c>
      <c r="E3808" s="62">
        <v>18</v>
      </c>
      <c r="F3808" s="1" t="s">
        <v>2551</v>
      </c>
      <c r="G3808" s="1" t="s">
        <v>2558</v>
      </c>
    </row>
    <row x14ac:dyDescent="0.25" r="3809" customHeight="1" ht="17.25" hidden="1">
      <c r="A3809" s="112" t="s">
        <v>8960</v>
      </c>
      <c r="B3809" s="1" t="s">
        <v>2549</v>
      </c>
      <c r="C3809" s="1" t="s">
        <v>41</v>
      </c>
      <c r="D3809" s="1" t="s">
        <v>8961</v>
      </c>
      <c r="E3809" s="62">
        <v>18</v>
      </c>
      <c r="F3809" s="1" t="s">
        <v>2551</v>
      </c>
      <c r="G3809" s="1" t="s">
        <v>2558</v>
      </c>
    </row>
    <row x14ac:dyDescent="0.25" r="3810" customHeight="1" ht="17.25" hidden="1">
      <c r="A3810" s="112" t="s">
        <v>8962</v>
      </c>
      <c r="B3810" s="1" t="s">
        <v>2549</v>
      </c>
      <c r="C3810" s="1" t="s">
        <v>41</v>
      </c>
      <c r="D3810" s="1" t="s">
        <v>8963</v>
      </c>
      <c r="E3810" s="62">
        <v>25</v>
      </c>
      <c r="F3810" s="1" t="s">
        <v>2551</v>
      </c>
      <c r="G3810" s="1" t="s">
        <v>2558</v>
      </c>
    </row>
    <row x14ac:dyDescent="0.25" r="3811" customHeight="1" ht="17.25" hidden="1">
      <c r="A3811" s="112" t="s">
        <v>8964</v>
      </c>
      <c r="B3811" s="1" t="s">
        <v>2549</v>
      </c>
      <c r="C3811" s="1" t="s">
        <v>41</v>
      </c>
      <c r="D3811" s="1" t="s">
        <v>8965</v>
      </c>
      <c r="E3811" s="62">
        <v>22</v>
      </c>
      <c r="F3811" s="1" t="s">
        <v>2551</v>
      </c>
      <c r="G3811" s="1" t="s">
        <v>2555</v>
      </c>
    </row>
    <row x14ac:dyDescent="0.25" r="3812" customHeight="1" ht="17.25" hidden="1">
      <c r="A3812" s="112" t="s">
        <v>8966</v>
      </c>
      <c r="B3812" s="1" t="s">
        <v>2549</v>
      </c>
      <c r="C3812" s="1" t="s">
        <v>41</v>
      </c>
      <c r="D3812" s="1" t="s">
        <v>8967</v>
      </c>
      <c r="E3812" s="62">
        <v>21</v>
      </c>
      <c r="F3812" s="1" t="s">
        <v>2551</v>
      </c>
      <c r="G3812" s="1" t="s">
        <v>2555</v>
      </c>
    </row>
    <row x14ac:dyDescent="0.25" r="3813" customHeight="1" ht="17.25" hidden="1">
      <c r="A3813" s="112" t="s">
        <v>8968</v>
      </c>
      <c r="B3813" s="1" t="s">
        <v>2549</v>
      </c>
      <c r="C3813" s="1" t="s">
        <v>41</v>
      </c>
      <c r="D3813" s="1" t="s">
        <v>8969</v>
      </c>
      <c r="E3813" s="62">
        <v>19</v>
      </c>
      <c r="F3813" s="1" t="s">
        <v>2551</v>
      </c>
      <c r="G3813" s="1" t="s">
        <v>2552</v>
      </c>
    </row>
    <row x14ac:dyDescent="0.25" r="3814" customHeight="1" ht="17.25" hidden="1">
      <c r="A3814" s="112" t="s">
        <v>8970</v>
      </c>
      <c r="B3814" s="1" t="s">
        <v>2549</v>
      </c>
      <c r="C3814" s="1" t="s">
        <v>41</v>
      </c>
      <c r="D3814" s="1" t="s">
        <v>8971</v>
      </c>
      <c r="E3814" s="62">
        <v>26</v>
      </c>
      <c r="F3814" s="1" t="s">
        <v>2551</v>
      </c>
      <c r="G3814" s="1" t="s">
        <v>2555</v>
      </c>
    </row>
    <row x14ac:dyDescent="0.25" r="3815" customHeight="1" ht="17.25" hidden="1">
      <c r="A3815" s="112" t="s">
        <v>8972</v>
      </c>
      <c r="B3815" s="1" t="s">
        <v>2549</v>
      </c>
      <c r="C3815" s="1" t="s">
        <v>41</v>
      </c>
      <c r="D3815" s="1" t="s">
        <v>8973</v>
      </c>
      <c r="E3815" s="62">
        <v>34</v>
      </c>
      <c r="F3815" s="1" t="s">
        <v>2551</v>
      </c>
      <c r="G3815" s="1" t="s">
        <v>2555</v>
      </c>
    </row>
    <row x14ac:dyDescent="0.25" r="3816" customHeight="1" ht="17.25" hidden="1">
      <c r="A3816" s="112" t="s">
        <v>8974</v>
      </c>
      <c r="B3816" s="1" t="s">
        <v>2549</v>
      </c>
      <c r="C3816" s="1" t="s">
        <v>41</v>
      </c>
      <c r="D3816" s="1" t="s">
        <v>8975</v>
      </c>
      <c r="E3816" s="62">
        <v>33</v>
      </c>
      <c r="F3816" s="1" t="s">
        <v>2551</v>
      </c>
      <c r="G3816" s="1" t="s">
        <v>2555</v>
      </c>
    </row>
    <row x14ac:dyDescent="0.25" r="3817" customHeight="1" ht="17.25" hidden="1">
      <c r="A3817" s="112" t="s">
        <v>8976</v>
      </c>
      <c r="B3817" s="1" t="s">
        <v>2549</v>
      </c>
      <c r="C3817" s="1" t="s">
        <v>41</v>
      </c>
      <c r="D3817" s="1" t="s">
        <v>8977</v>
      </c>
      <c r="E3817" s="62">
        <v>41</v>
      </c>
      <c r="F3817" s="1" t="s">
        <v>2551</v>
      </c>
      <c r="G3817" s="1" t="s">
        <v>2555</v>
      </c>
    </row>
    <row x14ac:dyDescent="0.25" r="3818" customHeight="1" ht="17.25" hidden="1">
      <c r="A3818" s="112" t="s">
        <v>8978</v>
      </c>
      <c r="B3818" s="1" t="s">
        <v>2549</v>
      </c>
      <c r="C3818" s="1" t="s">
        <v>41</v>
      </c>
      <c r="D3818" s="1" t="s">
        <v>8979</v>
      </c>
      <c r="E3818" s="62">
        <v>21</v>
      </c>
      <c r="F3818" s="1" t="s">
        <v>2551</v>
      </c>
      <c r="G3818" s="1" t="s">
        <v>2552</v>
      </c>
    </row>
    <row x14ac:dyDescent="0.25" r="3819" customHeight="1" ht="17.25" hidden="1">
      <c r="A3819" s="112" t="s">
        <v>703</v>
      </c>
      <c r="B3819" s="1" t="s">
        <v>2549</v>
      </c>
      <c r="C3819" s="1" t="s">
        <v>41</v>
      </c>
      <c r="D3819" s="1" t="s">
        <v>705</v>
      </c>
      <c r="E3819" s="62">
        <v>20</v>
      </c>
      <c r="F3819" s="1" t="s">
        <v>2551</v>
      </c>
      <c r="G3819" s="1" t="s">
        <v>2552</v>
      </c>
    </row>
    <row x14ac:dyDescent="0.25" r="3820" customHeight="1" ht="17.25" hidden="1">
      <c r="A3820" s="112" t="s">
        <v>8980</v>
      </c>
      <c r="B3820" s="1" t="s">
        <v>2549</v>
      </c>
      <c r="C3820" s="1" t="s">
        <v>41</v>
      </c>
      <c r="D3820" s="1" t="s">
        <v>8981</v>
      </c>
      <c r="E3820" s="62">
        <v>20</v>
      </c>
      <c r="F3820" s="1" t="s">
        <v>2551</v>
      </c>
      <c r="G3820" s="1" t="s">
        <v>2555</v>
      </c>
    </row>
    <row x14ac:dyDescent="0.25" r="3821" customHeight="1" ht="17.25" hidden="1">
      <c r="A3821" s="112" t="s">
        <v>8982</v>
      </c>
      <c r="B3821" s="1" t="s">
        <v>2549</v>
      </c>
      <c r="C3821" s="1" t="s">
        <v>41</v>
      </c>
      <c r="D3821" s="1" t="s">
        <v>8983</v>
      </c>
      <c r="E3821" s="62">
        <v>18</v>
      </c>
      <c r="F3821" s="1" t="s">
        <v>2551</v>
      </c>
      <c r="G3821" s="1" t="s">
        <v>2552</v>
      </c>
    </row>
    <row x14ac:dyDescent="0.25" r="3822" customHeight="1" ht="17.25" hidden="1">
      <c r="A3822" s="112" t="s">
        <v>8984</v>
      </c>
      <c r="B3822" s="1" t="s">
        <v>2549</v>
      </c>
      <c r="C3822" s="1" t="s">
        <v>41</v>
      </c>
      <c r="D3822" s="1" t="s">
        <v>8985</v>
      </c>
      <c r="E3822" s="62">
        <v>21</v>
      </c>
      <c r="F3822" s="1" t="s">
        <v>2551</v>
      </c>
      <c r="G3822" s="1" t="s">
        <v>2552</v>
      </c>
    </row>
    <row x14ac:dyDescent="0.25" r="3823" customHeight="1" ht="17.25" hidden="1">
      <c r="A3823" s="112" t="s">
        <v>8986</v>
      </c>
      <c r="B3823" s="1" t="s">
        <v>2549</v>
      </c>
      <c r="C3823" s="1" t="s">
        <v>41</v>
      </c>
      <c r="D3823" s="1" t="s">
        <v>8987</v>
      </c>
      <c r="E3823" s="62">
        <v>34</v>
      </c>
      <c r="F3823" s="1" t="s">
        <v>2551</v>
      </c>
      <c r="G3823" s="1" t="s">
        <v>2555</v>
      </c>
    </row>
    <row x14ac:dyDescent="0.25" r="3824" customHeight="1" ht="17.25" hidden="1">
      <c r="A3824" s="112" t="s">
        <v>8988</v>
      </c>
      <c r="B3824" s="1" t="s">
        <v>2549</v>
      </c>
      <c r="C3824" s="1" t="s">
        <v>41</v>
      </c>
      <c r="D3824" s="1" t="s">
        <v>8989</v>
      </c>
      <c r="E3824" s="62">
        <v>23</v>
      </c>
      <c r="F3824" s="1" t="s">
        <v>2551</v>
      </c>
      <c r="G3824" s="1" t="s">
        <v>2552</v>
      </c>
    </row>
    <row x14ac:dyDescent="0.25" r="3825" customHeight="1" ht="17.25" hidden="1">
      <c r="A3825" s="112" t="s">
        <v>8990</v>
      </c>
      <c r="B3825" s="1" t="s">
        <v>2549</v>
      </c>
      <c r="C3825" s="1" t="s">
        <v>41</v>
      </c>
      <c r="D3825" s="1" t="s">
        <v>8991</v>
      </c>
      <c r="E3825" s="62">
        <v>19</v>
      </c>
      <c r="F3825" s="1" t="s">
        <v>2551</v>
      </c>
      <c r="G3825" s="1" t="s">
        <v>2552</v>
      </c>
    </row>
    <row x14ac:dyDescent="0.25" r="3826" customHeight="1" ht="17.25" hidden="1">
      <c r="A3826" s="112" t="s">
        <v>8992</v>
      </c>
      <c r="B3826" s="1" t="s">
        <v>2549</v>
      </c>
      <c r="C3826" s="1" t="s">
        <v>41</v>
      </c>
      <c r="D3826" s="1" t="s">
        <v>8993</v>
      </c>
      <c r="E3826" s="62">
        <v>23</v>
      </c>
      <c r="F3826" s="1" t="s">
        <v>2561</v>
      </c>
      <c r="G3826" s="1" t="s">
        <v>2558</v>
      </c>
    </row>
    <row x14ac:dyDescent="0.25" r="3827" customHeight="1" ht="17.25" hidden="1">
      <c r="A3827" s="112" t="s">
        <v>8994</v>
      </c>
      <c r="B3827" s="1" t="s">
        <v>2549</v>
      </c>
      <c r="C3827" s="1" t="s">
        <v>41</v>
      </c>
      <c r="D3827" s="1" t="s">
        <v>8995</v>
      </c>
      <c r="E3827" s="62">
        <v>20</v>
      </c>
      <c r="F3827" s="1" t="s">
        <v>2551</v>
      </c>
      <c r="G3827" s="1" t="s">
        <v>2558</v>
      </c>
    </row>
    <row x14ac:dyDescent="0.25" r="3828" customHeight="1" ht="17.25" hidden="1">
      <c r="A3828" s="112" t="s">
        <v>8996</v>
      </c>
      <c r="B3828" s="1" t="s">
        <v>2549</v>
      </c>
      <c r="C3828" s="1" t="s">
        <v>41</v>
      </c>
      <c r="D3828" s="1" t="s">
        <v>8997</v>
      </c>
      <c r="E3828" s="62">
        <v>22</v>
      </c>
      <c r="F3828" s="1" t="s">
        <v>2551</v>
      </c>
      <c r="G3828" s="1" t="s">
        <v>2552</v>
      </c>
    </row>
    <row x14ac:dyDescent="0.25" r="3829" customHeight="1" ht="17.25" hidden="1">
      <c r="A3829" s="112" t="s">
        <v>8998</v>
      </c>
      <c r="B3829" s="1" t="s">
        <v>2549</v>
      </c>
      <c r="C3829" s="1" t="s">
        <v>41</v>
      </c>
      <c r="D3829" s="1" t="s">
        <v>8999</v>
      </c>
      <c r="E3829" s="62">
        <v>20</v>
      </c>
      <c r="F3829" s="1" t="s">
        <v>2561</v>
      </c>
      <c r="G3829" s="1" t="s">
        <v>2552</v>
      </c>
    </row>
    <row x14ac:dyDescent="0.25" r="3830" customHeight="1" ht="17.25" hidden="1">
      <c r="A3830" s="112" t="s">
        <v>8998</v>
      </c>
      <c r="B3830" s="1" t="s">
        <v>2549</v>
      </c>
      <c r="C3830" s="1" t="s">
        <v>41</v>
      </c>
      <c r="D3830" s="1" t="s">
        <v>9000</v>
      </c>
      <c r="E3830" s="62">
        <v>27</v>
      </c>
      <c r="F3830" s="1" t="s">
        <v>2561</v>
      </c>
      <c r="G3830" s="1" t="s">
        <v>2552</v>
      </c>
    </row>
    <row x14ac:dyDescent="0.25" r="3831" customHeight="1" ht="17.25" hidden="1">
      <c r="A3831" s="112" t="s">
        <v>9001</v>
      </c>
      <c r="B3831" s="1" t="s">
        <v>2549</v>
      </c>
      <c r="C3831" s="1" t="s">
        <v>41</v>
      </c>
      <c r="D3831" s="1" t="s">
        <v>9002</v>
      </c>
      <c r="E3831" s="62">
        <v>24</v>
      </c>
      <c r="F3831" s="1" t="s">
        <v>2551</v>
      </c>
      <c r="G3831" s="1" t="s">
        <v>2555</v>
      </c>
    </row>
    <row x14ac:dyDescent="0.25" r="3832" customHeight="1" ht="17.25" hidden="1">
      <c r="A3832" s="112" t="s">
        <v>9003</v>
      </c>
      <c r="B3832" s="1" t="s">
        <v>2549</v>
      </c>
      <c r="C3832" s="1" t="s">
        <v>41</v>
      </c>
      <c r="D3832" s="1" t="s">
        <v>9004</v>
      </c>
      <c r="E3832" s="62">
        <v>23</v>
      </c>
      <c r="F3832" s="1" t="s">
        <v>2551</v>
      </c>
      <c r="G3832" s="1" t="s">
        <v>2552</v>
      </c>
    </row>
    <row x14ac:dyDescent="0.25" r="3833" customHeight="1" ht="17.25" hidden="1">
      <c r="A3833" s="112" t="s">
        <v>9005</v>
      </c>
      <c r="B3833" s="1" t="s">
        <v>2549</v>
      </c>
      <c r="C3833" s="1" t="s">
        <v>41</v>
      </c>
      <c r="D3833" s="1" t="s">
        <v>9006</v>
      </c>
      <c r="E3833" s="62">
        <v>46</v>
      </c>
      <c r="F3833" s="1" t="s">
        <v>2551</v>
      </c>
      <c r="G3833" s="1" t="s">
        <v>2552</v>
      </c>
    </row>
    <row x14ac:dyDescent="0.25" r="3834" customHeight="1" ht="17.25" hidden="1">
      <c r="A3834" s="112" t="s">
        <v>9007</v>
      </c>
      <c r="B3834" s="1" t="s">
        <v>2549</v>
      </c>
      <c r="C3834" s="1" t="s">
        <v>41</v>
      </c>
      <c r="D3834" s="1" t="s">
        <v>9008</v>
      </c>
      <c r="E3834" s="62">
        <v>49</v>
      </c>
      <c r="F3834" s="1" t="s">
        <v>2561</v>
      </c>
      <c r="G3834" s="1" t="s">
        <v>2552</v>
      </c>
    </row>
    <row x14ac:dyDescent="0.25" r="3835" customHeight="1" ht="17.25" hidden="1">
      <c r="A3835" s="112" t="s">
        <v>9009</v>
      </c>
      <c r="B3835" s="1" t="s">
        <v>2549</v>
      </c>
      <c r="C3835" s="1" t="s">
        <v>41</v>
      </c>
      <c r="D3835" s="1" t="s">
        <v>9010</v>
      </c>
      <c r="E3835" s="62">
        <v>27</v>
      </c>
      <c r="F3835" s="1" t="s">
        <v>2551</v>
      </c>
      <c r="G3835" s="1" t="s">
        <v>2552</v>
      </c>
    </row>
    <row x14ac:dyDescent="0.25" r="3836" customHeight="1" ht="17.25" hidden="1">
      <c r="A3836" s="112" t="s">
        <v>9011</v>
      </c>
      <c r="B3836" s="1" t="s">
        <v>2549</v>
      </c>
      <c r="C3836" s="1" t="s">
        <v>41</v>
      </c>
      <c r="D3836" s="1" t="s">
        <v>9012</v>
      </c>
      <c r="E3836" s="62">
        <v>27</v>
      </c>
      <c r="F3836" s="1" t="s">
        <v>2551</v>
      </c>
      <c r="G3836" s="1" t="s">
        <v>2558</v>
      </c>
    </row>
    <row x14ac:dyDescent="0.25" r="3837" customHeight="1" ht="17.25" hidden="1">
      <c r="A3837" s="112" t="s">
        <v>1736</v>
      </c>
      <c r="B3837" s="1" t="s">
        <v>2549</v>
      </c>
      <c r="C3837" s="1" t="s">
        <v>41</v>
      </c>
      <c r="D3837" s="1" t="s">
        <v>9013</v>
      </c>
      <c r="E3837" s="62">
        <v>52</v>
      </c>
      <c r="F3837" s="1" t="s">
        <v>2551</v>
      </c>
      <c r="G3837" s="1" t="s">
        <v>2555</v>
      </c>
    </row>
    <row x14ac:dyDescent="0.25" r="3838" customHeight="1" ht="17.25" hidden="1">
      <c r="A3838" s="112" t="s">
        <v>1736</v>
      </c>
      <c r="B3838" s="1" t="s">
        <v>2549</v>
      </c>
      <c r="C3838" s="1" t="s">
        <v>41</v>
      </c>
      <c r="D3838" s="1" t="s">
        <v>9014</v>
      </c>
      <c r="E3838" s="62">
        <v>42</v>
      </c>
      <c r="F3838" s="1" t="s">
        <v>2551</v>
      </c>
      <c r="G3838" s="1" t="s">
        <v>2555</v>
      </c>
    </row>
    <row x14ac:dyDescent="0.25" r="3839" customHeight="1" ht="17.25" hidden="1">
      <c r="A3839" s="112" t="s">
        <v>9015</v>
      </c>
      <c r="B3839" s="1" t="s">
        <v>2549</v>
      </c>
      <c r="C3839" s="1" t="s">
        <v>41</v>
      </c>
      <c r="D3839" s="1" t="s">
        <v>9016</v>
      </c>
      <c r="E3839" s="62">
        <v>32</v>
      </c>
      <c r="F3839" s="1" t="s">
        <v>2551</v>
      </c>
      <c r="G3839" s="1" t="s">
        <v>2558</v>
      </c>
    </row>
    <row x14ac:dyDescent="0.25" r="3840" customHeight="1" ht="17.25" hidden="1">
      <c r="A3840" s="112" t="s">
        <v>9015</v>
      </c>
      <c r="B3840" s="1" t="s">
        <v>2549</v>
      </c>
      <c r="C3840" s="1" t="s">
        <v>41</v>
      </c>
      <c r="D3840" s="1" t="s">
        <v>9017</v>
      </c>
      <c r="E3840" s="62">
        <v>23</v>
      </c>
      <c r="F3840" s="1" t="s">
        <v>2551</v>
      </c>
      <c r="G3840" s="1" t="s">
        <v>2555</v>
      </c>
    </row>
    <row x14ac:dyDescent="0.25" r="3841" customHeight="1" ht="17.25" hidden="1">
      <c r="A3841" s="112" t="s">
        <v>9018</v>
      </c>
      <c r="B3841" s="1" t="s">
        <v>2549</v>
      </c>
      <c r="C3841" s="1" t="s">
        <v>41</v>
      </c>
      <c r="D3841" s="1" t="s">
        <v>9019</v>
      </c>
      <c r="E3841" s="62">
        <v>18</v>
      </c>
      <c r="F3841" s="1" t="s">
        <v>2551</v>
      </c>
      <c r="G3841" s="1" t="s">
        <v>2555</v>
      </c>
    </row>
    <row x14ac:dyDescent="0.25" r="3842" customHeight="1" ht="17.25" hidden="1">
      <c r="A3842" s="112" t="s">
        <v>9020</v>
      </c>
      <c r="B3842" s="1" t="s">
        <v>2549</v>
      </c>
      <c r="C3842" s="1" t="s">
        <v>41</v>
      </c>
      <c r="D3842" s="1" t="s">
        <v>9021</v>
      </c>
      <c r="E3842" s="62">
        <v>18</v>
      </c>
      <c r="F3842" s="1" t="s">
        <v>2551</v>
      </c>
      <c r="G3842" s="1" t="s">
        <v>2552</v>
      </c>
    </row>
    <row x14ac:dyDescent="0.25" r="3843" customHeight="1" ht="17.25" hidden="1">
      <c r="A3843" s="112" t="s">
        <v>9022</v>
      </c>
      <c r="B3843" s="1" t="s">
        <v>2549</v>
      </c>
      <c r="C3843" s="1" t="s">
        <v>41</v>
      </c>
      <c r="D3843" s="1" t="s">
        <v>9023</v>
      </c>
      <c r="E3843" s="62">
        <v>18</v>
      </c>
      <c r="F3843" s="1" t="s">
        <v>2551</v>
      </c>
      <c r="G3843" s="1" t="s">
        <v>2558</v>
      </c>
    </row>
    <row x14ac:dyDescent="0.25" r="3844" customHeight="1" ht="17.25" hidden="1">
      <c r="A3844" s="112" t="s">
        <v>9024</v>
      </c>
      <c r="B3844" s="1" t="s">
        <v>2549</v>
      </c>
      <c r="C3844" s="1" t="s">
        <v>41</v>
      </c>
      <c r="D3844" s="1" t="s">
        <v>9025</v>
      </c>
      <c r="E3844" s="62">
        <v>26</v>
      </c>
      <c r="F3844" s="1" t="s">
        <v>2551</v>
      </c>
      <c r="G3844" s="1" t="s">
        <v>2555</v>
      </c>
    </row>
    <row x14ac:dyDescent="0.25" r="3845" customHeight="1" ht="17.25" hidden="1">
      <c r="A3845" s="112" t="s">
        <v>9026</v>
      </c>
      <c r="B3845" s="1" t="s">
        <v>2549</v>
      </c>
      <c r="C3845" s="1" t="s">
        <v>41</v>
      </c>
      <c r="D3845" s="1" t="s">
        <v>9027</v>
      </c>
      <c r="E3845" s="62">
        <v>24</v>
      </c>
      <c r="F3845" s="1" t="s">
        <v>2551</v>
      </c>
      <c r="G3845" s="1" t="s">
        <v>2552</v>
      </c>
    </row>
    <row x14ac:dyDescent="0.25" r="3846" customHeight="1" ht="17.25" hidden="1">
      <c r="A3846" s="112" t="s">
        <v>9028</v>
      </c>
      <c r="B3846" s="1" t="s">
        <v>2549</v>
      </c>
      <c r="C3846" s="1" t="s">
        <v>41</v>
      </c>
      <c r="D3846" s="1" t="s">
        <v>9029</v>
      </c>
      <c r="E3846" s="62">
        <v>18</v>
      </c>
      <c r="F3846" s="1" t="s">
        <v>2551</v>
      </c>
      <c r="G3846" s="1" t="s">
        <v>2555</v>
      </c>
    </row>
    <row x14ac:dyDescent="0.25" r="3847" customHeight="1" ht="17.25" hidden="1">
      <c r="A3847" s="112" t="s">
        <v>9030</v>
      </c>
      <c r="B3847" s="1" t="s">
        <v>2549</v>
      </c>
      <c r="C3847" s="1" t="s">
        <v>41</v>
      </c>
      <c r="D3847" s="1" t="s">
        <v>9031</v>
      </c>
      <c r="E3847" s="62">
        <v>20</v>
      </c>
      <c r="F3847" s="1" t="s">
        <v>2561</v>
      </c>
      <c r="G3847" s="1" t="s">
        <v>2552</v>
      </c>
    </row>
    <row x14ac:dyDescent="0.25" r="3848" customHeight="1" ht="17.25" hidden="1">
      <c r="A3848" s="112" t="s">
        <v>9032</v>
      </c>
      <c r="B3848" s="1" t="s">
        <v>2549</v>
      </c>
      <c r="C3848" s="1" t="s">
        <v>41</v>
      </c>
      <c r="D3848" s="1" t="s">
        <v>9033</v>
      </c>
      <c r="E3848" s="62">
        <v>20</v>
      </c>
      <c r="F3848" s="1" t="s">
        <v>2551</v>
      </c>
      <c r="G3848" s="1" t="s">
        <v>2555</v>
      </c>
    </row>
    <row x14ac:dyDescent="0.25" r="3849" customHeight="1" ht="17.25" hidden="1">
      <c r="A3849" s="112" t="s">
        <v>9034</v>
      </c>
      <c r="B3849" s="1" t="s">
        <v>2549</v>
      </c>
      <c r="C3849" s="1" t="s">
        <v>41</v>
      </c>
      <c r="D3849" s="1" t="s">
        <v>9035</v>
      </c>
      <c r="E3849" s="62">
        <v>24</v>
      </c>
      <c r="F3849" s="1" t="s">
        <v>2551</v>
      </c>
      <c r="G3849" s="1" t="s">
        <v>2555</v>
      </c>
    </row>
    <row x14ac:dyDescent="0.25" r="3850" customHeight="1" ht="17.25" hidden="1">
      <c r="A3850" s="112" t="s">
        <v>9036</v>
      </c>
      <c r="B3850" s="1" t="s">
        <v>2549</v>
      </c>
      <c r="C3850" s="1" t="s">
        <v>41</v>
      </c>
      <c r="D3850" s="1" t="s">
        <v>9037</v>
      </c>
      <c r="E3850" s="62">
        <v>19</v>
      </c>
      <c r="F3850" s="1" t="s">
        <v>2551</v>
      </c>
      <c r="G3850" s="1" t="s">
        <v>2552</v>
      </c>
    </row>
    <row x14ac:dyDescent="0.25" r="3851" customHeight="1" ht="17.25" hidden="1">
      <c r="A3851" s="112" t="s">
        <v>9038</v>
      </c>
      <c r="B3851" s="1" t="s">
        <v>2549</v>
      </c>
      <c r="C3851" s="1" t="s">
        <v>41</v>
      </c>
      <c r="D3851" s="1" t="s">
        <v>9039</v>
      </c>
      <c r="E3851" s="62">
        <v>21</v>
      </c>
      <c r="F3851" s="1" t="s">
        <v>2551</v>
      </c>
      <c r="G3851" s="1" t="s">
        <v>2558</v>
      </c>
    </row>
    <row x14ac:dyDescent="0.25" r="3852" customHeight="1" ht="17.25" hidden="1">
      <c r="A3852" s="112" t="s">
        <v>9040</v>
      </c>
      <c r="B3852" s="1" t="s">
        <v>2549</v>
      </c>
      <c r="C3852" s="1" t="s">
        <v>41</v>
      </c>
      <c r="D3852" s="1" t="s">
        <v>9041</v>
      </c>
      <c r="E3852" s="62">
        <v>27</v>
      </c>
      <c r="F3852" s="1" t="s">
        <v>2551</v>
      </c>
      <c r="G3852" s="1" t="s">
        <v>2552</v>
      </c>
    </row>
    <row x14ac:dyDescent="0.25" r="3853" customHeight="1" ht="17.25" hidden="1">
      <c r="A3853" s="112" t="s">
        <v>9042</v>
      </c>
      <c r="B3853" s="1" t="s">
        <v>2549</v>
      </c>
      <c r="C3853" s="1" t="s">
        <v>41</v>
      </c>
      <c r="D3853" s="1" t="s">
        <v>9043</v>
      </c>
      <c r="E3853" s="62">
        <v>19</v>
      </c>
      <c r="F3853" s="1" t="s">
        <v>2551</v>
      </c>
      <c r="G3853" s="1" t="s">
        <v>2555</v>
      </c>
    </row>
    <row x14ac:dyDescent="0.25" r="3854" customHeight="1" ht="17.25">
      <c r="A3854" s="112" t="s">
        <v>498</v>
      </c>
      <c r="B3854" s="1" t="s">
        <v>2549</v>
      </c>
      <c r="C3854" s="1" t="s">
        <v>41</v>
      </c>
      <c r="D3854" s="1" t="s">
        <v>500</v>
      </c>
      <c r="E3854" s="62">
        <v>20</v>
      </c>
      <c r="F3854" s="1" t="s">
        <v>2551</v>
      </c>
      <c r="G3854" s="1" t="s">
        <v>2555</v>
      </c>
    </row>
    <row x14ac:dyDescent="0.25" r="3855" customHeight="1" ht="17.25" hidden="1">
      <c r="A3855" s="112" t="s">
        <v>1723</v>
      </c>
      <c r="B3855" s="1" t="s">
        <v>2549</v>
      </c>
      <c r="C3855" s="1" t="s">
        <v>41</v>
      </c>
      <c r="D3855" s="1" t="s">
        <v>1724</v>
      </c>
      <c r="E3855" s="62">
        <v>32</v>
      </c>
      <c r="F3855" s="1" t="s">
        <v>2551</v>
      </c>
      <c r="G3855" s="1" t="s">
        <v>2555</v>
      </c>
    </row>
    <row x14ac:dyDescent="0.25" r="3856" customHeight="1" ht="17.25" hidden="1">
      <c r="A3856" s="112" t="s">
        <v>9044</v>
      </c>
      <c r="B3856" s="1" t="s">
        <v>2549</v>
      </c>
      <c r="C3856" s="1" t="s">
        <v>41</v>
      </c>
      <c r="D3856" s="1" t="s">
        <v>9045</v>
      </c>
      <c r="E3856" s="62">
        <v>32</v>
      </c>
      <c r="F3856" s="1" t="s">
        <v>2551</v>
      </c>
      <c r="G3856" s="1" t="s">
        <v>2552</v>
      </c>
    </row>
    <row x14ac:dyDescent="0.25" r="3857" customHeight="1" ht="17.25" hidden="1">
      <c r="A3857" s="112" t="s">
        <v>9046</v>
      </c>
      <c r="B3857" s="1" t="s">
        <v>2549</v>
      </c>
      <c r="C3857" s="1" t="s">
        <v>41</v>
      </c>
      <c r="D3857" s="1" t="s">
        <v>9047</v>
      </c>
      <c r="E3857" s="62">
        <v>33</v>
      </c>
      <c r="F3857" s="1" t="s">
        <v>2551</v>
      </c>
      <c r="G3857" s="1" t="s">
        <v>2555</v>
      </c>
    </row>
    <row x14ac:dyDescent="0.25" r="3858" customHeight="1" ht="17.25" hidden="1">
      <c r="A3858" s="112" t="s">
        <v>9046</v>
      </c>
      <c r="B3858" s="1" t="s">
        <v>2549</v>
      </c>
      <c r="C3858" s="1" t="s">
        <v>41</v>
      </c>
      <c r="D3858" s="1" t="s">
        <v>9048</v>
      </c>
      <c r="E3858" s="62">
        <v>38</v>
      </c>
      <c r="F3858" s="1" t="s">
        <v>2551</v>
      </c>
      <c r="G3858" s="1" t="s">
        <v>2555</v>
      </c>
    </row>
    <row x14ac:dyDescent="0.25" r="3859" customHeight="1" ht="17.25" hidden="1">
      <c r="A3859" s="112" t="s">
        <v>9049</v>
      </c>
      <c r="B3859" s="1" t="s">
        <v>2549</v>
      </c>
      <c r="C3859" s="1" t="s">
        <v>41</v>
      </c>
      <c r="D3859" s="1" t="s">
        <v>9050</v>
      </c>
      <c r="E3859" s="62">
        <v>24</v>
      </c>
      <c r="F3859" s="1" t="s">
        <v>2551</v>
      </c>
      <c r="G3859" s="1" t="s">
        <v>2552</v>
      </c>
    </row>
    <row x14ac:dyDescent="0.25" r="3860" customHeight="1" ht="17.25" hidden="1">
      <c r="A3860" s="112" t="s">
        <v>9051</v>
      </c>
      <c r="B3860" s="1" t="s">
        <v>2549</v>
      </c>
      <c r="C3860" s="1" t="s">
        <v>41</v>
      </c>
      <c r="D3860" s="1" t="s">
        <v>9052</v>
      </c>
      <c r="E3860" s="62">
        <v>34</v>
      </c>
      <c r="F3860" s="1" t="s">
        <v>2551</v>
      </c>
      <c r="G3860" s="1" t="s">
        <v>2555</v>
      </c>
    </row>
    <row x14ac:dyDescent="0.25" r="3861" customHeight="1" ht="17.25" hidden="1">
      <c r="A3861" s="112" t="s">
        <v>9053</v>
      </c>
      <c r="B3861" s="1" t="s">
        <v>2549</v>
      </c>
      <c r="C3861" s="1" t="s">
        <v>41</v>
      </c>
      <c r="D3861" s="1" t="s">
        <v>9054</v>
      </c>
      <c r="E3861" s="62">
        <v>24</v>
      </c>
      <c r="F3861" s="1" t="s">
        <v>2551</v>
      </c>
      <c r="G3861" s="1" t="s">
        <v>2552</v>
      </c>
    </row>
    <row x14ac:dyDescent="0.25" r="3862" customHeight="1" ht="17.25" hidden="1">
      <c r="A3862" s="112" t="s">
        <v>9055</v>
      </c>
      <c r="B3862" s="1" t="s">
        <v>2549</v>
      </c>
      <c r="C3862" s="1" t="s">
        <v>41</v>
      </c>
      <c r="D3862" s="1" t="s">
        <v>9056</v>
      </c>
      <c r="E3862" s="62">
        <v>19</v>
      </c>
      <c r="F3862" s="1" t="s">
        <v>2551</v>
      </c>
      <c r="G3862" s="1" t="s">
        <v>2555</v>
      </c>
    </row>
    <row x14ac:dyDescent="0.25" r="3863" customHeight="1" ht="17.25" hidden="1">
      <c r="A3863" s="112" t="s">
        <v>9057</v>
      </c>
      <c r="B3863" s="1" t="s">
        <v>2549</v>
      </c>
      <c r="C3863" s="1" t="s">
        <v>41</v>
      </c>
      <c r="D3863" s="1" t="s">
        <v>9058</v>
      </c>
      <c r="E3863" s="62">
        <v>22</v>
      </c>
      <c r="F3863" s="1" t="s">
        <v>2551</v>
      </c>
      <c r="G3863" s="1" t="s">
        <v>2555</v>
      </c>
    </row>
    <row x14ac:dyDescent="0.25" r="3864" customHeight="1" ht="17.25" hidden="1">
      <c r="A3864" s="112" t="s">
        <v>9059</v>
      </c>
      <c r="B3864" s="1" t="s">
        <v>2549</v>
      </c>
      <c r="C3864" s="1" t="s">
        <v>41</v>
      </c>
      <c r="D3864" s="1" t="s">
        <v>9060</v>
      </c>
      <c r="E3864" s="62">
        <v>42</v>
      </c>
      <c r="F3864" s="1" t="s">
        <v>2551</v>
      </c>
      <c r="G3864" s="1" t="s">
        <v>2555</v>
      </c>
    </row>
    <row x14ac:dyDescent="0.25" r="3865" customHeight="1" ht="17.25" hidden="1">
      <c r="A3865" s="112" t="s">
        <v>9061</v>
      </c>
      <c r="B3865" s="1" t="s">
        <v>2549</v>
      </c>
      <c r="C3865" s="1" t="s">
        <v>41</v>
      </c>
      <c r="D3865" s="1" t="s">
        <v>9062</v>
      </c>
      <c r="E3865" s="62">
        <v>23</v>
      </c>
      <c r="F3865" s="1" t="s">
        <v>2551</v>
      </c>
      <c r="G3865" s="1" t="s">
        <v>2552</v>
      </c>
    </row>
    <row x14ac:dyDescent="0.25" r="3866" customHeight="1" ht="17.25" hidden="1">
      <c r="A3866" s="112" t="s">
        <v>9063</v>
      </c>
      <c r="B3866" s="1" t="s">
        <v>2549</v>
      </c>
      <c r="C3866" s="1" t="s">
        <v>41</v>
      </c>
      <c r="D3866" s="1" t="s">
        <v>9064</v>
      </c>
      <c r="E3866" s="62">
        <v>37</v>
      </c>
      <c r="F3866" s="1" t="s">
        <v>2551</v>
      </c>
      <c r="G3866" s="1" t="s">
        <v>2552</v>
      </c>
    </row>
    <row x14ac:dyDescent="0.25" r="3867" customHeight="1" ht="17.25" hidden="1">
      <c r="A3867" s="112" t="s">
        <v>9065</v>
      </c>
      <c r="B3867" s="1" t="s">
        <v>2549</v>
      </c>
      <c r="C3867" s="1" t="s">
        <v>41</v>
      </c>
      <c r="D3867" s="1" t="s">
        <v>9066</v>
      </c>
      <c r="E3867" s="62">
        <v>19</v>
      </c>
      <c r="F3867" s="1" t="s">
        <v>2551</v>
      </c>
      <c r="G3867" s="1" t="s">
        <v>2552</v>
      </c>
    </row>
    <row x14ac:dyDescent="0.25" r="3868" customHeight="1" ht="17.25" hidden="1">
      <c r="A3868" s="112" t="s">
        <v>9067</v>
      </c>
      <c r="B3868" s="1" t="s">
        <v>2549</v>
      </c>
      <c r="C3868" s="1" t="s">
        <v>41</v>
      </c>
      <c r="D3868" s="1" t="s">
        <v>9068</v>
      </c>
      <c r="E3868" s="62">
        <v>20</v>
      </c>
      <c r="F3868" s="1" t="s">
        <v>2551</v>
      </c>
      <c r="G3868" s="1" t="s">
        <v>2555</v>
      </c>
    </row>
    <row x14ac:dyDescent="0.25" r="3869" customHeight="1" ht="17.25" hidden="1">
      <c r="A3869" s="112" t="s">
        <v>9069</v>
      </c>
      <c r="B3869" s="1" t="s">
        <v>2549</v>
      </c>
      <c r="C3869" s="1" t="s">
        <v>41</v>
      </c>
      <c r="D3869" s="1" t="s">
        <v>9070</v>
      </c>
      <c r="E3869" s="62">
        <v>22</v>
      </c>
      <c r="F3869" s="1" t="s">
        <v>2551</v>
      </c>
      <c r="G3869" s="1" t="s">
        <v>2555</v>
      </c>
    </row>
    <row x14ac:dyDescent="0.25" r="3870" customHeight="1" ht="17.25" hidden="1">
      <c r="A3870" s="112" t="s">
        <v>9071</v>
      </c>
      <c r="B3870" s="1" t="s">
        <v>2549</v>
      </c>
      <c r="C3870" s="1" t="s">
        <v>41</v>
      </c>
      <c r="D3870" s="1" t="s">
        <v>9072</v>
      </c>
      <c r="E3870" s="62">
        <v>19</v>
      </c>
      <c r="F3870" s="1" t="s">
        <v>2551</v>
      </c>
      <c r="G3870" s="1" t="s">
        <v>2552</v>
      </c>
    </row>
    <row x14ac:dyDescent="0.25" r="3871" customHeight="1" ht="17.25" hidden="1">
      <c r="A3871" s="112" t="s">
        <v>9073</v>
      </c>
      <c r="B3871" s="1" t="s">
        <v>2549</v>
      </c>
      <c r="C3871" s="1" t="s">
        <v>41</v>
      </c>
      <c r="D3871" s="1" t="s">
        <v>9074</v>
      </c>
      <c r="E3871" s="62">
        <v>42</v>
      </c>
      <c r="F3871" s="1" t="s">
        <v>2561</v>
      </c>
      <c r="G3871" s="1" t="s">
        <v>2552</v>
      </c>
    </row>
    <row x14ac:dyDescent="0.25" r="3872" customHeight="1" ht="17.25" hidden="1">
      <c r="A3872" s="112" t="s">
        <v>9075</v>
      </c>
      <c r="B3872" s="1" t="s">
        <v>2549</v>
      </c>
      <c r="C3872" s="1" t="s">
        <v>41</v>
      </c>
      <c r="D3872" s="1" t="s">
        <v>9076</v>
      </c>
      <c r="E3872" s="62">
        <v>22</v>
      </c>
      <c r="F3872" s="1" t="s">
        <v>2561</v>
      </c>
      <c r="G3872" s="1" t="s">
        <v>2555</v>
      </c>
    </row>
    <row x14ac:dyDescent="0.25" r="3873" customHeight="1" ht="17.25" hidden="1">
      <c r="A3873" s="112" t="s">
        <v>9075</v>
      </c>
      <c r="B3873" s="1" t="s">
        <v>2549</v>
      </c>
      <c r="C3873" s="1" t="s">
        <v>41</v>
      </c>
      <c r="D3873" s="1" t="s">
        <v>9077</v>
      </c>
      <c r="E3873" s="62">
        <v>48</v>
      </c>
      <c r="F3873" s="1" t="s">
        <v>2561</v>
      </c>
      <c r="G3873" s="1" t="s">
        <v>2555</v>
      </c>
    </row>
    <row x14ac:dyDescent="0.25" r="3874" customHeight="1" ht="17.25" hidden="1">
      <c r="A3874" s="112" t="s">
        <v>9078</v>
      </c>
      <c r="B3874" s="1" t="s">
        <v>2549</v>
      </c>
      <c r="C3874" s="1" t="s">
        <v>41</v>
      </c>
      <c r="D3874" s="1" t="s">
        <v>9079</v>
      </c>
      <c r="E3874" s="62">
        <v>21</v>
      </c>
      <c r="F3874" s="1" t="s">
        <v>2551</v>
      </c>
      <c r="G3874" s="1" t="s">
        <v>2558</v>
      </c>
    </row>
    <row x14ac:dyDescent="0.25" r="3875" customHeight="1" ht="17.25" hidden="1">
      <c r="A3875" s="112" t="s">
        <v>9080</v>
      </c>
      <c r="B3875" s="1" t="s">
        <v>2549</v>
      </c>
      <c r="C3875" s="1" t="s">
        <v>41</v>
      </c>
      <c r="D3875" s="1" t="s">
        <v>9081</v>
      </c>
      <c r="E3875" s="62">
        <v>26</v>
      </c>
      <c r="F3875" s="1" t="s">
        <v>2551</v>
      </c>
      <c r="G3875" s="1" t="s">
        <v>2555</v>
      </c>
    </row>
    <row x14ac:dyDescent="0.25" r="3876" customHeight="1" ht="17.25" hidden="1">
      <c r="A3876" s="112" t="s">
        <v>9080</v>
      </c>
      <c r="B3876" s="1" t="s">
        <v>2549</v>
      </c>
      <c r="C3876" s="1" t="s">
        <v>41</v>
      </c>
      <c r="D3876" s="1" t="s">
        <v>9082</v>
      </c>
      <c r="E3876" s="62">
        <v>33</v>
      </c>
      <c r="F3876" s="1" t="s">
        <v>2551</v>
      </c>
      <c r="G3876" s="1" t="s">
        <v>2552</v>
      </c>
    </row>
    <row x14ac:dyDescent="0.25" r="3877" customHeight="1" ht="17.25" hidden="1">
      <c r="A3877" s="112" t="s">
        <v>9083</v>
      </c>
      <c r="B3877" s="1" t="s">
        <v>2549</v>
      </c>
      <c r="C3877" s="1" t="s">
        <v>41</v>
      </c>
      <c r="D3877" s="1" t="s">
        <v>9084</v>
      </c>
      <c r="E3877" s="62">
        <v>36</v>
      </c>
      <c r="F3877" s="1" t="s">
        <v>2551</v>
      </c>
      <c r="G3877" s="1" t="s">
        <v>4578</v>
      </c>
    </row>
    <row x14ac:dyDescent="0.25" r="3878" customHeight="1" ht="17.25" hidden="1">
      <c r="A3878" s="112" t="s">
        <v>1364</v>
      </c>
      <c r="B3878" s="1" t="s">
        <v>2549</v>
      </c>
      <c r="C3878" s="1" t="s">
        <v>41</v>
      </c>
      <c r="D3878" s="1" t="s">
        <v>1366</v>
      </c>
      <c r="E3878" s="62">
        <v>35</v>
      </c>
      <c r="F3878" s="1" t="s">
        <v>2551</v>
      </c>
      <c r="G3878" s="1" t="s">
        <v>2558</v>
      </c>
    </row>
    <row x14ac:dyDescent="0.25" r="3879" customHeight="1" ht="17.25" hidden="1">
      <c r="A3879" s="112" t="s">
        <v>1386</v>
      </c>
      <c r="B3879" s="1" t="s">
        <v>2549</v>
      </c>
      <c r="C3879" s="1" t="s">
        <v>41</v>
      </c>
      <c r="D3879" s="1" t="s">
        <v>9085</v>
      </c>
      <c r="E3879" s="62">
        <v>28</v>
      </c>
      <c r="F3879" s="1" t="s">
        <v>2551</v>
      </c>
      <c r="G3879" s="1" t="s">
        <v>2555</v>
      </c>
    </row>
    <row x14ac:dyDescent="0.25" r="3880" customHeight="1" ht="17.25" hidden="1">
      <c r="A3880" s="112" t="s">
        <v>1386</v>
      </c>
      <c r="B3880" s="1" t="s">
        <v>2549</v>
      </c>
      <c r="C3880" s="1" t="s">
        <v>41</v>
      </c>
      <c r="D3880" s="1" t="s">
        <v>9085</v>
      </c>
      <c r="E3880" s="62">
        <v>28</v>
      </c>
      <c r="F3880" s="1" t="s">
        <v>2551</v>
      </c>
      <c r="G3880" s="1" t="s">
        <v>2555</v>
      </c>
    </row>
    <row x14ac:dyDescent="0.25" r="3881" customHeight="1" ht="17.25" hidden="1">
      <c r="A3881" s="112" t="s">
        <v>1386</v>
      </c>
      <c r="B3881" s="1" t="s">
        <v>2549</v>
      </c>
      <c r="C3881" s="1" t="s">
        <v>41</v>
      </c>
      <c r="D3881" s="1" t="s">
        <v>9086</v>
      </c>
      <c r="E3881" s="62">
        <v>39</v>
      </c>
      <c r="F3881" s="1" t="s">
        <v>2551</v>
      </c>
      <c r="G3881" s="1" t="s">
        <v>2552</v>
      </c>
    </row>
    <row x14ac:dyDescent="0.25" r="3882" customHeight="1" ht="17.25" hidden="1">
      <c r="A3882" s="112" t="s">
        <v>9087</v>
      </c>
      <c r="B3882" s="1" t="s">
        <v>2549</v>
      </c>
      <c r="C3882" s="1" t="s">
        <v>41</v>
      </c>
      <c r="D3882" s="1" t="s">
        <v>9088</v>
      </c>
      <c r="E3882" s="62">
        <v>19</v>
      </c>
      <c r="F3882" s="1" t="s">
        <v>2551</v>
      </c>
      <c r="G3882" s="1" t="s">
        <v>2555</v>
      </c>
    </row>
    <row x14ac:dyDescent="0.25" r="3883" customHeight="1" ht="17.25" hidden="1">
      <c r="A3883" s="112" t="s">
        <v>9089</v>
      </c>
      <c r="B3883" s="1" t="s">
        <v>2549</v>
      </c>
      <c r="C3883" s="1" t="s">
        <v>41</v>
      </c>
      <c r="D3883" s="1" t="s">
        <v>9090</v>
      </c>
      <c r="E3883" s="62">
        <v>39</v>
      </c>
      <c r="F3883" s="1" t="s">
        <v>2551</v>
      </c>
      <c r="G3883" s="1" t="s">
        <v>2555</v>
      </c>
    </row>
    <row x14ac:dyDescent="0.25" r="3884" customHeight="1" ht="17.25" hidden="1">
      <c r="A3884" s="112" t="s">
        <v>9091</v>
      </c>
      <c r="B3884" s="1" t="s">
        <v>2549</v>
      </c>
      <c r="C3884" s="1" t="s">
        <v>41</v>
      </c>
      <c r="D3884" s="1" t="s">
        <v>9092</v>
      </c>
      <c r="E3884" s="62">
        <v>26</v>
      </c>
      <c r="F3884" s="1" t="s">
        <v>2551</v>
      </c>
      <c r="G3884" s="1" t="s">
        <v>2552</v>
      </c>
    </row>
    <row x14ac:dyDescent="0.25" r="3885" customHeight="1" ht="17.25" hidden="1">
      <c r="A3885" s="112" t="s">
        <v>9093</v>
      </c>
      <c r="B3885" s="1" t="s">
        <v>2549</v>
      </c>
      <c r="C3885" s="1" t="s">
        <v>41</v>
      </c>
      <c r="D3885" s="1" t="s">
        <v>9094</v>
      </c>
      <c r="E3885" s="62">
        <v>22</v>
      </c>
      <c r="F3885" s="1" t="s">
        <v>2551</v>
      </c>
      <c r="G3885" s="1" t="s">
        <v>2552</v>
      </c>
    </row>
    <row x14ac:dyDescent="0.25" r="3886" customHeight="1" ht="17.25" hidden="1">
      <c r="A3886" s="112" t="s">
        <v>9095</v>
      </c>
      <c r="B3886" s="1" t="s">
        <v>2549</v>
      </c>
      <c r="C3886" s="1" t="s">
        <v>41</v>
      </c>
      <c r="D3886" s="1" t="s">
        <v>9096</v>
      </c>
      <c r="E3886" s="62">
        <v>18</v>
      </c>
      <c r="F3886" s="1" t="s">
        <v>2551</v>
      </c>
      <c r="G3886" s="1" t="s">
        <v>2552</v>
      </c>
    </row>
    <row x14ac:dyDescent="0.25" r="3887" customHeight="1" ht="17.25" hidden="1">
      <c r="A3887" s="112" t="s">
        <v>9097</v>
      </c>
      <c r="B3887" s="1" t="s">
        <v>2549</v>
      </c>
      <c r="C3887" s="1" t="s">
        <v>41</v>
      </c>
      <c r="D3887" s="1" t="s">
        <v>9098</v>
      </c>
      <c r="E3887" s="62">
        <v>41</v>
      </c>
      <c r="F3887" s="1" t="s">
        <v>2551</v>
      </c>
      <c r="G3887" s="1" t="s">
        <v>2558</v>
      </c>
    </row>
    <row x14ac:dyDescent="0.25" r="3888" customHeight="1" ht="17.25" hidden="1">
      <c r="A3888" s="112" t="s">
        <v>9099</v>
      </c>
      <c r="B3888" s="1" t="s">
        <v>2549</v>
      </c>
      <c r="C3888" s="1" t="s">
        <v>41</v>
      </c>
      <c r="D3888" s="1" t="s">
        <v>9100</v>
      </c>
      <c r="E3888" s="62">
        <v>33</v>
      </c>
      <c r="F3888" s="1" t="s">
        <v>2551</v>
      </c>
      <c r="G3888" s="1" t="s">
        <v>2555</v>
      </c>
    </row>
    <row x14ac:dyDescent="0.25" r="3889" customHeight="1" ht="17.25" hidden="1">
      <c r="A3889" s="112" t="s">
        <v>9101</v>
      </c>
      <c r="B3889" s="1" t="s">
        <v>2549</v>
      </c>
      <c r="C3889" s="1" t="s">
        <v>41</v>
      </c>
      <c r="D3889" s="1" t="s">
        <v>9102</v>
      </c>
      <c r="E3889" s="62">
        <v>22</v>
      </c>
      <c r="F3889" s="1" t="s">
        <v>2551</v>
      </c>
      <c r="G3889" s="1" t="s">
        <v>2552</v>
      </c>
    </row>
    <row x14ac:dyDescent="0.25" r="3890" customHeight="1" ht="17.25" hidden="1">
      <c r="A3890" s="112" t="s">
        <v>9103</v>
      </c>
      <c r="B3890" s="1" t="s">
        <v>2549</v>
      </c>
      <c r="C3890" s="1" t="s">
        <v>41</v>
      </c>
      <c r="D3890" s="1" t="s">
        <v>9104</v>
      </c>
      <c r="E3890" s="62">
        <v>24</v>
      </c>
      <c r="F3890" s="1" t="s">
        <v>2551</v>
      </c>
      <c r="G3890" s="1" t="s">
        <v>2555</v>
      </c>
    </row>
    <row x14ac:dyDescent="0.25" r="3891" customHeight="1" ht="17.25" hidden="1">
      <c r="A3891" s="112" t="s">
        <v>9105</v>
      </c>
      <c r="B3891" s="1" t="s">
        <v>2549</v>
      </c>
      <c r="C3891" s="1" t="s">
        <v>41</v>
      </c>
      <c r="D3891" s="1" t="s">
        <v>9106</v>
      </c>
      <c r="E3891" s="62">
        <v>18</v>
      </c>
      <c r="F3891" s="1" t="s">
        <v>2551</v>
      </c>
      <c r="G3891" s="1" t="s">
        <v>2555</v>
      </c>
    </row>
    <row x14ac:dyDescent="0.25" r="3892" customHeight="1" ht="17.25" hidden="1">
      <c r="A3892" s="112" t="s">
        <v>1947</v>
      </c>
      <c r="B3892" s="1" t="s">
        <v>2549</v>
      </c>
      <c r="C3892" s="1" t="s">
        <v>41</v>
      </c>
      <c r="D3892" s="1" t="s">
        <v>1948</v>
      </c>
      <c r="E3892" s="62">
        <v>34</v>
      </c>
      <c r="F3892" s="1" t="s">
        <v>2551</v>
      </c>
      <c r="G3892" s="1" t="s">
        <v>2552</v>
      </c>
    </row>
    <row x14ac:dyDescent="0.25" r="3893" customHeight="1" ht="17.25" hidden="1">
      <c r="A3893" s="112" t="s">
        <v>9107</v>
      </c>
      <c r="B3893" s="1" t="s">
        <v>2549</v>
      </c>
      <c r="C3893" s="1" t="s">
        <v>41</v>
      </c>
      <c r="D3893" s="1" t="s">
        <v>9108</v>
      </c>
      <c r="E3893" s="62">
        <v>23</v>
      </c>
      <c r="F3893" s="1" t="s">
        <v>2551</v>
      </c>
      <c r="G3893" s="1" t="s">
        <v>2555</v>
      </c>
    </row>
    <row x14ac:dyDescent="0.25" r="3894" customHeight="1" ht="17.25" hidden="1">
      <c r="A3894" s="112" t="s">
        <v>9109</v>
      </c>
      <c r="B3894" s="1" t="s">
        <v>2549</v>
      </c>
      <c r="C3894" s="1" t="s">
        <v>41</v>
      </c>
      <c r="D3894" s="1" t="s">
        <v>9110</v>
      </c>
      <c r="E3894" s="62">
        <v>35</v>
      </c>
      <c r="F3894" s="1" t="s">
        <v>2561</v>
      </c>
      <c r="G3894" s="1" t="s">
        <v>2555</v>
      </c>
    </row>
    <row x14ac:dyDescent="0.25" r="3895" customHeight="1" ht="17.25" hidden="1">
      <c r="A3895" s="112" t="s">
        <v>9111</v>
      </c>
      <c r="B3895" s="1" t="s">
        <v>2549</v>
      </c>
      <c r="C3895" s="1" t="s">
        <v>41</v>
      </c>
      <c r="D3895" s="1" t="s">
        <v>9112</v>
      </c>
      <c r="E3895" s="62">
        <v>22</v>
      </c>
      <c r="F3895" s="1" t="s">
        <v>2551</v>
      </c>
      <c r="G3895" s="1" t="s">
        <v>2552</v>
      </c>
    </row>
    <row x14ac:dyDescent="0.25" r="3896" customHeight="1" ht="17.25" hidden="1">
      <c r="A3896" s="112" t="s">
        <v>9113</v>
      </c>
      <c r="B3896" s="1" t="s">
        <v>2549</v>
      </c>
      <c r="C3896" s="1" t="s">
        <v>41</v>
      </c>
      <c r="D3896" s="1" t="s">
        <v>9114</v>
      </c>
      <c r="E3896" s="62">
        <v>29</v>
      </c>
      <c r="F3896" s="1" t="s">
        <v>2551</v>
      </c>
      <c r="G3896" s="1" t="s">
        <v>2552</v>
      </c>
    </row>
    <row x14ac:dyDescent="0.25" r="3897" customHeight="1" ht="17.25" hidden="1">
      <c r="A3897" s="112" t="s">
        <v>9115</v>
      </c>
      <c r="B3897" s="1" t="s">
        <v>2549</v>
      </c>
      <c r="C3897" s="1" t="s">
        <v>41</v>
      </c>
      <c r="D3897" s="1" t="s">
        <v>9116</v>
      </c>
      <c r="E3897" s="62">
        <v>26</v>
      </c>
      <c r="F3897" s="1" t="s">
        <v>2551</v>
      </c>
      <c r="G3897" s="1" t="s">
        <v>2552</v>
      </c>
    </row>
    <row x14ac:dyDescent="0.25" r="3898" customHeight="1" ht="17.25" hidden="1">
      <c r="A3898" s="112" t="s">
        <v>9115</v>
      </c>
      <c r="B3898" s="1" t="s">
        <v>2549</v>
      </c>
      <c r="C3898" s="1" t="s">
        <v>41</v>
      </c>
      <c r="D3898" s="1" t="s">
        <v>9117</v>
      </c>
      <c r="E3898" s="62">
        <v>22</v>
      </c>
      <c r="F3898" s="1" t="s">
        <v>2551</v>
      </c>
      <c r="G3898" s="1" t="s">
        <v>2555</v>
      </c>
    </row>
    <row x14ac:dyDescent="0.25" r="3899" customHeight="1" ht="17.25" hidden="1">
      <c r="A3899" s="112" t="s">
        <v>9118</v>
      </c>
      <c r="B3899" s="1" t="s">
        <v>2549</v>
      </c>
      <c r="C3899" s="1" t="s">
        <v>41</v>
      </c>
      <c r="D3899" s="1" t="s">
        <v>9119</v>
      </c>
      <c r="E3899" s="62">
        <v>20</v>
      </c>
      <c r="F3899" s="1" t="s">
        <v>2551</v>
      </c>
      <c r="G3899" s="1" t="s">
        <v>2552</v>
      </c>
    </row>
    <row x14ac:dyDescent="0.25" r="3900" customHeight="1" ht="17.25" hidden="1">
      <c r="A3900" s="112" t="s">
        <v>9120</v>
      </c>
      <c r="B3900" s="1" t="s">
        <v>2549</v>
      </c>
      <c r="C3900" s="1" t="s">
        <v>41</v>
      </c>
      <c r="D3900" s="1" t="s">
        <v>9121</v>
      </c>
      <c r="E3900" s="62">
        <v>35</v>
      </c>
      <c r="F3900" s="1" t="s">
        <v>2551</v>
      </c>
      <c r="G3900" s="1" t="s">
        <v>2555</v>
      </c>
    </row>
    <row x14ac:dyDescent="0.25" r="3901" customHeight="1" ht="17.25" hidden="1">
      <c r="A3901" s="112" t="s">
        <v>9122</v>
      </c>
      <c r="B3901" s="1" t="s">
        <v>2549</v>
      </c>
      <c r="C3901" s="1" t="s">
        <v>41</v>
      </c>
      <c r="D3901" s="1" t="s">
        <v>9123</v>
      </c>
      <c r="E3901" s="62">
        <v>31</v>
      </c>
      <c r="F3901" s="1" t="s">
        <v>2551</v>
      </c>
      <c r="G3901" s="1" t="s">
        <v>2552</v>
      </c>
    </row>
    <row x14ac:dyDescent="0.25" r="3902" customHeight="1" ht="17.25" hidden="1">
      <c r="A3902" s="112" t="s">
        <v>9122</v>
      </c>
      <c r="B3902" s="1" t="s">
        <v>2549</v>
      </c>
      <c r="C3902" s="1" t="s">
        <v>41</v>
      </c>
      <c r="D3902" s="1" t="s">
        <v>9124</v>
      </c>
      <c r="E3902" s="62">
        <v>29</v>
      </c>
      <c r="F3902" s="1" t="s">
        <v>2551</v>
      </c>
      <c r="G3902" s="1" t="s">
        <v>2555</v>
      </c>
    </row>
    <row x14ac:dyDescent="0.25" r="3903" customHeight="1" ht="17.25" hidden="1">
      <c r="A3903" s="112" t="s">
        <v>9125</v>
      </c>
      <c r="B3903" s="1" t="s">
        <v>2549</v>
      </c>
      <c r="C3903" s="1" t="s">
        <v>41</v>
      </c>
      <c r="D3903" s="1" t="s">
        <v>9126</v>
      </c>
      <c r="E3903" s="62">
        <v>21</v>
      </c>
      <c r="F3903" s="1" t="s">
        <v>2551</v>
      </c>
      <c r="G3903" s="1" t="s">
        <v>2558</v>
      </c>
    </row>
    <row x14ac:dyDescent="0.25" r="3904" customHeight="1" ht="17.25" hidden="1">
      <c r="A3904" s="112" t="s">
        <v>9127</v>
      </c>
      <c r="B3904" s="1" t="s">
        <v>2549</v>
      </c>
      <c r="C3904" s="1" t="s">
        <v>41</v>
      </c>
      <c r="D3904" s="1" t="s">
        <v>9128</v>
      </c>
      <c r="E3904" s="62">
        <v>20</v>
      </c>
      <c r="F3904" s="1" t="s">
        <v>2551</v>
      </c>
      <c r="G3904" s="1" t="s">
        <v>2555</v>
      </c>
    </row>
    <row x14ac:dyDescent="0.25" r="3905" customHeight="1" ht="17.25" hidden="1">
      <c r="A3905" s="112" t="s">
        <v>9129</v>
      </c>
      <c r="B3905" s="1" t="s">
        <v>2549</v>
      </c>
      <c r="C3905" s="1" t="s">
        <v>41</v>
      </c>
      <c r="D3905" s="1" t="s">
        <v>9130</v>
      </c>
      <c r="E3905" s="62">
        <v>29</v>
      </c>
      <c r="F3905" s="1" t="s">
        <v>2551</v>
      </c>
      <c r="G3905" s="1" t="s">
        <v>2555</v>
      </c>
    </row>
    <row x14ac:dyDescent="0.25" r="3906" customHeight="1" ht="17.25" hidden="1">
      <c r="A3906" s="112" t="s">
        <v>9131</v>
      </c>
      <c r="B3906" s="1" t="s">
        <v>2549</v>
      </c>
      <c r="C3906" s="1" t="s">
        <v>41</v>
      </c>
      <c r="D3906" s="1" t="s">
        <v>9132</v>
      </c>
      <c r="E3906" s="62">
        <v>56</v>
      </c>
      <c r="F3906" s="1" t="s">
        <v>2551</v>
      </c>
      <c r="G3906" s="1" t="s">
        <v>2558</v>
      </c>
    </row>
    <row x14ac:dyDescent="0.25" r="3907" customHeight="1" ht="17.25" hidden="1">
      <c r="A3907" s="112" t="s">
        <v>9133</v>
      </c>
      <c r="B3907" s="1" t="s">
        <v>2549</v>
      </c>
      <c r="C3907" s="1" t="s">
        <v>41</v>
      </c>
      <c r="D3907" s="1" t="s">
        <v>9134</v>
      </c>
      <c r="E3907" s="62">
        <v>26</v>
      </c>
      <c r="F3907" s="1" t="s">
        <v>2551</v>
      </c>
      <c r="G3907" s="1" t="s">
        <v>2555</v>
      </c>
    </row>
    <row x14ac:dyDescent="0.25" r="3908" customHeight="1" ht="17.25" hidden="1">
      <c r="A3908" s="112" t="s">
        <v>9135</v>
      </c>
      <c r="B3908" s="1" t="s">
        <v>2549</v>
      </c>
      <c r="C3908" s="1" t="s">
        <v>41</v>
      </c>
      <c r="D3908" s="1" t="s">
        <v>9136</v>
      </c>
      <c r="E3908" s="62">
        <v>31</v>
      </c>
      <c r="F3908" s="1" t="s">
        <v>2551</v>
      </c>
      <c r="G3908" s="1" t="s">
        <v>2552</v>
      </c>
    </row>
    <row x14ac:dyDescent="0.25" r="3909" customHeight="1" ht="17.25" hidden="1">
      <c r="A3909" s="112" t="s">
        <v>9137</v>
      </c>
      <c r="B3909" s="1" t="s">
        <v>2549</v>
      </c>
      <c r="C3909" s="1" t="s">
        <v>41</v>
      </c>
      <c r="D3909" s="1" t="s">
        <v>9138</v>
      </c>
      <c r="E3909" s="62">
        <v>19</v>
      </c>
      <c r="F3909" s="1" t="s">
        <v>2551</v>
      </c>
      <c r="G3909" s="1" t="s">
        <v>2558</v>
      </c>
    </row>
    <row x14ac:dyDescent="0.25" r="3910" customHeight="1" ht="17.25" hidden="1">
      <c r="A3910" s="112" t="s">
        <v>9139</v>
      </c>
      <c r="B3910" s="1" t="s">
        <v>2549</v>
      </c>
      <c r="C3910" s="1" t="s">
        <v>41</v>
      </c>
      <c r="D3910" s="1" t="s">
        <v>5898</v>
      </c>
      <c r="E3910" s="62">
        <v>22</v>
      </c>
      <c r="F3910" s="1" t="s">
        <v>2551</v>
      </c>
      <c r="G3910" s="1" t="s">
        <v>2552</v>
      </c>
    </row>
    <row x14ac:dyDescent="0.25" r="3911" customHeight="1" ht="17.25" hidden="1">
      <c r="A3911" s="112" t="s">
        <v>9140</v>
      </c>
      <c r="B3911" s="1" t="s">
        <v>2549</v>
      </c>
      <c r="C3911" s="1" t="s">
        <v>41</v>
      </c>
      <c r="D3911" s="1" t="s">
        <v>9141</v>
      </c>
      <c r="E3911" s="62">
        <v>29</v>
      </c>
      <c r="F3911" s="1" t="s">
        <v>2551</v>
      </c>
      <c r="G3911" s="1" t="s">
        <v>2552</v>
      </c>
    </row>
    <row x14ac:dyDescent="0.25" r="3912" customHeight="1" ht="17.25" hidden="1">
      <c r="A3912" s="112" t="s">
        <v>9142</v>
      </c>
      <c r="B3912" s="1" t="s">
        <v>2549</v>
      </c>
      <c r="C3912" s="1" t="s">
        <v>41</v>
      </c>
      <c r="D3912" s="1" t="s">
        <v>9143</v>
      </c>
      <c r="E3912" s="62">
        <v>26</v>
      </c>
      <c r="F3912" s="1" t="s">
        <v>2551</v>
      </c>
      <c r="G3912" s="1" t="s">
        <v>2555</v>
      </c>
    </row>
    <row x14ac:dyDescent="0.25" r="3913" customHeight="1" ht="17.25" hidden="1">
      <c r="A3913" s="112" t="s">
        <v>9144</v>
      </c>
      <c r="B3913" s="1" t="s">
        <v>2549</v>
      </c>
      <c r="C3913" s="1" t="s">
        <v>41</v>
      </c>
      <c r="D3913" s="1" t="s">
        <v>9145</v>
      </c>
      <c r="E3913" s="62">
        <v>29</v>
      </c>
      <c r="F3913" s="1" t="s">
        <v>2561</v>
      </c>
      <c r="G3913" s="1" t="s">
        <v>2552</v>
      </c>
    </row>
    <row x14ac:dyDescent="0.25" r="3914" customHeight="1" ht="17.25" hidden="1">
      <c r="A3914" s="112" t="s">
        <v>9146</v>
      </c>
      <c r="B3914" s="1" t="s">
        <v>2549</v>
      </c>
      <c r="C3914" s="1" t="s">
        <v>41</v>
      </c>
      <c r="D3914" s="1" t="s">
        <v>9147</v>
      </c>
      <c r="E3914" s="62">
        <v>23</v>
      </c>
      <c r="F3914" s="1" t="s">
        <v>2551</v>
      </c>
      <c r="G3914" s="1" t="s">
        <v>2552</v>
      </c>
    </row>
    <row x14ac:dyDescent="0.25" r="3915" customHeight="1" ht="17.25" hidden="1">
      <c r="A3915" s="112" t="s">
        <v>9148</v>
      </c>
      <c r="B3915" s="1" t="s">
        <v>2549</v>
      </c>
      <c r="C3915" s="1" t="s">
        <v>41</v>
      </c>
      <c r="D3915" s="1" t="s">
        <v>9149</v>
      </c>
      <c r="E3915" s="62">
        <v>38</v>
      </c>
      <c r="F3915" s="1" t="s">
        <v>2551</v>
      </c>
      <c r="G3915" s="1" t="s">
        <v>2555</v>
      </c>
    </row>
    <row x14ac:dyDescent="0.25" r="3916" customHeight="1" ht="17.25" hidden="1">
      <c r="A3916" s="112" t="s">
        <v>9150</v>
      </c>
      <c r="B3916" s="1" t="s">
        <v>2549</v>
      </c>
      <c r="C3916" s="1" t="s">
        <v>41</v>
      </c>
      <c r="D3916" s="1" t="s">
        <v>9151</v>
      </c>
      <c r="E3916" s="62">
        <v>33</v>
      </c>
      <c r="F3916" s="1" t="s">
        <v>2551</v>
      </c>
      <c r="G3916" s="1" t="s">
        <v>4578</v>
      </c>
    </row>
    <row x14ac:dyDescent="0.25" r="3917" customHeight="1" ht="17.25" hidden="1">
      <c r="A3917" s="112" t="s">
        <v>448</v>
      </c>
      <c r="B3917" s="1" t="s">
        <v>2549</v>
      </c>
      <c r="C3917" s="1" t="s">
        <v>41</v>
      </c>
      <c r="D3917" s="1" t="s">
        <v>450</v>
      </c>
      <c r="E3917" s="62">
        <v>19</v>
      </c>
      <c r="F3917" s="1" t="s">
        <v>2551</v>
      </c>
      <c r="G3917" s="1" t="s">
        <v>2552</v>
      </c>
    </row>
    <row x14ac:dyDescent="0.25" r="3918" customHeight="1" ht="17.25" hidden="1">
      <c r="A3918" s="112" t="s">
        <v>9152</v>
      </c>
      <c r="B3918" s="1" t="s">
        <v>2549</v>
      </c>
      <c r="C3918" s="1" t="s">
        <v>41</v>
      </c>
      <c r="D3918" s="1" t="s">
        <v>6632</v>
      </c>
      <c r="E3918" s="62">
        <v>56</v>
      </c>
      <c r="F3918" s="1" t="s">
        <v>2551</v>
      </c>
      <c r="G3918" s="1" t="s">
        <v>2552</v>
      </c>
    </row>
    <row x14ac:dyDescent="0.25" r="3919" customHeight="1" ht="17.25" hidden="1">
      <c r="A3919" s="112" t="s">
        <v>9153</v>
      </c>
      <c r="B3919" s="1" t="s">
        <v>2549</v>
      </c>
      <c r="C3919" s="1" t="s">
        <v>41</v>
      </c>
      <c r="D3919" s="1" t="s">
        <v>9154</v>
      </c>
      <c r="E3919" s="62">
        <v>25</v>
      </c>
      <c r="F3919" s="1" t="s">
        <v>2551</v>
      </c>
      <c r="G3919" s="1" t="s">
        <v>2552</v>
      </c>
    </row>
    <row x14ac:dyDescent="0.25" r="3920" customHeight="1" ht="17.25" hidden="1">
      <c r="A3920" s="112" t="s">
        <v>9155</v>
      </c>
      <c r="B3920" s="1" t="s">
        <v>2549</v>
      </c>
      <c r="C3920" s="1" t="s">
        <v>41</v>
      </c>
      <c r="D3920" s="1" t="s">
        <v>9156</v>
      </c>
      <c r="E3920" s="62">
        <v>20</v>
      </c>
      <c r="F3920" s="1" t="s">
        <v>2551</v>
      </c>
      <c r="G3920" s="1" t="s">
        <v>2558</v>
      </c>
    </row>
    <row x14ac:dyDescent="0.25" r="3921" customHeight="1" ht="17.25" hidden="1">
      <c r="A3921" s="112" t="s">
        <v>9157</v>
      </c>
      <c r="B3921" s="1" t="s">
        <v>2549</v>
      </c>
      <c r="C3921" s="1" t="s">
        <v>41</v>
      </c>
      <c r="D3921" s="1" t="s">
        <v>9158</v>
      </c>
      <c r="E3921" s="62">
        <v>21</v>
      </c>
      <c r="F3921" s="1" t="s">
        <v>2551</v>
      </c>
      <c r="G3921" s="1" t="s">
        <v>2552</v>
      </c>
    </row>
    <row x14ac:dyDescent="0.25" r="3922" customHeight="1" ht="17.25" hidden="1">
      <c r="A3922" s="112" t="s">
        <v>9157</v>
      </c>
      <c r="B3922" s="1" t="s">
        <v>2549</v>
      </c>
      <c r="C3922" s="1" t="s">
        <v>41</v>
      </c>
      <c r="D3922" s="1" t="s">
        <v>9159</v>
      </c>
      <c r="E3922" s="62">
        <v>18</v>
      </c>
      <c r="F3922" s="1" t="s">
        <v>2551</v>
      </c>
      <c r="G3922" s="1" t="s">
        <v>2555</v>
      </c>
    </row>
    <row x14ac:dyDescent="0.25" r="3923" customHeight="1" ht="17.25" hidden="1">
      <c r="A3923" s="112" t="s">
        <v>9160</v>
      </c>
      <c r="B3923" s="1" t="s">
        <v>2549</v>
      </c>
      <c r="C3923" s="1" t="s">
        <v>41</v>
      </c>
      <c r="D3923" s="1" t="s">
        <v>9161</v>
      </c>
      <c r="E3923" s="62">
        <v>33</v>
      </c>
      <c r="F3923" s="1" t="s">
        <v>2551</v>
      </c>
      <c r="G3923" s="1" t="s">
        <v>2552</v>
      </c>
    </row>
    <row x14ac:dyDescent="0.25" r="3924" customHeight="1" ht="17.25" hidden="1">
      <c r="A3924" s="112" t="s">
        <v>9160</v>
      </c>
      <c r="B3924" s="1" t="s">
        <v>2549</v>
      </c>
      <c r="C3924" s="1" t="s">
        <v>41</v>
      </c>
      <c r="D3924" s="1" t="s">
        <v>9162</v>
      </c>
      <c r="E3924" s="62">
        <v>21</v>
      </c>
      <c r="F3924" s="1" t="s">
        <v>2551</v>
      </c>
      <c r="G3924" s="1" t="s">
        <v>2555</v>
      </c>
    </row>
    <row x14ac:dyDescent="0.25" r="3925" customHeight="1" ht="17.25" hidden="1">
      <c r="A3925" s="112" t="s">
        <v>9163</v>
      </c>
      <c r="B3925" s="1" t="s">
        <v>2549</v>
      </c>
      <c r="C3925" s="1" t="s">
        <v>41</v>
      </c>
      <c r="D3925" s="1" t="s">
        <v>9164</v>
      </c>
      <c r="E3925" s="62">
        <v>18</v>
      </c>
      <c r="F3925" s="1" t="s">
        <v>2551</v>
      </c>
      <c r="G3925" s="1" t="s">
        <v>2555</v>
      </c>
    </row>
    <row x14ac:dyDescent="0.25" r="3926" customHeight="1" ht="17.25" hidden="1">
      <c r="A3926" s="112" t="s">
        <v>9165</v>
      </c>
      <c r="B3926" s="1" t="s">
        <v>2549</v>
      </c>
      <c r="C3926" s="1" t="s">
        <v>41</v>
      </c>
      <c r="D3926" s="1" t="s">
        <v>9166</v>
      </c>
      <c r="E3926" s="62">
        <v>22</v>
      </c>
      <c r="F3926" s="1" t="s">
        <v>2551</v>
      </c>
      <c r="G3926" s="1" t="s">
        <v>2552</v>
      </c>
    </row>
    <row x14ac:dyDescent="0.25" r="3927" customHeight="1" ht="17.25" hidden="1">
      <c r="A3927" s="112" t="s">
        <v>9167</v>
      </c>
      <c r="B3927" s="1" t="s">
        <v>2549</v>
      </c>
      <c r="C3927" s="1" t="s">
        <v>41</v>
      </c>
      <c r="D3927" s="1" t="s">
        <v>9168</v>
      </c>
      <c r="E3927" s="62">
        <v>18</v>
      </c>
      <c r="F3927" s="1" t="s">
        <v>2551</v>
      </c>
      <c r="G3927" s="1" t="s">
        <v>2555</v>
      </c>
    </row>
    <row x14ac:dyDescent="0.25" r="3928" customHeight="1" ht="17.25" hidden="1">
      <c r="A3928" s="112" t="s">
        <v>9169</v>
      </c>
      <c r="B3928" s="1" t="s">
        <v>2549</v>
      </c>
      <c r="C3928" s="1" t="s">
        <v>41</v>
      </c>
      <c r="D3928" s="1" t="s">
        <v>9170</v>
      </c>
      <c r="E3928" s="62">
        <v>38</v>
      </c>
      <c r="F3928" s="1" t="s">
        <v>2551</v>
      </c>
      <c r="G3928" s="1" t="s">
        <v>2552</v>
      </c>
    </row>
    <row x14ac:dyDescent="0.25" r="3929" customHeight="1" ht="17.25" hidden="1">
      <c r="A3929" s="112" t="s">
        <v>9171</v>
      </c>
      <c r="B3929" s="1" t="s">
        <v>2549</v>
      </c>
      <c r="C3929" s="1" t="s">
        <v>41</v>
      </c>
      <c r="D3929" s="1" t="s">
        <v>9172</v>
      </c>
      <c r="E3929" s="62">
        <v>18</v>
      </c>
      <c r="F3929" s="1" t="s">
        <v>2561</v>
      </c>
      <c r="G3929" s="1" t="s">
        <v>2558</v>
      </c>
    </row>
    <row x14ac:dyDescent="0.25" r="3930" customHeight="1" ht="17.25" hidden="1">
      <c r="A3930" s="112" t="s">
        <v>9173</v>
      </c>
      <c r="B3930" s="1" t="s">
        <v>2549</v>
      </c>
      <c r="C3930" s="1" t="s">
        <v>41</v>
      </c>
      <c r="D3930" s="1" t="s">
        <v>9174</v>
      </c>
      <c r="E3930" s="62">
        <v>18</v>
      </c>
      <c r="F3930" s="1" t="s">
        <v>2551</v>
      </c>
      <c r="G3930" s="1" t="s">
        <v>2552</v>
      </c>
    </row>
    <row x14ac:dyDescent="0.25" r="3931" customHeight="1" ht="17.25" hidden="1">
      <c r="A3931" s="112" t="s">
        <v>9175</v>
      </c>
      <c r="B3931" s="1" t="s">
        <v>2549</v>
      </c>
      <c r="C3931" s="1" t="s">
        <v>41</v>
      </c>
      <c r="D3931" s="1" t="s">
        <v>9176</v>
      </c>
      <c r="E3931" s="62">
        <v>37</v>
      </c>
      <c r="F3931" s="1" t="s">
        <v>2551</v>
      </c>
      <c r="G3931" s="1" t="s">
        <v>2558</v>
      </c>
    </row>
    <row x14ac:dyDescent="0.25" r="3932" customHeight="1" ht="17.25" hidden="1">
      <c r="A3932" s="112" t="s">
        <v>9177</v>
      </c>
      <c r="B3932" s="1" t="s">
        <v>2549</v>
      </c>
      <c r="C3932" s="1" t="s">
        <v>41</v>
      </c>
      <c r="D3932" s="1" t="s">
        <v>9178</v>
      </c>
      <c r="E3932" s="54" t="s">
        <v>2571</v>
      </c>
      <c r="F3932" s="1" t="s">
        <v>2551</v>
      </c>
      <c r="G3932" s="1" t="s">
        <v>5094</v>
      </c>
    </row>
    <row x14ac:dyDescent="0.25" r="3933" customHeight="1" ht="17.25" hidden="1">
      <c r="A3933" s="112" t="s">
        <v>9179</v>
      </c>
      <c r="B3933" s="1" t="s">
        <v>2549</v>
      </c>
      <c r="C3933" s="1" t="s">
        <v>41</v>
      </c>
      <c r="D3933" s="1" t="s">
        <v>9180</v>
      </c>
      <c r="E3933" s="62">
        <v>23</v>
      </c>
      <c r="F3933" s="1" t="s">
        <v>2551</v>
      </c>
      <c r="G3933" s="1" t="s">
        <v>2552</v>
      </c>
    </row>
    <row x14ac:dyDescent="0.25" r="3934" customHeight="1" ht="17.25" hidden="1">
      <c r="A3934" s="112" t="s">
        <v>9181</v>
      </c>
      <c r="B3934" s="1" t="s">
        <v>2549</v>
      </c>
      <c r="C3934" s="1" t="s">
        <v>41</v>
      </c>
      <c r="D3934" s="1" t="s">
        <v>9182</v>
      </c>
      <c r="E3934" s="62">
        <v>22</v>
      </c>
      <c r="F3934" s="1" t="s">
        <v>2551</v>
      </c>
      <c r="G3934" s="1" t="s">
        <v>2552</v>
      </c>
    </row>
    <row x14ac:dyDescent="0.25" r="3935" customHeight="1" ht="17.25" hidden="1">
      <c r="A3935" s="112" t="s">
        <v>9183</v>
      </c>
      <c r="B3935" s="1" t="s">
        <v>2549</v>
      </c>
      <c r="C3935" s="1" t="s">
        <v>41</v>
      </c>
      <c r="D3935" s="1" t="s">
        <v>9184</v>
      </c>
      <c r="E3935" s="62">
        <v>26</v>
      </c>
      <c r="F3935" s="1" t="s">
        <v>2551</v>
      </c>
      <c r="G3935" s="1" t="s">
        <v>2558</v>
      </c>
    </row>
    <row x14ac:dyDescent="0.25" r="3936" customHeight="1" ht="17.25" hidden="1">
      <c r="A3936" s="112" t="s">
        <v>9185</v>
      </c>
      <c r="B3936" s="1" t="s">
        <v>2549</v>
      </c>
      <c r="C3936" s="1" t="s">
        <v>41</v>
      </c>
      <c r="D3936" s="1" t="s">
        <v>9186</v>
      </c>
      <c r="E3936" s="62">
        <v>18</v>
      </c>
      <c r="F3936" s="1" t="s">
        <v>2551</v>
      </c>
      <c r="G3936" s="1" t="s">
        <v>2558</v>
      </c>
    </row>
    <row x14ac:dyDescent="0.25" r="3937" customHeight="1" ht="17.25" hidden="1">
      <c r="A3937" s="112" t="s">
        <v>9187</v>
      </c>
      <c r="B3937" s="1" t="s">
        <v>2549</v>
      </c>
      <c r="C3937" s="1" t="s">
        <v>41</v>
      </c>
      <c r="D3937" s="1" t="s">
        <v>9188</v>
      </c>
      <c r="E3937" s="62">
        <v>19</v>
      </c>
      <c r="F3937" s="1" t="s">
        <v>2551</v>
      </c>
      <c r="G3937" s="1" t="s">
        <v>2552</v>
      </c>
    </row>
    <row x14ac:dyDescent="0.25" r="3938" customHeight="1" ht="17.25" hidden="1">
      <c r="A3938" s="112" t="s">
        <v>9189</v>
      </c>
      <c r="B3938" s="1" t="s">
        <v>2549</v>
      </c>
      <c r="C3938" s="1" t="s">
        <v>41</v>
      </c>
      <c r="D3938" s="1" t="s">
        <v>9190</v>
      </c>
      <c r="E3938" s="62">
        <v>32</v>
      </c>
      <c r="F3938" s="1" t="s">
        <v>2551</v>
      </c>
      <c r="G3938" s="1" t="s">
        <v>2552</v>
      </c>
    </row>
    <row x14ac:dyDescent="0.25" r="3939" customHeight="1" ht="17.25" hidden="1">
      <c r="A3939" s="112" t="s">
        <v>9191</v>
      </c>
      <c r="B3939" s="1" t="s">
        <v>2549</v>
      </c>
      <c r="C3939" s="1" t="s">
        <v>41</v>
      </c>
      <c r="D3939" s="1" t="s">
        <v>9192</v>
      </c>
      <c r="E3939" s="62">
        <v>18</v>
      </c>
      <c r="F3939" s="1" t="s">
        <v>2551</v>
      </c>
      <c r="G3939" s="1" t="s">
        <v>2558</v>
      </c>
    </row>
    <row x14ac:dyDescent="0.25" r="3940" customHeight="1" ht="17.25" hidden="1">
      <c r="A3940" s="112" t="s">
        <v>9193</v>
      </c>
      <c r="B3940" s="1" t="s">
        <v>2549</v>
      </c>
      <c r="C3940" s="1" t="s">
        <v>41</v>
      </c>
      <c r="D3940" s="1" t="s">
        <v>9194</v>
      </c>
      <c r="E3940" s="62">
        <v>21</v>
      </c>
      <c r="F3940" s="1" t="s">
        <v>2551</v>
      </c>
      <c r="G3940" s="1" t="s">
        <v>2552</v>
      </c>
    </row>
    <row x14ac:dyDescent="0.25" r="3941" customHeight="1" ht="17.25" hidden="1">
      <c r="A3941" s="112" t="s">
        <v>1609</v>
      </c>
      <c r="B3941" s="1" t="s">
        <v>2549</v>
      </c>
      <c r="C3941" s="1" t="s">
        <v>41</v>
      </c>
      <c r="D3941" s="1" t="s">
        <v>1610</v>
      </c>
      <c r="E3941" s="62">
        <v>25</v>
      </c>
      <c r="F3941" s="1" t="s">
        <v>2551</v>
      </c>
      <c r="G3941" s="1" t="s">
        <v>2555</v>
      </c>
    </row>
    <row x14ac:dyDescent="0.25" r="3942" customHeight="1" ht="17.25" hidden="1">
      <c r="A3942" s="112" t="s">
        <v>9195</v>
      </c>
      <c r="B3942" s="1" t="s">
        <v>2549</v>
      </c>
      <c r="C3942" s="1" t="s">
        <v>41</v>
      </c>
      <c r="D3942" s="1" t="s">
        <v>9196</v>
      </c>
      <c r="E3942" s="62">
        <v>19</v>
      </c>
      <c r="F3942" s="1" t="s">
        <v>2551</v>
      </c>
      <c r="G3942" s="1" t="s">
        <v>2555</v>
      </c>
    </row>
    <row x14ac:dyDescent="0.25" r="3943" customHeight="1" ht="17.25" hidden="1">
      <c r="A3943" s="112" t="s">
        <v>9197</v>
      </c>
      <c r="B3943" s="1" t="s">
        <v>2549</v>
      </c>
      <c r="C3943" s="1" t="s">
        <v>41</v>
      </c>
      <c r="D3943" s="1" t="s">
        <v>9198</v>
      </c>
      <c r="E3943" s="62">
        <v>44</v>
      </c>
      <c r="F3943" s="1" t="s">
        <v>2551</v>
      </c>
      <c r="G3943" s="1" t="s">
        <v>2555</v>
      </c>
    </row>
    <row x14ac:dyDescent="0.25" r="3944" customHeight="1" ht="17.25" hidden="1">
      <c r="A3944" s="112" t="s">
        <v>9199</v>
      </c>
      <c r="B3944" s="1" t="s">
        <v>2549</v>
      </c>
      <c r="C3944" s="1" t="s">
        <v>41</v>
      </c>
      <c r="D3944" s="1" t="s">
        <v>9200</v>
      </c>
      <c r="E3944" s="62">
        <v>22</v>
      </c>
      <c r="F3944" s="1" t="s">
        <v>2551</v>
      </c>
      <c r="G3944" s="1" t="s">
        <v>2555</v>
      </c>
    </row>
    <row x14ac:dyDescent="0.25" r="3945" customHeight="1" ht="17.25" hidden="1">
      <c r="A3945" s="112" t="s">
        <v>9199</v>
      </c>
      <c r="B3945" s="1" t="s">
        <v>2549</v>
      </c>
      <c r="C3945" s="1" t="s">
        <v>41</v>
      </c>
      <c r="D3945" s="1" t="s">
        <v>9201</v>
      </c>
      <c r="E3945" s="62">
        <v>22</v>
      </c>
      <c r="F3945" s="1" t="s">
        <v>2551</v>
      </c>
      <c r="G3945" s="1" t="s">
        <v>2555</v>
      </c>
    </row>
    <row x14ac:dyDescent="0.25" r="3946" customHeight="1" ht="17.25" hidden="1">
      <c r="A3946" s="112" t="s">
        <v>9202</v>
      </c>
      <c r="B3946" s="1" t="s">
        <v>2549</v>
      </c>
      <c r="C3946" s="1" t="s">
        <v>41</v>
      </c>
      <c r="D3946" s="1" t="s">
        <v>9203</v>
      </c>
      <c r="E3946" s="62">
        <v>34</v>
      </c>
      <c r="F3946" s="1" t="s">
        <v>2551</v>
      </c>
      <c r="G3946" s="1" t="s">
        <v>2552</v>
      </c>
    </row>
    <row x14ac:dyDescent="0.25" r="3947" customHeight="1" ht="17.25" hidden="1">
      <c r="A3947" s="112" t="s">
        <v>9204</v>
      </c>
      <c r="B3947" s="1" t="s">
        <v>2549</v>
      </c>
      <c r="C3947" s="1" t="s">
        <v>41</v>
      </c>
      <c r="D3947" s="1" t="s">
        <v>9205</v>
      </c>
      <c r="E3947" s="62">
        <v>34</v>
      </c>
      <c r="F3947" s="1" t="s">
        <v>2551</v>
      </c>
      <c r="G3947" s="1" t="s">
        <v>2555</v>
      </c>
    </row>
    <row x14ac:dyDescent="0.25" r="3948" customHeight="1" ht="17.25" hidden="1">
      <c r="A3948" s="112" t="s">
        <v>9206</v>
      </c>
      <c r="B3948" s="1" t="s">
        <v>2549</v>
      </c>
      <c r="C3948" s="1" t="s">
        <v>41</v>
      </c>
      <c r="D3948" s="1" t="s">
        <v>9207</v>
      </c>
      <c r="E3948" s="62">
        <v>23</v>
      </c>
      <c r="F3948" s="1" t="s">
        <v>2551</v>
      </c>
      <c r="G3948" s="1" t="s">
        <v>2555</v>
      </c>
    </row>
    <row x14ac:dyDescent="0.25" r="3949" customHeight="1" ht="17.25" hidden="1">
      <c r="A3949" s="112" t="s">
        <v>9208</v>
      </c>
      <c r="B3949" s="1" t="s">
        <v>2549</v>
      </c>
      <c r="C3949" s="1" t="s">
        <v>41</v>
      </c>
      <c r="D3949" s="1" t="s">
        <v>9209</v>
      </c>
      <c r="E3949" s="62">
        <v>24</v>
      </c>
      <c r="F3949" s="1" t="s">
        <v>2551</v>
      </c>
      <c r="G3949" s="1" t="s">
        <v>2555</v>
      </c>
    </row>
    <row x14ac:dyDescent="0.25" r="3950" customHeight="1" ht="17.25" hidden="1">
      <c r="A3950" s="112" t="s">
        <v>1525</v>
      </c>
      <c r="B3950" s="1" t="s">
        <v>2549</v>
      </c>
      <c r="C3950" s="1" t="s">
        <v>41</v>
      </c>
      <c r="D3950" s="1" t="s">
        <v>1526</v>
      </c>
      <c r="E3950" s="62">
        <v>34</v>
      </c>
      <c r="F3950" s="1" t="s">
        <v>2551</v>
      </c>
      <c r="G3950" s="1" t="s">
        <v>2555</v>
      </c>
    </row>
    <row x14ac:dyDescent="0.25" r="3951" customHeight="1" ht="17.25" hidden="1">
      <c r="A3951" s="112" t="s">
        <v>1814</v>
      </c>
      <c r="B3951" s="1" t="s">
        <v>2549</v>
      </c>
      <c r="C3951" s="1" t="s">
        <v>41</v>
      </c>
      <c r="D3951" s="1" t="s">
        <v>1815</v>
      </c>
      <c r="E3951" s="62">
        <v>25</v>
      </c>
      <c r="F3951" s="1" t="s">
        <v>2551</v>
      </c>
      <c r="G3951" s="1" t="s">
        <v>2552</v>
      </c>
    </row>
    <row x14ac:dyDescent="0.25" r="3952" customHeight="1" ht="17.25" hidden="1">
      <c r="A3952" s="112" t="s">
        <v>9210</v>
      </c>
      <c r="B3952" s="1" t="s">
        <v>2549</v>
      </c>
      <c r="C3952" s="1" t="s">
        <v>42</v>
      </c>
      <c r="D3952" s="1" t="s">
        <v>9211</v>
      </c>
      <c r="E3952" s="62">
        <v>35</v>
      </c>
      <c r="F3952" s="1" t="s">
        <v>2551</v>
      </c>
      <c r="G3952" s="1" t="s">
        <v>2555</v>
      </c>
    </row>
    <row x14ac:dyDescent="0.25" r="3953" customHeight="1" ht="17.25" hidden="1">
      <c r="A3953" s="112" t="s">
        <v>1563</v>
      </c>
      <c r="B3953" s="1" t="s">
        <v>2549</v>
      </c>
      <c r="C3953" s="1" t="s">
        <v>42</v>
      </c>
      <c r="D3953" s="1" t="s">
        <v>1564</v>
      </c>
      <c r="E3953" s="62">
        <v>18</v>
      </c>
      <c r="F3953" s="1" t="s">
        <v>2551</v>
      </c>
      <c r="G3953" s="1" t="s">
        <v>2555</v>
      </c>
    </row>
    <row x14ac:dyDescent="0.25" r="3954" customHeight="1" ht="17.25" hidden="1">
      <c r="A3954" s="112" t="s">
        <v>9212</v>
      </c>
      <c r="B3954" s="1" t="s">
        <v>2549</v>
      </c>
      <c r="C3954" s="1" t="s">
        <v>42</v>
      </c>
      <c r="D3954" s="1" t="s">
        <v>9213</v>
      </c>
      <c r="E3954" s="62">
        <v>24</v>
      </c>
      <c r="F3954" s="1" t="s">
        <v>2551</v>
      </c>
      <c r="G3954" s="1" t="s">
        <v>2552</v>
      </c>
    </row>
    <row x14ac:dyDescent="0.25" r="3955" customHeight="1" ht="17.25" hidden="1">
      <c r="A3955" s="112" t="s">
        <v>9212</v>
      </c>
      <c r="B3955" s="1" t="s">
        <v>2549</v>
      </c>
      <c r="C3955" s="1" t="s">
        <v>42</v>
      </c>
      <c r="D3955" s="1" t="s">
        <v>9214</v>
      </c>
      <c r="E3955" s="62">
        <v>22</v>
      </c>
      <c r="F3955" s="1" t="s">
        <v>2551</v>
      </c>
      <c r="G3955" s="1" t="s">
        <v>2555</v>
      </c>
    </row>
    <row x14ac:dyDescent="0.25" r="3956" customHeight="1" ht="17.25" hidden="1">
      <c r="A3956" s="112" t="s">
        <v>9215</v>
      </c>
      <c r="B3956" s="1" t="s">
        <v>2549</v>
      </c>
      <c r="C3956" s="1" t="s">
        <v>42</v>
      </c>
      <c r="D3956" s="1" t="s">
        <v>6447</v>
      </c>
      <c r="E3956" s="62">
        <v>25</v>
      </c>
      <c r="F3956" s="1" t="s">
        <v>2551</v>
      </c>
      <c r="G3956" s="1" t="s">
        <v>2552</v>
      </c>
    </row>
    <row x14ac:dyDescent="0.25" r="3957" customHeight="1" ht="17.25" hidden="1">
      <c r="A3957" s="112" t="s">
        <v>9216</v>
      </c>
      <c r="B3957" s="1" t="s">
        <v>2549</v>
      </c>
      <c r="C3957" s="1" t="s">
        <v>42</v>
      </c>
      <c r="D3957" s="1" t="s">
        <v>9217</v>
      </c>
      <c r="E3957" s="62">
        <v>31</v>
      </c>
      <c r="F3957" s="1" t="s">
        <v>2551</v>
      </c>
      <c r="G3957" s="1" t="s">
        <v>2555</v>
      </c>
    </row>
    <row x14ac:dyDescent="0.25" r="3958" customHeight="1" ht="17.25" hidden="1">
      <c r="A3958" s="112" t="s">
        <v>9218</v>
      </c>
      <c r="B3958" s="1" t="s">
        <v>2549</v>
      </c>
      <c r="C3958" s="1" t="s">
        <v>42</v>
      </c>
      <c r="D3958" s="1" t="s">
        <v>9219</v>
      </c>
      <c r="E3958" s="62">
        <v>35</v>
      </c>
      <c r="F3958" s="1" t="s">
        <v>2551</v>
      </c>
      <c r="G3958" s="1" t="s">
        <v>2555</v>
      </c>
    </row>
    <row x14ac:dyDescent="0.25" r="3959" customHeight="1" ht="17.25" hidden="1">
      <c r="A3959" s="112" t="s">
        <v>9220</v>
      </c>
      <c r="B3959" s="1" t="s">
        <v>2549</v>
      </c>
      <c r="C3959" s="1" t="s">
        <v>42</v>
      </c>
      <c r="D3959" s="1" t="s">
        <v>9221</v>
      </c>
      <c r="E3959" s="62">
        <v>21</v>
      </c>
      <c r="F3959" s="1" t="s">
        <v>2551</v>
      </c>
      <c r="G3959" s="1" t="s">
        <v>2558</v>
      </c>
    </row>
    <row x14ac:dyDescent="0.25" r="3960" customHeight="1" ht="17.25" hidden="1">
      <c r="A3960" s="112" t="s">
        <v>9222</v>
      </c>
      <c r="B3960" s="1" t="s">
        <v>2549</v>
      </c>
      <c r="C3960" s="1" t="s">
        <v>42</v>
      </c>
      <c r="D3960" s="1" t="s">
        <v>9223</v>
      </c>
      <c r="E3960" s="62">
        <v>20</v>
      </c>
      <c r="F3960" s="1" t="s">
        <v>2551</v>
      </c>
      <c r="G3960" s="1" t="s">
        <v>2552</v>
      </c>
    </row>
    <row x14ac:dyDescent="0.25" r="3961" customHeight="1" ht="17.25" hidden="1">
      <c r="A3961" s="112" t="s">
        <v>9224</v>
      </c>
      <c r="B3961" s="1" t="s">
        <v>2549</v>
      </c>
      <c r="C3961" s="1" t="s">
        <v>42</v>
      </c>
      <c r="D3961" s="1" t="s">
        <v>9225</v>
      </c>
      <c r="E3961" s="62">
        <v>19</v>
      </c>
      <c r="F3961" s="1" t="s">
        <v>2551</v>
      </c>
      <c r="G3961" s="1" t="s">
        <v>2552</v>
      </c>
    </row>
    <row x14ac:dyDescent="0.25" r="3962" customHeight="1" ht="17.25" hidden="1">
      <c r="A3962" s="112" t="s">
        <v>9224</v>
      </c>
      <c r="B3962" s="1" t="s">
        <v>2549</v>
      </c>
      <c r="C3962" s="1" t="s">
        <v>42</v>
      </c>
      <c r="D3962" s="1" t="s">
        <v>9226</v>
      </c>
      <c r="E3962" s="62">
        <v>20</v>
      </c>
      <c r="F3962" s="1" t="s">
        <v>2551</v>
      </c>
      <c r="G3962" s="1" t="s">
        <v>2558</v>
      </c>
    </row>
    <row x14ac:dyDescent="0.25" r="3963" customHeight="1" ht="17.25" hidden="1">
      <c r="A3963" s="112" t="s">
        <v>9227</v>
      </c>
      <c r="B3963" s="1" t="s">
        <v>2549</v>
      </c>
      <c r="C3963" s="1" t="s">
        <v>42</v>
      </c>
      <c r="D3963" s="1" t="s">
        <v>9228</v>
      </c>
      <c r="E3963" s="62">
        <v>20</v>
      </c>
      <c r="F3963" s="1" t="s">
        <v>2551</v>
      </c>
      <c r="G3963" s="1" t="s">
        <v>2558</v>
      </c>
    </row>
    <row x14ac:dyDescent="0.25" r="3964" customHeight="1" ht="17.25" hidden="1">
      <c r="A3964" s="112" t="s">
        <v>9227</v>
      </c>
      <c r="B3964" s="1" t="s">
        <v>2549</v>
      </c>
      <c r="C3964" s="1" t="s">
        <v>42</v>
      </c>
      <c r="D3964" s="1" t="s">
        <v>9229</v>
      </c>
      <c r="E3964" s="62">
        <v>20</v>
      </c>
      <c r="F3964" s="1" t="s">
        <v>2551</v>
      </c>
      <c r="G3964" s="1" t="s">
        <v>2552</v>
      </c>
    </row>
    <row x14ac:dyDescent="0.25" r="3965" customHeight="1" ht="17.25" hidden="1">
      <c r="A3965" s="112" t="s">
        <v>9227</v>
      </c>
      <c r="B3965" s="1" t="s">
        <v>2549</v>
      </c>
      <c r="C3965" s="1" t="s">
        <v>42</v>
      </c>
      <c r="D3965" s="1" t="s">
        <v>9230</v>
      </c>
      <c r="E3965" s="62">
        <v>41</v>
      </c>
      <c r="F3965" s="1" t="s">
        <v>2551</v>
      </c>
      <c r="G3965" s="1" t="s">
        <v>2552</v>
      </c>
    </row>
    <row x14ac:dyDescent="0.25" r="3966" customHeight="1" ht="17.25" hidden="1">
      <c r="A3966" s="112" t="s">
        <v>9231</v>
      </c>
      <c r="B3966" s="1" t="s">
        <v>2549</v>
      </c>
      <c r="C3966" s="1" t="s">
        <v>42</v>
      </c>
      <c r="D3966" s="1" t="s">
        <v>4735</v>
      </c>
      <c r="E3966" s="62">
        <v>18</v>
      </c>
      <c r="F3966" s="1" t="s">
        <v>2551</v>
      </c>
      <c r="G3966" s="1" t="s">
        <v>2555</v>
      </c>
    </row>
    <row x14ac:dyDescent="0.25" r="3967" customHeight="1" ht="17.25" hidden="1">
      <c r="A3967" s="112" t="s">
        <v>9232</v>
      </c>
      <c r="B3967" s="1" t="s">
        <v>2549</v>
      </c>
      <c r="C3967" s="1" t="s">
        <v>42</v>
      </c>
      <c r="D3967" s="1" t="s">
        <v>9233</v>
      </c>
      <c r="E3967" s="62">
        <v>17</v>
      </c>
      <c r="F3967" s="1" t="s">
        <v>2551</v>
      </c>
      <c r="G3967" s="1" t="s">
        <v>2558</v>
      </c>
    </row>
    <row x14ac:dyDescent="0.25" r="3968" customHeight="1" ht="17.25" hidden="1">
      <c r="A3968" s="112" t="s">
        <v>9234</v>
      </c>
      <c r="B3968" s="1" t="s">
        <v>2549</v>
      </c>
      <c r="C3968" s="1" t="s">
        <v>42</v>
      </c>
      <c r="D3968" s="1" t="s">
        <v>9235</v>
      </c>
      <c r="E3968" s="62">
        <v>37</v>
      </c>
      <c r="F3968" s="1" t="s">
        <v>2551</v>
      </c>
      <c r="G3968" s="1" t="s">
        <v>2552</v>
      </c>
    </row>
    <row x14ac:dyDescent="0.25" r="3969" customHeight="1" ht="17.25" hidden="1">
      <c r="A3969" s="112" t="s">
        <v>9236</v>
      </c>
      <c r="B3969" s="1" t="s">
        <v>2549</v>
      </c>
      <c r="C3969" s="1" t="s">
        <v>42</v>
      </c>
      <c r="D3969" s="1" t="s">
        <v>4097</v>
      </c>
      <c r="E3969" s="62">
        <v>42</v>
      </c>
      <c r="F3969" s="1" t="s">
        <v>2551</v>
      </c>
      <c r="G3969" s="1" t="s">
        <v>2552</v>
      </c>
    </row>
    <row x14ac:dyDescent="0.25" r="3970" customHeight="1" ht="17.25" hidden="1">
      <c r="A3970" s="112" t="s">
        <v>9237</v>
      </c>
      <c r="B3970" s="1" t="s">
        <v>2549</v>
      </c>
      <c r="C3970" s="1" t="s">
        <v>42</v>
      </c>
      <c r="D3970" s="1" t="s">
        <v>9238</v>
      </c>
      <c r="E3970" s="62">
        <v>25</v>
      </c>
      <c r="F3970" s="1" t="s">
        <v>2551</v>
      </c>
      <c r="G3970" s="1" t="s">
        <v>2555</v>
      </c>
    </row>
    <row x14ac:dyDescent="0.25" r="3971" customHeight="1" ht="17.25" hidden="1">
      <c r="A3971" s="112" t="s">
        <v>9239</v>
      </c>
      <c r="B3971" s="1" t="s">
        <v>2549</v>
      </c>
      <c r="C3971" s="1" t="s">
        <v>42</v>
      </c>
      <c r="D3971" s="1" t="s">
        <v>9240</v>
      </c>
      <c r="E3971" s="62">
        <v>26</v>
      </c>
      <c r="F3971" s="1" t="s">
        <v>2551</v>
      </c>
      <c r="G3971" s="1" t="s">
        <v>2552</v>
      </c>
    </row>
    <row x14ac:dyDescent="0.25" r="3972" customHeight="1" ht="17.25" hidden="1">
      <c r="A3972" s="112" t="s">
        <v>9241</v>
      </c>
      <c r="B3972" s="1" t="s">
        <v>2549</v>
      </c>
      <c r="C3972" s="1" t="s">
        <v>42</v>
      </c>
      <c r="D3972" s="1" t="s">
        <v>9242</v>
      </c>
      <c r="E3972" s="62">
        <v>20</v>
      </c>
      <c r="F3972" s="1" t="s">
        <v>2551</v>
      </c>
      <c r="G3972" s="1" t="s">
        <v>2555</v>
      </c>
    </row>
    <row x14ac:dyDescent="0.25" r="3973" customHeight="1" ht="17.25" hidden="1">
      <c r="A3973" s="112" t="s">
        <v>9243</v>
      </c>
      <c r="B3973" s="1" t="s">
        <v>2549</v>
      </c>
      <c r="C3973" s="1" t="s">
        <v>42</v>
      </c>
      <c r="D3973" s="1" t="s">
        <v>9244</v>
      </c>
      <c r="E3973" s="62">
        <v>34</v>
      </c>
      <c r="F3973" s="1" t="s">
        <v>2551</v>
      </c>
      <c r="G3973" s="1" t="s">
        <v>2555</v>
      </c>
    </row>
    <row x14ac:dyDescent="0.25" r="3974" customHeight="1" ht="17.25" hidden="1">
      <c r="A3974" s="112" t="s">
        <v>9245</v>
      </c>
      <c r="B3974" s="1" t="s">
        <v>2549</v>
      </c>
      <c r="C3974" s="1" t="s">
        <v>42</v>
      </c>
      <c r="D3974" s="1" t="s">
        <v>9246</v>
      </c>
      <c r="E3974" s="62">
        <v>52</v>
      </c>
      <c r="F3974" s="1" t="s">
        <v>2551</v>
      </c>
      <c r="G3974" s="1" t="s">
        <v>2552</v>
      </c>
    </row>
    <row x14ac:dyDescent="0.25" r="3975" customHeight="1" ht="17.25" hidden="1">
      <c r="A3975" s="112" t="s">
        <v>9247</v>
      </c>
      <c r="B3975" s="1" t="s">
        <v>2549</v>
      </c>
      <c r="C3975" s="1" t="s">
        <v>42</v>
      </c>
      <c r="D3975" s="1" t="s">
        <v>9248</v>
      </c>
      <c r="E3975" s="62">
        <v>19</v>
      </c>
      <c r="F3975" s="1" t="s">
        <v>2551</v>
      </c>
      <c r="G3975" s="1" t="s">
        <v>2552</v>
      </c>
    </row>
    <row x14ac:dyDescent="0.25" r="3976" customHeight="1" ht="17.25" hidden="1">
      <c r="A3976" s="112" t="s">
        <v>9247</v>
      </c>
      <c r="B3976" s="1" t="s">
        <v>2549</v>
      </c>
      <c r="C3976" s="1" t="s">
        <v>42</v>
      </c>
      <c r="D3976" s="1" t="s">
        <v>9249</v>
      </c>
      <c r="E3976" s="62">
        <v>22</v>
      </c>
      <c r="F3976" s="1" t="s">
        <v>2551</v>
      </c>
      <c r="G3976" s="1" t="s">
        <v>2552</v>
      </c>
    </row>
    <row x14ac:dyDescent="0.25" r="3977" customHeight="1" ht="17.25" hidden="1">
      <c r="A3977" s="112" t="s">
        <v>9250</v>
      </c>
      <c r="B3977" s="1" t="s">
        <v>2549</v>
      </c>
      <c r="C3977" s="1" t="s">
        <v>42</v>
      </c>
      <c r="D3977" s="1" t="s">
        <v>9251</v>
      </c>
      <c r="E3977" s="62">
        <v>20</v>
      </c>
      <c r="F3977" s="1" t="s">
        <v>2551</v>
      </c>
      <c r="G3977" s="1" t="s">
        <v>2555</v>
      </c>
    </row>
    <row x14ac:dyDescent="0.25" r="3978" customHeight="1" ht="17.25" hidden="1">
      <c r="A3978" s="112" t="s">
        <v>9252</v>
      </c>
      <c r="B3978" s="1" t="s">
        <v>2549</v>
      </c>
      <c r="C3978" s="1" t="s">
        <v>42</v>
      </c>
      <c r="D3978" s="1" t="s">
        <v>9253</v>
      </c>
      <c r="E3978" s="62">
        <v>27</v>
      </c>
      <c r="F3978" s="1" t="s">
        <v>2551</v>
      </c>
      <c r="G3978" s="1" t="s">
        <v>2552</v>
      </c>
    </row>
    <row x14ac:dyDescent="0.25" r="3979" customHeight="1" ht="17.25" hidden="1">
      <c r="A3979" s="112" t="s">
        <v>9254</v>
      </c>
      <c r="B3979" s="1" t="s">
        <v>2549</v>
      </c>
      <c r="C3979" s="1" t="s">
        <v>42</v>
      </c>
      <c r="D3979" s="1" t="s">
        <v>9255</v>
      </c>
      <c r="E3979" s="62">
        <v>19</v>
      </c>
      <c r="F3979" s="1" t="s">
        <v>2551</v>
      </c>
      <c r="G3979" s="1" t="s">
        <v>2558</v>
      </c>
    </row>
    <row x14ac:dyDescent="0.25" r="3980" customHeight="1" ht="17.25" hidden="1">
      <c r="A3980" s="112" t="s">
        <v>9254</v>
      </c>
      <c r="B3980" s="1" t="s">
        <v>2549</v>
      </c>
      <c r="C3980" s="1" t="s">
        <v>42</v>
      </c>
      <c r="D3980" s="1" t="s">
        <v>9256</v>
      </c>
      <c r="E3980" s="62">
        <v>22</v>
      </c>
      <c r="F3980" s="1" t="s">
        <v>2551</v>
      </c>
      <c r="G3980" s="1" t="s">
        <v>2555</v>
      </c>
    </row>
    <row x14ac:dyDescent="0.25" r="3981" customHeight="1" ht="17.25" hidden="1">
      <c r="A3981" s="112" t="s">
        <v>9254</v>
      </c>
      <c r="B3981" s="1" t="s">
        <v>2549</v>
      </c>
      <c r="C3981" s="1" t="s">
        <v>42</v>
      </c>
      <c r="D3981" s="1" t="s">
        <v>9257</v>
      </c>
      <c r="E3981" s="62">
        <v>30</v>
      </c>
      <c r="F3981" s="1" t="s">
        <v>2551</v>
      </c>
      <c r="G3981" s="1" t="s">
        <v>2555</v>
      </c>
    </row>
    <row x14ac:dyDescent="0.25" r="3982" customHeight="1" ht="17.25" hidden="1">
      <c r="A3982" s="112" t="s">
        <v>9258</v>
      </c>
      <c r="B3982" s="1" t="s">
        <v>2549</v>
      </c>
      <c r="C3982" s="1" t="s">
        <v>42</v>
      </c>
      <c r="D3982" s="1" t="s">
        <v>9259</v>
      </c>
      <c r="E3982" s="62">
        <v>26</v>
      </c>
      <c r="F3982" s="1" t="s">
        <v>2551</v>
      </c>
      <c r="G3982" s="1" t="s">
        <v>2555</v>
      </c>
    </row>
    <row x14ac:dyDescent="0.25" r="3983" customHeight="1" ht="17.25" hidden="1">
      <c r="A3983" s="112" t="s">
        <v>9260</v>
      </c>
      <c r="B3983" s="1" t="s">
        <v>2549</v>
      </c>
      <c r="C3983" s="1" t="s">
        <v>42</v>
      </c>
      <c r="D3983" s="1" t="s">
        <v>9261</v>
      </c>
      <c r="E3983" s="62">
        <v>24</v>
      </c>
      <c r="F3983" s="1" t="s">
        <v>2551</v>
      </c>
      <c r="G3983" s="1" t="s">
        <v>2552</v>
      </c>
    </row>
    <row x14ac:dyDescent="0.25" r="3984" customHeight="1" ht="17.25" hidden="1">
      <c r="A3984" s="112" t="s">
        <v>976</v>
      </c>
      <c r="B3984" s="1" t="s">
        <v>2549</v>
      </c>
      <c r="C3984" s="1" t="s">
        <v>42</v>
      </c>
      <c r="D3984" s="1" t="s">
        <v>977</v>
      </c>
      <c r="E3984" s="62">
        <v>18</v>
      </c>
      <c r="F3984" s="1" t="s">
        <v>2551</v>
      </c>
      <c r="G3984" s="1" t="s">
        <v>4578</v>
      </c>
    </row>
    <row x14ac:dyDescent="0.25" r="3985" customHeight="1" ht="17.25" hidden="1">
      <c r="A3985" s="112" t="s">
        <v>9262</v>
      </c>
      <c r="B3985" s="1" t="s">
        <v>2549</v>
      </c>
      <c r="C3985" s="1" t="s">
        <v>42</v>
      </c>
      <c r="D3985" s="1" t="s">
        <v>9263</v>
      </c>
      <c r="E3985" s="62">
        <v>34</v>
      </c>
      <c r="F3985" s="1" t="s">
        <v>2551</v>
      </c>
      <c r="G3985" s="1" t="s">
        <v>2558</v>
      </c>
    </row>
    <row x14ac:dyDescent="0.25" r="3986" customHeight="1" ht="17.25" hidden="1">
      <c r="A3986" s="112" t="s">
        <v>1690</v>
      </c>
      <c r="B3986" s="1" t="s">
        <v>2549</v>
      </c>
      <c r="C3986" s="1" t="s">
        <v>42</v>
      </c>
      <c r="D3986" s="1" t="s">
        <v>9264</v>
      </c>
      <c r="E3986" s="62">
        <v>27</v>
      </c>
      <c r="F3986" s="1" t="s">
        <v>2551</v>
      </c>
      <c r="G3986" s="1" t="s">
        <v>2552</v>
      </c>
    </row>
    <row x14ac:dyDescent="0.25" r="3987" customHeight="1" ht="17.25" hidden="1">
      <c r="A3987" s="112" t="s">
        <v>9265</v>
      </c>
      <c r="B3987" s="1" t="s">
        <v>2549</v>
      </c>
      <c r="C3987" s="1" t="s">
        <v>42</v>
      </c>
      <c r="D3987" s="1" t="s">
        <v>9266</v>
      </c>
      <c r="E3987" s="62">
        <v>42</v>
      </c>
      <c r="F3987" s="1" t="s">
        <v>2551</v>
      </c>
      <c r="G3987" s="1" t="s">
        <v>2555</v>
      </c>
    </row>
    <row x14ac:dyDescent="0.25" r="3988" customHeight="1" ht="17.25" hidden="1">
      <c r="A3988" s="112" t="s">
        <v>9267</v>
      </c>
      <c r="B3988" s="1" t="s">
        <v>2549</v>
      </c>
      <c r="C3988" s="1" t="s">
        <v>42</v>
      </c>
      <c r="D3988" s="1" t="s">
        <v>9268</v>
      </c>
      <c r="E3988" s="62">
        <v>37</v>
      </c>
      <c r="F3988" s="1" t="s">
        <v>2551</v>
      </c>
      <c r="G3988" s="1" t="s">
        <v>2555</v>
      </c>
    </row>
    <row x14ac:dyDescent="0.25" r="3989" customHeight="1" ht="17.25" hidden="1">
      <c r="A3989" s="112" t="s">
        <v>9269</v>
      </c>
      <c r="B3989" s="1" t="s">
        <v>2549</v>
      </c>
      <c r="C3989" s="1" t="s">
        <v>42</v>
      </c>
      <c r="D3989" s="1" t="s">
        <v>9270</v>
      </c>
      <c r="E3989" s="62">
        <v>21</v>
      </c>
      <c r="F3989" s="1" t="s">
        <v>2551</v>
      </c>
      <c r="G3989" s="1" t="s">
        <v>2555</v>
      </c>
    </row>
    <row x14ac:dyDescent="0.25" r="3990" customHeight="1" ht="17.25" hidden="1">
      <c r="A3990" s="112" t="s">
        <v>9269</v>
      </c>
      <c r="B3990" s="1" t="s">
        <v>2549</v>
      </c>
      <c r="C3990" s="1" t="s">
        <v>42</v>
      </c>
      <c r="D3990" s="1" t="s">
        <v>9271</v>
      </c>
      <c r="E3990" s="62">
        <v>18</v>
      </c>
      <c r="F3990" s="1" t="s">
        <v>2551</v>
      </c>
      <c r="G3990" s="1" t="s">
        <v>2555</v>
      </c>
    </row>
    <row x14ac:dyDescent="0.25" r="3991" customHeight="1" ht="17.25" hidden="1">
      <c r="A3991" s="112" t="s">
        <v>9272</v>
      </c>
      <c r="B3991" s="1" t="s">
        <v>2549</v>
      </c>
      <c r="C3991" s="1" t="s">
        <v>42</v>
      </c>
      <c r="D3991" s="1" t="s">
        <v>9273</v>
      </c>
      <c r="E3991" s="62">
        <v>21</v>
      </c>
      <c r="F3991" s="1" t="s">
        <v>2551</v>
      </c>
      <c r="G3991" s="1" t="s">
        <v>2555</v>
      </c>
    </row>
    <row x14ac:dyDescent="0.25" r="3992" customHeight="1" ht="17.25" hidden="1">
      <c r="A3992" s="112" t="s">
        <v>9274</v>
      </c>
      <c r="B3992" s="1" t="s">
        <v>2549</v>
      </c>
      <c r="C3992" s="1" t="s">
        <v>42</v>
      </c>
      <c r="D3992" s="1" t="s">
        <v>9275</v>
      </c>
      <c r="E3992" s="62">
        <v>18</v>
      </c>
      <c r="F3992" s="1" t="s">
        <v>2551</v>
      </c>
      <c r="G3992" s="1" t="s">
        <v>2555</v>
      </c>
    </row>
    <row x14ac:dyDescent="0.25" r="3993" customHeight="1" ht="17.25" hidden="1">
      <c r="A3993" s="112" t="s">
        <v>9276</v>
      </c>
      <c r="B3993" s="1" t="s">
        <v>2549</v>
      </c>
      <c r="C3993" s="1" t="s">
        <v>42</v>
      </c>
      <c r="D3993" s="1" t="s">
        <v>9277</v>
      </c>
      <c r="E3993" s="62">
        <v>27</v>
      </c>
      <c r="F3993" s="1" t="s">
        <v>2551</v>
      </c>
      <c r="G3993" s="1" t="s">
        <v>2558</v>
      </c>
    </row>
    <row x14ac:dyDescent="0.25" r="3994" customHeight="1" ht="17.25" hidden="1">
      <c r="A3994" s="112" t="s">
        <v>9278</v>
      </c>
      <c r="B3994" s="1" t="s">
        <v>2549</v>
      </c>
      <c r="C3994" s="1" t="s">
        <v>42</v>
      </c>
      <c r="D3994" s="1" t="s">
        <v>3171</v>
      </c>
      <c r="E3994" s="62">
        <v>18</v>
      </c>
      <c r="F3994" s="1" t="s">
        <v>2551</v>
      </c>
      <c r="G3994" s="1" t="s">
        <v>2558</v>
      </c>
    </row>
    <row x14ac:dyDescent="0.25" r="3995" customHeight="1" ht="17.25" hidden="1">
      <c r="A3995" s="112" t="s">
        <v>9279</v>
      </c>
      <c r="B3995" s="1" t="s">
        <v>2549</v>
      </c>
      <c r="C3995" s="1" t="s">
        <v>42</v>
      </c>
      <c r="D3995" s="1" t="s">
        <v>9280</v>
      </c>
      <c r="E3995" s="62">
        <v>21</v>
      </c>
      <c r="F3995" s="1" t="s">
        <v>2551</v>
      </c>
      <c r="G3995" s="1" t="s">
        <v>2555</v>
      </c>
    </row>
    <row x14ac:dyDescent="0.25" r="3996" customHeight="1" ht="17.25" hidden="1">
      <c r="A3996" s="112" t="s">
        <v>9281</v>
      </c>
      <c r="B3996" s="1" t="s">
        <v>2549</v>
      </c>
      <c r="C3996" s="1" t="s">
        <v>42</v>
      </c>
      <c r="D3996" s="1" t="s">
        <v>9282</v>
      </c>
      <c r="E3996" s="62">
        <v>25</v>
      </c>
      <c r="F3996" s="1" t="s">
        <v>2551</v>
      </c>
      <c r="G3996" s="1" t="s">
        <v>2555</v>
      </c>
    </row>
    <row x14ac:dyDescent="0.25" r="3997" customHeight="1" ht="17.25" hidden="1">
      <c r="A3997" s="112" t="s">
        <v>9283</v>
      </c>
      <c r="B3997" s="1" t="s">
        <v>2549</v>
      </c>
      <c r="C3997" s="1" t="s">
        <v>42</v>
      </c>
      <c r="D3997" s="1" t="s">
        <v>9284</v>
      </c>
      <c r="E3997" s="62">
        <v>19</v>
      </c>
      <c r="F3997" s="1" t="s">
        <v>2551</v>
      </c>
      <c r="G3997" s="1" t="s">
        <v>2552</v>
      </c>
    </row>
    <row x14ac:dyDescent="0.25" r="3998" customHeight="1" ht="17.25" hidden="1">
      <c r="A3998" s="112" t="s">
        <v>9285</v>
      </c>
      <c r="B3998" s="1" t="s">
        <v>2549</v>
      </c>
      <c r="C3998" s="1" t="s">
        <v>42</v>
      </c>
      <c r="D3998" s="1" t="s">
        <v>9286</v>
      </c>
      <c r="E3998" s="62">
        <v>21</v>
      </c>
      <c r="F3998" s="1" t="s">
        <v>2551</v>
      </c>
      <c r="G3998" s="1" t="s">
        <v>2552</v>
      </c>
    </row>
    <row x14ac:dyDescent="0.25" r="3999" customHeight="1" ht="17.25" hidden="1">
      <c r="A3999" s="112" t="s">
        <v>9287</v>
      </c>
      <c r="B3999" s="1" t="s">
        <v>2549</v>
      </c>
      <c r="C3999" s="1" t="s">
        <v>42</v>
      </c>
      <c r="D3999" s="1" t="s">
        <v>9288</v>
      </c>
      <c r="E3999" s="62">
        <v>24</v>
      </c>
      <c r="F3999" s="1" t="s">
        <v>2551</v>
      </c>
      <c r="G3999" s="1" t="s">
        <v>2555</v>
      </c>
    </row>
    <row x14ac:dyDescent="0.25" r="4000" customHeight="1" ht="17.25" hidden="1">
      <c r="A4000" s="112" t="s">
        <v>9289</v>
      </c>
      <c r="B4000" s="1" t="s">
        <v>2549</v>
      </c>
      <c r="C4000" s="1" t="s">
        <v>42</v>
      </c>
      <c r="D4000" s="1" t="s">
        <v>9290</v>
      </c>
      <c r="E4000" s="62">
        <v>25</v>
      </c>
      <c r="F4000" s="1" t="s">
        <v>2551</v>
      </c>
      <c r="G4000" s="1" t="s">
        <v>2552</v>
      </c>
    </row>
    <row x14ac:dyDescent="0.25" r="4001" customHeight="1" ht="17.25" hidden="1">
      <c r="A4001" s="112" t="s">
        <v>9291</v>
      </c>
      <c r="B4001" s="1" t="s">
        <v>2549</v>
      </c>
      <c r="C4001" s="1" t="s">
        <v>42</v>
      </c>
      <c r="D4001" s="1" t="s">
        <v>9292</v>
      </c>
      <c r="E4001" s="62">
        <v>18</v>
      </c>
      <c r="F4001" s="1" t="s">
        <v>2551</v>
      </c>
      <c r="G4001" s="1" t="s">
        <v>2558</v>
      </c>
    </row>
    <row x14ac:dyDescent="0.25" r="4002" customHeight="1" ht="17.25" hidden="1">
      <c r="A4002" s="112" t="s">
        <v>9293</v>
      </c>
      <c r="B4002" s="1" t="s">
        <v>2549</v>
      </c>
      <c r="C4002" s="1" t="s">
        <v>42</v>
      </c>
      <c r="D4002" s="1" t="s">
        <v>9294</v>
      </c>
      <c r="E4002" s="54" t="s">
        <v>2571</v>
      </c>
      <c r="F4002" s="1" t="s">
        <v>2551</v>
      </c>
      <c r="G4002" s="1" t="s">
        <v>2552</v>
      </c>
    </row>
    <row x14ac:dyDescent="0.25" r="4003" customHeight="1" ht="17.25" hidden="1">
      <c r="A4003" s="112" t="s">
        <v>9293</v>
      </c>
      <c r="B4003" s="1" t="s">
        <v>2549</v>
      </c>
      <c r="C4003" s="1" t="s">
        <v>42</v>
      </c>
      <c r="D4003" s="1" t="s">
        <v>9295</v>
      </c>
      <c r="E4003" s="62">
        <v>27</v>
      </c>
      <c r="F4003" s="1" t="s">
        <v>2561</v>
      </c>
      <c r="G4003" s="1" t="s">
        <v>2555</v>
      </c>
    </row>
    <row x14ac:dyDescent="0.25" r="4004" customHeight="1" ht="17.25" hidden="1">
      <c r="A4004" s="112" t="s">
        <v>9293</v>
      </c>
      <c r="B4004" s="1" t="s">
        <v>2549</v>
      </c>
      <c r="C4004" s="1" t="s">
        <v>42</v>
      </c>
      <c r="D4004" s="1" t="s">
        <v>9296</v>
      </c>
      <c r="E4004" s="62">
        <v>29</v>
      </c>
      <c r="F4004" s="1" t="s">
        <v>2551</v>
      </c>
      <c r="G4004" s="1" t="s">
        <v>2552</v>
      </c>
    </row>
    <row x14ac:dyDescent="0.25" r="4005" customHeight="1" ht="17.25" hidden="1">
      <c r="A4005" s="112" t="s">
        <v>9297</v>
      </c>
      <c r="B4005" s="1" t="s">
        <v>2549</v>
      </c>
      <c r="C4005" s="1" t="s">
        <v>42</v>
      </c>
      <c r="D4005" s="1" t="s">
        <v>9298</v>
      </c>
      <c r="E4005" s="62">
        <v>20</v>
      </c>
      <c r="F4005" s="1" t="s">
        <v>2551</v>
      </c>
      <c r="G4005" s="1" t="s">
        <v>2555</v>
      </c>
    </row>
    <row x14ac:dyDescent="0.25" r="4006" customHeight="1" ht="17.25" hidden="1">
      <c r="A4006" s="112" t="s">
        <v>9299</v>
      </c>
      <c r="B4006" s="1" t="s">
        <v>2549</v>
      </c>
      <c r="C4006" s="1" t="s">
        <v>42</v>
      </c>
      <c r="D4006" s="1" t="s">
        <v>9300</v>
      </c>
      <c r="E4006" s="62">
        <v>31</v>
      </c>
      <c r="F4006" s="1" t="s">
        <v>2551</v>
      </c>
      <c r="G4006" s="1" t="s">
        <v>2552</v>
      </c>
    </row>
    <row x14ac:dyDescent="0.25" r="4007" customHeight="1" ht="17.25" hidden="1">
      <c r="A4007" s="112" t="s">
        <v>9301</v>
      </c>
      <c r="B4007" s="1" t="s">
        <v>2549</v>
      </c>
      <c r="C4007" s="1" t="s">
        <v>42</v>
      </c>
      <c r="D4007" s="1" t="s">
        <v>9302</v>
      </c>
      <c r="E4007" s="62">
        <v>21</v>
      </c>
      <c r="F4007" s="1" t="s">
        <v>2551</v>
      </c>
      <c r="G4007" s="1" t="s">
        <v>2558</v>
      </c>
    </row>
    <row x14ac:dyDescent="0.25" r="4008" customHeight="1" ht="17.25" hidden="1">
      <c r="A4008" s="112" t="s">
        <v>9301</v>
      </c>
      <c r="B4008" s="1" t="s">
        <v>2549</v>
      </c>
      <c r="C4008" s="1" t="s">
        <v>42</v>
      </c>
      <c r="D4008" s="1" t="s">
        <v>9303</v>
      </c>
      <c r="E4008" s="62">
        <v>19</v>
      </c>
      <c r="F4008" s="1" t="s">
        <v>2551</v>
      </c>
      <c r="G4008" s="1" t="s">
        <v>2552</v>
      </c>
    </row>
    <row x14ac:dyDescent="0.25" r="4009" customHeight="1" ht="17.25" hidden="1">
      <c r="A4009" s="112" t="s">
        <v>9304</v>
      </c>
      <c r="B4009" s="1" t="s">
        <v>2549</v>
      </c>
      <c r="C4009" s="1" t="s">
        <v>42</v>
      </c>
      <c r="D4009" s="1" t="s">
        <v>9305</v>
      </c>
      <c r="E4009" s="62">
        <v>27</v>
      </c>
      <c r="F4009" s="1" t="s">
        <v>2551</v>
      </c>
      <c r="G4009" s="1" t="s">
        <v>2555</v>
      </c>
    </row>
    <row x14ac:dyDescent="0.25" r="4010" customHeight="1" ht="17.25" hidden="1">
      <c r="A4010" s="112" t="s">
        <v>9306</v>
      </c>
      <c r="B4010" s="1" t="s">
        <v>2549</v>
      </c>
      <c r="C4010" s="1" t="s">
        <v>42</v>
      </c>
      <c r="D4010" s="1" t="s">
        <v>9307</v>
      </c>
      <c r="E4010" s="62">
        <v>21</v>
      </c>
      <c r="F4010" s="1" t="s">
        <v>2551</v>
      </c>
      <c r="G4010" s="1" t="s">
        <v>2571</v>
      </c>
    </row>
    <row x14ac:dyDescent="0.25" r="4011" customHeight="1" ht="17.25" hidden="1">
      <c r="A4011" s="112" t="s">
        <v>9308</v>
      </c>
      <c r="B4011" s="1" t="s">
        <v>2549</v>
      </c>
      <c r="C4011" s="1" t="s">
        <v>42</v>
      </c>
      <c r="D4011" s="1" t="s">
        <v>9309</v>
      </c>
      <c r="E4011" s="62">
        <v>18</v>
      </c>
      <c r="F4011" s="1" t="s">
        <v>2551</v>
      </c>
      <c r="G4011" s="1" t="s">
        <v>2552</v>
      </c>
    </row>
    <row x14ac:dyDescent="0.25" r="4012" customHeight="1" ht="17.25" hidden="1">
      <c r="A4012" s="112" t="s">
        <v>9310</v>
      </c>
      <c r="B4012" s="1" t="s">
        <v>2549</v>
      </c>
      <c r="C4012" s="1" t="s">
        <v>42</v>
      </c>
      <c r="D4012" s="1" t="s">
        <v>9311</v>
      </c>
      <c r="E4012" s="62">
        <v>20</v>
      </c>
      <c r="F4012" s="1" t="s">
        <v>2561</v>
      </c>
      <c r="G4012" s="1" t="s">
        <v>2555</v>
      </c>
    </row>
    <row x14ac:dyDescent="0.25" r="4013" customHeight="1" ht="17.25" hidden="1">
      <c r="A4013" s="112" t="s">
        <v>9312</v>
      </c>
      <c r="B4013" s="1" t="s">
        <v>2549</v>
      </c>
      <c r="C4013" s="1" t="s">
        <v>42</v>
      </c>
      <c r="D4013" s="1" t="s">
        <v>9313</v>
      </c>
      <c r="E4013" s="62">
        <v>40</v>
      </c>
      <c r="F4013" s="1" t="s">
        <v>2561</v>
      </c>
      <c r="G4013" s="1" t="s">
        <v>2555</v>
      </c>
    </row>
    <row x14ac:dyDescent="0.25" r="4014" customHeight="1" ht="17.25" hidden="1">
      <c r="A4014" s="112" t="s">
        <v>9312</v>
      </c>
      <c r="B4014" s="1" t="s">
        <v>2549</v>
      </c>
      <c r="C4014" s="1" t="s">
        <v>42</v>
      </c>
      <c r="D4014" s="1" t="s">
        <v>9314</v>
      </c>
      <c r="E4014" s="54" t="s">
        <v>2571</v>
      </c>
      <c r="F4014" s="1" t="s">
        <v>2551</v>
      </c>
      <c r="G4014" s="1" t="s">
        <v>2552</v>
      </c>
    </row>
    <row x14ac:dyDescent="0.25" r="4015" customHeight="1" ht="17.25" hidden="1">
      <c r="A4015" s="112" t="s">
        <v>9315</v>
      </c>
      <c r="B4015" s="1" t="s">
        <v>2549</v>
      </c>
      <c r="C4015" s="1" t="s">
        <v>42</v>
      </c>
      <c r="D4015" s="1" t="s">
        <v>9316</v>
      </c>
      <c r="E4015" s="62">
        <v>19</v>
      </c>
      <c r="F4015" s="1" t="s">
        <v>2551</v>
      </c>
      <c r="G4015" s="1" t="s">
        <v>2555</v>
      </c>
    </row>
    <row x14ac:dyDescent="0.25" r="4016" customHeight="1" ht="17.25" hidden="1">
      <c r="A4016" s="112" t="s">
        <v>9317</v>
      </c>
      <c r="B4016" s="1" t="s">
        <v>2549</v>
      </c>
      <c r="C4016" s="1" t="s">
        <v>42</v>
      </c>
      <c r="D4016" s="1" t="s">
        <v>9318</v>
      </c>
      <c r="E4016" s="62">
        <v>31</v>
      </c>
      <c r="F4016" s="1" t="s">
        <v>2551</v>
      </c>
      <c r="G4016" s="1" t="s">
        <v>2552</v>
      </c>
    </row>
    <row x14ac:dyDescent="0.25" r="4017" customHeight="1" ht="17.25" hidden="1">
      <c r="A4017" s="112" t="s">
        <v>9317</v>
      </c>
      <c r="B4017" s="1" t="s">
        <v>2549</v>
      </c>
      <c r="C4017" s="1" t="s">
        <v>42</v>
      </c>
      <c r="D4017" s="1" t="s">
        <v>9319</v>
      </c>
      <c r="E4017" s="62">
        <v>29</v>
      </c>
      <c r="F4017" s="1" t="s">
        <v>2551</v>
      </c>
      <c r="G4017" s="1" t="s">
        <v>2552</v>
      </c>
    </row>
    <row x14ac:dyDescent="0.25" r="4018" customHeight="1" ht="17.25" hidden="1">
      <c r="A4018" s="112" t="s">
        <v>9320</v>
      </c>
      <c r="B4018" s="1" t="s">
        <v>2549</v>
      </c>
      <c r="C4018" s="1" t="s">
        <v>42</v>
      </c>
      <c r="D4018" s="1" t="s">
        <v>9321</v>
      </c>
      <c r="E4018" s="62">
        <v>23</v>
      </c>
      <c r="F4018" s="1" t="s">
        <v>2551</v>
      </c>
      <c r="G4018" s="1" t="s">
        <v>2558</v>
      </c>
    </row>
    <row x14ac:dyDescent="0.25" r="4019" customHeight="1" ht="17.25" hidden="1">
      <c r="A4019" s="112" t="s">
        <v>9322</v>
      </c>
      <c r="B4019" s="1" t="s">
        <v>2549</v>
      </c>
      <c r="C4019" s="1" t="s">
        <v>42</v>
      </c>
      <c r="D4019" s="1" t="s">
        <v>9323</v>
      </c>
      <c r="E4019" s="62">
        <v>41</v>
      </c>
      <c r="F4019" s="1" t="s">
        <v>2551</v>
      </c>
      <c r="G4019" s="1" t="s">
        <v>2552</v>
      </c>
    </row>
    <row x14ac:dyDescent="0.25" r="4020" customHeight="1" ht="17.25" hidden="1">
      <c r="A4020" s="112" t="s">
        <v>9324</v>
      </c>
      <c r="B4020" s="1" t="s">
        <v>2549</v>
      </c>
      <c r="C4020" s="1" t="s">
        <v>42</v>
      </c>
      <c r="D4020" s="1" t="s">
        <v>9325</v>
      </c>
      <c r="E4020" s="62">
        <v>26</v>
      </c>
      <c r="F4020" s="1" t="s">
        <v>2551</v>
      </c>
      <c r="G4020" s="1" t="s">
        <v>2555</v>
      </c>
    </row>
    <row x14ac:dyDescent="0.25" r="4021" customHeight="1" ht="17.25" hidden="1">
      <c r="A4021" s="112" t="s">
        <v>9326</v>
      </c>
      <c r="B4021" s="1" t="s">
        <v>2549</v>
      </c>
      <c r="C4021" s="1" t="s">
        <v>42</v>
      </c>
      <c r="D4021" s="1" t="s">
        <v>9327</v>
      </c>
      <c r="E4021" s="62">
        <v>21</v>
      </c>
      <c r="F4021" s="1" t="s">
        <v>2551</v>
      </c>
      <c r="G4021" s="1" t="s">
        <v>2552</v>
      </c>
    </row>
    <row x14ac:dyDescent="0.25" r="4022" customHeight="1" ht="17.25" hidden="1">
      <c r="A4022" s="112" t="s">
        <v>1543</v>
      </c>
      <c r="B4022" s="1" t="s">
        <v>2549</v>
      </c>
      <c r="C4022" s="1" t="s">
        <v>42</v>
      </c>
      <c r="D4022" s="1" t="s">
        <v>1545</v>
      </c>
      <c r="E4022" s="62">
        <v>23</v>
      </c>
      <c r="F4022" s="1" t="s">
        <v>2561</v>
      </c>
      <c r="G4022" s="1" t="s">
        <v>2552</v>
      </c>
    </row>
    <row x14ac:dyDescent="0.25" r="4023" customHeight="1" ht="17.25" hidden="1">
      <c r="A4023" s="112" t="s">
        <v>9328</v>
      </c>
      <c r="B4023" s="1" t="s">
        <v>2549</v>
      </c>
      <c r="C4023" s="1" t="s">
        <v>42</v>
      </c>
      <c r="D4023" s="1" t="s">
        <v>9329</v>
      </c>
      <c r="E4023" s="62">
        <v>24</v>
      </c>
      <c r="F4023" s="1" t="s">
        <v>2551</v>
      </c>
      <c r="G4023" s="1" t="s">
        <v>2555</v>
      </c>
    </row>
    <row x14ac:dyDescent="0.25" r="4024" customHeight="1" ht="17.25" hidden="1">
      <c r="A4024" s="112" t="s">
        <v>9330</v>
      </c>
      <c r="B4024" s="1" t="s">
        <v>2549</v>
      </c>
      <c r="C4024" s="1" t="s">
        <v>42</v>
      </c>
      <c r="D4024" s="1" t="s">
        <v>9331</v>
      </c>
      <c r="E4024" s="62">
        <v>33</v>
      </c>
      <c r="F4024" s="1" t="s">
        <v>2551</v>
      </c>
      <c r="G4024" s="1" t="s">
        <v>2552</v>
      </c>
    </row>
    <row x14ac:dyDescent="0.25" r="4025" customHeight="1" ht="17.25" hidden="1">
      <c r="A4025" s="112" t="s">
        <v>9332</v>
      </c>
      <c r="B4025" s="1" t="s">
        <v>2549</v>
      </c>
      <c r="C4025" s="1" t="s">
        <v>42</v>
      </c>
      <c r="D4025" s="1" t="s">
        <v>9333</v>
      </c>
      <c r="E4025" s="62">
        <v>18</v>
      </c>
      <c r="F4025" s="1" t="s">
        <v>2551</v>
      </c>
      <c r="G4025" s="1" t="s">
        <v>2555</v>
      </c>
    </row>
    <row x14ac:dyDescent="0.25" r="4026" customHeight="1" ht="17.25" hidden="1">
      <c r="A4026" s="112" t="s">
        <v>9334</v>
      </c>
      <c r="B4026" s="1" t="s">
        <v>2549</v>
      </c>
      <c r="C4026" s="1" t="s">
        <v>42</v>
      </c>
      <c r="D4026" s="1" t="s">
        <v>9335</v>
      </c>
      <c r="E4026" s="62">
        <v>22</v>
      </c>
      <c r="F4026" s="1" t="s">
        <v>2551</v>
      </c>
      <c r="G4026" s="1" t="s">
        <v>2552</v>
      </c>
    </row>
    <row x14ac:dyDescent="0.25" r="4027" customHeight="1" ht="17.25" hidden="1">
      <c r="A4027" s="112" t="s">
        <v>9336</v>
      </c>
      <c r="B4027" s="1" t="s">
        <v>2549</v>
      </c>
      <c r="C4027" s="1" t="s">
        <v>42</v>
      </c>
      <c r="D4027" s="1" t="s">
        <v>9337</v>
      </c>
      <c r="E4027" s="54" t="s">
        <v>2571</v>
      </c>
      <c r="F4027" s="1" t="s">
        <v>2551</v>
      </c>
      <c r="G4027" s="1" t="s">
        <v>2552</v>
      </c>
    </row>
    <row x14ac:dyDescent="0.25" r="4028" customHeight="1" ht="17.25" hidden="1">
      <c r="A4028" s="112" t="s">
        <v>9336</v>
      </c>
      <c r="B4028" s="1" t="s">
        <v>2549</v>
      </c>
      <c r="C4028" s="1" t="s">
        <v>42</v>
      </c>
      <c r="D4028" s="1" t="s">
        <v>9338</v>
      </c>
      <c r="E4028" s="54" t="s">
        <v>2571</v>
      </c>
      <c r="F4028" s="1" t="s">
        <v>2551</v>
      </c>
      <c r="G4028" s="1" t="s">
        <v>2552</v>
      </c>
    </row>
    <row x14ac:dyDescent="0.25" r="4029" customHeight="1" ht="17.25" hidden="1">
      <c r="A4029" s="112" t="s">
        <v>9336</v>
      </c>
      <c r="B4029" s="1" t="s">
        <v>2549</v>
      </c>
      <c r="C4029" s="1" t="s">
        <v>42</v>
      </c>
      <c r="D4029" s="1" t="s">
        <v>9339</v>
      </c>
      <c r="E4029" s="54" t="s">
        <v>2571</v>
      </c>
      <c r="F4029" s="1" t="s">
        <v>2551</v>
      </c>
      <c r="G4029" s="1" t="s">
        <v>2555</v>
      </c>
    </row>
    <row x14ac:dyDescent="0.25" r="4030" customHeight="1" ht="17.25" hidden="1">
      <c r="A4030" s="112" t="s">
        <v>9336</v>
      </c>
      <c r="B4030" s="1" t="s">
        <v>2549</v>
      </c>
      <c r="C4030" s="1" t="s">
        <v>42</v>
      </c>
      <c r="D4030" s="1" t="s">
        <v>9340</v>
      </c>
      <c r="E4030" s="54" t="s">
        <v>2571</v>
      </c>
      <c r="F4030" s="1" t="s">
        <v>2551</v>
      </c>
      <c r="G4030" s="1" t="s">
        <v>2555</v>
      </c>
    </row>
    <row x14ac:dyDescent="0.25" r="4031" customHeight="1" ht="17.25" hidden="1">
      <c r="A4031" s="112" t="s">
        <v>9336</v>
      </c>
      <c r="B4031" s="1" t="s">
        <v>2549</v>
      </c>
      <c r="C4031" s="1" t="s">
        <v>42</v>
      </c>
      <c r="D4031" s="1" t="s">
        <v>9341</v>
      </c>
      <c r="E4031" s="54" t="s">
        <v>2571</v>
      </c>
      <c r="F4031" s="1" t="s">
        <v>2551</v>
      </c>
      <c r="G4031" s="1" t="s">
        <v>2552</v>
      </c>
    </row>
    <row x14ac:dyDescent="0.25" r="4032" customHeight="1" ht="17.25" hidden="1">
      <c r="A4032" s="112" t="s">
        <v>9336</v>
      </c>
      <c r="B4032" s="1" t="s">
        <v>2549</v>
      </c>
      <c r="C4032" s="1" t="s">
        <v>42</v>
      </c>
      <c r="D4032" s="1" t="s">
        <v>9342</v>
      </c>
      <c r="E4032" s="54" t="s">
        <v>2571</v>
      </c>
      <c r="F4032" s="1" t="s">
        <v>2551</v>
      </c>
      <c r="G4032" s="1" t="s">
        <v>2552</v>
      </c>
    </row>
    <row x14ac:dyDescent="0.25" r="4033" customHeight="1" ht="17.25" hidden="1">
      <c r="A4033" s="112" t="s">
        <v>9336</v>
      </c>
      <c r="B4033" s="1" t="s">
        <v>2549</v>
      </c>
      <c r="C4033" s="1" t="s">
        <v>42</v>
      </c>
      <c r="D4033" s="1" t="s">
        <v>9343</v>
      </c>
      <c r="E4033" s="54" t="s">
        <v>2571</v>
      </c>
      <c r="F4033" s="1" t="s">
        <v>2551</v>
      </c>
      <c r="G4033" s="1" t="s">
        <v>2552</v>
      </c>
    </row>
    <row x14ac:dyDescent="0.25" r="4034" customHeight="1" ht="17.25" hidden="1">
      <c r="A4034" s="112" t="s">
        <v>9336</v>
      </c>
      <c r="B4034" s="1" t="s">
        <v>2549</v>
      </c>
      <c r="C4034" s="1" t="s">
        <v>42</v>
      </c>
      <c r="D4034" s="1" t="s">
        <v>9344</v>
      </c>
      <c r="E4034" s="54" t="s">
        <v>2571</v>
      </c>
      <c r="F4034" s="1" t="s">
        <v>2551</v>
      </c>
      <c r="G4034" s="1" t="s">
        <v>2555</v>
      </c>
    </row>
    <row x14ac:dyDescent="0.25" r="4035" customHeight="1" ht="17.25" hidden="1">
      <c r="A4035" s="112" t="s">
        <v>9336</v>
      </c>
      <c r="B4035" s="1" t="s">
        <v>2549</v>
      </c>
      <c r="C4035" s="1" t="s">
        <v>42</v>
      </c>
      <c r="D4035" s="1" t="s">
        <v>9345</v>
      </c>
      <c r="E4035" s="54" t="s">
        <v>2571</v>
      </c>
      <c r="F4035" s="1" t="s">
        <v>2551</v>
      </c>
      <c r="G4035" s="1" t="s">
        <v>2552</v>
      </c>
    </row>
    <row x14ac:dyDescent="0.25" r="4036" customHeight="1" ht="17.25" hidden="1">
      <c r="A4036" s="112" t="s">
        <v>9346</v>
      </c>
      <c r="B4036" s="1" t="s">
        <v>2549</v>
      </c>
      <c r="C4036" s="1" t="s">
        <v>42</v>
      </c>
      <c r="D4036" s="1" t="s">
        <v>9347</v>
      </c>
      <c r="E4036" s="62">
        <v>19</v>
      </c>
      <c r="F4036" s="1" t="s">
        <v>2551</v>
      </c>
      <c r="G4036" s="1" t="s">
        <v>2552</v>
      </c>
    </row>
    <row x14ac:dyDescent="0.25" r="4037" customHeight="1" ht="17.25" hidden="1">
      <c r="A4037" s="112" t="s">
        <v>9348</v>
      </c>
      <c r="B4037" s="1" t="s">
        <v>2549</v>
      </c>
      <c r="C4037" s="1" t="s">
        <v>42</v>
      </c>
      <c r="D4037" s="1" t="s">
        <v>9349</v>
      </c>
      <c r="E4037" s="62">
        <v>42</v>
      </c>
      <c r="F4037" s="1" t="s">
        <v>2561</v>
      </c>
      <c r="G4037" s="1" t="s">
        <v>2558</v>
      </c>
    </row>
    <row x14ac:dyDescent="0.25" r="4038" customHeight="1" ht="17.25" hidden="1">
      <c r="A4038" s="112" t="s">
        <v>9350</v>
      </c>
      <c r="B4038" s="1" t="s">
        <v>2549</v>
      </c>
      <c r="C4038" s="1" t="s">
        <v>42</v>
      </c>
      <c r="D4038" s="1" t="s">
        <v>9351</v>
      </c>
      <c r="E4038" s="62">
        <v>21</v>
      </c>
      <c r="F4038" s="1" t="s">
        <v>2551</v>
      </c>
      <c r="G4038" s="1" t="s">
        <v>2555</v>
      </c>
    </row>
    <row x14ac:dyDescent="0.25" r="4039" customHeight="1" ht="17.25" hidden="1">
      <c r="A4039" s="112" t="s">
        <v>1232</v>
      </c>
      <c r="B4039" s="1" t="s">
        <v>2549</v>
      </c>
      <c r="C4039" s="1" t="s">
        <v>42</v>
      </c>
      <c r="D4039" s="1" t="s">
        <v>9352</v>
      </c>
      <c r="E4039" s="62">
        <v>24</v>
      </c>
      <c r="F4039" s="1" t="s">
        <v>2551</v>
      </c>
      <c r="G4039" s="1" t="s">
        <v>2558</v>
      </c>
    </row>
    <row x14ac:dyDescent="0.25" r="4040" customHeight="1" ht="17.25" hidden="1">
      <c r="A4040" s="112" t="s">
        <v>9353</v>
      </c>
      <c r="B4040" s="1" t="s">
        <v>2549</v>
      </c>
      <c r="C4040" s="1" t="s">
        <v>42</v>
      </c>
      <c r="D4040" s="1" t="s">
        <v>9354</v>
      </c>
      <c r="E4040" s="62">
        <v>28</v>
      </c>
      <c r="F4040" s="1" t="s">
        <v>2551</v>
      </c>
      <c r="G4040" s="1" t="s">
        <v>2552</v>
      </c>
    </row>
    <row x14ac:dyDescent="0.25" r="4041" customHeight="1" ht="17.25" hidden="1">
      <c r="A4041" s="112" t="s">
        <v>9355</v>
      </c>
      <c r="B4041" s="1" t="s">
        <v>2549</v>
      </c>
      <c r="C4041" s="1" t="s">
        <v>42</v>
      </c>
      <c r="D4041" s="1" t="s">
        <v>9356</v>
      </c>
      <c r="E4041" s="62">
        <v>19</v>
      </c>
      <c r="F4041" s="1" t="s">
        <v>2551</v>
      </c>
      <c r="G4041" s="1" t="s">
        <v>2552</v>
      </c>
    </row>
    <row x14ac:dyDescent="0.25" r="4042" customHeight="1" ht="17.25" hidden="1">
      <c r="A4042" s="112" t="s">
        <v>9357</v>
      </c>
      <c r="B4042" s="1" t="s">
        <v>2549</v>
      </c>
      <c r="C4042" s="1" t="s">
        <v>42</v>
      </c>
      <c r="D4042" s="1" t="s">
        <v>9358</v>
      </c>
      <c r="E4042" s="62">
        <v>22</v>
      </c>
      <c r="F4042" s="1" t="s">
        <v>2551</v>
      </c>
      <c r="G4042" s="1" t="s">
        <v>2555</v>
      </c>
    </row>
    <row x14ac:dyDescent="0.25" r="4043" customHeight="1" ht="17.25" hidden="1">
      <c r="A4043" s="112" t="s">
        <v>9357</v>
      </c>
      <c r="B4043" s="1" t="s">
        <v>2549</v>
      </c>
      <c r="C4043" s="1" t="s">
        <v>42</v>
      </c>
      <c r="D4043" s="1" t="s">
        <v>9359</v>
      </c>
      <c r="E4043" s="62">
        <v>20</v>
      </c>
      <c r="F4043" s="1" t="s">
        <v>2551</v>
      </c>
      <c r="G4043" s="1" t="s">
        <v>2552</v>
      </c>
    </row>
    <row x14ac:dyDescent="0.25" r="4044" customHeight="1" ht="17.25" hidden="1">
      <c r="A4044" s="112" t="s">
        <v>9360</v>
      </c>
      <c r="B4044" s="1" t="s">
        <v>2549</v>
      </c>
      <c r="C4044" s="1" t="s">
        <v>42</v>
      </c>
      <c r="D4044" s="1" t="s">
        <v>9361</v>
      </c>
      <c r="E4044" s="62">
        <v>29</v>
      </c>
      <c r="F4044" s="1" t="s">
        <v>2551</v>
      </c>
      <c r="G4044" s="1" t="s">
        <v>2558</v>
      </c>
    </row>
    <row x14ac:dyDescent="0.25" r="4045" customHeight="1" ht="17.25" hidden="1">
      <c r="A4045" s="112" t="s">
        <v>9362</v>
      </c>
      <c r="B4045" s="1" t="s">
        <v>2549</v>
      </c>
      <c r="C4045" s="1" t="s">
        <v>42</v>
      </c>
      <c r="D4045" s="1" t="s">
        <v>9363</v>
      </c>
      <c r="E4045" s="54" t="s">
        <v>2571</v>
      </c>
      <c r="F4045" s="1" t="s">
        <v>2551</v>
      </c>
      <c r="G4045" s="1" t="s">
        <v>2555</v>
      </c>
    </row>
    <row x14ac:dyDescent="0.25" r="4046" customHeight="1" ht="17.25" hidden="1">
      <c r="A4046" s="112" t="s">
        <v>9362</v>
      </c>
      <c r="B4046" s="1" t="s">
        <v>2549</v>
      </c>
      <c r="C4046" s="1" t="s">
        <v>42</v>
      </c>
      <c r="D4046" s="1" t="s">
        <v>9364</v>
      </c>
      <c r="E4046" s="54" t="s">
        <v>2571</v>
      </c>
      <c r="F4046" s="1" t="s">
        <v>2561</v>
      </c>
      <c r="G4046" s="1" t="s">
        <v>2555</v>
      </c>
    </row>
    <row x14ac:dyDescent="0.25" r="4047" customHeight="1" ht="17.25" hidden="1">
      <c r="A4047" s="112" t="s">
        <v>9362</v>
      </c>
      <c r="B4047" s="1" t="s">
        <v>2549</v>
      </c>
      <c r="C4047" s="1" t="s">
        <v>42</v>
      </c>
      <c r="D4047" s="1" t="s">
        <v>9365</v>
      </c>
      <c r="E4047" s="54" t="s">
        <v>2571</v>
      </c>
      <c r="F4047" s="1" t="s">
        <v>2551</v>
      </c>
      <c r="G4047" s="1" t="s">
        <v>2555</v>
      </c>
    </row>
    <row x14ac:dyDescent="0.25" r="4048" customHeight="1" ht="17.25" hidden="1">
      <c r="A4048" s="112" t="s">
        <v>9362</v>
      </c>
      <c r="B4048" s="1" t="s">
        <v>2549</v>
      </c>
      <c r="C4048" s="1" t="s">
        <v>42</v>
      </c>
      <c r="D4048" s="1" t="s">
        <v>9366</v>
      </c>
      <c r="E4048" s="54" t="s">
        <v>2571</v>
      </c>
      <c r="F4048" s="1" t="s">
        <v>2561</v>
      </c>
      <c r="G4048" s="1" t="s">
        <v>2555</v>
      </c>
    </row>
    <row x14ac:dyDescent="0.25" r="4049" customHeight="1" ht="17.25" hidden="1">
      <c r="A4049" s="112" t="s">
        <v>9367</v>
      </c>
      <c r="B4049" s="1" t="s">
        <v>2549</v>
      </c>
      <c r="C4049" s="1" t="s">
        <v>42</v>
      </c>
      <c r="D4049" s="1" t="s">
        <v>9368</v>
      </c>
      <c r="E4049" s="62">
        <v>30</v>
      </c>
      <c r="F4049" s="1" t="s">
        <v>2551</v>
      </c>
      <c r="G4049" s="1" t="s">
        <v>2555</v>
      </c>
    </row>
    <row x14ac:dyDescent="0.25" r="4050" customHeight="1" ht="17.25" hidden="1">
      <c r="A4050" s="112" t="s">
        <v>9369</v>
      </c>
      <c r="B4050" s="1" t="s">
        <v>2549</v>
      </c>
      <c r="C4050" s="1" t="s">
        <v>42</v>
      </c>
      <c r="D4050" s="1" t="s">
        <v>9370</v>
      </c>
      <c r="E4050" s="62">
        <v>18</v>
      </c>
      <c r="F4050" s="1" t="s">
        <v>2561</v>
      </c>
      <c r="G4050" s="1" t="s">
        <v>2552</v>
      </c>
    </row>
    <row x14ac:dyDescent="0.25" r="4051" customHeight="1" ht="17.25" hidden="1">
      <c r="A4051" s="112" t="s">
        <v>9371</v>
      </c>
      <c r="B4051" s="1" t="s">
        <v>2549</v>
      </c>
      <c r="C4051" s="1" t="s">
        <v>42</v>
      </c>
      <c r="D4051" s="1" t="s">
        <v>9372</v>
      </c>
      <c r="E4051" s="62">
        <v>19</v>
      </c>
      <c r="F4051" s="1" t="s">
        <v>2551</v>
      </c>
      <c r="G4051" s="1" t="s">
        <v>2552</v>
      </c>
    </row>
    <row x14ac:dyDescent="0.25" r="4052" customHeight="1" ht="17.25" hidden="1">
      <c r="A4052" s="112" t="s">
        <v>9373</v>
      </c>
      <c r="B4052" s="1" t="s">
        <v>2549</v>
      </c>
      <c r="C4052" s="1" t="s">
        <v>42</v>
      </c>
      <c r="D4052" s="1" t="s">
        <v>9374</v>
      </c>
      <c r="E4052" s="62">
        <v>21</v>
      </c>
      <c r="F4052" s="1" t="s">
        <v>2551</v>
      </c>
      <c r="G4052" s="1" t="s">
        <v>2552</v>
      </c>
    </row>
    <row x14ac:dyDescent="0.25" r="4053" customHeight="1" ht="17.25" hidden="1">
      <c r="A4053" s="112" t="s">
        <v>9375</v>
      </c>
      <c r="B4053" s="1" t="s">
        <v>2549</v>
      </c>
      <c r="C4053" s="1" t="s">
        <v>42</v>
      </c>
      <c r="D4053" s="1" t="s">
        <v>9376</v>
      </c>
      <c r="E4053" s="62">
        <v>20</v>
      </c>
      <c r="F4053" s="1" t="s">
        <v>2551</v>
      </c>
      <c r="G4053" s="1" t="s">
        <v>2558</v>
      </c>
    </row>
    <row x14ac:dyDescent="0.25" r="4054" customHeight="1" ht="17.25" hidden="1">
      <c r="A4054" s="112" t="s">
        <v>9377</v>
      </c>
      <c r="B4054" s="1" t="s">
        <v>2549</v>
      </c>
      <c r="C4054" s="1" t="s">
        <v>42</v>
      </c>
      <c r="D4054" s="1" t="s">
        <v>5378</v>
      </c>
      <c r="E4054" s="62">
        <v>40</v>
      </c>
      <c r="F4054" s="1" t="s">
        <v>2561</v>
      </c>
      <c r="G4054" s="1" t="s">
        <v>2558</v>
      </c>
    </row>
    <row x14ac:dyDescent="0.25" r="4055" customHeight="1" ht="17.25" hidden="1">
      <c r="A4055" s="112" t="s">
        <v>9378</v>
      </c>
      <c r="B4055" s="1" t="s">
        <v>2549</v>
      </c>
      <c r="C4055" s="1" t="s">
        <v>42</v>
      </c>
      <c r="D4055" s="1" t="s">
        <v>9379</v>
      </c>
      <c r="E4055" s="62">
        <v>25</v>
      </c>
      <c r="F4055" s="1" t="s">
        <v>2551</v>
      </c>
      <c r="G4055" s="1" t="s">
        <v>2552</v>
      </c>
    </row>
    <row x14ac:dyDescent="0.25" r="4056" customHeight="1" ht="17.25" hidden="1">
      <c r="A4056" s="112" t="s">
        <v>9380</v>
      </c>
      <c r="B4056" s="1" t="s">
        <v>2549</v>
      </c>
      <c r="C4056" s="1" t="s">
        <v>42</v>
      </c>
      <c r="D4056" s="1" t="s">
        <v>9381</v>
      </c>
      <c r="E4056" s="62">
        <v>20</v>
      </c>
      <c r="F4056" s="1" t="s">
        <v>2551</v>
      </c>
      <c r="G4056" s="1" t="s">
        <v>2555</v>
      </c>
    </row>
    <row x14ac:dyDescent="0.25" r="4057" customHeight="1" ht="17.25" hidden="1">
      <c r="A4057" s="112" t="s">
        <v>9382</v>
      </c>
      <c r="B4057" s="1" t="s">
        <v>2549</v>
      </c>
      <c r="C4057" s="1" t="s">
        <v>42</v>
      </c>
      <c r="D4057" s="1" t="s">
        <v>9383</v>
      </c>
      <c r="E4057" s="62">
        <v>19</v>
      </c>
      <c r="F4057" s="1" t="s">
        <v>2561</v>
      </c>
      <c r="G4057" s="1" t="s">
        <v>2555</v>
      </c>
    </row>
    <row x14ac:dyDescent="0.25" r="4058" customHeight="1" ht="17.25" hidden="1">
      <c r="A4058" s="112" t="s">
        <v>9382</v>
      </c>
      <c r="B4058" s="1" t="s">
        <v>2549</v>
      </c>
      <c r="C4058" s="1" t="s">
        <v>42</v>
      </c>
      <c r="D4058" s="1" t="s">
        <v>9384</v>
      </c>
      <c r="E4058" s="62">
        <v>21</v>
      </c>
      <c r="F4058" s="1" t="s">
        <v>2551</v>
      </c>
      <c r="G4058" s="1" t="s">
        <v>2555</v>
      </c>
    </row>
    <row x14ac:dyDescent="0.25" r="4059" customHeight="1" ht="17.25" hidden="1">
      <c r="A4059" s="112" t="s">
        <v>1702</v>
      </c>
      <c r="B4059" s="1" t="s">
        <v>2549</v>
      </c>
      <c r="C4059" s="1" t="s">
        <v>42</v>
      </c>
      <c r="D4059" s="1" t="s">
        <v>1703</v>
      </c>
      <c r="E4059" s="62">
        <v>30</v>
      </c>
      <c r="F4059" s="1" t="s">
        <v>2551</v>
      </c>
      <c r="G4059" s="1" t="s">
        <v>2552</v>
      </c>
    </row>
    <row x14ac:dyDescent="0.25" r="4060" customHeight="1" ht="17.25" hidden="1">
      <c r="A4060" s="112" t="s">
        <v>9385</v>
      </c>
      <c r="B4060" s="1" t="s">
        <v>2549</v>
      </c>
      <c r="C4060" s="1" t="s">
        <v>42</v>
      </c>
      <c r="D4060" s="1" t="s">
        <v>9386</v>
      </c>
      <c r="E4060" s="62">
        <v>27</v>
      </c>
      <c r="F4060" s="1" t="s">
        <v>2551</v>
      </c>
      <c r="G4060" s="1" t="s">
        <v>2552</v>
      </c>
    </row>
    <row x14ac:dyDescent="0.25" r="4061" customHeight="1" ht="17.25" hidden="1">
      <c r="A4061" s="112" t="s">
        <v>9387</v>
      </c>
      <c r="B4061" s="1" t="s">
        <v>2549</v>
      </c>
      <c r="C4061" s="1" t="s">
        <v>42</v>
      </c>
      <c r="D4061" s="1" t="s">
        <v>9388</v>
      </c>
      <c r="E4061" s="62">
        <v>18</v>
      </c>
      <c r="F4061" s="1" t="s">
        <v>2551</v>
      </c>
      <c r="G4061" s="1" t="s">
        <v>2552</v>
      </c>
    </row>
    <row x14ac:dyDescent="0.25" r="4062" customHeight="1" ht="17.25" hidden="1">
      <c r="A4062" s="112" t="s">
        <v>9389</v>
      </c>
      <c r="B4062" s="1" t="s">
        <v>2549</v>
      </c>
      <c r="C4062" s="1" t="s">
        <v>42</v>
      </c>
      <c r="D4062" s="1" t="s">
        <v>9390</v>
      </c>
      <c r="E4062" s="62">
        <v>18</v>
      </c>
      <c r="F4062" s="1" t="s">
        <v>2551</v>
      </c>
      <c r="G4062" s="1" t="s">
        <v>2552</v>
      </c>
    </row>
    <row x14ac:dyDescent="0.25" r="4063" customHeight="1" ht="17.25" hidden="1">
      <c r="A4063" s="112" t="s">
        <v>9391</v>
      </c>
      <c r="B4063" s="1" t="s">
        <v>2549</v>
      </c>
      <c r="C4063" s="1" t="s">
        <v>42</v>
      </c>
      <c r="D4063" s="1" t="s">
        <v>9392</v>
      </c>
      <c r="E4063" s="62">
        <v>42</v>
      </c>
      <c r="F4063" s="1" t="s">
        <v>2551</v>
      </c>
      <c r="G4063" s="1" t="s">
        <v>2555</v>
      </c>
    </row>
    <row x14ac:dyDescent="0.25" r="4064" customHeight="1" ht="17.25" hidden="1">
      <c r="A4064" s="112" t="s">
        <v>9393</v>
      </c>
      <c r="B4064" s="1" t="s">
        <v>2549</v>
      </c>
      <c r="C4064" s="1" t="s">
        <v>42</v>
      </c>
      <c r="D4064" s="1" t="s">
        <v>5729</v>
      </c>
      <c r="E4064" s="62">
        <v>20</v>
      </c>
      <c r="F4064" s="1" t="s">
        <v>2551</v>
      </c>
      <c r="G4064" s="1" t="s">
        <v>2555</v>
      </c>
    </row>
    <row x14ac:dyDescent="0.25" r="4065" customHeight="1" ht="17.25" hidden="1">
      <c r="A4065" s="112" t="s">
        <v>9394</v>
      </c>
      <c r="B4065" s="1" t="s">
        <v>2549</v>
      </c>
      <c r="C4065" s="1" t="s">
        <v>42</v>
      </c>
      <c r="D4065" s="1" t="s">
        <v>9395</v>
      </c>
      <c r="E4065" s="62">
        <v>45</v>
      </c>
      <c r="F4065" s="1" t="s">
        <v>2551</v>
      </c>
      <c r="G4065" s="1" t="s">
        <v>2552</v>
      </c>
    </row>
    <row x14ac:dyDescent="0.25" r="4066" customHeight="1" ht="17.25" hidden="1">
      <c r="A4066" s="112" t="s">
        <v>9396</v>
      </c>
      <c r="B4066" s="1" t="s">
        <v>2549</v>
      </c>
      <c r="C4066" s="1" t="s">
        <v>42</v>
      </c>
      <c r="D4066" s="1" t="s">
        <v>9397</v>
      </c>
      <c r="E4066" s="62">
        <v>18</v>
      </c>
      <c r="F4066" s="1" t="s">
        <v>2551</v>
      </c>
      <c r="G4066" s="1" t="s">
        <v>2552</v>
      </c>
    </row>
    <row x14ac:dyDescent="0.25" r="4067" customHeight="1" ht="17.25" hidden="1">
      <c r="A4067" s="112" t="s">
        <v>9398</v>
      </c>
      <c r="B4067" s="1" t="s">
        <v>2549</v>
      </c>
      <c r="C4067" s="1" t="s">
        <v>42</v>
      </c>
      <c r="D4067" s="1" t="s">
        <v>9399</v>
      </c>
      <c r="E4067" s="62">
        <v>22</v>
      </c>
      <c r="F4067" s="1" t="s">
        <v>2551</v>
      </c>
      <c r="G4067" s="1" t="s">
        <v>2552</v>
      </c>
    </row>
    <row x14ac:dyDescent="0.25" r="4068" customHeight="1" ht="17.25" hidden="1">
      <c r="A4068" s="112" t="s">
        <v>9400</v>
      </c>
      <c r="B4068" s="1" t="s">
        <v>2549</v>
      </c>
      <c r="C4068" s="1" t="s">
        <v>42</v>
      </c>
      <c r="D4068" s="1" t="s">
        <v>9401</v>
      </c>
      <c r="E4068" s="62">
        <v>27</v>
      </c>
      <c r="F4068" s="1" t="s">
        <v>2551</v>
      </c>
      <c r="G4068" s="1" t="s">
        <v>2558</v>
      </c>
    </row>
    <row x14ac:dyDescent="0.25" r="4069" customHeight="1" ht="17.25" hidden="1">
      <c r="A4069" s="112" t="s">
        <v>9400</v>
      </c>
      <c r="B4069" s="1" t="s">
        <v>2549</v>
      </c>
      <c r="C4069" s="1" t="s">
        <v>42</v>
      </c>
      <c r="D4069" s="1" t="s">
        <v>9402</v>
      </c>
      <c r="E4069" s="62">
        <v>26</v>
      </c>
      <c r="F4069" s="1" t="s">
        <v>2551</v>
      </c>
      <c r="G4069" s="1" t="s">
        <v>2552</v>
      </c>
    </row>
    <row x14ac:dyDescent="0.25" r="4070" customHeight="1" ht="17.25" hidden="1">
      <c r="A4070" s="112" t="s">
        <v>9403</v>
      </c>
      <c r="B4070" s="1" t="s">
        <v>2549</v>
      </c>
      <c r="C4070" s="1" t="s">
        <v>42</v>
      </c>
      <c r="D4070" s="1" t="s">
        <v>9404</v>
      </c>
      <c r="E4070" s="62">
        <v>29</v>
      </c>
      <c r="F4070" s="1" t="s">
        <v>2551</v>
      </c>
      <c r="G4070" s="1" t="s">
        <v>2555</v>
      </c>
    </row>
    <row x14ac:dyDescent="0.25" r="4071" customHeight="1" ht="17.25" hidden="1">
      <c r="A4071" s="112" t="s">
        <v>9403</v>
      </c>
      <c r="B4071" s="1" t="s">
        <v>2549</v>
      </c>
      <c r="C4071" s="1" t="s">
        <v>42</v>
      </c>
      <c r="D4071" s="1" t="s">
        <v>9405</v>
      </c>
      <c r="E4071" s="62">
        <v>24</v>
      </c>
      <c r="F4071" s="1" t="s">
        <v>2551</v>
      </c>
      <c r="G4071" s="1" t="s">
        <v>2555</v>
      </c>
    </row>
    <row x14ac:dyDescent="0.25" r="4072" customHeight="1" ht="17.25" hidden="1">
      <c r="A4072" s="112" t="s">
        <v>9406</v>
      </c>
      <c r="B4072" s="1" t="s">
        <v>2549</v>
      </c>
      <c r="C4072" s="1" t="s">
        <v>43</v>
      </c>
      <c r="D4072" s="1" t="s">
        <v>9407</v>
      </c>
      <c r="E4072" s="62">
        <v>19</v>
      </c>
      <c r="F4072" s="1" t="s">
        <v>2551</v>
      </c>
      <c r="G4072" s="1" t="s">
        <v>2552</v>
      </c>
    </row>
    <row x14ac:dyDescent="0.25" r="4073" customHeight="1" ht="17.25" hidden="1">
      <c r="A4073" s="112" t="s">
        <v>9408</v>
      </c>
      <c r="B4073" s="1" t="s">
        <v>2549</v>
      </c>
      <c r="C4073" s="1" t="s">
        <v>43</v>
      </c>
      <c r="D4073" s="1" t="s">
        <v>9409</v>
      </c>
      <c r="E4073" s="62">
        <v>33</v>
      </c>
      <c r="F4073" s="1" t="s">
        <v>2551</v>
      </c>
      <c r="G4073" s="1" t="s">
        <v>2555</v>
      </c>
    </row>
    <row x14ac:dyDescent="0.25" r="4074" customHeight="1" ht="17.25" hidden="1">
      <c r="A4074" s="112" t="s">
        <v>9410</v>
      </c>
      <c r="B4074" s="1" t="s">
        <v>2549</v>
      </c>
      <c r="C4074" s="1" t="s">
        <v>43</v>
      </c>
      <c r="D4074" s="1" t="s">
        <v>9411</v>
      </c>
      <c r="E4074" s="62">
        <v>18</v>
      </c>
      <c r="F4074" s="1" t="s">
        <v>2551</v>
      </c>
      <c r="G4074" s="1" t="s">
        <v>2555</v>
      </c>
    </row>
    <row x14ac:dyDescent="0.25" r="4075" customHeight="1" ht="17.25" hidden="1">
      <c r="A4075" s="112" t="s">
        <v>9412</v>
      </c>
      <c r="B4075" s="1" t="s">
        <v>2549</v>
      </c>
      <c r="C4075" s="1" t="s">
        <v>43</v>
      </c>
      <c r="D4075" s="1" t="s">
        <v>9413</v>
      </c>
      <c r="E4075" s="62">
        <v>21</v>
      </c>
      <c r="F4075" s="1" t="s">
        <v>2551</v>
      </c>
      <c r="G4075" s="1" t="s">
        <v>2552</v>
      </c>
    </row>
    <row x14ac:dyDescent="0.25" r="4076" customHeight="1" ht="17.25" hidden="1">
      <c r="A4076" s="112" t="s">
        <v>9414</v>
      </c>
      <c r="B4076" s="1" t="s">
        <v>2549</v>
      </c>
      <c r="C4076" s="1" t="s">
        <v>43</v>
      </c>
      <c r="D4076" s="1" t="s">
        <v>9415</v>
      </c>
      <c r="E4076" s="62">
        <v>22</v>
      </c>
      <c r="F4076" s="1" t="s">
        <v>2551</v>
      </c>
      <c r="G4076" s="1" t="s">
        <v>2558</v>
      </c>
    </row>
    <row x14ac:dyDescent="0.25" r="4077" customHeight="1" ht="17.25" hidden="1">
      <c r="A4077" s="112" t="s">
        <v>9416</v>
      </c>
      <c r="B4077" s="1" t="s">
        <v>2549</v>
      </c>
      <c r="C4077" s="1" t="s">
        <v>43</v>
      </c>
      <c r="D4077" s="1" t="s">
        <v>9417</v>
      </c>
      <c r="E4077" s="62">
        <v>23</v>
      </c>
      <c r="F4077" s="1" t="s">
        <v>2551</v>
      </c>
      <c r="G4077" s="1" t="s">
        <v>2552</v>
      </c>
    </row>
    <row x14ac:dyDescent="0.25" r="4078" customHeight="1" ht="17.25" hidden="1">
      <c r="A4078" s="112" t="s">
        <v>9416</v>
      </c>
      <c r="B4078" s="1" t="s">
        <v>2549</v>
      </c>
      <c r="C4078" s="1" t="s">
        <v>43</v>
      </c>
      <c r="D4078" s="1" t="s">
        <v>9418</v>
      </c>
      <c r="E4078" s="62">
        <v>22</v>
      </c>
      <c r="F4078" s="1" t="s">
        <v>2551</v>
      </c>
      <c r="G4078" s="1" t="s">
        <v>2552</v>
      </c>
    </row>
    <row x14ac:dyDescent="0.25" r="4079" customHeight="1" ht="17.25" hidden="1">
      <c r="A4079" s="112" t="s">
        <v>9419</v>
      </c>
      <c r="B4079" s="1" t="s">
        <v>2549</v>
      </c>
      <c r="C4079" s="1" t="s">
        <v>43</v>
      </c>
      <c r="D4079" s="1" t="s">
        <v>9420</v>
      </c>
      <c r="E4079" s="62">
        <v>22</v>
      </c>
      <c r="F4079" s="1" t="s">
        <v>2551</v>
      </c>
      <c r="G4079" s="1" t="s">
        <v>4578</v>
      </c>
    </row>
    <row x14ac:dyDescent="0.25" r="4080" customHeight="1" ht="17.25" hidden="1">
      <c r="A4080" s="112" t="s">
        <v>9421</v>
      </c>
      <c r="B4080" s="1" t="s">
        <v>2549</v>
      </c>
      <c r="C4080" s="1" t="s">
        <v>43</v>
      </c>
      <c r="D4080" s="1" t="s">
        <v>9422</v>
      </c>
      <c r="E4080" s="62">
        <v>21</v>
      </c>
      <c r="F4080" s="1" t="s">
        <v>2551</v>
      </c>
      <c r="G4080" s="1" t="s">
        <v>2552</v>
      </c>
    </row>
    <row x14ac:dyDescent="0.25" r="4081" customHeight="1" ht="17.25" hidden="1">
      <c r="A4081" s="112" t="s">
        <v>9423</v>
      </c>
      <c r="B4081" s="1" t="s">
        <v>2549</v>
      </c>
      <c r="C4081" s="1" t="s">
        <v>43</v>
      </c>
      <c r="D4081" s="1" t="s">
        <v>9424</v>
      </c>
      <c r="E4081" s="62">
        <v>18</v>
      </c>
      <c r="F4081" s="1" t="s">
        <v>2551</v>
      </c>
      <c r="G4081" s="1" t="s">
        <v>2555</v>
      </c>
    </row>
    <row x14ac:dyDescent="0.25" r="4082" customHeight="1" ht="17.25" hidden="1">
      <c r="A4082" s="112" t="s">
        <v>9423</v>
      </c>
      <c r="B4082" s="1" t="s">
        <v>2549</v>
      </c>
      <c r="C4082" s="1" t="s">
        <v>43</v>
      </c>
      <c r="D4082" s="1" t="s">
        <v>9425</v>
      </c>
      <c r="E4082" s="62">
        <v>19</v>
      </c>
      <c r="F4082" s="1" t="s">
        <v>2551</v>
      </c>
      <c r="G4082" s="1" t="s">
        <v>2558</v>
      </c>
    </row>
    <row x14ac:dyDescent="0.25" r="4083" customHeight="1" ht="17.25" hidden="1">
      <c r="A4083" s="112" t="s">
        <v>9426</v>
      </c>
      <c r="B4083" s="1" t="s">
        <v>2549</v>
      </c>
      <c r="C4083" s="1" t="s">
        <v>43</v>
      </c>
      <c r="D4083" s="1" t="s">
        <v>9427</v>
      </c>
      <c r="E4083" s="62">
        <v>25</v>
      </c>
      <c r="F4083" s="1" t="s">
        <v>2551</v>
      </c>
      <c r="G4083" s="1" t="s">
        <v>2552</v>
      </c>
    </row>
    <row x14ac:dyDescent="0.25" r="4084" customHeight="1" ht="17.25" hidden="1">
      <c r="A4084" s="112" t="s">
        <v>9428</v>
      </c>
      <c r="B4084" s="1" t="s">
        <v>2549</v>
      </c>
      <c r="C4084" s="1" t="s">
        <v>43</v>
      </c>
      <c r="D4084" s="1" t="s">
        <v>9429</v>
      </c>
      <c r="E4084" s="62">
        <v>41</v>
      </c>
      <c r="F4084" s="1" t="s">
        <v>2551</v>
      </c>
      <c r="G4084" s="1" t="s">
        <v>2555</v>
      </c>
    </row>
    <row x14ac:dyDescent="0.25" r="4085" customHeight="1" ht="17.25" hidden="1">
      <c r="A4085" s="112" t="s">
        <v>9430</v>
      </c>
      <c r="B4085" s="1" t="s">
        <v>2549</v>
      </c>
      <c r="C4085" s="1" t="s">
        <v>43</v>
      </c>
      <c r="D4085" s="1" t="s">
        <v>9431</v>
      </c>
      <c r="E4085" s="62">
        <v>24</v>
      </c>
      <c r="F4085" s="1" t="s">
        <v>2551</v>
      </c>
      <c r="G4085" s="1" t="s">
        <v>2552</v>
      </c>
    </row>
    <row x14ac:dyDescent="0.25" r="4086" customHeight="1" ht="17.25" hidden="1">
      <c r="A4086" s="112" t="s">
        <v>9432</v>
      </c>
      <c r="B4086" s="1" t="s">
        <v>2549</v>
      </c>
      <c r="C4086" s="1" t="s">
        <v>43</v>
      </c>
      <c r="D4086" s="1" t="s">
        <v>9433</v>
      </c>
      <c r="E4086" s="62">
        <v>20</v>
      </c>
      <c r="F4086" s="1" t="s">
        <v>2551</v>
      </c>
      <c r="G4086" s="1" t="s">
        <v>2552</v>
      </c>
    </row>
    <row x14ac:dyDescent="0.25" r="4087" customHeight="1" ht="17.25" hidden="1">
      <c r="A4087" s="112" t="s">
        <v>9434</v>
      </c>
      <c r="B4087" s="1" t="s">
        <v>2549</v>
      </c>
      <c r="C4087" s="1" t="s">
        <v>43</v>
      </c>
      <c r="D4087" s="1" t="s">
        <v>9435</v>
      </c>
      <c r="E4087" s="62">
        <v>36</v>
      </c>
      <c r="F4087" s="1" t="s">
        <v>2551</v>
      </c>
      <c r="G4087" s="1" t="s">
        <v>2558</v>
      </c>
    </row>
    <row x14ac:dyDescent="0.25" r="4088" customHeight="1" ht="17.25" hidden="1">
      <c r="A4088" s="112" t="s">
        <v>9436</v>
      </c>
      <c r="B4088" s="1" t="s">
        <v>2549</v>
      </c>
      <c r="C4088" s="1" t="s">
        <v>43</v>
      </c>
      <c r="D4088" s="1" t="s">
        <v>9437</v>
      </c>
      <c r="E4088" s="62">
        <v>21</v>
      </c>
      <c r="F4088" s="1" t="s">
        <v>2551</v>
      </c>
      <c r="G4088" s="1" t="s">
        <v>2552</v>
      </c>
    </row>
    <row x14ac:dyDescent="0.25" r="4089" customHeight="1" ht="17.25" hidden="1">
      <c r="A4089" s="112" t="s">
        <v>9438</v>
      </c>
      <c r="B4089" s="1" t="s">
        <v>2549</v>
      </c>
      <c r="C4089" s="1" t="s">
        <v>43</v>
      </c>
      <c r="D4089" s="1" t="s">
        <v>9439</v>
      </c>
      <c r="E4089" s="62">
        <v>56</v>
      </c>
      <c r="F4089" s="1" t="s">
        <v>2551</v>
      </c>
      <c r="G4089" s="1" t="s">
        <v>2552</v>
      </c>
    </row>
    <row x14ac:dyDescent="0.25" r="4090" customHeight="1" ht="17.25" hidden="1">
      <c r="A4090" s="112" t="s">
        <v>9440</v>
      </c>
      <c r="B4090" s="1" t="s">
        <v>2549</v>
      </c>
      <c r="C4090" s="1" t="s">
        <v>43</v>
      </c>
      <c r="D4090" s="1" t="s">
        <v>9441</v>
      </c>
      <c r="E4090" s="62">
        <v>37</v>
      </c>
      <c r="F4090" s="1" t="s">
        <v>2551</v>
      </c>
      <c r="G4090" s="1" t="s">
        <v>2558</v>
      </c>
    </row>
    <row x14ac:dyDescent="0.25" r="4091" customHeight="1" ht="17.25" hidden="1">
      <c r="A4091" s="112" t="s">
        <v>9442</v>
      </c>
      <c r="B4091" s="1" t="s">
        <v>2549</v>
      </c>
      <c r="C4091" s="1" t="s">
        <v>43</v>
      </c>
      <c r="D4091" s="1" t="s">
        <v>9443</v>
      </c>
      <c r="E4091" s="62">
        <v>43</v>
      </c>
      <c r="F4091" s="1" t="s">
        <v>2551</v>
      </c>
      <c r="G4091" s="1" t="s">
        <v>2558</v>
      </c>
    </row>
    <row x14ac:dyDescent="0.25" r="4092" customHeight="1" ht="17.25" hidden="1">
      <c r="A4092" s="112" t="s">
        <v>9444</v>
      </c>
      <c r="B4092" s="1" t="s">
        <v>2549</v>
      </c>
      <c r="C4092" s="1" t="s">
        <v>43</v>
      </c>
      <c r="D4092" s="1" t="s">
        <v>9445</v>
      </c>
      <c r="E4092" s="62">
        <v>18</v>
      </c>
      <c r="F4092" s="1" t="s">
        <v>2551</v>
      </c>
      <c r="G4092" s="1" t="s">
        <v>2552</v>
      </c>
    </row>
    <row x14ac:dyDescent="0.25" r="4093" customHeight="1" ht="17.25" hidden="1">
      <c r="A4093" s="112" t="s">
        <v>9446</v>
      </c>
      <c r="B4093" s="1" t="s">
        <v>2549</v>
      </c>
      <c r="C4093" s="1" t="s">
        <v>43</v>
      </c>
      <c r="D4093" s="1" t="s">
        <v>9447</v>
      </c>
      <c r="E4093" s="62">
        <v>28</v>
      </c>
      <c r="F4093" s="1" t="s">
        <v>2551</v>
      </c>
      <c r="G4093" s="1" t="s">
        <v>2555</v>
      </c>
    </row>
    <row x14ac:dyDescent="0.25" r="4094" customHeight="1" ht="17.25" hidden="1">
      <c r="A4094" s="112" t="s">
        <v>9448</v>
      </c>
      <c r="B4094" s="1" t="s">
        <v>2549</v>
      </c>
      <c r="C4094" s="1" t="s">
        <v>43</v>
      </c>
      <c r="D4094" s="1" t="s">
        <v>9449</v>
      </c>
      <c r="E4094" s="62">
        <v>23</v>
      </c>
      <c r="F4094" s="1" t="s">
        <v>2551</v>
      </c>
      <c r="G4094" s="1" t="s">
        <v>2552</v>
      </c>
    </row>
    <row x14ac:dyDescent="0.25" r="4095" customHeight="1" ht="17.25" hidden="1">
      <c r="A4095" s="112" t="s">
        <v>9450</v>
      </c>
      <c r="B4095" s="1" t="s">
        <v>2549</v>
      </c>
      <c r="C4095" s="1" t="s">
        <v>43</v>
      </c>
      <c r="D4095" s="1" t="s">
        <v>9451</v>
      </c>
      <c r="E4095" s="62">
        <v>42</v>
      </c>
      <c r="F4095" s="1" t="s">
        <v>2551</v>
      </c>
      <c r="G4095" s="1" t="s">
        <v>2552</v>
      </c>
    </row>
    <row x14ac:dyDescent="0.25" r="4096" customHeight="1" ht="17.25" hidden="1">
      <c r="A4096" s="112" t="s">
        <v>9452</v>
      </c>
      <c r="B4096" s="1" t="s">
        <v>2549</v>
      </c>
      <c r="C4096" s="1" t="s">
        <v>43</v>
      </c>
      <c r="D4096" s="1" t="s">
        <v>9453</v>
      </c>
      <c r="E4096" s="62">
        <v>28</v>
      </c>
      <c r="F4096" s="1" t="s">
        <v>2551</v>
      </c>
      <c r="G4096" s="1" t="s">
        <v>2558</v>
      </c>
    </row>
    <row x14ac:dyDescent="0.25" r="4097" customHeight="1" ht="17.25" hidden="1">
      <c r="A4097" s="112" t="s">
        <v>596</v>
      </c>
      <c r="B4097" s="1" t="s">
        <v>2549</v>
      </c>
      <c r="C4097" s="1" t="s">
        <v>43</v>
      </c>
      <c r="D4097" s="1" t="s">
        <v>598</v>
      </c>
      <c r="E4097" s="62">
        <v>28</v>
      </c>
      <c r="F4097" s="1" t="s">
        <v>2551</v>
      </c>
      <c r="G4097" s="1" t="s">
        <v>2552</v>
      </c>
    </row>
    <row x14ac:dyDescent="0.25" r="4098" customHeight="1" ht="17.25" hidden="1">
      <c r="A4098" s="112" t="s">
        <v>9454</v>
      </c>
      <c r="B4098" s="1" t="s">
        <v>2549</v>
      </c>
      <c r="C4098" s="1" t="s">
        <v>43</v>
      </c>
      <c r="D4098" s="1" t="s">
        <v>9455</v>
      </c>
      <c r="E4098" s="62">
        <v>22</v>
      </c>
      <c r="F4098" s="1" t="s">
        <v>2551</v>
      </c>
      <c r="G4098" s="1" t="s">
        <v>2552</v>
      </c>
    </row>
    <row x14ac:dyDescent="0.25" r="4099" customHeight="1" ht="17.25" hidden="1">
      <c r="A4099" s="112" t="s">
        <v>9456</v>
      </c>
      <c r="B4099" s="1" t="s">
        <v>2549</v>
      </c>
      <c r="C4099" s="1" t="s">
        <v>43</v>
      </c>
      <c r="D4099" s="1" t="s">
        <v>9457</v>
      </c>
      <c r="E4099" s="62">
        <v>20</v>
      </c>
      <c r="F4099" s="1" t="s">
        <v>2551</v>
      </c>
      <c r="G4099" s="1" t="s">
        <v>2552</v>
      </c>
    </row>
    <row x14ac:dyDescent="0.25" r="4100" customHeight="1" ht="17.25" hidden="1">
      <c r="A4100" s="112" t="s">
        <v>9458</v>
      </c>
      <c r="B4100" s="1" t="s">
        <v>2549</v>
      </c>
      <c r="C4100" s="1" t="s">
        <v>43</v>
      </c>
      <c r="D4100" s="1" t="s">
        <v>9459</v>
      </c>
      <c r="E4100" s="62">
        <v>20</v>
      </c>
      <c r="F4100" s="1" t="s">
        <v>2551</v>
      </c>
      <c r="G4100" s="1" t="s">
        <v>2552</v>
      </c>
    </row>
    <row x14ac:dyDescent="0.25" r="4101" customHeight="1" ht="17.25" hidden="1">
      <c r="A4101" s="112" t="s">
        <v>9460</v>
      </c>
      <c r="B4101" s="1" t="s">
        <v>2549</v>
      </c>
      <c r="C4101" s="1" t="s">
        <v>43</v>
      </c>
      <c r="D4101" s="1" t="s">
        <v>9461</v>
      </c>
      <c r="E4101" s="62">
        <v>25</v>
      </c>
      <c r="F4101" s="1" t="s">
        <v>2551</v>
      </c>
      <c r="G4101" s="1" t="s">
        <v>2552</v>
      </c>
    </row>
    <row x14ac:dyDescent="0.25" r="4102" customHeight="1" ht="17.25" hidden="1">
      <c r="A4102" s="112" t="s">
        <v>9462</v>
      </c>
      <c r="B4102" s="1" t="s">
        <v>2549</v>
      </c>
      <c r="C4102" s="1" t="s">
        <v>43</v>
      </c>
      <c r="D4102" s="1" t="s">
        <v>8667</v>
      </c>
      <c r="E4102" s="62">
        <v>18</v>
      </c>
      <c r="F4102" s="1" t="s">
        <v>2551</v>
      </c>
      <c r="G4102" s="1" t="s">
        <v>2552</v>
      </c>
    </row>
    <row x14ac:dyDescent="0.25" r="4103" customHeight="1" ht="17.25" hidden="1">
      <c r="A4103" s="112" t="s">
        <v>9463</v>
      </c>
      <c r="B4103" s="1" t="s">
        <v>2549</v>
      </c>
      <c r="C4103" s="1" t="s">
        <v>43</v>
      </c>
      <c r="D4103" s="1" t="s">
        <v>9464</v>
      </c>
      <c r="E4103" s="62">
        <v>31</v>
      </c>
      <c r="F4103" s="1" t="s">
        <v>2551</v>
      </c>
      <c r="G4103" s="1" t="s">
        <v>2552</v>
      </c>
    </row>
    <row x14ac:dyDescent="0.25" r="4104" customHeight="1" ht="17.25" hidden="1">
      <c r="A4104" s="112" t="s">
        <v>9465</v>
      </c>
      <c r="B4104" s="1" t="s">
        <v>2549</v>
      </c>
      <c r="C4104" s="1" t="s">
        <v>43</v>
      </c>
      <c r="D4104" s="1" t="s">
        <v>9466</v>
      </c>
      <c r="E4104" s="62">
        <v>19</v>
      </c>
      <c r="F4104" s="1" t="s">
        <v>2551</v>
      </c>
      <c r="G4104" s="1" t="s">
        <v>2555</v>
      </c>
    </row>
    <row x14ac:dyDescent="0.25" r="4105" customHeight="1" ht="17.25" hidden="1">
      <c r="A4105" s="112" t="s">
        <v>9467</v>
      </c>
      <c r="B4105" s="1" t="s">
        <v>2549</v>
      </c>
      <c r="C4105" s="1" t="s">
        <v>43</v>
      </c>
      <c r="D4105" s="1" t="s">
        <v>9468</v>
      </c>
      <c r="E4105" s="62">
        <v>37</v>
      </c>
      <c r="F4105" s="1" t="s">
        <v>2551</v>
      </c>
      <c r="G4105" s="1" t="s">
        <v>2552</v>
      </c>
    </row>
    <row x14ac:dyDescent="0.25" r="4106" customHeight="1" ht="17.25" hidden="1">
      <c r="A4106" s="112" t="s">
        <v>9467</v>
      </c>
      <c r="B4106" s="1" t="s">
        <v>2549</v>
      </c>
      <c r="C4106" s="1" t="s">
        <v>43</v>
      </c>
      <c r="D4106" s="1" t="s">
        <v>9469</v>
      </c>
      <c r="E4106" s="62">
        <v>45</v>
      </c>
      <c r="F4106" s="1" t="s">
        <v>2551</v>
      </c>
      <c r="G4106" s="1" t="s">
        <v>2555</v>
      </c>
    </row>
    <row x14ac:dyDescent="0.25" r="4107" customHeight="1" ht="17.25" hidden="1">
      <c r="A4107" s="112" t="s">
        <v>9470</v>
      </c>
      <c r="B4107" s="1" t="s">
        <v>2549</v>
      </c>
      <c r="C4107" s="1" t="s">
        <v>43</v>
      </c>
      <c r="D4107" s="1" t="s">
        <v>9471</v>
      </c>
      <c r="E4107" s="62">
        <v>18</v>
      </c>
      <c r="F4107" s="1" t="s">
        <v>2551</v>
      </c>
      <c r="G4107" s="1" t="s">
        <v>2552</v>
      </c>
    </row>
    <row x14ac:dyDescent="0.25" r="4108" customHeight="1" ht="17.25" hidden="1">
      <c r="A4108" s="112" t="s">
        <v>9472</v>
      </c>
      <c r="B4108" s="1" t="s">
        <v>2549</v>
      </c>
      <c r="C4108" s="1" t="s">
        <v>43</v>
      </c>
      <c r="D4108" s="1" t="s">
        <v>9473</v>
      </c>
      <c r="E4108" s="62">
        <v>20</v>
      </c>
      <c r="F4108" s="1" t="s">
        <v>2551</v>
      </c>
      <c r="G4108" s="1" t="s">
        <v>2555</v>
      </c>
    </row>
    <row x14ac:dyDescent="0.25" r="4109" customHeight="1" ht="17.25" hidden="1">
      <c r="A4109" s="112" t="s">
        <v>9474</v>
      </c>
      <c r="B4109" s="1" t="s">
        <v>2549</v>
      </c>
      <c r="C4109" s="1" t="s">
        <v>43</v>
      </c>
      <c r="D4109" s="1" t="s">
        <v>9475</v>
      </c>
      <c r="E4109" s="62">
        <v>47</v>
      </c>
      <c r="F4109" s="1" t="s">
        <v>2561</v>
      </c>
      <c r="G4109" s="1" t="s">
        <v>2555</v>
      </c>
    </row>
    <row x14ac:dyDescent="0.25" r="4110" customHeight="1" ht="17.25" hidden="1">
      <c r="A4110" s="112" t="s">
        <v>9474</v>
      </c>
      <c r="B4110" s="1" t="s">
        <v>2549</v>
      </c>
      <c r="C4110" s="1" t="s">
        <v>43</v>
      </c>
      <c r="D4110" s="1" t="s">
        <v>9476</v>
      </c>
      <c r="E4110" s="62">
        <v>21</v>
      </c>
      <c r="F4110" s="1" t="s">
        <v>2551</v>
      </c>
      <c r="G4110" s="1" t="s">
        <v>2552</v>
      </c>
    </row>
    <row x14ac:dyDescent="0.25" r="4111" customHeight="1" ht="17.25" hidden="1">
      <c r="A4111" s="112" t="s">
        <v>9477</v>
      </c>
      <c r="B4111" s="1" t="s">
        <v>2549</v>
      </c>
      <c r="C4111" s="1" t="s">
        <v>43</v>
      </c>
      <c r="D4111" s="1" t="s">
        <v>9478</v>
      </c>
      <c r="E4111" s="62">
        <v>27</v>
      </c>
      <c r="F4111" s="1" t="s">
        <v>2551</v>
      </c>
      <c r="G4111" s="1" t="s">
        <v>2552</v>
      </c>
    </row>
    <row x14ac:dyDescent="0.25" r="4112" customHeight="1" ht="17.25" hidden="1">
      <c r="A4112" s="112" t="s">
        <v>1706</v>
      </c>
      <c r="B4112" s="1" t="s">
        <v>2549</v>
      </c>
      <c r="C4112" s="1" t="s">
        <v>43</v>
      </c>
      <c r="D4112" s="1" t="s">
        <v>1707</v>
      </c>
      <c r="E4112" s="62">
        <v>59</v>
      </c>
      <c r="F4112" s="1" t="s">
        <v>2561</v>
      </c>
      <c r="G4112" s="1" t="s">
        <v>2555</v>
      </c>
    </row>
    <row x14ac:dyDescent="0.25" r="4113" customHeight="1" ht="17.25" hidden="1">
      <c r="A4113" s="112" t="s">
        <v>9479</v>
      </c>
      <c r="B4113" s="1" t="s">
        <v>2549</v>
      </c>
      <c r="C4113" s="1" t="s">
        <v>43</v>
      </c>
      <c r="D4113" s="1" t="s">
        <v>9480</v>
      </c>
      <c r="E4113" s="62">
        <v>35</v>
      </c>
      <c r="F4113" s="1" t="s">
        <v>2551</v>
      </c>
      <c r="G4113" s="1" t="s">
        <v>2555</v>
      </c>
    </row>
    <row x14ac:dyDescent="0.25" r="4114" customHeight="1" ht="17.25" hidden="1">
      <c r="A4114" s="112" t="s">
        <v>9481</v>
      </c>
      <c r="B4114" s="1" t="s">
        <v>2549</v>
      </c>
      <c r="C4114" s="1" t="s">
        <v>43</v>
      </c>
      <c r="D4114" s="1" t="s">
        <v>3179</v>
      </c>
      <c r="E4114" s="62">
        <v>23</v>
      </c>
      <c r="F4114" s="1" t="s">
        <v>2551</v>
      </c>
      <c r="G4114" s="1" t="s">
        <v>2552</v>
      </c>
    </row>
    <row x14ac:dyDescent="0.25" r="4115" customHeight="1" ht="17.25" hidden="1">
      <c r="A4115" s="112" t="s">
        <v>9482</v>
      </c>
      <c r="B4115" s="1" t="s">
        <v>2549</v>
      </c>
      <c r="C4115" s="1" t="s">
        <v>43</v>
      </c>
      <c r="D4115" s="1" t="s">
        <v>9483</v>
      </c>
      <c r="E4115" s="62">
        <v>30</v>
      </c>
      <c r="F4115" s="1" t="s">
        <v>2551</v>
      </c>
      <c r="G4115" s="1" t="s">
        <v>2552</v>
      </c>
    </row>
    <row x14ac:dyDescent="0.25" r="4116" customHeight="1" ht="17.25" hidden="1">
      <c r="A4116" s="112" t="s">
        <v>9482</v>
      </c>
      <c r="B4116" s="1" t="s">
        <v>2549</v>
      </c>
      <c r="C4116" s="1" t="s">
        <v>43</v>
      </c>
      <c r="D4116" s="1" t="s">
        <v>9484</v>
      </c>
      <c r="E4116" s="62">
        <v>30</v>
      </c>
      <c r="F4116" s="1" t="s">
        <v>2551</v>
      </c>
      <c r="G4116" s="1" t="s">
        <v>2555</v>
      </c>
    </row>
    <row x14ac:dyDescent="0.25" r="4117" customHeight="1" ht="17.25" hidden="1">
      <c r="A4117" s="112" t="s">
        <v>9482</v>
      </c>
      <c r="B4117" s="1" t="s">
        <v>2549</v>
      </c>
      <c r="C4117" s="1" t="s">
        <v>43</v>
      </c>
      <c r="D4117" s="1" t="s">
        <v>9485</v>
      </c>
      <c r="E4117" s="62">
        <v>26</v>
      </c>
      <c r="F4117" s="1" t="s">
        <v>2551</v>
      </c>
      <c r="G4117" s="1" t="s">
        <v>2555</v>
      </c>
    </row>
    <row x14ac:dyDescent="0.25" r="4118" customHeight="1" ht="17.25" hidden="1">
      <c r="A4118" s="112" t="s">
        <v>9486</v>
      </c>
      <c r="B4118" s="1" t="s">
        <v>2549</v>
      </c>
      <c r="C4118" s="1" t="s">
        <v>43</v>
      </c>
      <c r="D4118" s="1" t="s">
        <v>9487</v>
      </c>
      <c r="E4118" s="62">
        <v>21</v>
      </c>
      <c r="F4118" s="1" t="s">
        <v>2551</v>
      </c>
      <c r="G4118" s="1" t="s">
        <v>2555</v>
      </c>
    </row>
    <row x14ac:dyDescent="0.25" r="4119" customHeight="1" ht="17.25" hidden="1">
      <c r="A4119" s="112" t="s">
        <v>9488</v>
      </c>
      <c r="B4119" s="1" t="s">
        <v>2549</v>
      </c>
      <c r="C4119" s="1" t="s">
        <v>43</v>
      </c>
      <c r="D4119" s="1" t="s">
        <v>9489</v>
      </c>
      <c r="E4119" s="62">
        <v>40</v>
      </c>
      <c r="F4119" s="1" t="s">
        <v>2561</v>
      </c>
      <c r="G4119" s="1" t="s">
        <v>2555</v>
      </c>
    </row>
    <row x14ac:dyDescent="0.25" r="4120" customHeight="1" ht="17.25" hidden="1">
      <c r="A4120" s="112" t="s">
        <v>9490</v>
      </c>
      <c r="B4120" s="1" t="s">
        <v>2549</v>
      </c>
      <c r="C4120" s="1" t="s">
        <v>43</v>
      </c>
      <c r="D4120" s="1" t="s">
        <v>9491</v>
      </c>
      <c r="E4120" s="62">
        <v>27</v>
      </c>
      <c r="F4120" s="1" t="s">
        <v>2551</v>
      </c>
      <c r="G4120" s="1" t="s">
        <v>2558</v>
      </c>
    </row>
    <row x14ac:dyDescent="0.25" r="4121" customHeight="1" ht="17.25" hidden="1">
      <c r="A4121" s="112" t="s">
        <v>9490</v>
      </c>
      <c r="B4121" s="1" t="s">
        <v>2549</v>
      </c>
      <c r="C4121" s="1" t="s">
        <v>43</v>
      </c>
      <c r="D4121" s="1" t="s">
        <v>9492</v>
      </c>
      <c r="E4121" s="62">
        <v>42</v>
      </c>
      <c r="F4121" s="1" t="s">
        <v>2551</v>
      </c>
      <c r="G4121" s="1" t="s">
        <v>2558</v>
      </c>
    </row>
    <row x14ac:dyDescent="0.25" r="4122" customHeight="1" ht="17.25" hidden="1">
      <c r="A4122" s="112" t="s">
        <v>9490</v>
      </c>
      <c r="B4122" s="1" t="s">
        <v>2549</v>
      </c>
      <c r="C4122" s="1" t="s">
        <v>43</v>
      </c>
      <c r="D4122" s="1" t="s">
        <v>9493</v>
      </c>
      <c r="E4122" s="62">
        <v>26</v>
      </c>
      <c r="F4122" s="1" t="s">
        <v>2551</v>
      </c>
      <c r="G4122" s="1" t="s">
        <v>2552</v>
      </c>
    </row>
    <row x14ac:dyDescent="0.25" r="4123" customHeight="1" ht="17.25" hidden="1">
      <c r="A4123" s="112" t="s">
        <v>9490</v>
      </c>
      <c r="B4123" s="1" t="s">
        <v>2549</v>
      </c>
      <c r="C4123" s="1" t="s">
        <v>43</v>
      </c>
      <c r="D4123" s="1" t="s">
        <v>9494</v>
      </c>
      <c r="E4123" s="62">
        <v>34</v>
      </c>
      <c r="F4123" s="1" t="s">
        <v>2551</v>
      </c>
      <c r="G4123" s="1" t="s">
        <v>2552</v>
      </c>
    </row>
    <row x14ac:dyDescent="0.25" r="4124" customHeight="1" ht="17.25" hidden="1">
      <c r="A4124" s="112" t="s">
        <v>9495</v>
      </c>
      <c r="B4124" s="1" t="s">
        <v>2549</v>
      </c>
      <c r="C4124" s="1" t="s">
        <v>43</v>
      </c>
      <c r="D4124" s="1" t="s">
        <v>9496</v>
      </c>
      <c r="E4124" s="62">
        <v>30</v>
      </c>
      <c r="F4124" s="1" t="s">
        <v>2551</v>
      </c>
      <c r="G4124" s="1" t="s">
        <v>2552</v>
      </c>
    </row>
    <row x14ac:dyDescent="0.25" r="4125" customHeight="1" ht="17.25" hidden="1">
      <c r="A4125" s="112" t="s">
        <v>9497</v>
      </c>
      <c r="B4125" s="1" t="s">
        <v>2549</v>
      </c>
      <c r="C4125" s="1" t="s">
        <v>43</v>
      </c>
      <c r="D4125" s="1" t="s">
        <v>9498</v>
      </c>
      <c r="E4125" s="62">
        <v>21</v>
      </c>
      <c r="F4125" s="1" t="s">
        <v>2551</v>
      </c>
      <c r="G4125" s="1" t="s">
        <v>2555</v>
      </c>
    </row>
    <row x14ac:dyDescent="0.25" r="4126" customHeight="1" ht="17.25" hidden="1">
      <c r="A4126" s="112" t="s">
        <v>9499</v>
      </c>
      <c r="B4126" s="1" t="s">
        <v>2549</v>
      </c>
      <c r="C4126" s="1" t="s">
        <v>43</v>
      </c>
      <c r="D4126" s="1" t="s">
        <v>9500</v>
      </c>
      <c r="E4126" s="62">
        <v>23</v>
      </c>
      <c r="F4126" s="1" t="s">
        <v>2551</v>
      </c>
      <c r="G4126" s="1" t="s">
        <v>2552</v>
      </c>
    </row>
    <row x14ac:dyDescent="0.25" r="4127" customHeight="1" ht="17.25" hidden="1">
      <c r="A4127" s="112" t="s">
        <v>9499</v>
      </c>
      <c r="B4127" s="1" t="s">
        <v>2549</v>
      </c>
      <c r="C4127" s="1" t="s">
        <v>43</v>
      </c>
      <c r="D4127" s="1" t="s">
        <v>9501</v>
      </c>
      <c r="E4127" s="62">
        <v>22</v>
      </c>
      <c r="F4127" s="1" t="s">
        <v>2551</v>
      </c>
      <c r="G4127" s="1" t="s">
        <v>2555</v>
      </c>
    </row>
    <row x14ac:dyDescent="0.25" r="4128" customHeight="1" ht="17.25" hidden="1">
      <c r="A4128" s="112" t="s">
        <v>589</v>
      </c>
      <c r="B4128" s="1" t="s">
        <v>2549</v>
      </c>
      <c r="C4128" s="1" t="s">
        <v>43</v>
      </c>
      <c r="D4128" s="1" t="s">
        <v>591</v>
      </c>
      <c r="E4128" s="62">
        <v>19</v>
      </c>
      <c r="F4128" s="1" t="s">
        <v>2551</v>
      </c>
      <c r="G4128" s="1" t="s">
        <v>2552</v>
      </c>
    </row>
    <row x14ac:dyDescent="0.25" r="4129" customHeight="1" ht="17.25" hidden="1">
      <c r="A4129" s="112" t="s">
        <v>589</v>
      </c>
      <c r="B4129" s="1" t="s">
        <v>2549</v>
      </c>
      <c r="C4129" s="1" t="s">
        <v>43</v>
      </c>
      <c r="D4129" s="1" t="s">
        <v>595</v>
      </c>
      <c r="E4129" s="62">
        <v>22</v>
      </c>
      <c r="F4129" s="1" t="s">
        <v>2561</v>
      </c>
      <c r="G4129" s="1" t="s">
        <v>2555</v>
      </c>
    </row>
    <row x14ac:dyDescent="0.25" r="4130" customHeight="1" ht="17.25" hidden="1">
      <c r="A4130" s="112" t="s">
        <v>9502</v>
      </c>
      <c r="B4130" s="1" t="s">
        <v>2549</v>
      </c>
      <c r="C4130" s="1" t="s">
        <v>43</v>
      </c>
      <c r="D4130" s="1" t="s">
        <v>9503</v>
      </c>
      <c r="E4130" s="62">
        <v>22</v>
      </c>
      <c r="F4130" s="1" t="s">
        <v>2551</v>
      </c>
      <c r="G4130" s="1" t="s">
        <v>2552</v>
      </c>
    </row>
    <row x14ac:dyDescent="0.25" r="4131" customHeight="1" ht="17.25" hidden="1">
      <c r="A4131" s="112" t="s">
        <v>9504</v>
      </c>
      <c r="B4131" s="1" t="s">
        <v>2549</v>
      </c>
      <c r="C4131" s="1" t="s">
        <v>43</v>
      </c>
      <c r="D4131" s="1" t="s">
        <v>9505</v>
      </c>
      <c r="E4131" s="62">
        <v>40</v>
      </c>
      <c r="F4131" s="1" t="s">
        <v>2551</v>
      </c>
      <c r="G4131" s="1" t="s">
        <v>2555</v>
      </c>
    </row>
    <row x14ac:dyDescent="0.25" r="4132" customHeight="1" ht="17.25" hidden="1">
      <c r="A4132" s="112" t="s">
        <v>9506</v>
      </c>
      <c r="B4132" s="1" t="s">
        <v>2549</v>
      </c>
      <c r="C4132" s="1" t="s">
        <v>43</v>
      </c>
      <c r="D4132" s="1" t="s">
        <v>9507</v>
      </c>
      <c r="E4132" s="62">
        <v>18</v>
      </c>
      <c r="F4132" s="1" t="s">
        <v>2551</v>
      </c>
      <c r="G4132" s="1" t="s">
        <v>2552</v>
      </c>
    </row>
    <row x14ac:dyDescent="0.25" r="4133" customHeight="1" ht="17.25" hidden="1">
      <c r="A4133" s="112" t="s">
        <v>9508</v>
      </c>
      <c r="B4133" s="1" t="s">
        <v>2549</v>
      </c>
      <c r="C4133" s="1" t="s">
        <v>43</v>
      </c>
      <c r="D4133" s="1" t="s">
        <v>9509</v>
      </c>
      <c r="E4133" s="62">
        <v>29</v>
      </c>
      <c r="F4133" s="1" t="s">
        <v>2551</v>
      </c>
      <c r="G4133" s="1" t="s">
        <v>2552</v>
      </c>
    </row>
    <row x14ac:dyDescent="0.25" r="4134" customHeight="1" ht="17.25" hidden="1">
      <c r="A4134" s="112" t="s">
        <v>9510</v>
      </c>
      <c r="B4134" s="1" t="s">
        <v>2549</v>
      </c>
      <c r="C4134" s="1" t="s">
        <v>43</v>
      </c>
      <c r="D4134" s="1" t="s">
        <v>9511</v>
      </c>
      <c r="E4134" s="62">
        <v>20</v>
      </c>
      <c r="F4134" s="1" t="s">
        <v>2551</v>
      </c>
      <c r="G4134" s="1" t="s">
        <v>2555</v>
      </c>
    </row>
    <row x14ac:dyDescent="0.25" r="4135" customHeight="1" ht="17.25" hidden="1">
      <c r="A4135" s="112" t="s">
        <v>9512</v>
      </c>
      <c r="B4135" s="1" t="s">
        <v>2549</v>
      </c>
      <c r="C4135" s="1" t="s">
        <v>43</v>
      </c>
      <c r="D4135" s="1" t="s">
        <v>9513</v>
      </c>
      <c r="E4135" s="62">
        <v>22</v>
      </c>
      <c r="F4135" s="1" t="s">
        <v>2561</v>
      </c>
      <c r="G4135" s="1" t="s">
        <v>2555</v>
      </c>
    </row>
    <row x14ac:dyDescent="0.25" r="4136" customHeight="1" ht="17.25" hidden="1">
      <c r="A4136" s="112" t="s">
        <v>9512</v>
      </c>
      <c r="B4136" s="1" t="s">
        <v>2549</v>
      </c>
      <c r="C4136" s="1" t="s">
        <v>43</v>
      </c>
      <c r="D4136" s="1" t="s">
        <v>3317</v>
      </c>
      <c r="E4136" s="62">
        <v>24</v>
      </c>
      <c r="F4136" s="1" t="s">
        <v>2551</v>
      </c>
      <c r="G4136" s="1" t="s">
        <v>2555</v>
      </c>
    </row>
    <row x14ac:dyDescent="0.25" r="4137" customHeight="1" ht="17.25" hidden="1">
      <c r="A4137" s="112" t="s">
        <v>9514</v>
      </c>
      <c r="B4137" s="1" t="s">
        <v>2549</v>
      </c>
      <c r="C4137" s="1" t="s">
        <v>43</v>
      </c>
      <c r="D4137" s="1" t="s">
        <v>9515</v>
      </c>
      <c r="E4137" s="62">
        <v>26</v>
      </c>
      <c r="F4137" s="1" t="s">
        <v>2551</v>
      </c>
      <c r="G4137" s="1" t="s">
        <v>2552</v>
      </c>
    </row>
    <row x14ac:dyDescent="0.25" r="4138" customHeight="1" ht="17.25" hidden="1">
      <c r="A4138" s="112" t="s">
        <v>9516</v>
      </c>
      <c r="B4138" s="1" t="s">
        <v>2549</v>
      </c>
      <c r="C4138" s="1" t="s">
        <v>43</v>
      </c>
      <c r="D4138" s="1" t="s">
        <v>9517</v>
      </c>
      <c r="E4138" s="62">
        <v>24</v>
      </c>
      <c r="F4138" s="1" t="s">
        <v>2551</v>
      </c>
      <c r="G4138" s="1" t="s">
        <v>2552</v>
      </c>
    </row>
    <row x14ac:dyDescent="0.25" r="4139" customHeight="1" ht="17.25" hidden="1">
      <c r="A4139" s="112" t="s">
        <v>9516</v>
      </c>
      <c r="B4139" s="1" t="s">
        <v>2549</v>
      </c>
      <c r="C4139" s="1" t="s">
        <v>43</v>
      </c>
      <c r="D4139" s="1" t="s">
        <v>9518</v>
      </c>
      <c r="E4139" s="62">
        <v>26</v>
      </c>
      <c r="F4139" s="1" t="s">
        <v>2551</v>
      </c>
      <c r="G4139" s="1" t="s">
        <v>2552</v>
      </c>
    </row>
    <row x14ac:dyDescent="0.25" r="4140" customHeight="1" ht="17.25" hidden="1">
      <c r="A4140" s="112" t="s">
        <v>486</v>
      </c>
      <c r="B4140" s="1" t="s">
        <v>2549</v>
      </c>
      <c r="C4140" s="1" t="s">
        <v>43</v>
      </c>
      <c r="D4140" s="1" t="s">
        <v>488</v>
      </c>
      <c r="E4140" s="62">
        <v>21</v>
      </c>
      <c r="F4140" s="1" t="s">
        <v>2551</v>
      </c>
      <c r="G4140" s="1" t="s">
        <v>2555</v>
      </c>
    </row>
    <row x14ac:dyDescent="0.25" r="4141" customHeight="1" ht="17.25" hidden="1">
      <c r="A4141" s="112" t="s">
        <v>9519</v>
      </c>
      <c r="B4141" s="1" t="s">
        <v>2549</v>
      </c>
      <c r="C4141" s="1" t="s">
        <v>43</v>
      </c>
      <c r="D4141" s="1" t="s">
        <v>9520</v>
      </c>
      <c r="E4141" s="62">
        <v>34</v>
      </c>
      <c r="F4141" s="1" t="s">
        <v>2551</v>
      </c>
      <c r="G4141" s="1" t="s">
        <v>2552</v>
      </c>
    </row>
    <row x14ac:dyDescent="0.25" r="4142" customHeight="1" ht="17.25" hidden="1">
      <c r="A4142" s="112" t="s">
        <v>9521</v>
      </c>
      <c r="B4142" s="1" t="s">
        <v>2549</v>
      </c>
      <c r="C4142" s="1" t="s">
        <v>43</v>
      </c>
      <c r="D4142" s="1" t="s">
        <v>9522</v>
      </c>
      <c r="E4142" s="62">
        <v>47</v>
      </c>
      <c r="F4142" s="1" t="s">
        <v>2551</v>
      </c>
      <c r="G4142" s="1" t="s">
        <v>2552</v>
      </c>
    </row>
    <row x14ac:dyDescent="0.25" r="4143" customHeight="1" ht="17.25" hidden="1">
      <c r="A4143" s="112" t="s">
        <v>9523</v>
      </c>
      <c r="B4143" s="1" t="s">
        <v>2549</v>
      </c>
      <c r="C4143" s="1" t="s">
        <v>43</v>
      </c>
      <c r="D4143" s="1" t="s">
        <v>9524</v>
      </c>
      <c r="E4143" s="62">
        <v>20</v>
      </c>
      <c r="F4143" s="1" t="s">
        <v>2551</v>
      </c>
      <c r="G4143" s="1" t="s">
        <v>2552</v>
      </c>
    </row>
    <row x14ac:dyDescent="0.25" r="4144" customHeight="1" ht="17.25" hidden="1">
      <c r="A4144" s="112" t="s">
        <v>9525</v>
      </c>
      <c r="B4144" s="1" t="s">
        <v>2549</v>
      </c>
      <c r="C4144" s="1" t="s">
        <v>43</v>
      </c>
      <c r="D4144" s="1" t="s">
        <v>9526</v>
      </c>
      <c r="E4144" s="62">
        <v>18</v>
      </c>
      <c r="F4144" s="1" t="s">
        <v>2551</v>
      </c>
      <c r="G4144" s="1" t="s">
        <v>2552</v>
      </c>
    </row>
    <row x14ac:dyDescent="0.25" r="4145" customHeight="1" ht="17.25" hidden="1">
      <c r="A4145" s="112" t="s">
        <v>9527</v>
      </c>
      <c r="B4145" s="1" t="s">
        <v>2549</v>
      </c>
      <c r="C4145" s="1" t="s">
        <v>43</v>
      </c>
      <c r="D4145" s="1" t="s">
        <v>9528</v>
      </c>
      <c r="E4145" s="62">
        <v>30</v>
      </c>
      <c r="F4145" s="1" t="s">
        <v>2561</v>
      </c>
      <c r="G4145" s="1" t="s">
        <v>2558</v>
      </c>
    </row>
    <row x14ac:dyDescent="0.25" r="4146" customHeight="1" ht="17.25" hidden="1">
      <c r="A4146" s="112" t="s">
        <v>9529</v>
      </c>
      <c r="B4146" s="1" t="s">
        <v>2549</v>
      </c>
      <c r="C4146" s="1" t="s">
        <v>43</v>
      </c>
      <c r="D4146" s="1" t="s">
        <v>9530</v>
      </c>
      <c r="E4146" s="62">
        <v>32</v>
      </c>
      <c r="F4146" s="1" t="s">
        <v>2551</v>
      </c>
      <c r="G4146" s="1" t="s">
        <v>2552</v>
      </c>
    </row>
    <row x14ac:dyDescent="0.25" r="4147" customHeight="1" ht="17.25" hidden="1">
      <c r="A4147" s="112" t="s">
        <v>9531</v>
      </c>
      <c r="B4147" s="1" t="s">
        <v>2549</v>
      </c>
      <c r="C4147" s="1" t="s">
        <v>43</v>
      </c>
      <c r="D4147" s="1" t="s">
        <v>9532</v>
      </c>
      <c r="E4147" s="62">
        <v>22</v>
      </c>
      <c r="F4147" s="1" t="s">
        <v>2551</v>
      </c>
      <c r="G4147" s="1" t="s">
        <v>2552</v>
      </c>
    </row>
    <row x14ac:dyDescent="0.25" r="4148" customHeight="1" ht="17.25" hidden="1">
      <c r="A4148" s="112" t="s">
        <v>9533</v>
      </c>
      <c r="B4148" s="1" t="s">
        <v>2549</v>
      </c>
      <c r="C4148" s="1" t="s">
        <v>43</v>
      </c>
      <c r="D4148" s="1" t="s">
        <v>9534</v>
      </c>
      <c r="E4148" s="62">
        <v>23</v>
      </c>
      <c r="F4148" s="1" t="s">
        <v>2551</v>
      </c>
      <c r="G4148" s="1" t="s">
        <v>2555</v>
      </c>
    </row>
    <row x14ac:dyDescent="0.25" r="4149" customHeight="1" ht="17.25" hidden="1">
      <c r="A4149" s="112" t="s">
        <v>9535</v>
      </c>
      <c r="B4149" s="1" t="s">
        <v>2549</v>
      </c>
      <c r="C4149" s="1" t="s">
        <v>43</v>
      </c>
      <c r="D4149" s="1" t="s">
        <v>9536</v>
      </c>
      <c r="E4149" s="62">
        <v>31</v>
      </c>
      <c r="F4149" s="1" t="s">
        <v>2551</v>
      </c>
      <c r="G4149" s="1" t="s">
        <v>2555</v>
      </c>
    </row>
    <row x14ac:dyDescent="0.25" r="4150" customHeight="1" ht="17.25" hidden="1">
      <c r="A4150" s="112" t="s">
        <v>9537</v>
      </c>
      <c r="B4150" s="1" t="s">
        <v>2549</v>
      </c>
      <c r="C4150" s="1" t="s">
        <v>43</v>
      </c>
      <c r="D4150" s="1" t="s">
        <v>9538</v>
      </c>
      <c r="E4150" s="62">
        <v>29</v>
      </c>
      <c r="F4150" s="1" t="s">
        <v>2551</v>
      </c>
      <c r="G4150" s="1" t="s">
        <v>2555</v>
      </c>
    </row>
    <row x14ac:dyDescent="0.25" r="4151" customHeight="1" ht="17.25" hidden="1">
      <c r="A4151" s="112" t="s">
        <v>9539</v>
      </c>
      <c r="B4151" s="1" t="s">
        <v>2549</v>
      </c>
      <c r="C4151" s="1" t="s">
        <v>43</v>
      </c>
      <c r="D4151" s="1" t="s">
        <v>5609</v>
      </c>
      <c r="E4151" s="62">
        <v>19</v>
      </c>
      <c r="F4151" s="1" t="s">
        <v>2551</v>
      </c>
      <c r="G4151" s="1" t="s">
        <v>2558</v>
      </c>
    </row>
    <row x14ac:dyDescent="0.25" r="4152" customHeight="1" ht="17.25" hidden="1">
      <c r="A4152" s="112" t="s">
        <v>9540</v>
      </c>
      <c r="B4152" s="1" t="s">
        <v>2549</v>
      </c>
      <c r="C4152" s="1" t="s">
        <v>43</v>
      </c>
      <c r="D4152" s="1" t="s">
        <v>9541</v>
      </c>
      <c r="E4152" s="62">
        <v>22</v>
      </c>
      <c r="F4152" s="1" t="s">
        <v>2551</v>
      </c>
      <c r="G4152" s="1" t="s">
        <v>2552</v>
      </c>
    </row>
    <row x14ac:dyDescent="0.25" r="4153" customHeight="1" ht="17.25" hidden="1">
      <c r="A4153" s="112" t="s">
        <v>9542</v>
      </c>
      <c r="B4153" s="1" t="s">
        <v>2549</v>
      </c>
      <c r="C4153" s="1" t="s">
        <v>43</v>
      </c>
      <c r="D4153" s="1" t="s">
        <v>9543</v>
      </c>
      <c r="E4153" s="62">
        <v>29</v>
      </c>
      <c r="F4153" s="1" t="s">
        <v>2551</v>
      </c>
      <c r="G4153" s="1" t="s">
        <v>2555</v>
      </c>
    </row>
    <row x14ac:dyDescent="0.25" r="4154" customHeight="1" ht="17.25" hidden="1">
      <c r="A4154" s="112" t="s">
        <v>9544</v>
      </c>
      <c r="B4154" s="1" t="s">
        <v>2549</v>
      </c>
      <c r="C4154" s="1" t="s">
        <v>43</v>
      </c>
      <c r="D4154" s="1" t="s">
        <v>9545</v>
      </c>
      <c r="E4154" s="62">
        <v>26</v>
      </c>
      <c r="F4154" s="1" t="s">
        <v>2551</v>
      </c>
      <c r="G4154" s="1" t="s">
        <v>2552</v>
      </c>
    </row>
    <row x14ac:dyDescent="0.25" r="4155" customHeight="1" ht="17.25" hidden="1">
      <c r="A4155" s="112" t="s">
        <v>9546</v>
      </c>
      <c r="B4155" s="1" t="s">
        <v>2549</v>
      </c>
      <c r="C4155" s="1" t="s">
        <v>43</v>
      </c>
      <c r="D4155" s="1" t="s">
        <v>9547</v>
      </c>
      <c r="E4155" s="62">
        <v>17</v>
      </c>
      <c r="F4155" s="1" t="s">
        <v>2551</v>
      </c>
      <c r="G4155" s="1" t="s">
        <v>2555</v>
      </c>
    </row>
    <row x14ac:dyDescent="0.25" r="4156" customHeight="1" ht="17.25" hidden="1">
      <c r="A4156" s="112" t="s">
        <v>9548</v>
      </c>
      <c r="B4156" s="1" t="s">
        <v>2549</v>
      </c>
      <c r="C4156" s="1" t="s">
        <v>43</v>
      </c>
      <c r="D4156" s="1" t="s">
        <v>9549</v>
      </c>
      <c r="E4156" s="62">
        <v>20</v>
      </c>
      <c r="F4156" s="1" t="s">
        <v>2551</v>
      </c>
      <c r="G4156" s="1" t="s">
        <v>2558</v>
      </c>
    </row>
    <row x14ac:dyDescent="0.25" r="4157" customHeight="1" ht="17.25" hidden="1">
      <c r="A4157" s="112" t="s">
        <v>9550</v>
      </c>
      <c r="B4157" s="1" t="s">
        <v>2549</v>
      </c>
      <c r="C4157" s="1" t="s">
        <v>43</v>
      </c>
      <c r="D4157" s="1" t="s">
        <v>9551</v>
      </c>
      <c r="E4157" s="62">
        <v>23</v>
      </c>
      <c r="F4157" s="1" t="s">
        <v>2561</v>
      </c>
      <c r="G4157" s="1" t="s">
        <v>2555</v>
      </c>
    </row>
    <row x14ac:dyDescent="0.25" r="4158" customHeight="1" ht="17.25" hidden="1">
      <c r="A4158" s="112" t="s">
        <v>9552</v>
      </c>
      <c r="B4158" s="1" t="s">
        <v>2549</v>
      </c>
      <c r="C4158" s="1" t="s">
        <v>43</v>
      </c>
      <c r="D4158" s="1" t="s">
        <v>9553</v>
      </c>
      <c r="E4158" s="62">
        <v>22</v>
      </c>
      <c r="F4158" s="1" t="s">
        <v>2551</v>
      </c>
      <c r="G4158" s="1" t="s">
        <v>2552</v>
      </c>
    </row>
    <row x14ac:dyDescent="0.25" r="4159" customHeight="1" ht="17.25" hidden="1">
      <c r="A4159" s="112" t="s">
        <v>9554</v>
      </c>
      <c r="B4159" s="1" t="s">
        <v>2549</v>
      </c>
      <c r="C4159" s="1" t="s">
        <v>43</v>
      </c>
      <c r="D4159" s="1" t="s">
        <v>9555</v>
      </c>
      <c r="E4159" s="62">
        <v>20</v>
      </c>
      <c r="F4159" s="1" t="s">
        <v>2551</v>
      </c>
      <c r="G4159" s="1" t="s">
        <v>2552</v>
      </c>
    </row>
    <row x14ac:dyDescent="0.25" r="4160" customHeight="1" ht="17.25" hidden="1">
      <c r="A4160" s="112" t="s">
        <v>1672</v>
      </c>
      <c r="B4160" s="1" t="s">
        <v>2549</v>
      </c>
      <c r="C4160" s="1" t="s">
        <v>43</v>
      </c>
      <c r="D4160" s="1" t="s">
        <v>1674</v>
      </c>
      <c r="E4160" s="62">
        <v>30</v>
      </c>
      <c r="F4160" s="1" t="s">
        <v>2551</v>
      </c>
      <c r="G4160" s="1" t="s">
        <v>2552</v>
      </c>
    </row>
    <row x14ac:dyDescent="0.25" r="4161" customHeight="1" ht="17.25" hidden="1">
      <c r="A4161" s="112" t="s">
        <v>9556</v>
      </c>
      <c r="B4161" s="1" t="s">
        <v>2549</v>
      </c>
      <c r="C4161" s="1" t="s">
        <v>43</v>
      </c>
      <c r="D4161" s="1" t="s">
        <v>9557</v>
      </c>
      <c r="E4161" s="62">
        <v>27</v>
      </c>
      <c r="F4161" s="1" t="s">
        <v>2551</v>
      </c>
      <c r="G4161" s="1" t="s">
        <v>2552</v>
      </c>
    </row>
    <row x14ac:dyDescent="0.25" r="4162" customHeight="1" ht="17.25" hidden="1">
      <c r="A4162" s="112" t="s">
        <v>1718</v>
      </c>
      <c r="B4162" s="1" t="s">
        <v>2549</v>
      </c>
      <c r="C4162" s="1" t="s">
        <v>43</v>
      </c>
      <c r="D4162" s="1" t="s">
        <v>1720</v>
      </c>
      <c r="E4162" s="62">
        <v>25</v>
      </c>
      <c r="F4162" s="1" t="s">
        <v>2551</v>
      </c>
      <c r="G4162" s="1" t="s">
        <v>2552</v>
      </c>
    </row>
    <row x14ac:dyDescent="0.25" r="4163" customHeight="1" ht="17.25" hidden="1">
      <c r="A4163" s="112" t="s">
        <v>9558</v>
      </c>
      <c r="B4163" s="1" t="s">
        <v>2549</v>
      </c>
      <c r="C4163" s="1" t="s">
        <v>43</v>
      </c>
      <c r="D4163" s="1" t="s">
        <v>9559</v>
      </c>
      <c r="E4163" s="62">
        <v>42</v>
      </c>
      <c r="F4163" s="1" t="s">
        <v>2551</v>
      </c>
      <c r="G4163" s="1" t="s">
        <v>2552</v>
      </c>
    </row>
    <row x14ac:dyDescent="0.25" r="4164" customHeight="1" ht="17.25" hidden="1">
      <c r="A4164" s="112" t="s">
        <v>9560</v>
      </c>
      <c r="B4164" s="1" t="s">
        <v>2549</v>
      </c>
      <c r="C4164" s="1" t="s">
        <v>43</v>
      </c>
      <c r="D4164" s="1" t="s">
        <v>9561</v>
      </c>
      <c r="E4164" s="62">
        <v>32</v>
      </c>
      <c r="F4164" s="1" t="s">
        <v>2551</v>
      </c>
      <c r="G4164" s="1" t="s">
        <v>2555</v>
      </c>
    </row>
    <row x14ac:dyDescent="0.25" r="4165" customHeight="1" ht="17.25" hidden="1">
      <c r="A4165" s="112" t="s">
        <v>9562</v>
      </c>
      <c r="B4165" s="1" t="s">
        <v>2549</v>
      </c>
      <c r="C4165" s="1" t="s">
        <v>43</v>
      </c>
      <c r="D4165" s="1" t="s">
        <v>9563</v>
      </c>
      <c r="E4165" s="62">
        <v>31</v>
      </c>
      <c r="F4165" s="1" t="s">
        <v>2551</v>
      </c>
      <c r="G4165" s="1" t="s">
        <v>2552</v>
      </c>
    </row>
    <row x14ac:dyDescent="0.25" r="4166" customHeight="1" ht="17.25" hidden="1">
      <c r="A4166" s="112" t="s">
        <v>9564</v>
      </c>
      <c r="B4166" s="1" t="s">
        <v>2549</v>
      </c>
      <c r="C4166" s="1" t="s">
        <v>43</v>
      </c>
      <c r="D4166" s="1" t="s">
        <v>9565</v>
      </c>
      <c r="E4166" s="62">
        <v>28</v>
      </c>
      <c r="F4166" s="1" t="s">
        <v>2551</v>
      </c>
      <c r="G4166" s="1" t="s">
        <v>2555</v>
      </c>
    </row>
    <row x14ac:dyDescent="0.25" r="4167" customHeight="1" ht="17.25" hidden="1">
      <c r="A4167" s="112" t="s">
        <v>9566</v>
      </c>
      <c r="B4167" s="1" t="s">
        <v>2549</v>
      </c>
      <c r="C4167" s="1" t="s">
        <v>43</v>
      </c>
      <c r="D4167" s="1" t="s">
        <v>9567</v>
      </c>
      <c r="E4167" s="62">
        <v>20</v>
      </c>
      <c r="F4167" s="1" t="s">
        <v>2561</v>
      </c>
      <c r="G4167" s="1" t="s">
        <v>2558</v>
      </c>
    </row>
    <row x14ac:dyDescent="0.25" r="4168" customHeight="1" ht="17.25" hidden="1">
      <c r="A4168" s="112" t="s">
        <v>9568</v>
      </c>
      <c r="B4168" s="1" t="s">
        <v>2549</v>
      </c>
      <c r="C4168" s="1" t="s">
        <v>43</v>
      </c>
      <c r="D4168" s="1" t="s">
        <v>9569</v>
      </c>
      <c r="E4168" s="62">
        <v>19</v>
      </c>
      <c r="F4168" s="1" t="s">
        <v>2551</v>
      </c>
      <c r="G4168" s="1" t="s">
        <v>2552</v>
      </c>
    </row>
    <row x14ac:dyDescent="0.25" r="4169" customHeight="1" ht="17.25" hidden="1">
      <c r="A4169" s="112" t="s">
        <v>9570</v>
      </c>
      <c r="B4169" s="1" t="s">
        <v>2549</v>
      </c>
      <c r="C4169" s="1" t="s">
        <v>43</v>
      </c>
      <c r="D4169" s="1" t="s">
        <v>9571</v>
      </c>
      <c r="E4169" s="62">
        <v>25</v>
      </c>
      <c r="F4169" s="1" t="s">
        <v>2551</v>
      </c>
      <c r="G4169" s="1" t="s">
        <v>2552</v>
      </c>
    </row>
    <row x14ac:dyDescent="0.25" r="4170" customHeight="1" ht="17.25" hidden="1">
      <c r="A4170" s="112" t="s">
        <v>9572</v>
      </c>
      <c r="B4170" s="1" t="s">
        <v>2549</v>
      </c>
      <c r="C4170" s="1" t="s">
        <v>43</v>
      </c>
      <c r="D4170" s="1" t="s">
        <v>9573</v>
      </c>
      <c r="E4170" s="62">
        <v>22</v>
      </c>
      <c r="F4170" s="1" t="s">
        <v>2551</v>
      </c>
      <c r="G4170" s="1" t="s">
        <v>2552</v>
      </c>
    </row>
    <row x14ac:dyDescent="0.25" r="4171" customHeight="1" ht="17.25" hidden="1">
      <c r="A4171" s="112" t="s">
        <v>2147</v>
      </c>
      <c r="B4171" s="1" t="s">
        <v>2549</v>
      </c>
      <c r="C4171" s="1" t="s">
        <v>43</v>
      </c>
      <c r="D4171" s="1" t="s">
        <v>2148</v>
      </c>
      <c r="E4171" s="62">
        <v>25</v>
      </c>
      <c r="F4171" s="1" t="s">
        <v>2551</v>
      </c>
      <c r="G4171" s="1" t="s">
        <v>2964</v>
      </c>
    </row>
    <row x14ac:dyDescent="0.25" r="4172" customHeight="1" ht="17.25" hidden="1">
      <c r="A4172" s="112" t="s">
        <v>9574</v>
      </c>
      <c r="B4172" s="1" t="s">
        <v>2549</v>
      </c>
      <c r="C4172" s="1" t="s">
        <v>43</v>
      </c>
      <c r="D4172" s="1" t="s">
        <v>9575</v>
      </c>
      <c r="E4172" s="62">
        <v>42</v>
      </c>
      <c r="F4172" s="1" t="s">
        <v>2551</v>
      </c>
      <c r="G4172" s="1" t="s">
        <v>2552</v>
      </c>
    </row>
    <row x14ac:dyDescent="0.25" r="4173" customHeight="1" ht="17.25" hidden="1">
      <c r="A4173" s="112" t="s">
        <v>9574</v>
      </c>
      <c r="B4173" s="1" t="s">
        <v>2549</v>
      </c>
      <c r="C4173" s="1" t="s">
        <v>43</v>
      </c>
      <c r="D4173" s="1" t="s">
        <v>9576</v>
      </c>
      <c r="E4173" s="62">
        <v>33</v>
      </c>
      <c r="F4173" s="1" t="s">
        <v>2551</v>
      </c>
      <c r="G4173" s="1" t="s">
        <v>2555</v>
      </c>
    </row>
    <row x14ac:dyDescent="0.25" r="4174" customHeight="1" ht="17.25" hidden="1">
      <c r="A4174" s="112" t="s">
        <v>9577</v>
      </c>
      <c r="B4174" s="1" t="s">
        <v>2549</v>
      </c>
      <c r="C4174" s="1" t="s">
        <v>43</v>
      </c>
      <c r="D4174" s="1" t="s">
        <v>9578</v>
      </c>
      <c r="E4174" s="62">
        <v>23</v>
      </c>
      <c r="F4174" s="1" t="s">
        <v>2561</v>
      </c>
      <c r="G4174" s="1" t="s">
        <v>2558</v>
      </c>
    </row>
    <row x14ac:dyDescent="0.25" r="4175" customHeight="1" ht="17.25" hidden="1">
      <c r="A4175" s="112" t="s">
        <v>1781</v>
      </c>
      <c r="B4175" s="1" t="s">
        <v>2549</v>
      </c>
      <c r="C4175" s="1" t="s">
        <v>43</v>
      </c>
      <c r="D4175" s="1" t="s">
        <v>1783</v>
      </c>
      <c r="E4175" s="62">
        <v>32</v>
      </c>
      <c r="F4175" s="1" t="s">
        <v>2551</v>
      </c>
      <c r="G4175" s="1" t="s">
        <v>2552</v>
      </c>
    </row>
    <row x14ac:dyDescent="0.25" r="4176" customHeight="1" ht="17.25" hidden="1">
      <c r="A4176" s="112" t="s">
        <v>9579</v>
      </c>
      <c r="B4176" s="1" t="s">
        <v>2549</v>
      </c>
      <c r="C4176" s="1" t="s">
        <v>43</v>
      </c>
      <c r="D4176" s="1" t="s">
        <v>8546</v>
      </c>
      <c r="E4176" s="62">
        <v>-76</v>
      </c>
      <c r="F4176" s="1" t="s">
        <v>2551</v>
      </c>
      <c r="G4176" s="1" t="s">
        <v>2571</v>
      </c>
    </row>
    <row x14ac:dyDescent="0.25" r="4177" customHeight="1" ht="17.25" hidden="1">
      <c r="A4177" s="112" t="s">
        <v>9579</v>
      </c>
      <c r="B4177" s="1" t="s">
        <v>2549</v>
      </c>
      <c r="C4177" s="1" t="s">
        <v>43</v>
      </c>
      <c r="D4177" s="1" t="s">
        <v>9580</v>
      </c>
      <c r="E4177" s="62">
        <v>42</v>
      </c>
      <c r="F4177" s="1" t="s">
        <v>2551</v>
      </c>
      <c r="G4177" s="1" t="s">
        <v>2555</v>
      </c>
    </row>
    <row x14ac:dyDescent="0.25" r="4178" customHeight="1" ht="17.25" hidden="1">
      <c r="A4178" s="112" t="s">
        <v>9579</v>
      </c>
      <c r="B4178" s="1" t="s">
        <v>2549</v>
      </c>
      <c r="C4178" s="1" t="s">
        <v>43</v>
      </c>
      <c r="D4178" s="1" t="s">
        <v>9581</v>
      </c>
      <c r="E4178" s="54" t="s">
        <v>2571</v>
      </c>
      <c r="F4178" s="1" t="s">
        <v>2551</v>
      </c>
      <c r="G4178" s="1" t="s">
        <v>2555</v>
      </c>
    </row>
    <row x14ac:dyDescent="0.25" r="4179" customHeight="1" ht="17.25" hidden="1">
      <c r="A4179" s="112" t="s">
        <v>9579</v>
      </c>
      <c r="B4179" s="1" t="s">
        <v>2549</v>
      </c>
      <c r="C4179" s="1" t="s">
        <v>43</v>
      </c>
      <c r="D4179" s="1" t="s">
        <v>9582</v>
      </c>
      <c r="E4179" s="62">
        <v>29</v>
      </c>
      <c r="F4179" s="1" t="s">
        <v>2551</v>
      </c>
      <c r="G4179" s="1" t="s">
        <v>2555</v>
      </c>
    </row>
    <row x14ac:dyDescent="0.25" r="4180" customHeight="1" ht="17.25" hidden="1">
      <c r="A4180" s="112" t="s">
        <v>9579</v>
      </c>
      <c r="B4180" s="1" t="s">
        <v>2549</v>
      </c>
      <c r="C4180" s="1" t="s">
        <v>43</v>
      </c>
      <c r="D4180" s="1" t="s">
        <v>9583</v>
      </c>
      <c r="E4180" s="62">
        <v>32</v>
      </c>
      <c r="F4180" s="1" t="s">
        <v>2551</v>
      </c>
      <c r="G4180" s="1" t="s">
        <v>2571</v>
      </c>
    </row>
    <row x14ac:dyDescent="0.25" r="4181" customHeight="1" ht="17.25" hidden="1">
      <c r="A4181" s="112" t="s">
        <v>9579</v>
      </c>
      <c r="B4181" s="1" t="s">
        <v>2549</v>
      </c>
      <c r="C4181" s="1" t="s">
        <v>43</v>
      </c>
      <c r="D4181" s="1" t="s">
        <v>9584</v>
      </c>
      <c r="E4181" s="62">
        <v>43</v>
      </c>
      <c r="F4181" s="1" t="s">
        <v>2551</v>
      </c>
      <c r="G4181" s="1" t="s">
        <v>2571</v>
      </c>
    </row>
    <row x14ac:dyDescent="0.25" r="4182" customHeight="1" ht="17.25" hidden="1">
      <c r="A4182" s="112" t="s">
        <v>9585</v>
      </c>
      <c r="B4182" s="1" t="s">
        <v>2549</v>
      </c>
      <c r="C4182" s="1" t="s">
        <v>43</v>
      </c>
      <c r="D4182" s="1" t="s">
        <v>9586</v>
      </c>
      <c r="E4182" s="62">
        <v>23</v>
      </c>
      <c r="F4182" s="1" t="s">
        <v>2551</v>
      </c>
      <c r="G4182" s="1" t="s">
        <v>2552</v>
      </c>
    </row>
    <row x14ac:dyDescent="0.25" r="4183" customHeight="1" ht="17.25" hidden="1">
      <c r="A4183" s="112" t="s">
        <v>9587</v>
      </c>
      <c r="B4183" s="1" t="s">
        <v>2549</v>
      </c>
      <c r="C4183" s="1" t="s">
        <v>43</v>
      </c>
      <c r="D4183" s="1" t="s">
        <v>9588</v>
      </c>
      <c r="E4183" s="62">
        <v>21</v>
      </c>
      <c r="F4183" s="1" t="s">
        <v>2551</v>
      </c>
      <c r="G4183" s="1" t="s">
        <v>2558</v>
      </c>
    </row>
    <row x14ac:dyDescent="0.25" r="4184" customHeight="1" ht="17.25" hidden="1">
      <c r="A4184" s="112" t="s">
        <v>2528</v>
      </c>
      <c r="B4184" s="1" t="s">
        <v>2549</v>
      </c>
      <c r="C4184" s="1" t="s">
        <v>43</v>
      </c>
      <c r="D4184" s="1" t="s">
        <v>2529</v>
      </c>
      <c r="E4184" s="62">
        <v>26</v>
      </c>
      <c r="F4184" s="1" t="s">
        <v>2551</v>
      </c>
      <c r="G4184" s="1" t="s">
        <v>2552</v>
      </c>
    </row>
    <row x14ac:dyDescent="0.25" r="4185" customHeight="1" ht="17.25" hidden="1">
      <c r="A4185" s="112" t="s">
        <v>9589</v>
      </c>
      <c r="B4185" s="1" t="s">
        <v>2549</v>
      </c>
      <c r="C4185" s="1" t="s">
        <v>44</v>
      </c>
      <c r="D4185" s="1" t="s">
        <v>9590</v>
      </c>
      <c r="E4185" s="62">
        <v>18</v>
      </c>
      <c r="F4185" s="1" t="s">
        <v>2551</v>
      </c>
      <c r="G4185" s="1" t="s">
        <v>2552</v>
      </c>
    </row>
    <row x14ac:dyDescent="0.25" r="4186" customHeight="1" ht="17.25" hidden="1">
      <c r="A4186" s="112" t="s">
        <v>9591</v>
      </c>
      <c r="B4186" s="1" t="s">
        <v>2549</v>
      </c>
      <c r="C4186" s="1" t="s">
        <v>44</v>
      </c>
      <c r="D4186" s="1" t="s">
        <v>9592</v>
      </c>
      <c r="E4186" s="62">
        <v>21</v>
      </c>
      <c r="F4186" s="1" t="s">
        <v>2551</v>
      </c>
      <c r="G4186" s="1" t="s">
        <v>2552</v>
      </c>
    </row>
    <row x14ac:dyDescent="0.25" r="4187" customHeight="1" ht="17.25" hidden="1">
      <c r="A4187" s="112" t="s">
        <v>9593</v>
      </c>
      <c r="B4187" s="1" t="s">
        <v>2549</v>
      </c>
      <c r="C4187" s="1" t="s">
        <v>44</v>
      </c>
      <c r="D4187" s="1" t="s">
        <v>9594</v>
      </c>
      <c r="E4187" s="62">
        <v>20</v>
      </c>
      <c r="F4187" s="1" t="s">
        <v>2551</v>
      </c>
      <c r="G4187" s="1" t="s">
        <v>2555</v>
      </c>
    </row>
    <row x14ac:dyDescent="0.25" r="4188" customHeight="1" ht="17.25" hidden="1">
      <c r="A4188" s="112" t="s">
        <v>9595</v>
      </c>
      <c r="B4188" s="1" t="s">
        <v>2549</v>
      </c>
      <c r="C4188" s="1" t="s">
        <v>44</v>
      </c>
      <c r="D4188" s="1" t="s">
        <v>9596</v>
      </c>
      <c r="E4188" s="62">
        <v>26</v>
      </c>
      <c r="F4188" s="1" t="s">
        <v>2551</v>
      </c>
      <c r="G4188" s="1" t="s">
        <v>2552</v>
      </c>
    </row>
    <row x14ac:dyDescent="0.25" r="4189" customHeight="1" ht="17.25" hidden="1">
      <c r="A4189" s="112" t="s">
        <v>9597</v>
      </c>
      <c r="B4189" s="1" t="s">
        <v>2549</v>
      </c>
      <c r="C4189" s="1" t="s">
        <v>44</v>
      </c>
      <c r="D4189" s="1" t="s">
        <v>9598</v>
      </c>
      <c r="E4189" s="62">
        <v>24</v>
      </c>
      <c r="F4189" s="1" t="s">
        <v>2551</v>
      </c>
      <c r="G4189" s="1" t="s">
        <v>2552</v>
      </c>
    </row>
    <row x14ac:dyDescent="0.25" r="4190" customHeight="1" ht="17.25" hidden="1">
      <c r="A4190" s="112" t="s">
        <v>9599</v>
      </c>
      <c r="B4190" s="1" t="s">
        <v>2549</v>
      </c>
      <c r="C4190" s="1" t="s">
        <v>44</v>
      </c>
      <c r="D4190" s="1" t="s">
        <v>9600</v>
      </c>
      <c r="E4190" s="62">
        <v>26</v>
      </c>
      <c r="F4190" s="1" t="s">
        <v>2551</v>
      </c>
      <c r="G4190" s="1" t="s">
        <v>2558</v>
      </c>
    </row>
    <row x14ac:dyDescent="0.25" r="4191" customHeight="1" ht="17.25" hidden="1">
      <c r="A4191" s="112" t="s">
        <v>9601</v>
      </c>
      <c r="B4191" s="1" t="s">
        <v>2549</v>
      </c>
      <c r="C4191" s="1" t="s">
        <v>44</v>
      </c>
      <c r="D4191" s="1" t="s">
        <v>9602</v>
      </c>
      <c r="E4191" s="62">
        <v>43</v>
      </c>
      <c r="F4191" s="1" t="s">
        <v>2551</v>
      </c>
      <c r="G4191" s="1" t="s">
        <v>2555</v>
      </c>
    </row>
    <row x14ac:dyDescent="0.25" r="4192" customHeight="1" ht="17.25" hidden="1">
      <c r="A4192" s="112" t="s">
        <v>9603</v>
      </c>
      <c r="B4192" s="1" t="s">
        <v>2549</v>
      </c>
      <c r="C4192" s="1" t="s">
        <v>44</v>
      </c>
      <c r="D4192" s="1" t="s">
        <v>9604</v>
      </c>
      <c r="E4192" s="62">
        <v>35</v>
      </c>
      <c r="F4192" s="1" t="s">
        <v>2551</v>
      </c>
      <c r="G4192" s="1" t="s">
        <v>2555</v>
      </c>
    </row>
    <row x14ac:dyDescent="0.25" r="4193" customHeight="1" ht="17.25" hidden="1">
      <c r="A4193" s="112" t="s">
        <v>9605</v>
      </c>
      <c r="B4193" s="1" t="s">
        <v>2549</v>
      </c>
      <c r="C4193" s="1" t="s">
        <v>44</v>
      </c>
      <c r="D4193" s="1" t="s">
        <v>9606</v>
      </c>
      <c r="E4193" s="62">
        <v>21</v>
      </c>
      <c r="F4193" s="1" t="s">
        <v>2551</v>
      </c>
      <c r="G4193" s="1" t="s">
        <v>2552</v>
      </c>
    </row>
    <row x14ac:dyDescent="0.25" r="4194" customHeight="1" ht="17.25" hidden="1">
      <c r="A4194" s="112" t="s">
        <v>9605</v>
      </c>
      <c r="B4194" s="1" t="s">
        <v>2549</v>
      </c>
      <c r="C4194" s="1" t="s">
        <v>44</v>
      </c>
      <c r="D4194" s="1" t="s">
        <v>9607</v>
      </c>
      <c r="E4194" s="62">
        <v>40</v>
      </c>
      <c r="F4194" s="1" t="s">
        <v>2551</v>
      </c>
      <c r="G4194" s="1" t="s">
        <v>2558</v>
      </c>
    </row>
    <row x14ac:dyDescent="0.25" r="4195" customHeight="1" ht="17.25" hidden="1">
      <c r="A4195" s="112" t="s">
        <v>9608</v>
      </c>
      <c r="B4195" s="1" t="s">
        <v>2549</v>
      </c>
      <c r="C4195" s="1" t="s">
        <v>44</v>
      </c>
      <c r="D4195" s="1" t="s">
        <v>9609</v>
      </c>
      <c r="E4195" s="62">
        <v>21</v>
      </c>
      <c r="F4195" s="1" t="s">
        <v>2551</v>
      </c>
      <c r="G4195" s="1" t="s">
        <v>2558</v>
      </c>
    </row>
    <row x14ac:dyDescent="0.25" r="4196" customHeight="1" ht="17.25" hidden="1">
      <c r="A4196" s="112" t="s">
        <v>9608</v>
      </c>
      <c r="B4196" s="1" t="s">
        <v>2549</v>
      </c>
      <c r="C4196" s="1" t="s">
        <v>44</v>
      </c>
      <c r="D4196" s="1" t="s">
        <v>9610</v>
      </c>
      <c r="E4196" s="62">
        <v>19</v>
      </c>
      <c r="F4196" s="1" t="s">
        <v>2551</v>
      </c>
      <c r="G4196" s="1" t="s">
        <v>2558</v>
      </c>
    </row>
    <row x14ac:dyDescent="0.25" r="4197" customHeight="1" ht="17.25" hidden="1">
      <c r="A4197" s="112" t="s">
        <v>9611</v>
      </c>
      <c r="B4197" s="1" t="s">
        <v>2549</v>
      </c>
      <c r="C4197" s="1" t="s">
        <v>44</v>
      </c>
      <c r="D4197" s="1" t="s">
        <v>9612</v>
      </c>
      <c r="E4197" s="62">
        <v>26</v>
      </c>
      <c r="F4197" s="1" t="s">
        <v>2551</v>
      </c>
      <c r="G4197" s="1" t="s">
        <v>2558</v>
      </c>
    </row>
    <row x14ac:dyDescent="0.25" r="4198" customHeight="1" ht="17.25" hidden="1">
      <c r="A4198" s="112" t="s">
        <v>9613</v>
      </c>
      <c r="B4198" s="1" t="s">
        <v>2549</v>
      </c>
      <c r="C4198" s="1" t="s">
        <v>44</v>
      </c>
      <c r="D4198" s="1" t="s">
        <v>9614</v>
      </c>
      <c r="E4198" s="62">
        <v>19</v>
      </c>
      <c r="F4198" s="1" t="s">
        <v>2551</v>
      </c>
      <c r="G4198" s="1" t="s">
        <v>2552</v>
      </c>
    </row>
    <row x14ac:dyDescent="0.25" r="4199" customHeight="1" ht="17.25" hidden="1">
      <c r="A4199" s="112" t="s">
        <v>9615</v>
      </c>
      <c r="B4199" s="1" t="s">
        <v>2549</v>
      </c>
      <c r="C4199" s="1" t="s">
        <v>44</v>
      </c>
      <c r="D4199" s="1" t="s">
        <v>9616</v>
      </c>
      <c r="E4199" s="62">
        <v>25</v>
      </c>
      <c r="F4199" s="1" t="s">
        <v>2551</v>
      </c>
      <c r="G4199" s="1" t="s">
        <v>2555</v>
      </c>
    </row>
    <row x14ac:dyDescent="0.25" r="4200" customHeight="1" ht="17.25" hidden="1">
      <c r="A4200" s="112" t="s">
        <v>9617</v>
      </c>
      <c r="B4200" s="1" t="s">
        <v>2549</v>
      </c>
      <c r="C4200" s="1" t="s">
        <v>44</v>
      </c>
      <c r="D4200" s="1" t="s">
        <v>9618</v>
      </c>
      <c r="E4200" s="62">
        <v>21</v>
      </c>
      <c r="F4200" s="1" t="s">
        <v>2551</v>
      </c>
      <c r="G4200" s="1" t="s">
        <v>2552</v>
      </c>
    </row>
    <row x14ac:dyDescent="0.25" r="4201" customHeight="1" ht="17.25" hidden="1">
      <c r="A4201" s="112" t="s">
        <v>9619</v>
      </c>
      <c r="B4201" s="1" t="s">
        <v>2549</v>
      </c>
      <c r="C4201" s="1" t="s">
        <v>44</v>
      </c>
      <c r="D4201" s="1" t="s">
        <v>9620</v>
      </c>
      <c r="E4201" s="62">
        <v>19</v>
      </c>
      <c r="F4201" s="1" t="s">
        <v>2551</v>
      </c>
      <c r="G4201" s="1" t="s">
        <v>2552</v>
      </c>
    </row>
    <row x14ac:dyDescent="0.25" r="4202" customHeight="1" ht="17.25" hidden="1">
      <c r="A4202" s="112" t="s">
        <v>1555</v>
      </c>
      <c r="B4202" s="1" t="s">
        <v>2549</v>
      </c>
      <c r="C4202" s="1" t="s">
        <v>44</v>
      </c>
      <c r="D4202" s="1" t="s">
        <v>1561</v>
      </c>
      <c r="E4202" s="62">
        <v>19</v>
      </c>
      <c r="F4202" s="1" t="s">
        <v>2551</v>
      </c>
      <c r="G4202" s="1" t="s">
        <v>2558</v>
      </c>
    </row>
    <row x14ac:dyDescent="0.25" r="4203" customHeight="1" ht="17.25" hidden="1">
      <c r="A4203" s="112" t="s">
        <v>1555</v>
      </c>
      <c r="B4203" s="1" t="s">
        <v>2549</v>
      </c>
      <c r="C4203" s="1" t="s">
        <v>44</v>
      </c>
      <c r="D4203" s="1" t="s">
        <v>1557</v>
      </c>
      <c r="E4203" s="62">
        <v>20</v>
      </c>
      <c r="F4203" s="1" t="s">
        <v>2551</v>
      </c>
      <c r="G4203" s="1" t="s">
        <v>2552</v>
      </c>
    </row>
    <row x14ac:dyDescent="0.25" r="4204" customHeight="1" ht="17.25" hidden="1">
      <c r="A4204" s="112" t="s">
        <v>9621</v>
      </c>
      <c r="B4204" s="1" t="s">
        <v>2549</v>
      </c>
      <c r="C4204" s="1" t="s">
        <v>44</v>
      </c>
      <c r="D4204" s="1" t="s">
        <v>9622</v>
      </c>
      <c r="E4204" s="62">
        <v>33</v>
      </c>
      <c r="F4204" s="1" t="s">
        <v>2551</v>
      </c>
      <c r="G4204" s="1" t="s">
        <v>2552</v>
      </c>
    </row>
    <row x14ac:dyDescent="0.25" r="4205" customHeight="1" ht="17.25" hidden="1">
      <c r="A4205" s="112" t="s">
        <v>9623</v>
      </c>
      <c r="B4205" s="1" t="s">
        <v>2549</v>
      </c>
      <c r="C4205" s="1" t="s">
        <v>44</v>
      </c>
      <c r="D4205" s="1" t="s">
        <v>9624</v>
      </c>
      <c r="E4205" s="62">
        <v>19</v>
      </c>
      <c r="F4205" s="1" t="s">
        <v>2551</v>
      </c>
      <c r="G4205" s="1" t="s">
        <v>2555</v>
      </c>
    </row>
    <row x14ac:dyDescent="0.25" r="4206" customHeight="1" ht="17.25" hidden="1">
      <c r="A4206" s="112" t="s">
        <v>9625</v>
      </c>
      <c r="B4206" s="1" t="s">
        <v>2549</v>
      </c>
      <c r="C4206" s="1" t="s">
        <v>44</v>
      </c>
      <c r="D4206" s="1" t="s">
        <v>9626</v>
      </c>
      <c r="E4206" s="62">
        <v>38</v>
      </c>
      <c r="F4206" s="1" t="s">
        <v>2551</v>
      </c>
      <c r="G4206" s="1" t="s">
        <v>2552</v>
      </c>
    </row>
    <row x14ac:dyDescent="0.25" r="4207" customHeight="1" ht="17.25" hidden="1">
      <c r="A4207" s="112" t="s">
        <v>9627</v>
      </c>
      <c r="B4207" s="1" t="s">
        <v>2549</v>
      </c>
      <c r="C4207" s="1" t="s">
        <v>44</v>
      </c>
      <c r="D4207" s="1" t="s">
        <v>9628</v>
      </c>
      <c r="E4207" s="62">
        <v>59</v>
      </c>
      <c r="F4207" s="1" t="s">
        <v>2551</v>
      </c>
      <c r="G4207" s="1" t="s">
        <v>2552</v>
      </c>
    </row>
    <row x14ac:dyDescent="0.25" r="4208" customHeight="1" ht="17.25" hidden="1">
      <c r="A4208" s="112" t="s">
        <v>9629</v>
      </c>
      <c r="B4208" s="1" t="s">
        <v>2549</v>
      </c>
      <c r="C4208" s="1" t="s">
        <v>44</v>
      </c>
      <c r="D4208" s="1" t="s">
        <v>9630</v>
      </c>
      <c r="E4208" s="62">
        <v>21</v>
      </c>
      <c r="F4208" s="1" t="s">
        <v>2551</v>
      </c>
      <c r="G4208" s="1" t="s">
        <v>2555</v>
      </c>
    </row>
    <row x14ac:dyDescent="0.25" r="4209" customHeight="1" ht="17.25" hidden="1">
      <c r="A4209" s="112" t="s">
        <v>9631</v>
      </c>
      <c r="B4209" s="1" t="s">
        <v>2549</v>
      </c>
      <c r="C4209" s="1" t="s">
        <v>44</v>
      </c>
      <c r="D4209" s="1" t="s">
        <v>9632</v>
      </c>
      <c r="E4209" s="62">
        <v>18</v>
      </c>
      <c r="F4209" s="1" t="s">
        <v>2551</v>
      </c>
      <c r="G4209" s="1" t="s">
        <v>2552</v>
      </c>
    </row>
    <row x14ac:dyDescent="0.25" r="4210" customHeight="1" ht="17.25" hidden="1">
      <c r="A4210" s="112" t="s">
        <v>9633</v>
      </c>
      <c r="B4210" s="1" t="s">
        <v>2549</v>
      </c>
      <c r="C4210" s="1" t="s">
        <v>44</v>
      </c>
      <c r="D4210" s="1" t="s">
        <v>6043</v>
      </c>
      <c r="E4210" s="62">
        <v>30</v>
      </c>
      <c r="F4210" s="1" t="s">
        <v>2551</v>
      </c>
      <c r="G4210" s="1" t="s">
        <v>2555</v>
      </c>
    </row>
    <row x14ac:dyDescent="0.25" r="4211" customHeight="1" ht="17.25" hidden="1">
      <c r="A4211" s="112" t="s">
        <v>9634</v>
      </c>
      <c r="B4211" s="1" t="s">
        <v>2549</v>
      </c>
      <c r="C4211" s="1" t="s">
        <v>44</v>
      </c>
      <c r="D4211" s="1" t="s">
        <v>9635</v>
      </c>
      <c r="E4211" s="62">
        <v>26</v>
      </c>
      <c r="F4211" s="1" t="s">
        <v>2551</v>
      </c>
      <c r="G4211" s="1" t="s">
        <v>2552</v>
      </c>
    </row>
    <row x14ac:dyDescent="0.25" r="4212" customHeight="1" ht="17.25" hidden="1">
      <c r="A4212" s="112" t="s">
        <v>9636</v>
      </c>
      <c r="B4212" s="1" t="s">
        <v>2549</v>
      </c>
      <c r="C4212" s="1" t="s">
        <v>44</v>
      </c>
      <c r="D4212" s="1" t="s">
        <v>9637</v>
      </c>
      <c r="E4212" s="62">
        <v>40</v>
      </c>
      <c r="F4212" s="1" t="s">
        <v>2551</v>
      </c>
      <c r="G4212" s="1" t="s">
        <v>2552</v>
      </c>
    </row>
    <row x14ac:dyDescent="0.25" r="4213" customHeight="1" ht="17.25" hidden="1">
      <c r="A4213" s="112" t="s">
        <v>9638</v>
      </c>
      <c r="B4213" s="1" t="s">
        <v>2549</v>
      </c>
      <c r="C4213" s="1" t="s">
        <v>44</v>
      </c>
      <c r="D4213" s="1" t="s">
        <v>3558</v>
      </c>
      <c r="E4213" s="62">
        <v>47</v>
      </c>
      <c r="F4213" s="1" t="s">
        <v>2561</v>
      </c>
      <c r="G4213" s="1" t="s">
        <v>2552</v>
      </c>
    </row>
    <row x14ac:dyDescent="0.25" r="4214" customHeight="1" ht="17.25" hidden="1">
      <c r="A4214" s="112" t="s">
        <v>9639</v>
      </c>
      <c r="B4214" s="1" t="s">
        <v>2549</v>
      </c>
      <c r="C4214" s="1" t="s">
        <v>44</v>
      </c>
      <c r="D4214" s="1" t="s">
        <v>9640</v>
      </c>
      <c r="E4214" s="62">
        <v>18</v>
      </c>
      <c r="F4214" s="1" t="s">
        <v>2551</v>
      </c>
      <c r="G4214" s="1" t="s">
        <v>2552</v>
      </c>
    </row>
    <row x14ac:dyDescent="0.25" r="4215" customHeight="1" ht="17.25" hidden="1">
      <c r="A4215" s="112" t="s">
        <v>9641</v>
      </c>
      <c r="B4215" s="1" t="s">
        <v>2549</v>
      </c>
      <c r="C4215" s="1" t="s">
        <v>44</v>
      </c>
      <c r="D4215" s="1" t="s">
        <v>9642</v>
      </c>
      <c r="E4215" s="62">
        <v>20</v>
      </c>
      <c r="F4215" s="1" t="s">
        <v>2551</v>
      </c>
      <c r="G4215" s="1" t="s">
        <v>2552</v>
      </c>
    </row>
    <row x14ac:dyDescent="0.25" r="4216" customHeight="1" ht="17.25" hidden="1">
      <c r="A4216" s="112" t="s">
        <v>9643</v>
      </c>
      <c r="B4216" s="1" t="s">
        <v>2549</v>
      </c>
      <c r="C4216" s="1" t="s">
        <v>44</v>
      </c>
      <c r="D4216" s="1" t="s">
        <v>9644</v>
      </c>
      <c r="E4216" s="62">
        <v>45</v>
      </c>
      <c r="F4216" s="1" t="s">
        <v>2551</v>
      </c>
      <c r="G4216" s="1" t="s">
        <v>2558</v>
      </c>
    </row>
    <row x14ac:dyDescent="0.25" r="4217" customHeight="1" ht="17.25" hidden="1">
      <c r="A4217" s="112" t="s">
        <v>9645</v>
      </c>
      <c r="B4217" s="1" t="s">
        <v>2549</v>
      </c>
      <c r="C4217" s="1" t="s">
        <v>44</v>
      </c>
      <c r="D4217" s="1" t="s">
        <v>9646</v>
      </c>
      <c r="E4217" s="62">
        <v>27</v>
      </c>
      <c r="F4217" s="1" t="s">
        <v>2551</v>
      </c>
      <c r="G4217" s="1" t="s">
        <v>2555</v>
      </c>
    </row>
    <row x14ac:dyDescent="0.25" r="4218" customHeight="1" ht="17.25" hidden="1">
      <c r="A4218" s="112" t="s">
        <v>9647</v>
      </c>
      <c r="B4218" s="1" t="s">
        <v>2549</v>
      </c>
      <c r="C4218" s="1" t="s">
        <v>44</v>
      </c>
      <c r="D4218" s="1" t="s">
        <v>9648</v>
      </c>
      <c r="E4218" s="62">
        <v>19</v>
      </c>
      <c r="F4218" s="1" t="s">
        <v>2551</v>
      </c>
      <c r="G4218" s="1" t="s">
        <v>2552</v>
      </c>
    </row>
    <row x14ac:dyDescent="0.25" r="4219" customHeight="1" ht="17.25" hidden="1">
      <c r="A4219" s="112" t="s">
        <v>9649</v>
      </c>
      <c r="B4219" s="1" t="s">
        <v>2549</v>
      </c>
      <c r="C4219" s="1" t="s">
        <v>44</v>
      </c>
      <c r="D4219" s="1" t="s">
        <v>9650</v>
      </c>
      <c r="E4219" s="62">
        <v>28</v>
      </c>
      <c r="F4219" s="1" t="s">
        <v>2551</v>
      </c>
      <c r="G4219" s="1" t="s">
        <v>2555</v>
      </c>
    </row>
    <row x14ac:dyDescent="0.25" r="4220" customHeight="1" ht="17.25" hidden="1">
      <c r="A4220" s="112" t="s">
        <v>9651</v>
      </c>
      <c r="B4220" s="1" t="s">
        <v>2549</v>
      </c>
      <c r="C4220" s="1" t="s">
        <v>44</v>
      </c>
      <c r="D4220" s="1" t="s">
        <v>9652</v>
      </c>
      <c r="E4220" s="62">
        <v>20</v>
      </c>
      <c r="F4220" s="1" t="s">
        <v>2551</v>
      </c>
      <c r="G4220" s="1" t="s">
        <v>2552</v>
      </c>
    </row>
    <row x14ac:dyDescent="0.25" r="4221" customHeight="1" ht="17.25" hidden="1">
      <c r="A4221" s="112" t="s">
        <v>9653</v>
      </c>
      <c r="B4221" s="1" t="s">
        <v>2549</v>
      </c>
      <c r="C4221" s="1" t="s">
        <v>44</v>
      </c>
      <c r="D4221" s="1" t="s">
        <v>9654</v>
      </c>
      <c r="E4221" s="62">
        <v>22</v>
      </c>
      <c r="F4221" s="1" t="s">
        <v>2551</v>
      </c>
      <c r="G4221" s="1" t="s">
        <v>2552</v>
      </c>
    </row>
    <row x14ac:dyDescent="0.25" r="4222" customHeight="1" ht="17.25" hidden="1">
      <c r="A4222" s="112" t="s">
        <v>9655</v>
      </c>
      <c r="B4222" s="1" t="s">
        <v>2549</v>
      </c>
      <c r="C4222" s="1" t="s">
        <v>44</v>
      </c>
      <c r="D4222" s="1" t="s">
        <v>9656</v>
      </c>
      <c r="E4222" s="62">
        <v>22</v>
      </c>
      <c r="F4222" s="1" t="s">
        <v>2551</v>
      </c>
      <c r="G4222" s="1" t="s">
        <v>2552</v>
      </c>
    </row>
    <row x14ac:dyDescent="0.25" r="4223" customHeight="1" ht="17.25" hidden="1">
      <c r="A4223" s="112" t="s">
        <v>9657</v>
      </c>
      <c r="B4223" s="1" t="s">
        <v>2549</v>
      </c>
      <c r="C4223" s="1" t="s">
        <v>44</v>
      </c>
      <c r="D4223" s="1" t="s">
        <v>9658</v>
      </c>
      <c r="E4223" s="62">
        <v>31</v>
      </c>
      <c r="F4223" s="1" t="s">
        <v>2551</v>
      </c>
      <c r="G4223" s="1" t="s">
        <v>2552</v>
      </c>
    </row>
    <row x14ac:dyDescent="0.25" r="4224" customHeight="1" ht="17.25" hidden="1">
      <c r="A4224" s="112" t="s">
        <v>708</v>
      </c>
      <c r="B4224" s="1" t="s">
        <v>2549</v>
      </c>
      <c r="C4224" s="1" t="s">
        <v>44</v>
      </c>
      <c r="D4224" s="1" t="s">
        <v>710</v>
      </c>
      <c r="E4224" s="62">
        <v>22</v>
      </c>
      <c r="F4224" s="1" t="s">
        <v>2551</v>
      </c>
      <c r="G4224" s="1" t="s">
        <v>2552</v>
      </c>
    </row>
    <row x14ac:dyDescent="0.25" r="4225" customHeight="1" ht="17.25" hidden="1">
      <c r="A4225" s="112" t="s">
        <v>708</v>
      </c>
      <c r="B4225" s="1" t="s">
        <v>2549</v>
      </c>
      <c r="C4225" s="1" t="s">
        <v>44</v>
      </c>
      <c r="D4225" s="1" t="s">
        <v>712</v>
      </c>
      <c r="E4225" s="62">
        <v>19</v>
      </c>
      <c r="F4225" s="1" t="s">
        <v>2561</v>
      </c>
      <c r="G4225" s="1" t="s">
        <v>2552</v>
      </c>
    </row>
    <row x14ac:dyDescent="0.25" r="4226" customHeight="1" ht="17.25" hidden="1">
      <c r="A4226" s="112" t="s">
        <v>9659</v>
      </c>
      <c r="B4226" s="1" t="s">
        <v>2549</v>
      </c>
      <c r="C4226" s="1" t="s">
        <v>44</v>
      </c>
      <c r="D4226" s="1" t="s">
        <v>3389</v>
      </c>
      <c r="E4226" s="62">
        <v>19</v>
      </c>
      <c r="F4226" s="1" t="s">
        <v>2551</v>
      </c>
      <c r="G4226" s="1" t="s">
        <v>2555</v>
      </c>
    </row>
    <row x14ac:dyDescent="0.25" r="4227" customHeight="1" ht="17.25" hidden="1">
      <c r="A4227" s="112" t="s">
        <v>9660</v>
      </c>
      <c r="B4227" s="1" t="s">
        <v>2549</v>
      </c>
      <c r="C4227" s="1" t="s">
        <v>44</v>
      </c>
      <c r="D4227" s="1" t="s">
        <v>9661</v>
      </c>
      <c r="E4227" s="62">
        <v>19</v>
      </c>
      <c r="F4227" s="1" t="s">
        <v>2551</v>
      </c>
      <c r="G4227" s="1" t="s">
        <v>2552</v>
      </c>
    </row>
    <row x14ac:dyDescent="0.25" r="4228" customHeight="1" ht="17.25" hidden="1">
      <c r="A4228" s="112" t="s">
        <v>9660</v>
      </c>
      <c r="B4228" s="1" t="s">
        <v>2549</v>
      </c>
      <c r="C4228" s="1" t="s">
        <v>44</v>
      </c>
      <c r="D4228" s="1" t="s">
        <v>9662</v>
      </c>
      <c r="E4228" s="62">
        <v>18</v>
      </c>
      <c r="F4228" s="1" t="s">
        <v>2551</v>
      </c>
      <c r="G4228" s="1" t="s">
        <v>2555</v>
      </c>
    </row>
    <row x14ac:dyDescent="0.25" r="4229" customHeight="1" ht="17.25" hidden="1">
      <c r="A4229" s="112" t="s">
        <v>9660</v>
      </c>
      <c r="B4229" s="1" t="s">
        <v>2549</v>
      </c>
      <c r="C4229" s="1" t="s">
        <v>44</v>
      </c>
      <c r="D4229" s="1" t="s">
        <v>9663</v>
      </c>
      <c r="E4229" s="62">
        <v>22</v>
      </c>
      <c r="F4229" s="1" t="s">
        <v>2551</v>
      </c>
      <c r="G4229" s="1" t="s">
        <v>2555</v>
      </c>
    </row>
    <row x14ac:dyDescent="0.25" r="4230" customHeight="1" ht="17.25" hidden="1">
      <c r="A4230" s="112" t="s">
        <v>9664</v>
      </c>
      <c r="B4230" s="1" t="s">
        <v>2549</v>
      </c>
      <c r="C4230" s="1" t="s">
        <v>44</v>
      </c>
      <c r="D4230" s="1" t="s">
        <v>9665</v>
      </c>
      <c r="E4230" s="62">
        <v>29</v>
      </c>
      <c r="F4230" s="1" t="s">
        <v>2561</v>
      </c>
      <c r="G4230" s="1" t="s">
        <v>2552</v>
      </c>
    </row>
    <row x14ac:dyDescent="0.25" r="4231" customHeight="1" ht="17.25" hidden="1">
      <c r="A4231" s="112" t="s">
        <v>9666</v>
      </c>
      <c r="B4231" s="1" t="s">
        <v>2549</v>
      </c>
      <c r="C4231" s="1" t="s">
        <v>44</v>
      </c>
      <c r="D4231" s="1" t="s">
        <v>9667</v>
      </c>
      <c r="E4231" s="62">
        <v>20</v>
      </c>
      <c r="F4231" s="1" t="s">
        <v>2551</v>
      </c>
      <c r="G4231" s="1" t="s">
        <v>2555</v>
      </c>
    </row>
    <row x14ac:dyDescent="0.25" r="4232" customHeight="1" ht="17.25" hidden="1">
      <c r="A4232" s="112" t="s">
        <v>9668</v>
      </c>
      <c r="B4232" s="1" t="s">
        <v>2549</v>
      </c>
      <c r="C4232" s="1" t="s">
        <v>44</v>
      </c>
      <c r="D4232" s="1" t="s">
        <v>9669</v>
      </c>
      <c r="E4232" s="62">
        <v>18</v>
      </c>
      <c r="F4232" s="1" t="s">
        <v>2551</v>
      </c>
      <c r="G4232" s="1" t="s">
        <v>2552</v>
      </c>
    </row>
    <row x14ac:dyDescent="0.25" r="4233" customHeight="1" ht="17.25" hidden="1">
      <c r="A4233" s="112" t="s">
        <v>9670</v>
      </c>
      <c r="B4233" s="1" t="s">
        <v>2549</v>
      </c>
      <c r="C4233" s="1" t="s">
        <v>44</v>
      </c>
      <c r="D4233" s="1" t="s">
        <v>9671</v>
      </c>
      <c r="E4233" s="62">
        <v>29</v>
      </c>
      <c r="F4233" s="1" t="s">
        <v>2551</v>
      </c>
      <c r="G4233" s="1" t="s">
        <v>2552</v>
      </c>
    </row>
    <row x14ac:dyDescent="0.25" r="4234" customHeight="1" ht="17.25" hidden="1">
      <c r="A4234" s="112" t="s">
        <v>9672</v>
      </c>
      <c r="B4234" s="1" t="s">
        <v>2549</v>
      </c>
      <c r="C4234" s="1" t="s">
        <v>44</v>
      </c>
      <c r="D4234" s="1" t="s">
        <v>9673</v>
      </c>
      <c r="E4234" s="62">
        <v>23</v>
      </c>
      <c r="F4234" s="1" t="s">
        <v>2551</v>
      </c>
      <c r="G4234" s="1" t="s">
        <v>2552</v>
      </c>
    </row>
    <row x14ac:dyDescent="0.25" r="4235" customHeight="1" ht="17.25" hidden="1">
      <c r="A4235" s="112" t="s">
        <v>9674</v>
      </c>
      <c r="B4235" s="1" t="s">
        <v>2549</v>
      </c>
      <c r="C4235" s="1" t="s">
        <v>44</v>
      </c>
      <c r="D4235" s="1" t="s">
        <v>9675</v>
      </c>
      <c r="E4235" s="62">
        <v>31</v>
      </c>
      <c r="F4235" s="1" t="s">
        <v>2551</v>
      </c>
      <c r="G4235" s="1" t="s">
        <v>2555</v>
      </c>
    </row>
    <row x14ac:dyDescent="0.25" r="4236" customHeight="1" ht="17.25" hidden="1">
      <c r="A4236" s="112" t="s">
        <v>9676</v>
      </c>
      <c r="B4236" s="1" t="s">
        <v>2549</v>
      </c>
      <c r="C4236" s="1" t="s">
        <v>44</v>
      </c>
      <c r="D4236" s="1" t="s">
        <v>9677</v>
      </c>
      <c r="E4236" s="62">
        <v>28</v>
      </c>
      <c r="F4236" s="1" t="s">
        <v>2561</v>
      </c>
      <c r="G4236" s="1" t="s">
        <v>2552</v>
      </c>
    </row>
    <row x14ac:dyDescent="0.25" r="4237" customHeight="1" ht="17.25" hidden="1">
      <c r="A4237" s="112" t="s">
        <v>9678</v>
      </c>
      <c r="B4237" s="1" t="s">
        <v>2549</v>
      </c>
      <c r="C4237" s="1" t="s">
        <v>44</v>
      </c>
      <c r="D4237" s="1" t="s">
        <v>9679</v>
      </c>
      <c r="E4237" s="62">
        <v>37</v>
      </c>
      <c r="F4237" s="1" t="s">
        <v>2551</v>
      </c>
      <c r="G4237" s="1" t="s">
        <v>2558</v>
      </c>
    </row>
    <row x14ac:dyDescent="0.25" r="4238" customHeight="1" ht="17.25" hidden="1">
      <c r="A4238" s="112" t="s">
        <v>9680</v>
      </c>
      <c r="B4238" s="1" t="s">
        <v>2549</v>
      </c>
      <c r="C4238" s="1" t="s">
        <v>44</v>
      </c>
      <c r="D4238" s="1" t="s">
        <v>9681</v>
      </c>
      <c r="E4238" s="62">
        <v>39</v>
      </c>
      <c r="F4238" s="1" t="s">
        <v>2561</v>
      </c>
      <c r="G4238" s="1" t="s">
        <v>2558</v>
      </c>
    </row>
    <row x14ac:dyDescent="0.25" r="4239" customHeight="1" ht="17.25" hidden="1">
      <c r="A4239" s="112" t="s">
        <v>9680</v>
      </c>
      <c r="B4239" s="1" t="s">
        <v>2549</v>
      </c>
      <c r="C4239" s="1" t="s">
        <v>44</v>
      </c>
      <c r="D4239" s="1" t="s">
        <v>9682</v>
      </c>
      <c r="E4239" s="62">
        <v>33</v>
      </c>
      <c r="F4239" s="1" t="s">
        <v>2551</v>
      </c>
      <c r="G4239" s="1" t="s">
        <v>2555</v>
      </c>
    </row>
    <row x14ac:dyDescent="0.25" r="4240" customHeight="1" ht="17.25" hidden="1">
      <c r="A4240" s="112" t="s">
        <v>9683</v>
      </c>
      <c r="B4240" s="1" t="s">
        <v>2549</v>
      </c>
      <c r="C4240" s="1" t="s">
        <v>44</v>
      </c>
      <c r="D4240" s="1" t="s">
        <v>9684</v>
      </c>
      <c r="E4240" s="62">
        <v>23</v>
      </c>
      <c r="F4240" s="1" t="s">
        <v>2551</v>
      </c>
      <c r="G4240" s="1" t="s">
        <v>2552</v>
      </c>
    </row>
    <row x14ac:dyDescent="0.25" r="4241" customHeight="1" ht="17.25" hidden="1">
      <c r="A4241" s="112" t="s">
        <v>9685</v>
      </c>
      <c r="B4241" s="1" t="s">
        <v>2549</v>
      </c>
      <c r="C4241" s="1" t="s">
        <v>44</v>
      </c>
      <c r="D4241" s="1" t="s">
        <v>9686</v>
      </c>
      <c r="E4241" s="62">
        <v>27</v>
      </c>
      <c r="F4241" s="1" t="s">
        <v>2551</v>
      </c>
      <c r="G4241" s="1" t="s">
        <v>2552</v>
      </c>
    </row>
    <row x14ac:dyDescent="0.25" r="4242" customHeight="1" ht="17.25" hidden="1">
      <c r="A4242" s="112" t="s">
        <v>9687</v>
      </c>
      <c r="B4242" s="1" t="s">
        <v>2549</v>
      </c>
      <c r="C4242" s="1" t="s">
        <v>44</v>
      </c>
      <c r="D4242" s="1" t="s">
        <v>9688</v>
      </c>
      <c r="E4242" s="62">
        <v>33</v>
      </c>
      <c r="F4242" s="1" t="s">
        <v>2551</v>
      </c>
      <c r="G4242" s="1" t="s">
        <v>2558</v>
      </c>
    </row>
    <row x14ac:dyDescent="0.25" r="4243" customHeight="1" ht="17.25" hidden="1">
      <c r="A4243" s="112" t="s">
        <v>9689</v>
      </c>
      <c r="B4243" s="1" t="s">
        <v>2549</v>
      </c>
      <c r="C4243" s="1" t="s">
        <v>44</v>
      </c>
      <c r="D4243" s="1" t="s">
        <v>8091</v>
      </c>
      <c r="E4243" s="62">
        <v>817</v>
      </c>
      <c r="F4243" s="1" t="s">
        <v>2551</v>
      </c>
      <c r="G4243" s="1" t="s">
        <v>2552</v>
      </c>
    </row>
    <row x14ac:dyDescent="0.25" r="4244" customHeight="1" ht="17.25" hidden="1">
      <c r="A4244" s="112" t="s">
        <v>9690</v>
      </c>
      <c r="B4244" s="1" t="s">
        <v>2549</v>
      </c>
      <c r="C4244" s="1" t="s">
        <v>44</v>
      </c>
      <c r="D4244" s="1" t="s">
        <v>4676</v>
      </c>
      <c r="E4244" s="62">
        <v>18</v>
      </c>
      <c r="F4244" s="1" t="s">
        <v>2551</v>
      </c>
      <c r="G4244" s="1" t="s">
        <v>2558</v>
      </c>
    </row>
    <row x14ac:dyDescent="0.25" r="4245" customHeight="1" ht="17.25" hidden="1">
      <c r="A4245" s="112" t="s">
        <v>1464</v>
      </c>
      <c r="B4245" s="1" t="s">
        <v>2549</v>
      </c>
      <c r="C4245" s="1" t="s">
        <v>44</v>
      </c>
      <c r="D4245" s="1" t="s">
        <v>1466</v>
      </c>
      <c r="E4245" s="62">
        <v>33</v>
      </c>
      <c r="F4245" s="1" t="s">
        <v>2551</v>
      </c>
      <c r="G4245" s="1" t="s">
        <v>2552</v>
      </c>
    </row>
    <row x14ac:dyDescent="0.25" r="4246" customHeight="1" ht="17.25" hidden="1">
      <c r="A4246" s="112" t="s">
        <v>9691</v>
      </c>
      <c r="B4246" s="1" t="s">
        <v>2549</v>
      </c>
      <c r="C4246" s="1" t="s">
        <v>44</v>
      </c>
      <c r="D4246" s="1" t="s">
        <v>9692</v>
      </c>
      <c r="E4246" s="62">
        <v>21</v>
      </c>
      <c r="F4246" s="1" t="s">
        <v>2551</v>
      </c>
      <c r="G4246" s="1" t="s">
        <v>2552</v>
      </c>
    </row>
    <row x14ac:dyDescent="0.25" r="4247" customHeight="1" ht="17.25" hidden="1">
      <c r="A4247" s="112" t="s">
        <v>9693</v>
      </c>
      <c r="B4247" s="1" t="s">
        <v>2549</v>
      </c>
      <c r="C4247" s="1" t="s">
        <v>44</v>
      </c>
      <c r="D4247" s="1" t="s">
        <v>9694</v>
      </c>
      <c r="E4247" s="62">
        <v>27</v>
      </c>
      <c r="F4247" s="1" t="s">
        <v>2551</v>
      </c>
      <c r="G4247" s="1" t="s">
        <v>2552</v>
      </c>
    </row>
    <row x14ac:dyDescent="0.25" r="4248" customHeight="1" ht="17.25" hidden="1">
      <c r="A4248" s="112" t="s">
        <v>2001</v>
      </c>
      <c r="B4248" s="1" t="s">
        <v>2549</v>
      </c>
      <c r="C4248" s="1" t="s">
        <v>44</v>
      </c>
      <c r="D4248" s="1" t="s">
        <v>2008</v>
      </c>
      <c r="E4248" s="62">
        <v>51</v>
      </c>
      <c r="F4248" s="1" t="s">
        <v>2551</v>
      </c>
      <c r="G4248" s="1" t="s">
        <v>2558</v>
      </c>
    </row>
    <row x14ac:dyDescent="0.25" r="4249" customHeight="1" ht="17.25" hidden="1">
      <c r="A4249" s="112" t="s">
        <v>2001</v>
      </c>
      <c r="B4249" s="1" t="s">
        <v>2549</v>
      </c>
      <c r="C4249" s="1" t="s">
        <v>44</v>
      </c>
      <c r="D4249" s="1" t="s">
        <v>9695</v>
      </c>
      <c r="E4249" s="62">
        <v>18</v>
      </c>
      <c r="F4249" s="1" t="s">
        <v>2561</v>
      </c>
      <c r="G4249" s="1" t="s">
        <v>2555</v>
      </c>
    </row>
    <row x14ac:dyDescent="0.25" r="4250" customHeight="1" ht="17.25" hidden="1">
      <c r="A4250" s="112" t="s">
        <v>477</v>
      </c>
      <c r="B4250" s="1" t="s">
        <v>2549</v>
      </c>
      <c r="C4250" s="1" t="s">
        <v>44</v>
      </c>
      <c r="D4250" s="1" t="s">
        <v>9696</v>
      </c>
      <c r="E4250" s="62">
        <v>25</v>
      </c>
      <c r="F4250" s="1" t="s">
        <v>2551</v>
      </c>
      <c r="G4250" s="1" t="s">
        <v>2552</v>
      </c>
    </row>
    <row x14ac:dyDescent="0.25" r="4251" customHeight="1" ht="17.25" hidden="1">
      <c r="A4251" s="112" t="s">
        <v>9697</v>
      </c>
      <c r="B4251" s="1" t="s">
        <v>2549</v>
      </c>
      <c r="C4251" s="1" t="s">
        <v>44</v>
      </c>
      <c r="D4251" s="1" t="s">
        <v>9698</v>
      </c>
      <c r="E4251" s="62">
        <v>40</v>
      </c>
      <c r="F4251" s="1" t="s">
        <v>2551</v>
      </c>
      <c r="G4251" s="1" t="s">
        <v>2552</v>
      </c>
    </row>
    <row x14ac:dyDescent="0.25" r="4252" customHeight="1" ht="17.25" hidden="1">
      <c r="A4252" s="112" t="s">
        <v>9697</v>
      </c>
      <c r="B4252" s="1" t="s">
        <v>2549</v>
      </c>
      <c r="C4252" s="1" t="s">
        <v>44</v>
      </c>
      <c r="D4252" s="1" t="s">
        <v>9699</v>
      </c>
      <c r="E4252" s="62">
        <v>30</v>
      </c>
      <c r="F4252" s="1" t="s">
        <v>2551</v>
      </c>
      <c r="G4252" s="1" t="s">
        <v>2555</v>
      </c>
    </row>
    <row x14ac:dyDescent="0.25" r="4253" customHeight="1" ht="17.25" hidden="1">
      <c r="A4253" s="112" t="s">
        <v>9697</v>
      </c>
      <c r="B4253" s="1" t="s">
        <v>2549</v>
      </c>
      <c r="C4253" s="1" t="s">
        <v>44</v>
      </c>
      <c r="D4253" s="1" t="s">
        <v>9700</v>
      </c>
      <c r="E4253" s="62">
        <v>35</v>
      </c>
      <c r="F4253" s="1" t="s">
        <v>2551</v>
      </c>
      <c r="G4253" s="1" t="s">
        <v>2555</v>
      </c>
    </row>
    <row x14ac:dyDescent="0.25" r="4254" customHeight="1" ht="17.25" hidden="1">
      <c r="A4254" s="112" t="s">
        <v>9701</v>
      </c>
      <c r="B4254" s="1" t="s">
        <v>2549</v>
      </c>
      <c r="C4254" s="1" t="s">
        <v>44</v>
      </c>
      <c r="D4254" s="1" t="s">
        <v>9702</v>
      </c>
      <c r="E4254" s="62">
        <v>29</v>
      </c>
      <c r="F4254" s="1" t="s">
        <v>2551</v>
      </c>
      <c r="G4254" s="1" t="s">
        <v>2558</v>
      </c>
    </row>
    <row x14ac:dyDescent="0.25" r="4255" customHeight="1" ht="17.25" hidden="1">
      <c r="A4255" s="112" t="s">
        <v>9703</v>
      </c>
      <c r="B4255" s="1" t="s">
        <v>2549</v>
      </c>
      <c r="C4255" s="1" t="s">
        <v>44</v>
      </c>
      <c r="D4255" s="1" t="s">
        <v>9704</v>
      </c>
      <c r="E4255" s="62">
        <v>29</v>
      </c>
      <c r="F4255" s="1" t="s">
        <v>2561</v>
      </c>
      <c r="G4255" s="1" t="s">
        <v>2555</v>
      </c>
    </row>
    <row x14ac:dyDescent="0.25" r="4256" customHeight="1" ht="17.25" hidden="1">
      <c r="A4256" s="112" t="s">
        <v>9705</v>
      </c>
      <c r="B4256" s="1" t="s">
        <v>2549</v>
      </c>
      <c r="C4256" s="1" t="s">
        <v>44</v>
      </c>
      <c r="D4256" s="1" t="s">
        <v>9706</v>
      </c>
      <c r="E4256" s="62">
        <v>20</v>
      </c>
      <c r="F4256" s="1" t="s">
        <v>2551</v>
      </c>
      <c r="G4256" s="1" t="s">
        <v>2555</v>
      </c>
    </row>
    <row x14ac:dyDescent="0.25" r="4257" customHeight="1" ht="17.25" hidden="1">
      <c r="A4257" s="112" t="s">
        <v>9707</v>
      </c>
      <c r="B4257" s="1" t="s">
        <v>2549</v>
      </c>
      <c r="C4257" s="1" t="s">
        <v>44</v>
      </c>
      <c r="D4257" s="1" t="s">
        <v>9708</v>
      </c>
      <c r="E4257" s="62">
        <v>19</v>
      </c>
      <c r="F4257" s="1" t="s">
        <v>2551</v>
      </c>
      <c r="G4257" s="1" t="s">
        <v>2555</v>
      </c>
    </row>
    <row x14ac:dyDescent="0.25" r="4258" customHeight="1" ht="17.25" hidden="1">
      <c r="A4258" s="112" t="s">
        <v>9709</v>
      </c>
      <c r="B4258" s="1" t="s">
        <v>2549</v>
      </c>
      <c r="C4258" s="1" t="s">
        <v>44</v>
      </c>
      <c r="D4258" s="1" t="s">
        <v>9710</v>
      </c>
      <c r="E4258" s="62">
        <v>18</v>
      </c>
      <c r="F4258" s="1" t="s">
        <v>2551</v>
      </c>
      <c r="G4258" s="1" t="s">
        <v>2552</v>
      </c>
    </row>
    <row x14ac:dyDescent="0.25" r="4259" customHeight="1" ht="17.25" hidden="1">
      <c r="A4259" s="112" t="s">
        <v>9711</v>
      </c>
      <c r="B4259" s="1" t="s">
        <v>2549</v>
      </c>
      <c r="C4259" s="1" t="s">
        <v>45</v>
      </c>
      <c r="D4259" s="1" t="s">
        <v>9712</v>
      </c>
      <c r="E4259" s="62">
        <v>18</v>
      </c>
      <c r="F4259" s="1" t="s">
        <v>2551</v>
      </c>
      <c r="G4259" s="1" t="s">
        <v>2555</v>
      </c>
    </row>
    <row x14ac:dyDescent="0.25" r="4260" customHeight="1" ht="17.25" hidden="1">
      <c r="A4260" s="112" t="s">
        <v>9713</v>
      </c>
      <c r="B4260" s="1" t="s">
        <v>2549</v>
      </c>
      <c r="C4260" s="1" t="s">
        <v>45</v>
      </c>
      <c r="D4260" s="1" t="s">
        <v>9714</v>
      </c>
      <c r="E4260" s="62">
        <v>32</v>
      </c>
      <c r="F4260" s="1" t="s">
        <v>2551</v>
      </c>
      <c r="G4260" s="1" t="s">
        <v>2558</v>
      </c>
    </row>
    <row x14ac:dyDescent="0.25" r="4261" customHeight="1" ht="17.25" hidden="1">
      <c r="A4261" s="112" t="s">
        <v>9715</v>
      </c>
      <c r="B4261" s="1" t="s">
        <v>2549</v>
      </c>
      <c r="C4261" s="1" t="s">
        <v>45</v>
      </c>
      <c r="D4261" s="1" t="s">
        <v>9716</v>
      </c>
      <c r="E4261" s="62">
        <v>21</v>
      </c>
      <c r="F4261" s="1" t="s">
        <v>2551</v>
      </c>
      <c r="G4261" s="1" t="s">
        <v>2552</v>
      </c>
    </row>
    <row x14ac:dyDescent="0.25" r="4262" customHeight="1" ht="17.25" hidden="1">
      <c r="A4262" s="112" t="s">
        <v>9717</v>
      </c>
      <c r="B4262" s="1" t="s">
        <v>2549</v>
      </c>
      <c r="C4262" s="1" t="s">
        <v>45</v>
      </c>
      <c r="D4262" s="1" t="s">
        <v>9718</v>
      </c>
      <c r="E4262" s="62">
        <v>25</v>
      </c>
      <c r="F4262" s="1" t="s">
        <v>2551</v>
      </c>
      <c r="G4262" s="1" t="s">
        <v>2558</v>
      </c>
    </row>
    <row x14ac:dyDescent="0.25" r="4263" customHeight="1" ht="17.25" hidden="1">
      <c r="A4263" s="112" t="s">
        <v>9717</v>
      </c>
      <c r="B4263" s="1" t="s">
        <v>2549</v>
      </c>
      <c r="C4263" s="1" t="s">
        <v>45</v>
      </c>
      <c r="D4263" s="1" t="s">
        <v>4525</v>
      </c>
      <c r="E4263" s="62">
        <v>25</v>
      </c>
      <c r="F4263" s="1" t="s">
        <v>2551</v>
      </c>
      <c r="G4263" s="1" t="s">
        <v>2558</v>
      </c>
    </row>
    <row x14ac:dyDescent="0.25" r="4264" customHeight="1" ht="17.25" hidden="1">
      <c r="A4264" s="112" t="s">
        <v>1061</v>
      </c>
      <c r="B4264" s="1" t="s">
        <v>2549</v>
      </c>
      <c r="C4264" s="1" t="s">
        <v>45</v>
      </c>
      <c r="D4264" s="1" t="s">
        <v>1063</v>
      </c>
      <c r="E4264" s="62">
        <v>38</v>
      </c>
      <c r="F4264" s="1" t="s">
        <v>2551</v>
      </c>
      <c r="G4264" s="1" t="s">
        <v>2555</v>
      </c>
    </row>
    <row x14ac:dyDescent="0.25" r="4265" customHeight="1" ht="17.25" hidden="1">
      <c r="A4265" s="112" t="s">
        <v>2230</v>
      </c>
      <c r="B4265" s="1" t="s">
        <v>2549</v>
      </c>
      <c r="C4265" s="1" t="s">
        <v>45</v>
      </c>
      <c r="D4265" s="1" t="s">
        <v>1680</v>
      </c>
      <c r="E4265" s="62">
        <v>41</v>
      </c>
      <c r="F4265" s="1" t="s">
        <v>2551</v>
      </c>
      <c r="G4265" s="1" t="s">
        <v>2555</v>
      </c>
    </row>
    <row x14ac:dyDescent="0.25" r="4266" customHeight="1" ht="17.25" hidden="1">
      <c r="A4266" s="112" t="s">
        <v>9719</v>
      </c>
      <c r="B4266" s="1" t="s">
        <v>2549</v>
      </c>
      <c r="C4266" s="1" t="s">
        <v>45</v>
      </c>
      <c r="D4266" s="1" t="s">
        <v>9720</v>
      </c>
      <c r="E4266" s="62">
        <v>20</v>
      </c>
      <c r="F4266" s="1" t="s">
        <v>2551</v>
      </c>
      <c r="G4266" s="1" t="s">
        <v>2552</v>
      </c>
    </row>
    <row x14ac:dyDescent="0.25" r="4267" customHeight="1" ht="17.25" hidden="1">
      <c r="A4267" s="112" t="s">
        <v>9721</v>
      </c>
      <c r="B4267" s="1" t="s">
        <v>2549</v>
      </c>
      <c r="C4267" s="1" t="s">
        <v>45</v>
      </c>
      <c r="D4267" s="1" t="s">
        <v>9722</v>
      </c>
      <c r="E4267" s="62">
        <v>29</v>
      </c>
      <c r="F4267" s="1" t="s">
        <v>2551</v>
      </c>
      <c r="G4267" s="1" t="s">
        <v>2555</v>
      </c>
    </row>
    <row x14ac:dyDescent="0.25" r="4268" customHeight="1" ht="17.25" hidden="1">
      <c r="A4268" s="112" t="s">
        <v>9723</v>
      </c>
      <c r="B4268" s="1" t="s">
        <v>2549</v>
      </c>
      <c r="C4268" s="1" t="s">
        <v>45</v>
      </c>
      <c r="D4268" s="1" t="s">
        <v>9724</v>
      </c>
      <c r="E4268" s="62">
        <v>25</v>
      </c>
      <c r="F4268" s="1" t="s">
        <v>2551</v>
      </c>
      <c r="G4268" s="1" t="s">
        <v>2552</v>
      </c>
    </row>
    <row x14ac:dyDescent="0.25" r="4269" customHeight="1" ht="17.25" hidden="1">
      <c r="A4269" s="112" t="s">
        <v>9725</v>
      </c>
      <c r="B4269" s="1" t="s">
        <v>2549</v>
      </c>
      <c r="C4269" s="1" t="s">
        <v>45</v>
      </c>
      <c r="D4269" s="1" t="s">
        <v>9726</v>
      </c>
      <c r="E4269" s="62">
        <v>23</v>
      </c>
      <c r="F4269" s="1" t="s">
        <v>2551</v>
      </c>
      <c r="G4269" s="1" t="s">
        <v>2558</v>
      </c>
    </row>
    <row x14ac:dyDescent="0.25" r="4270" customHeight="1" ht="17.25" hidden="1">
      <c r="A4270" s="112" t="s">
        <v>9727</v>
      </c>
      <c r="B4270" s="1" t="s">
        <v>2549</v>
      </c>
      <c r="C4270" s="1" t="s">
        <v>45</v>
      </c>
      <c r="D4270" s="1" t="s">
        <v>9728</v>
      </c>
      <c r="E4270" s="62">
        <v>27</v>
      </c>
      <c r="F4270" s="1" t="s">
        <v>2551</v>
      </c>
      <c r="G4270" s="1" t="s">
        <v>2552</v>
      </c>
    </row>
    <row x14ac:dyDescent="0.25" r="4271" customHeight="1" ht="17.25" hidden="1">
      <c r="A4271" s="112" t="s">
        <v>9729</v>
      </c>
      <c r="B4271" s="1" t="s">
        <v>2549</v>
      </c>
      <c r="C4271" s="1" t="s">
        <v>45</v>
      </c>
      <c r="D4271" s="1" t="s">
        <v>9730</v>
      </c>
      <c r="E4271" s="62">
        <v>40</v>
      </c>
      <c r="F4271" s="1" t="s">
        <v>2551</v>
      </c>
      <c r="G4271" s="1" t="s">
        <v>2552</v>
      </c>
    </row>
    <row x14ac:dyDescent="0.25" r="4272" customHeight="1" ht="17.25" hidden="1">
      <c r="A4272" s="112" t="s">
        <v>1131</v>
      </c>
      <c r="B4272" s="1" t="s">
        <v>2549</v>
      </c>
      <c r="C4272" s="1" t="s">
        <v>45</v>
      </c>
      <c r="D4272" s="1" t="s">
        <v>1133</v>
      </c>
      <c r="E4272" s="62">
        <v>28</v>
      </c>
      <c r="F4272" s="1" t="s">
        <v>2551</v>
      </c>
      <c r="G4272" s="1" t="s">
        <v>2555</v>
      </c>
    </row>
    <row x14ac:dyDescent="0.25" r="4273" customHeight="1" ht="17.25" hidden="1">
      <c r="A4273" s="112" t="s">
        <v>9731</v>
      </c>
      <c r="B4273" s="1" t="s">
        <v>2549</v>
      </c>
      <c r="C4273" s="1" t="s">
        <v>45</v>
      </c>
      <c r="D4273" s="1" t="s">
        <v>834</v>
      </c>
      <c r="E4273" s="62">
        <v>27</v>
      </c>
      <c r="F4273" s="1" t="s">
        <v>2551</v>
      </c>
      <c r="G4273" s="1" t="s">
        <v>2552</v>
      </c>
    </row>
    <row x14ac:dyDescent="0.25" r="4274" customHeight="1" ht="17.25" hidden="1">
      <c r="A4274" s="112" t="s">
        <v>9732</v>
      </c>
      <c r="B4274" s="1" t="s">
        <v>2549</v>
      </c>
      <c r="C4274" s="1" t="s">
        <v>45</v>
      </c>
      <c r="D4274" s="1" t="s">
        <v>9733</v>
      </c>
      <c r="E4274" s="62">
        <v>53</v>
      </c>
      <c r="F4274" s="1" t="s">
        <v>2551</v>
      </c>
      <c r="G4274" s="1" t="s">
        <v>2552</v>
      </c>
    </row>
    <row x14ac:dyDescent="0.25" r="4275" customHeight="1" ht="17.25" hidden="1">
      <c r="A4275" s="112" t="s">
        <v>1095</v>
      </c>
      <c r="B4275" s="1" t="s">
        <v>2549</v>
      </c>
      <c r="C4275" s="1" t="s">
        <v>45</v>
      </c>
      <c r="D4275" s="1" t="s">
        <v>1096</v>
      </c>
      <c r="E4275" s="62">
        <v>28</v>
      </c>
      <c r="F4275" s="1" t="s">
        <v>2551</v>
      </c>
      <c r="G4275" s="1" t="s">
        <v>2552</v>
      </c>
    </row>
    <row x14ac:dyDescent="0.25" r="4276" customHeight="1" ht="17.25" hidden="1">
      <c r="A4276" s="112" t="s">
        <v>9734</v>
      </c>
      <c r="B4276" s="1" t="s">
        <v>2549</v>
      </c>
      <c r="C4276" s="1" t="s">
        <v>45</v>
      </c>
      <c r="D4276" s="1" t="s">
        <v>9735</v>
      </c>
      <c r="E4276" s="62">
        <v>36</v>
      </c>
      <c r="F4276" s="1" t="s">
        <v>2551</v>
      </c>
      <c r="G4276" s="1" t="s">
        <v>2555</v>
      </c>
    </row>
    <row x14ac:dyDescent="0.25" r="4277" customHeight="1" ht="17.25" hidden="1">
      <c r="A4277" s="112" t="s">
        <v>9736</v>
      </c>
      <c r="B4277" s="1" t="s">
        <v>2549</v>
      </c>
      <c r="C4277" s="1" t="s">
        <v>45</v>
      </c>
      <c r="D4277" s="1" t="s">
        <v>9737</v>
      </c>
      <c r="E4277" s="62">
        <v>28</v>
      </c>
      <c r="F4277" s="1" t="s">
        <v>2551</v>
      </c>
      <c r="G4277" s="1" t="s">
        <v>2552</v>
      </c>
    </row>
    <row x14ac:dyDescent="0.25" r="4278" customHeight="1" ht="17.25" hidden="1">
      <c r="A4278" s="112" t="s">
        <v>9738</v>
      </c>
      <c r="B4278" s="1" t="s">
        <v>2549</v>
      </c>
      <c r="C4278" s="1" t="s">
        <v>45</v>
      </c>
      <c r="D4278" s="1" t="s">
        <v>9739</v>
      </c>
      <c r="E4278" s="62">
        <v>18</v>
      </c>
      <c r="F4278" s="1" t="s">
        <v>2551</v>
      </c>
      <c r="G4278" s="1" t="s">
        <v>2558</v>
      </c>
    </row>
    <row x14ac:dyDescent="0.25" r="4279" customHeight="1" ht="17.25" hidden="1">
      <c r="A4279" s="112" t="s">
        <v>9740</v>
      </c>
      <c r="B4279" s="1" t="s">
        <v>2549</v>
      </c>
      <c r="C4279" s="1" t="s">
        <v>45</v>
      </c>
      <c r="D4279" s="1" t="s">
        <v>9741</v>
      </c>
      <c r="E4279" s="62">
        <v>18</v>
      </c>
      <c r="F4279" s="1" t="s">
        <v>2551</v>
      </c>
      <c r="G4279" s="1" t="s">
        <v>2552</v>
      </c>
    </row>
    <row x14ac:dyDescent="0.25" r="4280" customHeight="1" ht="17.25" hidden="1">
      <c r="A4280" s="112" t="s">
        <v>9742</v>
      </c>
      <c r="B4280" s="1" t="s">
        <v>2549</v>
      </c>
      <c r="C4280" s="1" t="s">
        <v>45</v>
      </c>
      <c r="D4280" s="1" t="s">
        <v>9743</v>
      </c>
      <c r="E4280" s="62">
        <v>33</v>
      </c>
      <c r="F4280" s="1" t="s">
        <v>2551</v>
      </c>
      <c r="G4280" s="1" t="s">
        <v>2555</v>
      </c>
    </row>
    <row x14ac:dyDescent="0.25" r="4281" customHeight="1" ht="17.25" hidden="1">
      <c r="A4281" s="112" t="s">
        <v>9744</v>
      </c>
      <c r="B4281" s="1" t="s">
        <v>2549</v>
      </c>
      <c r="C4281" s="1" t="s">
        <v>45</v>
      </c>
      <c r="D4281" s="1" t="s">
        <v>9745</v>
      </c>
      <c r="E4281" s="62">
        <v>23</v>
      </c>
      <c r="F4281" s="1" t="s">
        <v>2551</v>
      </c>
      <c r="G4281" s="1" t="s">
        <v>2552</v>
      </c>
    </row>
    <row x14ac:dyDescent="0.25" r="4282" customHeight="1" ht="17.25" hidden="1">
      <c r="A4282" s="112" t="s">
        <v>9744</v>
      </c>
      <c r="B4282" s="1" t="s">
        <v>2549</v>
      </c>
      <c r="C4282" s="1" t="s">
        <v>45</v>
      </c>
      <c r="D4282" s="1" t="s">
        <v>9746</v>
      </c>
      <c r="E4282" s="62">
        <v>28</v>
      </c>
      <c r="F4282" s="1" t="s">
        <v>2551</v>
      </c>
      <c r="G4282" s="1" t="s">
        <v>2552</v>
      </c>
    </row>
    <row x14ac:dyDescent="0.25" r="4283" customHeight="1" ht="17.25" hidden="1">
      <c r="A4283" s="112" t="s">
        <v>9747</v>
      </c>
      <c r="B4283" s="1" t="s">
        <v>2549</v>
      </c>
      <c r="C4283" s="1" t="s">
        <v>45</v>
      </c>
      <c r="D4283" s="1" t="s">
        <v>9748</v>
      </c>
      <c r="E4283" s="62">
        <v>26</v>
      </c>
      <c r="F4283" s="1" t="s">
        <v>2551</v>
      </c>
      <c r="G4283" s="1" t="s">
        <v>2552</v>
      </c>
    </row>
    <row x14ac:dyDescent="0.25" r="4284" customHeight="1" ht="17.25" hidden="1">
      <c r="A4284" s="112" t="s">
        <v>9749</v>
      </c>
      <c r="B4284" s="1" t="s">
        <v>2549</v>
      </c>
      <c r="C4284" s="1" t="s">
        <v>45</v>
      </c>
      <c r="D4284" s="1" t="s">
        <v>9750</v>
      </c>
      <c r="E4284" s="62">
        <v>19</v>
      </c>
      <c r="F4284" s="1" t="s">
        <v>2551</v>
      </c>
      <c r="G4284" s="1" t="s">
        <v>2552</v>
      </c>
    </row>
    <row x14ac:dyDescent="0.25" r="4285" customHeight="1" ht="17.25" hidden="1">
      <c r="A4285" s="112" t="s">
        <v>9751</v>
      </c>
      <c r="B4285" s="1" t="s">
        <v>2549</v>
      </c>
      <c r="C4285" s="1" t="s">
        <v>45</v>
      </c>
      <c r="D4285" s="1" t="s">
        <v>9752</v>
      </c>
      <c r="E4285" s="62">
        <v>27</v>
      </c>
      <c r="F4285" s="1" t="s">
        <v>2551</v>
      </c>
      <c r="G4285" s="1" t="s">
        <v>2552</v>
      </c>
    </row>
    <row x14ac:dyDescent="0.25" r="4286" customHeight="1" ht="17.25" hidden="1">
      <c r="A4286" s="112" t="s">
        <v>1843</v>
      </c>
      <c r="B4286" s="1" t="s">
        <v>2549</v>
      </c>
      <c r="C4286" s="1" t="s">
        <v>45</v>
      </c>
      <c r="D4286" s="1" t="s">
        <v>1845</v>
      </c>
      <c r="E4286" s="62">
        <v>23</v>
      </c>
      <c r="F4286" s="1" t="s">
        <v>2551</v>
      </c>
      <c r="G4286" s="1" t="s">
        <v>2552</v>
      </c>
    </row>
    <row x14ac:dyDescent="0.25" r="4287" customHeight="1" ht="17.25" hidden="1">
      <c r="A4287" s="112" t="s">
        <v>9753</v>
      </c>
      <c r="B4287" s="1" t="s">
        <v>2549</v>
      </c>
      <c r="C4287" s="1" t="s">
        <v>45</v>
      </c>
      <c r="D4287" s="1" t="s">
        <v>9754</v>
      </c>
      <c r="E4287" s="62">
        <v>33</v>
      </c>
      <c r="F4287" s="1" t="s">
        <v>2551</v>
      </c>
      <c r="G4287" s="1" t="s">
        <v>2552</v>
      </c>
    </row>
    <row x14ac:dyDescent="0.25" r="4288" customHeight="1" ht="17.25" hidden="1">
      <c r="A4288" s="112" t="s">
        <v>9753</v>
      </c>
      <c r="B4288" s="1" t="s">
        <v>2549</v>
      </c>
      <c r="C4288" s="1" t="s">
        <v>45</v>
      </c>
      <c r="D4288" s="1" t="s">
        <v>9755</v>
      </c>
      <c r="E4288" s="62">
        <v>20</v>
      </c>
      <c r="F4288" s="1" t="s">
        <v>2551</v>
      </c>
      <c r="G4288" s="1" t="s">
        <v>2552</v>
      </c>
    </row>
    <row x14ac:dyDescent="0.25" r="4289" customHeight="1" ht="17.25" hidden="1">
      <c r="A4289" s="112" t="s">
        <v>9756</v>
      </c>
      <c r="B4289" s="1" t="s">
        <v>2549</v>
      </c>
      <c r="C4289" s="1" t="s">
        <v>45</v>
      </c>
      <c r="D4289" s="1" t="s">
        <v>9757</v>
      </c>
      <c r="E4289" s="62">
        <v>33</v>
      </c>
      <c r="F4289" s="1" t="s">
        <v>2551</v>
      </c>
      <c r="G4289" s="1" t="s">
        <v>2555</v>
      </c>
    </row>
    <row x14ac:dyDescent="0.25" r="4290" customHeight="1" ht="17.25" hidden="1">
      <c r="A4290" s="112" t="s">
        <v>9758</v>
      </c>
      <c r="B4290" s="1" t="s">
        <v>2549</v>
      </c>
      <c r="C4290" s="1" t="s">
        <v>45</v>
      </c>
      <c r="D4290" s="1" t="s">
        <v>9759</v>
      </c>
      <c r="E4290" s="62">
        <v>38</v>
      </c>
      <c r="F4290" s="1" t="s">
        <v>2551</v>
      </c>
      <c r="G4290" s="1" t="s">
        <v>2558</v>
      </c>
    </row>
    <row x14ac:dyDescent="0.25" r="4291" customHeight="1" ht="17.25" hidden="1">
      <c r="A4291" s="112" t="s">
        <v>9758</v>
      </c>
      <c r="B4291" s="1" t="s">
        <v>2549</v>
      </c>
      <c r="C4291" s="1" t="s">
        <v>45</v>
      </c>
      <c r="D4291" s="1" t="s">
        <v>9760</v>
      </c>
      <c r="E4291" s="62">
        <v>45</v>
      </c>
      <c r="F4291" s="1" t="s">
        <v>2551</v>
      </c>
      <c r="G4291" s="1" t="s">
        <v>2555</v>
      </c>
    </row>
    <row x14ac:dyDescent="0.25" r="4292" customHeight="1" ht="17.25" hidden="1">
      <c r="A4292" s="112" t="s">
        <v>9761</v>
      </c>
      <c r="B4292" s="1" t="s">
        <v>2549</v>
      </c>
      <c r="C4292" s="1" t="s">
        <v>45</v>
      </c>
      <c r="D4292" s="1" t="s">
        <v>9762</v>
      </c>
      <c r="E4292" s="62">
        <v>23</v>
      </c>
      <c r="F4292" s="1" t="s">
        <v>2551</v>
      </c>
      <c r="G4292" s="1" t="s">
        <v>2552</v>
      </c>
    </row>
    <row x14ac:dyDescent="0.25" r="4293" customHeight="1" ht="17.25" hidden="1">
      <c r="A4293" s="112" t="s">
        <v>9763</v>
      </c>
      <c r="B4293" s="1" t="s">
        <v>2549</v>
      </c>
      <c r="C4293" s="1" t="s">
        <v>45</v>
      </c>
      <c r="D4293" s="1" t="s">
        <v>9764</v>
      </c>
      <c r="E4293" s="62">
        <v>28</v>
      </c>
      <c r="F4293" s="1" t="s">
        <v>2551</v>
      </c>
      <c r="G4293" s="1" t="s">
        <v>2552</v>
      </c>
    </row>
    <row x14ac:dyDescent="0.25" r="4294" customHeight="1" ht="17.25" hidden="1">
      <c r="A4294" s="112" t="s">
        <v>9765</v>
      </c>
      <c r="B4294" s="1" t="s">
        <v>2549</v>
      </c>
      <c r="C4294" s="1" t="s">
        <v>45</v>
      </c>
      <c r="D4294" s="1" t="s">
        <v>9766</v>
      </c>
      <c r="E4294" s="62">
        <v>26</v>
      </c>
      <c r="F4294" s="1" t="s">
        <v>2551</v>
      </c>
      <c r="G4294" s="1" t="s">
        <v>2555</v>
      </c>
    </row>
    <row x14ac:dyDescent="0.25" r="4295" customHeight="1" ht="17.25" hidden="1">
      <c r="A4295" s="112" t="s">
        <v>9765</v>
      </c>
      <c r="B4295" s="1" t="s">
        <v>2549</v>
      </c>
      <c r="C4295" s="1" t="s">
        <v>45</v>
      </c>
      <c r="D4295" s="1" t="s">
        <v>9767</v>
      </c>
      <c r="E4295" s="62">
        <v>18</v>
      </c>
      <c r="F4295" s="1" t="s">
        <v>2551</v>
      </c>
      <c r="G4295" s="1" t="s">
        <v>2552</v>
      </c>
    </row>
    <row x14ac:dyDescent="0.25" r="4296" customHeight="1" ht="17.25" hidden="1">
      <c r="A4296" s="112" t="s">
        <v>9768</v>
      </c>
      <c r="B4296" s="1" t="s">
        <v>2549</v>
      </c>
      <c r="C4296" s="1" t="s">
        <v>45</v>
      </c>
      <c r="D4296" s="1" t="s">
        <v>9769</v>
      </c>
      <c r="E4296" s="62">
        <v>23</v>
      </c>
      <c r="F4296" s="1" t="s">
        <v>2551</v>
      </c>
      <c r="G4296" s="1" t="s">
        <v>2552</v>
      </c>
    </row>
    <row x14ac:dyDescent="0.25" r="4297" customHeight="1" ht="17.25" hidden="1">
      <c r="A4297" s="112" t="s">
        <v>9768</v>
      </c>
      <c r="B4297" s="1" t="s">
        <v>2549</v>
      </c>
      <c r="C4297" s="1" t="s">
        <v>45</v>
      </c>
      <c r="D4297" s="1" t="s">
        <v>9770</v>
      </c>
      <c r="E4297" s="62">
        <v>27</v>
      </c>
      <c r="F4297" s="1" t="s">
        <v>2551</v>
      </c>
      <c r="G4297" s="1" t="s">
        <v>2558</v>
      </c>
    </row>
    <row x14ac:dyDescent="0.25" r="4298" customHeight="1" ht="17.25" hidden="1">
      <c r="A4298" s="112" t="s">
        <v>9771</v>
      </c>
      <c r="B4298" s="1" t="s">
        <v>2549</v>
      </c>
      <c r="C4298" s="1" t="s">
        <v>45</v>
      </c>
      <c r="D4298" s="1" t="s">
        <v>9772</v>
      </c>
      <c r="E4298" s="62">
        <v>21</v>
      </c>
      <c r="F4298" s="1" t="s">
        <v>2551</v>
      </c>
      <c r="G4298" s="1" t="s">
        <v>2552</v>
      </c>
    </row>
    <row x14ac:dyDescent="0.25" r="4299" customHeight="1" ht="17.25" hidden="1">
      <c r="A4299" s="112" t="s">
        <v>9773</v>
      </c>
      <c r="B4299" s="1" t="s">
        <v>2549</v>
      </c>
      <c r="C4299" s="1" t="s">
        <v>45</v>
      </c>
      <c r="D4299" s="1" t="s">
        <v>9182</v>
      </c>
      <c r="E4299" s="62">
        <v>21</v>
      </c>
      <c r="F4299" s="1" t="s">
        <v>2551</v>
      </c>
      <c r="G4299" s="1" t="s">
        <v>2552</v>
      </c>
    </row>
    <row x14ac:dyDescent="0.25" r="4300" customHeight="1" ht="17.25" hidden="1">
      <c r="A4300" s="112" t="s">
        <v>9774</v>
      </c>
      <c r="B4300" s="1" t="s">
        <v>2549</v>
      </c>
      <c r="C4300" s="1" t="s">
        <v>45</v>
      </c>
      <c r="D4300" s="1" t="s">
        <v>9775</v>
      </c>
      <c r="E4300" s="62">
        <v>25</v>
      </c>
      <c r="F4300" s="1" t="s">
        <v>2551</v>
      </c>
      <c r="G4300" s="1" t="s">
        <v>2552</v>
      </c>
    </row>
    <row x14ac:dyDescent="0.25" r="4301" customHeight="1" ht="17.25" hidden="1">
      <c r="A4301" s="112" t="s">
        <v>9776</v>
      </c>
      <c r="B4301" s="1" t="s">
        <v>2549</v>
      </c>
      <c r="C4301" s="1" t="s">
        <v>45</v>
      </c>
      <c r="D4301" s="1" t="s">
        <v>9777</v>
      </c>
      <c r="E4301" s="62">
        <v>26</v>
      </c>
      <c r="F4301" s="1" t="s">
        <v>2551</v>
      </c>
      <c r="G4301" s="1" t="s">
        <v>2552</v>
      </c>
    </row>
    <row x14ac:dyDescent="0.25" r="4302" customHeight="1" ht="17.25" hidden="1">
      <c r="A4302" s="112" t="s">
        <v>9776</v>
      </c>
      <c r="B4302" s="1" t="s">
        <v>2549</v>
      </c>
      <c r="C4302" s="1" t="s">
        <v>45</v>
      </c>
      <c r="D4302" s="1" t="s">
        <v>9778</v>
      </c>
      <c r="E4302" s="62">
        <v>26</v>
      </c>
      <c r="F4302" s="1" t="s">
        <v>2551</v>
      </c>
      <c r="G4302" s="1" t="s">
        <v>2552</v>
      </c>
    </row>
    <row x14ac:dyDescent="0.25" r="4303" customHeight="1" ht="17.25" hidden="1">
      <c r="A4303" s="112" t="s">
        <v>9779</v>
      </c>
      <c r="B4303" s="1" t="s">
        <v>2549</v>
      </c>
      <c r="C4303" s="1" t="s">
        <v>45</v>
      </c>
      <c r="D4303" s="1" t="s">
        <v>9780</v>
      </c>
      <c r="E4303" s="62">
        <v>17</v>
      </c>
      <c r="F4303" s="1" t="s">
        <v>2551</v>
      </c>
      <c r="G4303" s="1" t="s">
        <v>2552</v>
      </c>
    </row>
    <row x14ac:dyDescent="0.25" r="4304" customHeight="1" ht="17.25" hidden="1">
      <c r="A4304" s="112" t="s">
        <v>9781</v>
      </c>
      <c r="B4304" s="1" t="s">
        <v>2549</v>
      </c>
      <c r="C4304" s="1" t="s">
        <v>45</v>
      </c>
      <c r="D4304" s="1" t="s">
        <v>8020</v>
      </c>
      <c r="E4304" s="62">
        <v>34</v>
      </c>
      <c r="F4304" s="1" t="s">
        <v>2551</v>
      </c>
      <c r="G4304" s="1" t="s">
        <v>2552</v>
      </c>
    </row>
    <row x14ac:dyDescent="0.25" r="4305" customHeight="1" ht="17.25" hidden="1">
      <c r="A4305" s="112" t="s">
        <v>9781</v>
      </c>
      <c r="B4305" s="1" t="s">
        <v>2549</v>
      </c>
      <c r="C4305" s="1" t="s">
        <v>45</v>
      </c>
      <c r="D4305" s="1" t="s">
        <v>9782</v>
      </c>
      <c r="E4305" s="62">
        <v>24</v>
      </c>
      <c r="F4305" s="1" t="s">
        <v>2561</v>
      </c>
      <c r="G4305" s="1" t="s">
        <v>2555</v>
      </c>
    </row>
    <row x14ac:dyDescent="0.25" r="4306" customHeight="1" ht="17.25" hidden="1">
      <c r="A4306" s="112" t="s">
        <v>9783</v>
      </c>
      <c r="B4306" s="1" t="s">
        <v>2549</v>
      </c>
      <c r="C4306" s="1" t="s">
        <v>45</v>
      </c>
      <c r="D4306" s="1" t="s">
        <v>9784</v>
      </c>
      <c r="E4306" s="62">
        <v>27</v>
      </c>
      <c r="F4306" s="1" t="s">
        <v>2551</v>
      </c>
      <c r="G4306" s="1" t="s">
        <v>2555</v>
      </c>
    </row>
    <row x14ac:dyDescent="0.25" r="4307" customHeight="1" ht="17.25" hidden="1">
      <c r="A4307" s="112" t="s">
        <v>9785</v>
      </c>
      <c r="B4307" s="1" t="s">
        <v>2549</v>
      </c>
      <c r="C4307" s="1" t="s">
        <v>45</v>
      </c>
      <c r="D4307" s="1" t="s">
        <v>9786</v>
      </c>
      <c r="E4307" s="62">
        <v>22</v>
      </c>
      <c r="F4307" s="1" t="s">
        <v>2561</v>
      </c>
      <c r="G4307" s="1" t="s">
        <v>2552</v>
      </c>
    </row>
    <row x14ac:dyDescent="0.25" r="4308" customHeight="1" ht="17.25" hidden="1">
      <c r="A4308" s="112" t="s">
        <v>9787</v>
      </c>
      <c r="B4308" s="1" t="s">
        <v>2549</v>
      </c>
      <c r="C4308" s="1" t="s">
        <v>45</v>
      </c>
      <c r="D4308" s="1" t="s">
        <v>5452</v>
      </c>
      <c r="E4308" s="62">
        <v>22</v>
      </c>
      <c r="F4308" s="1" t="s">
        <v>2551</v>
      </c>
      <c r="G4308" s="1" t="s">
        <v>2555</v>
      </c>
    </row>
    <row x14ac:dyDescent="0.25" r="4309" customHeight="1" ht="17.25" hidden="1">
      <c r="A4309" s="112" t="s">
        <v>9788</v>
      </c>
      <c r="B4309" s="1" t="s">
        <v>2549</v>
      </c>
      <c r="C4309" s="1" t="s">
        <v>45</v>
      </c>
      <c r="D4309" s="1" t="s">
        <v>9789</v>
      </c>
      <c r="E4309" s="62">
        <v>20</v>
      </c>
      <c r="F4309" s="1" t="s">
        <v>2551</v>
      </c>
      <c r="G4309" s="1" t="s">
        <v>2555</v>
      </c>
    </row>
    <row x14ac:dyDescent="0.25" r="4310" customHeight="1" ht="17.25" hidden="1">
      <c r="A4310" s="112" t="s">
        <v>9790</v>
      </c>
      <c r="B4310" s="1" t="s">
        <v>2549</v>
      </c>
      <c r="C4310" s="1" t="s">
        <v>45</v>
      </c>
      <c r="D4310" s="1" t="s">
        <v>9791</v>
      </c>
      <c r="E4310" s="62">
        <v>33</v>
      </c>
      <c r="F4310" s="1" t="s">
        <v>2551</v>
      </c>
      <c r="G4310" s="1" t="s">
        <v>2555</v>
      </c>
    </row>
    <row x14ac:dyDescent="0.25" r="4311" customHeight="1" ht="17.25" hidden="1">
      <c r="A4311" s="112" t="s">
        <v>9792</v>
      </c>
      <c r="B4311" s="1" t="s">
        <v>2549</v>
      </c>
      <c r="C4311" s="1" t="s">
        <v>45</v>
      </c>
      <c r="D4311" s="1" t="s">
        <v>9793</v>
      </c>
      <c r="E4311" s="62">
        <v>26</v>
      </c>
      <c r="F4311" s="1" t="s">
        <v>2551</v>
      </c>
      <c r="G4311" s="1" t="s">
        <v>2555</v>
      </c>
    </row>
    <row x14ac:dyDescent="0.25" r="4312" customHeight="1" ht="17.25" hidden="1">
      <c r="A4312" s="112" t="s">
        <v>9794</v>
      </c>
      <c r="B4312" s="1" t="s">
        <v>2549</v>
      </c>
      <c r="C4312" s="1" t="s">
        <v>45</v>
      </c>
      <c r="D4312" s="1" t="s">
        <v>9795</v>
      </c>
      <c r="E4312" s="62">
        <v>37</v>
      </c>
      <c r="F4312" s="1" t="s">
        <v>2551</v>
      </c>
      <c r="G4312" s="1" t="s">
        <v>2552</v>
      </c>
    </row>
    <row x14ac:dyDescent="0.25" r="4313" customHeight="1" ht="17.25" hidden="1">
      <c r="A4313" s="112" t="s">
        <v>9796</v>
      </c>
      <c r="B4313" s="1" t="s">
        <v>2549</v>
      </c>
      <c r="C4313" s="1" t="s">
        <v>45</v>
      </c>
      <c r="D4313" s="1" t="s">
        <v>9797</v>
      </c>
      <c r="E4313" s="62">
        <v>24</v>
      </c>
      <c r="F4313" s="1" t="s">
        <v>2551</v>
      </c>
      <c r="G4313" s="1" t="s">
        <v>2552</v>
      </c>
    </row>
    <row x14ac:dyDescent="0.25" r="4314" customHeight="1" ht="17.25" hidden="1">
      <c r="A4314" s="112" t="s">
        <v>9798</v>
      </c>
      <c r="B4314" s="1" t="s">
        <v>2549</v>
      </c>
      <c r="C4314" s="1" t="s">
        <v>45</v>
      </c>
      <c r="D4314" s="1" t="s">
        <v>9799</v>
      </c>
      <c r="E4314" s="62">
        <v>38</v>
      </c>
      <c r="F4314" s="1" t="s">
        <v>2551</v>
      </c>
      <c r="G4314" s="1" t="s">
        <v>2552</v>
      </c>
    </row>
    <row x14ac:dyDescent="0.25" r="4315" customHeight="1" ht="17.25" hidden="1">
      <c r="A4315" s="112" t="s">
        <v>9800</v>
      </c>
      <c r="B4315" s="1" t="s">
        <v>2549</v>
      </c>
      <c r="C4315" s="1" t="s">
        <v>45</v>
      </c>
      <c r="D4315" s="1" t="s">
        <v>9801</v>
      </c>
      <c r="E4315" s="62">
        <v>21</v>
      </c>
      <c r="F4315" s="1" t="s">
        <v>2551</v>
      </c>
      <c r="G4315" s="1" t="s">
        <v>2555</v>
      </c>
    </row>
    <row x14ac:dyDescent="0.25" r="4316" customHeight="1" ht="17.25" hidden="1">
      <c r="A4316" s="112" t="s">
        <v>9802</v>
      </c>
      <c r="B4316" s="1" t="s">
        <v>2549</v>
      </c>
      <c r="C4316" s="1" t="s">
        <v>45</v>
      </c>
      <c r="D4316" s="1" t="s">
        <v>9803</v>
      </c>
      <c r="E4316" s="62">
        <v>23</v>
      </c>
      <c r="F4316" s="1" t="s">
        <v>2551</v>
      </c>
      <c r="G4316" s="1" t="s">
        <v>2555</v>
      </c>
    </row>
    <row x14ac:dyDescent="0.25" r="4317" customHeight="1" ht="17.25" hidden="1">
      <c r="A4317" s="112" t="s">
        <v>9804</v>
      </c>
      <c r="B4317" s="1" t="s">
        <v>2549</v>
      </c>
      <c r="C4317" s="1" t="s">
        <v>45</v>
      </c>
      <c r="D4317" s="1" t="s">
        <v>9805</v>
      </c>
      <c r="E4317" s="62">
        <v>36</v>
      </c>
      <c r="F4317" s="1" t="s">
        <v>2551</v>
      </c>
      <c r="G4317" s="1" t="s">
        <v>2558</v>
      </c>
    </row>
    <row x14ac:dyDescent="0.25" r="4318" customHeight="1" ht="17.25" hidden="1">
      <c r="A4318" s="112" t="s">
        <v>9806</v>
      </c>
      <c r="B4318" s="1" t="s">
        <v>2549</v>
      </c>
      <c r="C4318" s="1" t="s">
        <v>45</v>
      </c>
      <c r="D4318" s="1" t="s">
        <v>9807</v>
      </c>
      <c r="E4318" s="62">
        <v>24</v>
      </c>
      <c r="F4318" s="1" t="s">
        <v>2551</v>
      </c>
      <c r="G4318" s="1" t="s">
        <v>2552</v>
      </c>
    </row>
    <row x14ac:dyDescent="0.25" r="4319" customHeight="1" ht="17.25" hidden="1">
      <c r="A4319" s="112" t="s">
        <v>9806</v>
      </c>
      <c r="B4319" s="1" t="s">
        <v>2549</v>
      </c>
      <c r="C4319" s="1" t="s">
        <v>45</v>
      </c>
      <c r="D4319" s="1" t="s">
        <v>9808</v>
      </c>
      <c r="E4319" s="62">
        <v>23</v>
      </c>
      <c r="F4319" s="1" t="s">
        <v>2551</v>
      </c>
      <c r="G4319" s="1" t="s">
        <v>2558</v>
      </c>
    </row>
    <row x14ac:dyDescent="0.25" r="4320" customHeight="1" ht="17.25" hidden="1">
      <c r="A4320" s="112" t="s">
        <v>9806</v>
      </c>
      <c r="B4320" s="1" t="s">
        <v>2549</v>
      </c>
      <c r="C4320" s="1" t="s">
        <v>45</v>
      </c>
      <c r="D4320" s="1" t="s">
        <v>9809</v>
      </c>
      <c r="E4320" s="62">
        <v>21</v>
      </c>
      <c r="F4320" s="1" t="s">
        <v>2551</v>
      </c>
      <c r="G4320" s="1" t="s">
        <v>2558</v>
      </c>
    </row>
    <row x14ac:dyDescent="0.25" r="4321" customHeight="1" ht="17.25" hidden="1">
      <c r="A4321" s="112" t="s">
        <v>9806</v>
      </c>
      <c r="B4321" s="1" t="s">
        <v>2549</v>
      </c>
      <c r="C4321" s="1" t="s">
        <v>45</v>
      </c>
      <c r="D4321" s="1" t="s">
        <v>9810</v>
      </c>
      <c r="E4321" s="62">
        <v>28</v>
      </c>
      <c r="F4321" s="1" t="s">
        <v>2551</v>
      </c>
      <c r="G4321" s="1" t="s">
        <v>2555</v>
      </c>
    </row>
    <row x14ac:dyDescent="0.25" r="4322" customHeight="1" ht="17.25" hidden="1">
      <c r="A4322" s="112" t="s">
        <v>9811</v>
      </c>
      <c r="B4322" s="1" t="s">
        <v>2549</v>
      </c>
      <c r="C4322" s="1" t="s">
        <v>45</v>
      </c>
      <c r="D4322" s="1" t="s">
        <v>9812</v>
      </c>
      <c r="E4322" s="62">
        <v>18</v>
      </c>
      <c r="F4322" s="1" t="s">
        <v>2551</v>
      </c>
      <c r="G4322" s="1" t="s">
        <v>2558</v>
      </c>
    </row>
    <row x14ac:dyDescent="0.25" r="4323" customHeight="1" ht="17.25" hidden="1">
      <c r="A4323" s="112" t="s">
        <v>9813</v>
      </c>
      <c r="B4323" s="1" t="s">
        <v>2549</v>
      </c>
      <c r="C4323" s="1" t="s">
        <v>45</v>
      </c>
      <c r="D4323" s="1" t="s">
        <v>9814</v>
      </c>
      <c r="E4323" s="62">
        <v>26</v>
      </c>
      <c r="F4323" s="1" t="s">
        <v>2551</v>
      </c>
      <c r="G4323" s="1" t="s">
        <v>2552</v>
      </c>
    </row>
    <row x14ac:dyDescent="0.25" r="4324" customHeight="1" ht="17.25" hidden="1">
      <c r="A4324" s="112" t="s">
        <v>9815</v>
      </c>
      <c r="B4324" s="1" t="s">
        <v>2549</v>
      </c>
      <c r="C4324" s="1" t="s">
        <v>45</v>
      </c>
      <c r="D4324" s="1" t="s">
        <v>9816</v>
      </c>
      <c r="E4324" s="62">
        <v>23</v>
      </c>
      <c r="F4324" s="1" t="s">
        <v>2551</v>
      </c>
      <c r="G4324" s="1" t="s">
        <v>2558</v>
      </c>
    </row>
    <row x14ac:dyDescent="0.25" r="4325" customHeight="1" ht="17.25" hidden="1">
      <c r="A4325" s="112" t="s">
        <v>9817</v>
      </c>
      <c r="B4325" s="1" t="s">
        <v>2549</v>
      </c>
      <c r="C4325" s="1" t="s">
        <v>45</v>
      </c>
      <c r="D4325" s="1" t="s">
        <v>9818</v>
      </c>
      <c r="E4325" s="62">
        <v>23</v>
      </c>
      <c r="F4325" s="1" t="s">
        <v>2551</v>
      </c>
      <c r="G4325" s="1" t="s">
        <v>2555</v>
      </c>
    </row>
    <row x14ac:dyDescent="0.25" r="4326" customHeight="1" ht="17.25" hidden="1">
      <c r="A4326" s="112" t="s">
        <v>9819</v>
      </c>
      <c r="B4326" s="1" t="s">
        <v>2549</v>
      </c>
      <c r="C4326" s="1" t="s">
        <v>45</v>
      </c>
      <c r="D4326" s="1" t="s">
        <v>9820</v>
      </c>
      <c r="E4326" s="62">
        <v>31</v>
      </c>
      <c r="F4326" s="1" t="s">
        <v>2551</v>
      </c>
      <c r="G4326" s="1" t="s">
        <v>2555</v>
      </c>
    </row>
    <row x14ac:dyDescent="0.25" r="4327" customHeight="1" ht="17.25" hidden="1">
      <c r="A4327" s="112" t="s">
        <v>9821</v>
      </c>
      <c r="B4327" s="1" t="s">
        <v>2549</v>
      </c>
      <c r="C4327" s="1" t="s">
        <v>45</v>
      </c>
      <c r="D4327" s="1" t="s">
        <v>9822</v>
      </c>
      <c r="E4327" s="62">
        <v>19</v>
      </c>
      <c r="F4327" s="1" t="s">
        <v>2551</v>
      </c>
      <c r="G4327" s="1" t="s">
        <v>2552</v>
      </c>
    </row>
    <row x14ac:dyDescent="0.25" r="4328" customHeight="1" ht="17.25" hidden="1">
      <c r="A4328" s="112" t="s">
        <v>9823</v>
      </c>
      <c r="B4328" s="1" t="s">
        <v>2549</v>
      </c>
      <c r="C4328" s="1" t="s">
        <v>45</v>
      </c>
      <c r="D4328" s="1" t="s">
        <v>9824</v>
      </c>
      <c r="E4328" s="62">
        <v>24</v>
      </c>
      <c r="F4328" s="1" t="s">
        <v>2551</v>
      </c>
      <c r="G4328" s="1" t="s">
        <v>2552</v>
      </c>
    </row>
    <row x14ac:dyDescent="0.25" r="4329" customHeight="1" ht="17.25" hidden="1">
      <c r="A4329" s="112" t="s">
        <v>9825</v>
      </c>
      <c r="B4329" s="1" t="s">
        <v>2549</v>
      </c>
      <c r="C4329" s="1" t="s">
        <v>45</v>
      </c>
      <c r="D4329" s="1" t="s">
        <v>9826</v>
      </c>
      <c r="E4329" s="62">
        <v>37</v>
      </c>
      <c r="F4329" s="1" t="s">
        <v>2551</v>
      </c>
      <c r="G4329" s="1" t="s">
        <v>2552</v>
      </c>
    </row>
    <row x14ac:dyDescent="0.25" r="4330" customHeight="1" ht="17.25" hidden="1">
      <c r="A4330" s="112" t="s">
        <v>9827</v>
      </c>
      <c r="B4330" s="1" t="s">
        <v>2549</v>
      </c>
      <c r="C4330" s="1" t="s">
        <v>45</v>
      </c>
      <c r="D4330" s="1" t="s">
        <v>9828</v>
      </c>
      <c r="E4330" s="62">
        <v>21</v>
      </c>
      <c r="F4330" s="1" t="s">
        <v>2551</v>
      </c>
      <c r="G4330" s="1" t="s">
        <v>2552</v>
      </c>
    </row>
    <row x14ac:dyDescent="0.25" r="4331" customHeight="1" ht="17.25" hidden="1">
      <c r="A4331" s="112" t="s">
        <v>9829</v>
      </c>
      <c r="B4331" s="1" t="s">
        <v>2549</v>
      </c>
      <c r="C4331" s="1" t="s">
        <v>45</v>
      </c>
      <c r="D4331" s="1" t="s">
        <v>4174</v>
      </c>
      <c r="E4331" s="62">
        <v>27</v>
      </c>
      <c r="F4331" s="1" t="s">
        <v>2551</v>
      </c>
      <c r="G4331" s="1" t="s">
        <v>2558</v>
      </c>
    </row>
    <row x14ac:dyDescent="0.25" r="4332" customHeight="1" ht="17.25" hidden="1">
      <c r="A4332" s="112" t="s">
        <v>9830</v>
      </c>
      <c r="B4332" s="1" t="s">
        <v>2549</v>
      </c>
      <c r="C4332" s="1" t="s">
        <v>45</v>
      </c>
      <c r="D4332" s="1" t="s">
        <v>9831</v>
      </c>
      <c r="E4332" s="62">
        <v>23</v>
      </c>
      <c r="F4332" s="1" t="s">
        <v>2551</v>
      </c>
      <c r="G4332" s="1" t="s">
        <v>2555</v>
      </c>
    </row>
    <row x14ac:dyDescent="0.25" r="4333" customHeight="1" ht="17.25" hidden="1">
      <c r="A4333" s="112" t="s">
        <v>9832</v>
      </c>
      <c r="B4333" s="1" t="s">
        <v>2549</v>
      </c>
      <c r="C4333" s="1" t="s">
        <v>45</v>
      </c>
      <c r="D4333" s="1" t="s">
        <v>9833</v>
      </c>
      <c r="E4333" s="62">
        <v>33</v>
      </c>
      <c r="F4333" s="1" t="s">
        <v>2551</v>
      </c>
      <c r="G4333" s="1" t="s">
        <v>2552</v>
      </c>
    </row>
    <row x14ac:dyDescent="0.25" r="4334" customHeight="1" ht="17.25" hidden="1">
      <c r="A4334" s="112" t="s">
        <v>9834</v>
      </c>
      <c r="B4334" s="1" t="s">
        <v>2549</v>
      </c>
      <c r="C4334" s="1" t="s">
        <v>45</v>
      </c>
      <c r="D4334" s="1" t="s">
        <v>9835</v>
      </c>
      <c r="E4334" s="62">
        <v>25</v>
      </c>
      <c r="F4334" s="1" t="s">
        <v>2551</v>
      </c>
      <c r="G4334" s="1" t="s">
        <v>2552</v>
      </c>
    </row>
    <row x14ac:dyDescent="0.25" r="4335" customHeight="1" ht="17.25" hidden="1">
      <c r="A4335" s="112" t="s">
        <v>9836</v>
      </c>
      <c r="B4335" s="1" t="s">
        <v>2549</v>
      </c>
      <c r="C4335" s="1" t="s">
        <v>45</v>
      </c>
      <c r="D4335" s="1" t="s">
        <v>9837</v>
      </c>
      <c r="E4335" s="62">
        <v>24</v>
      </c>
      <c r="F4335" s="1" t="s">
        <v>2551</v>
      </c>
      <c r="G4335" s="1" t="s">
        <v>2552</v>
      </c>
    </row>
    <row x14ac:dyDescent="0.25" r="4336" customHeight="1" ht="17.25" hidden="1">
      <c r="A4336" s="112" t="s">
        <v>9838</v>
      </c>
      <c r="B4336" s="1" t="s">
        <v>2549</v>
      </c>
      <c r="C4336" s="1" t="s">
        <v>45</v>
      </c>
      <c r="D4336" s="1" t="s">
        <v>9839</v>
      </c>
      <c r="E4336" s="62">
        <v>35</v>
      </c>
      <c r="F4336" s="1" t="s">
        <v>2551</v>
      </c>
      <c r="G4336" s="1" t="s">
        <v>2555</v>
      </c>
    </row>
    <row x14ac:dyDescent="0.25" r="4337" customHeight="1" ht="17.25" hidden="1">
      <c r="A4337" s="112" t="s">
        <v>9838</v>
      </c>
      <c r="B4337" s="1" t="s">
        <v>2549</v>
      </c>
      <c r="C4337" s="1" t="s">
        <v>45</v>
      </c>
      <c r="D4337" s="1" t="s">
        <v>9840</v>
      </c>
      <c r="E4337" s="62">
        <v>34</v>
      </c>
      <c r="F4337" s="1" t="s">
        <v>2551</v>
      </c>
      <c r="G4337" s="1" t="s">
        <v>2552</v>
      </c>
    </row>
    <row x14ac:dyDescent="0.25" r="4338" customHeight="1" ht="17.25" hidden="1">
      <c r="A4338" s="112" t="s">
        <v>9841</v>
      </c>
      <c r="B4338" s="1" t="s">
        <v>2549</v>
      </c>
      <c r="C4338" s="1" t="s">
        <v>45</v>
      </c>
      <c r="D4338" s="1" t="s">
        <v>9842</v>
      </c>
      <c r="E4338" s="62">
        <v>25</v>
      </c>
      <c r="F4338" s="1" t="s">
        <v>2551</v>
      </c>
      <c r="G4338" s="1" t="s">
        <v>2558</v>
      </c>
    </row>
    <row x14ac:dyDescent="0.25" r="4339" customHeight="1" ht="17.25" hidden="1">
      <c r="A4339" s="112" t="s">
        <v>9843</v>
      </c>
      <c r="B4339" s="1" t="s">
        <v>2549</v>
      </c>
      <c r="C4339" s="1" t="s">
        <v>45</v>
      </c>
      <c r="D4339" s="1" t="s">
        <v>9844</v>
      </c>
      <c r="E4339" s="62">
        <v>19</v>
      </c>
      <c r="F4339" s="1" t="s">
        <v>2551</v>
      </c>
      <c r="G4339" s="1" t="s">
        <v>2552</v>
      </c>
    </row>
    <row x14ac:dyDescent="0.25" r="4340" customHeight="1" ht="17.25" hidden="1">
      <c r="A4340" s="112" t="s">
        <v>9845</v>
      </c>
      <c r="B4340" s="1" t="s">
        <v>2549</v>
      </c>
      <c r="C4340" s="1" t="s">
        <v>45</v>
      </c>
      <c r="D4340" s="1" t="s">
        <v>9846</v>
      </c>
      <c r="E4340" s="62">
        <v>25</v>
      </c>
      <c r="F4340" s="1" t="s">
        <v>2551</v>
      </c>
      <c r="G4340" s="1" t="s">
        <v>2552</v>
      </c>
    </row>
    <row x14ac:dyDescent="0.25" r="4341" customHeight="1" ht="17.25" hidden="1">
      <c r="A4341" s="112" t="s">
        <v>9847</v>
      </c>
      <c r="B4341" s="1" t="s">
        <v>2549</v>
      </c>
      <c r="C4341" s="1" t="s">
        <v>45</v>
      </c>
      <c r="D4341" s="1" t="s">
        <v>9848</v>
      </c>
      <c r="E4341" s="62">
        <v>21</v>
      </c>
      <c r="F4341" s="1" t="s">
        <v>2551</v>
      </c>
      <c r="G4341" s="1" t="s">
        <v>2555</v>
      </c>
    </row>
    <row x14ac:dyDescent="0.25" r="4342" customHeight="1" ht="17.25" hidden="1">
      <c r="A4342" s="112" t="s">
        <v>9847</v>
      </c>
      <c r="B4342" s="1" t="s">
        <v>2549</v>
      </c>
      <c r="C4342" s="1" t="s">
        <v>45</v>
      </c>
      <c r="D4342" s="1" t="s">
        <v>9849</v>
      </c>
      <c r="E4342" s="62">
        <v>18</v>
      </c>
      <c r="F4342" s="1" t="s">
        <v>2551</v>
      </c>
      <c r="G4342" s="1" t="s">
        <v>2552</v>
      </c>
    </row>
    <row x14ac:dyDescent="0.25" r="4343" customHeight="1" ht="17.25" hidden="1">
      <c r="A4343" s="112" t="s">
        <v>9850</v>
      </c>
      <c r="B4343" s="1" t="s">
        <v>2549</v>
      </c>
      <c r="C4343" s="1" t="s">
        <v>45</v>
      </c>
      <c r="D4343" s="1" t="s">
        <v>9851</v>
      </c>
      <c r="E4343" s="62">
        <v>34</v>
      </c>
      <c r="F4343" s="1" t="s">
        <v>2551</v>
      </c>
      <c r="G4343" s="1" t="s">
        <v>2555</v>
      </c>
    </row>
    <row x14ac:dyDescent="0.25" r="4344" customHeight="1" ht="17.25" hidden="1">
      <c r="A4344" s="112" t="s">
        <v>9850</v>
      </c>
      <c r="B4344" s="1" t="s">
        <v>2549</v>
      </c>
      <c r="C4344" s="1" t="s">
        <v>45</v>
      </c>
      <c r="D4344" s="1" t="s">
        <v>9852</v>
      </c>
      <c r="E4344" s="62">
        <v>25</v>
      </c>
      <c r="F4344" s="1" t="s">
        <v>2551</v>
      </c>
      <c r="G4344" s="1" t="s">
        <v>2555</v>
      </c>
    </row>
    <row x14ac:dyDescent="0.25" r="4345" customHeight="1" ht="17.25" hidden="1">
      <c r="A4345" s="112" t="s">
        <v>9850</v>
      </c>
      <c r="B4345" s="1" t="s">
        <v>2549</v>
      </c>
      <c r="C4345" s="1" t="s">
        <v>45</v>
      </c>
      <c r="D4345" s="1" t="s">
        <v>9853</v>
      </c>
      <c r="E4345" s="62">
        <v>31</v>
      </c>
      <c r="F4345" s="1" t="s">
        <v>2551</v>
      </c>
      <c r="G4345" s="1" t="s">
        <v>2555</v>
      </c>
    </row>
    <row x14ac:dyDescent="0.25" r="4346" customHeight="1" ht="17.25" hidden="1">
      <c r="A4346" s="112" t="s">
        <v>9850</v>
      </c>
      <c r="B4346" s="1" t="s">
        <v>2549</v>
      </c>
      <c r="C4346" s="1" t="s">
        <v>45</v>
      </c>
      <c r="D4346" s="1" t="s">
        <v>9854</v>
      </c>
      <c r="E4346" s="62">
        <v>40</v>
      </c>
      <c r="F4346" s="1" t="s">
        <v>2551</v>
      </c>
      <c r="G4346" s="1" t="s">
        <v>2555</v>
      </c>
    </row>
    <row x14ac:dyDescent="0.25" r="4347" customHeight="1" ht="17.25" hidden="1">
      <c r="A4347" s="112" t="s">
        <v>9855</v>
      </c>
      <c r="B4347" s="1" t="s">
        <v>2549</v>
      </c>
      <c r="C4347" s="1" t="s">
        <v>45</v>
      </c>
      <c r="D4347" s="1" t="s">
        <v>9856</v>
      </c>
      <c r="E4347" s="62">
        <v>27</v>
      </c>
      <c r="F4347" s="1" t="s">
        <v>2551</v>
      </c>
      <c r="G4347" s="1" t="s">
        <v>2555</v>
      </c>
    </row>
    <row x14ac:dyDescent="0.25" r="4348" customHeight="1" ht="17.25" hidden="1">
      <c r="A4348" s="112" t="s">
        <v>9857</v>
      </c>
      <c r="B4348" s="1" t="s">
        <v>2549</v>
      </c>
      <c r="C4348" s="1" t="s">
        <v>45</v>
      </c>
      <c r="D4348" s="1" t="s">
        <v>9858</v>
      </c>
      <c r="E4348" s="62">
        <v>23</v>
      </c>
      <c r="F4348" s="1" t="s">
        <v>2551</v>
      </c>
      <c r="G4348" s="1" t="s">
        <v>4578</v>
      </c>
    </row>
    <row x14ac:dyDescent="0.25" r="4349" customHeight="1" ht="17.25" hidden="1">
      <c r="A4349" s="112" t="s">
        <v>9857</v>
      </c>
      <c r="B4349" s="1" t="s">
        <v>2549</v>
      </c>
      <c r="C4349" s="1" t="s">
        <v>45</v>
      </c>
      <c r="D4349" s="1" t="s">
        <v>9859</v>
      </c>
      <c r="E4349" s="62">
        <v>20</v>
      </c>
      <c r="F4349" s="1" t="s">
        <v>2551</v>
      </c>
      <c r="G4349" s="1" t="s">
        <v>2552</v>
      </c>
    </row>
    <row x14ac:dyDescent="0.25" r="4350" customHeight="1" ht="17.25" hidden="1">
      <c r="A4350" s="112" t="s">
        <v>9860</v>
      </c>
      <c r="B4350" s="1" t="s">
        <v>2549</v>
      </c>
      <c r="C4350" s="1" t="s">
        <v>45</v>
      </c>
      <c r="D4350" s="1" t="s">
        <v>9861</v>
      </c>
      <c r="E4350" s="62">
        <v>22</v>
      </c>
      <c r="F4350" s="1" t="s">
        <v>2561</v>
      </c>
      <c r="G4350" s="1" t="s">
        <v>2558</v>
      </c>
    </row>
    <row x14ac:dyDescent="0.25" r="4351" customHeight="1" ht="17.25" hidden="1">
      <c r="A4351" s="112" t="s">
        <v>809</v>
      </c>
      <c r="B4351" s="1" t="s">
        <v>2549</v>
      </c>
      <c r="C4351" s="1" t="s">
        <v>45</v>
      </c>
      <c r="D4351" s="1" t="s">
        <v>810</v>
      </c>
      <c r="E4351" s="62">
        <v>19</v>
      </c>
      <c r="F4351" s="1" t="s">
        <v>2551</v>
      </c>
      <c r="G4351" s="1" t="s">
        <v>2558</v>
      </c>
    </row>
    <row x14ac:dyDescent="0.25" r="4352" customHeight="1" ht="17.25" hidden="1">
      <c r="A4352" s="112" t="s">
        <v>1878</v>
      </c>
      <c r="B4352" s="1" t="s">
        <v>2549</v>
      </c>
      <c r="C4352" s="1" t="s">
        <v>45</v>
      </c>
      <c r="D4352" s="1" t="s">
        <v>1879</v>
      </c>
      <c r="E4352" s="62">
        <v>46</v>
      </c>
      <c r="F4352" s="1" t="s">
        <v>2551</v>
      </c>
      <c r="G4352" s="1" t="s">
        <v>2552</v>
      </c>
    </row>
    <row x14ac:dyDescent="0.25" r="4353" customHeight="1" ht="17.25" hidden="1">
      <c r="A4353" s="112" t="s">
        <v>9862</v>
      </c>
      <c r="B4353" s="1" t="s">
        <v>2549</v>
      </c>
      <c r="C4353" s="1" t="s">
        <v>45</v>
      </c>
      <c r="D4353" s="1" t="s">
        <v>9863</v>
      </c>
      <c r="E4353" s="62">
        <v>37</v>
      </c>
      <c r="F4353" s="1" t="s">
        <v>2551</v>
      </c>
      <c r="G4353" s="1" t="s">
        <v>2555</v>
      </c>
    </row>
    <row x14ac:dyDescent="0.25" r="4354" customHeight="1" ht="17.25" hidden="1">
      <c r="A4354" s="112" t="s">
        <v>9864</v>
      </c>
      <c r="B4354" s="1" t="s">
        <v>2549</v>
      </c>
      <c r="C4354" s="1" t="s">
        <v>45</v>
      </c>
      <c r="D4354" s="1" t="s">
        <v>9865</v>
      </c>
      <c r="E4354" s="62">
        <v>32</v>
      </c>
      <c r="F4354" s="1" t="s">
        <v>2551</v>
      </c>
      <c r="G4354" s="1" t="s">
        <v>2558</v>
      </c>
    </row>
    <row x14ac:dyDescent="0.25" r="4355" customHeight="1" ht="17.25" hidden="1">
      <c r="A4355" s="112" t="s">
        <v>9866</v>
      </c>
      <c r="B4355" s="1" t="s">
        <v>2549</v>
      </c>
      <c r="C4355" s="1" t="s">
        <v>45</v>
      </c>
      <c r="D4355" s="1" t="s">
        <v>9867</v>
      </c>
      <c r="E4355" s="62">
        <v>23</v>
      </c>
      <c r="F4355" s="1" t="s">
        <v>2551</v>
      </c>
      <c r="G4355" s="1" t="s">
        <v>2552</v>
      </c>
    </row>
    <row x14ac:dyDescent="0.25" r="4356" customHeight="1" ht="17.25" hidden="1">
      <c r="A4356" s="112" t="s">
        <v>9868</v>
      </c>
      <c r="B4356" s="1" t="s">
        <v>2549</v>
      </c>
      <c r="C4356" s="1" t="s">
        <v>45</v>
      </c>
      <c r="D4356" s="1" t="s">
        <v>9869</v>
      </c>
      <c r="E4356" s="54" t="s">
        <v>2571</v>
      </c>
      <c r="F4356" s="1" t="s">
        <v>2551</v>
      </c>
      <c r="G4356" s="1" t="s">
        <v>2571</v>
      </c>
    </row>
    <row x14ac:dyDescent="0.25" r="4357" customHeight="1" ht="17.25" hidden="1">
      <c r="A4357" s="112" t="s">
        <v>9868</v>
      </c>
      <c r="B4357" s="1" t="s">
        <v>2549</v>
      </c>
      <c r="C4357" s="1" t="s">
        <v>45</v>
      </c>
      <c r="D4357" s="1" t="s">
        <v>9870</v>
      </c>
      <c r="E4357" s="54" t="s">
        <v>2571</v>
      </c>
      <c r="F4357" s="1" t="s">
        <v>2561</v>
      </c>
      <c r="G4357" s="1" t="s">
        <v>2555</v>
      </c>
    </row>
    <row x14ac:dyDescent="0.25" r="4358" customHeight="1" ht="17.25" hidden="1">
      <c r="A4358" s="112" t="s">
        <v>9868</v>
      </c>
      <c r="B4358" s="1" t="s">
        <v>2549</v>
      </c>
      <c r="C4358" s="1" t="s">
        <v>45</v>
      </c>
      <c r="D4358" s="1" t="s">
        <v>9871</v>
      </c>
      <c r="E4358" s="54" t="s">
        <v>2571</v>
      </c>
      <c r="F4358" s="1" t="s">
        <v>2551</v>
      </c>
      <c r="G4358" s="1" t="s">
        <v>2555</v>
      </c>
    </row>
    <row x14ac:dyDescent="0.25" r="4359" customHeight="1" ht="17.25" hidden="1">
      <c r="A4359" s="112" t="s">
        <v>9868</v>
      </c>
      <c r="B4359" s="1" t="s">
        <v>2549</v>
      </c>
      <c r="C4359" s="1" t="s">
        <v>45</v>
      </c>
      <c r="D4359" s="1" t="s">
        <v>9872</v>
      </c>
      <c r="E4359" s="54" t="s">
        <v>2571</v>
      </c>
      <c r="F4359" s="1" t="s">
        <v>2551</v>
      </c>
      <c r="G4359" s="1" t="s">
        <v>2555</v>
      </c>
    </row>
    <row x14ac:dyDescent="0.25" r="4360" customHeight="1" ht="17.25" hidden="1">
      <c r="A4360" s="112" t="s">
        <v>9868</v>
      </c>
      <c r="B4360" s="1" t="s">
        <v>2549</v>
      </c>
      <c r="C4360" s="1" t="s">
        <v>45</v>
      </c>
      <c r="D4360" s="1" t="s">
        <v>9873</v>
      </c>
      <c r="E4360" s="54" t="s">
        <v>2571</v>
      </c>
      <c r="F4360" s="1" t="s">
        <v>2551</v>
      </c>
      <c r="G4360" s="1" t="s">
        <v>2571</v>
      </c>
    </row>
    <row x14ac:dyDescent="0.25" r="4361" customHeight="1" ht="17.25" hidden="1">
      <c r="A4361" s="112" t="s">
        <v>9868</v>
      </c>
      <c r="B4361" s="1" t="s">
        <v>2549</v>
      </c>
      <c r="C4361" s="1" t="s">
        <v>45</v>
      </c>
      <c r="D4361" s="1" t="s">
        <v>9874</v>
      </c>
      <c r="E4361" s="54" t="s">
        <v>2571</v>
      </c>
      <c r="F4361" s="1" t="s">
        <v>2551</v>
      </c>
      <c r="G4361" s="1" t="s">
        <v>2555</v>
      </c>
    </row>
    <row x14ac:dyDescent="0.25" r="4362" customHeight="1" ht="17.25" hidden="1">
      <c r="A4362" s="112" t="s">
        <v>9868</v>
      </c>
      <c r="B4362" s="1" t="s">
        <v>2549</v>
      </c>
      <c r="C4362" s="1" t="s">
        <v>45</v>
      </c>
      <c r="D4362" s="1" t="s">
        <v>9875</v>
      </c>
      <c r="E4362" s="54" t="s">
        <v>2571</v>
      </c>
      <c r="F4362" s="1" t="s">
        <v>2561</v>
      </c>
      <c r="G4362" s="1" t="s">
        <v>2555</v>
      </c>
    </row>
    <row x14ac:dyDescent="0.25" r="4363" customHeight="1" ht="17.25" hidden="1">
      <c r="A4363" s="112" t="s">
        <v>9876</v>
      </c>
      <c r="B4363" s="1" t="s">
        <v>2549</v>
      </c>
      <c r="C4363" s="1" t="s">
        <v>45</v>
      </c>
      <c r="D4363" s="1" t="s">
        <v>9877</v>
      </c>
      <c r="E4363" s="62">
        <v>44</v>
      </c>
      <c r="F4363" s="1" t="s">
        <v>2561</v>
      </c>
      <c r="G4363" s="1" t="s">
        <v>2555</v>
      </c>
    </row>
    <row x14ac:dyDescent="0.25" r="4364" customHeight="1" ht="17.25" hidden="1">
      <c r="A4364" s="112" t="s">
        <v>9876</v>
      </c>
      <c r="B4364" s="1" t="s">
        <v>2549</v>
      </c>
      <c r="C4364" s="1" t="s">
        <v>45</v>
      </c>
      <c r="D4364" s="1" t="s">
        <v>9878</v>
      </c>
      <c r="E4364" s="62">
        <v>42</v>
      </c>
      <c r="F4364" s="1" t="s">
        <v>2551</v>
      </c>
      <c r="G4364" s="1" t="s">
        <v>2552</v>
      </c>
    </row>
    <row x14ac:dyDescent="0.25" r="4365" customHeight="1" ht="17.25" hidden="1">
      <c r="A4365" s="112" t="s">
        <v>9876</v>
      </c>
      <c r="B4365" s="1" t="s">
        <v>2549</v>
      </c>
      <c r="C4365" s="1" t="s">
        <v>45</v>
      </c>
      <c r="D4365" s="1" t="s">
        <v>9879</v>
      </c>
      <c r="E4365" s="62">
        <v>58</v>
      </c>
      <c r="F4365" s="1" t="s">
        <v>2551</v>
      </c>
      <c r="G4365" s="1" t="s">
        <v>2555</v>
      </c>
    </row>
    <row x14ac:dyDescent="0.25" r="4366" customHeight="1" ht="17.25" hidden="1">
      <c r="A4366" s="112" t="s">
        <v>9880</v>
      </c>
      <c r="B4366" s="1" t="s">
        <v>2549</v>
      </c>
      <c r="C4366" s="1" t="s">
        <v>45</v>
      </c>
      <c r="D4366" s="1" t="s">
        <v>9881</v>
      </c>
      <c r="E4366" s="62">
        <v>29</v>
      </c>
      <c r="F4366" s="1" t="s">
        <v>2561</v>
      </c>
      <c r="G4366" s="1" t="s">
        <v>2555</v>
      </c>
    </row>
    <row x14ac:dyDescent="0.25" r="4367" customHeight="1" ht="17.25" hidden="1">
      <c r="A4367" s="112" t="s">
        <v>9880</v>
      </c>
      <c r="B4367" s="1" t="s">
        <v>2549</v>
      </c>
      <c r="C4367" s="1" t="s">
        <v>45</v>
      </c>
      <c r="D4367" s="1" t="s">
        <v>9882</v>
      </c>
      <c r="E4367" s="62">
        <v>36</v>
      </c>
      <c r="F4367" s="1" t="s">
        <v>2551</v>
      </c>
      <c r="G4367" s="1" t="s">
        <v>2552</v>
      </c>
    </row>
    <row x14ac:dyDescent="0.25" r="4368" customHeight="1" ht="17.25" hidden="1">
      <c r="A4368" s="112" t="s">
        <v>9883</v>
      </c>
      <c r="B4368" s="1" t="s">
        <v>2549</v>
      </c>
      <c r="C4368" s="1" t="s">
        <v>45</v>
      </c>
      <c r="D4368" s="1" t="s">
        <v>9884</v>
      </c>
      <c r="E4368" s="62">
        <v>20</v>
      </c>
      <c r="F4368" s="1" t="s">
        <v>2551</v>
      </c>
      <c r="G4368" s="1" t="s">
        <v>2552</v>
      </c>
    </row>
    <row x14ac:dyDescent="0.25" r="4369" customHeight="1" ht="17.25" hidden="1">
      <c r="A4369" s="112" t="s">
        <v>9885</v>
      </c>
      <c r="B4369" s="1" t="s">
        <v>2549</v>
      </c>
      <c r="C4369" s="1" t="s">
        <v>45</v>
      </c>
      <c r="D4369" s="1" t="s">
        <v>9886</v>
      </c>
      <c r="E4369" s="62">
        <v>26</v>
      </c>
      <c r="F4369" s="1" t="s">
        <v>2551</v>
      </c>
      <c r="G4369" s="1" t="s">
        <v>2552</v>
      </c>
    </row>
    <row x14ac:dyDescent="0.25" r="4370" customHeight="1" ht="17.25" hidden="1">
      <c r="A4370" s="112" t="s">
        <v>9887</v>
      </c>
      <c r="B4370" s="1" t="s">
        <v>2549</v>
      </c>
      <c r="C4370" s="1" t="s">
        <v>45</v>
      </c>
      <c r="D4370" s="1" t="s">
        <v>9888</v>
      </c>
      <c r="E4370" s="62">
        <v>18</v>
      </c>
      <c r="F4370" s="1" t="s">
        <v>2551</v>
      </c>
      <c r="G4370" s="1" t="s">
        <v>2552</v>
      </c>
    </row>
    <row x14ac:dyDescent="0.25" r="4371" customHeight="1" ht="17.25" hidden="1">
      <c r="A4371" s="112" t="s">
        <v>1856</v>
      </c>
      <c r="B4371" s="1" t="s">
        <v>2549</v>
      </c>
      <c r="C4371" s="1" t="s">
        <v>45</v>
      </c>
      <c r="D4371" s="1" t="s">
        <v>1857</v>
      </c>
      <c r="E4371" s="62">
        <v>29</v>
      </c>
      <c r="F4371" s="1" t="s">
        <v>2551</v>
      </c>
      <c r="G4371" s="1" t="s">
        <v>2552</v>
      </c>
    </row>
    <row x14ac:dyDescent="0.25" r="4372" customHeight="1" ht="17.25" hidden="1">
      <c r="A4372" s="112" t="s">
        <v>9889</v>
      </c>
      <c r="B4372" s="1" t="s">
        <v>2549</v>
      </c>
      <c r="C4372" s="1" t="s">
        <v>45</v>
      </c>
      <c r="D4372" s="1" t="s">
        <v>9890</v>
      </c>
      <c r="E4372" s="62">
        <v>37</v>
      </c>
      <c r="F4372" s="1" t="s">
        <v>2551</v>
      </c>
      <c r="G4372" s="1" t="s">
        <v>2555</v>
      </c>
    </row>
    <row x14ac:dyDescent="0.25" r="4373" customHeight="1" ht="17.25" hidden="1">
      <c r="A4373" s="112" t="s">
        <v>9891</v>
      </c>
      <c r="B4373" s="1" t="s">
        <v>2549</v>
      </c>
      <c r="C4373" s="1" t="s">
        <v>45</v>
      </c>
      <c r="D4373" s="1" t="s">
        <v>9892</v>
      </c>
      <c r="E4373" s="62">
        <v>24</v>
      </c>
      <c r="F4373" s="1" t="s">
        <v>2551</v>
      </c>
      <c r="G4373" s="1" t="s">
        <v>2552</v>
      </c>
    </row>
    <row x14ac:dyDescent="0.25" r="4374" customHeight="1" ht="17.25" hidden="1">
      <c r="A4374" s="112" t="s">
        <v>9893</v>
      </c>
      <c r="B4374" s="1" t="s">
        <v>2549</v>
      </c>
      <c r="C4374" s="1" t="s">
        <v>45</v>
      </c>
      <c r="D4374" s="1" t="s">
        <v>9894</v>
      </c>
      <c r="E4374" s="62">
        <v>18</v>
      </c>
      <c r="F4374" s="1" t="s">
        <v>2551</v>
      </c>
      <c r="G4374" s="1" t="s">
        <v>2552</v>
      </c>
    </row>
    <row x14ac:dyDescent="0.25" r="4375" customHeight="1" ht="17.25" hidden="1">
      <c r="A4375" s="112" t="s">
        <v>9893</v>
      </c>
      <c r="B4375" s="1" t="s">
        <v>2549</v>
      </c>
      <c r="C4375" s="1" t="s">
        <v>45</v>
      </c>
      <c r="D4375" s="1" t="s">
        <v>9895</v>
      </c>
      <c r="E4375" s="62">
        <v>31</v>
      </c>
      <c r="F4375" s="1" t="s">
        <v>2551</v>
      </c>
      <c r="G4375" s="1" t="s">
        <v>2558</v>
      </c>
    </row>
    <row x14ac:dyDescent="0.25" r="4376" customHeight="1" ht="17.25" hidden="1">
      <c r="A4376" s="112" t="s">
        <v>9896</v>
      </c>
      <c r="B4376" s="1" t="s">
        <v>2549</v>
      </c>
      <c r="C4376" s="1" t="s">
        <v>45</v>
      </c>
      <c r="D4376" s="1" t="s">
        <v>9897</v>
      </c>
      <c r="E4376" s="62">
        <v>20</v>
      </c>
      <c r="F4376" s="1" t="s">
        <v>2551</v>
      </c>
      <c r="G4376" s="1" t="s">
        <v>2552</v>
      </c>
    </row>
    <row x14ac:dyDescent="0.25" r="4377" customHeight="1" ht="17.25" hidden="1">
      <c r="A4377" s="112" t="s">
        <v>9898</v>
      </c>
      <c r="B4377" s="1" t="s">
        <v>2549</v>
      </c>
      <c r="C4377" s="1" t="s">
        <v>45</v>
      </c>
      <c r="D4377" s="1" t="s">
        <v>9899</v>
      </c>
      <c r="E4377" s="62">
        <v>23</v>
      </c>
      <c r="F4377" s="1" t="s">
        <v>2551</v>
      </c>
      <c r="G4377" s="1" t="s">
        <v>2552</v>
      </c>
    </row>
    <row x14ac:dyDescent="0.25" r="4378" customHeight="1" ht="17.25" hidden="1">
      <c r="A4378" s="112" t="s">
        <v>9900</v>
      </c>
      <c r="B4378" s="1" t="s">
        <v>2549</v>
      </c>
      <c r="C4378" s="1" t="s">
        <v>45</v>
      </c>
      <c r="D4378" s="1" t="s">
        <v>9901</v>
      </c>
      <c r="E4378" s="62">
        <v>18</v>
      </c>
      <c r="F4378" s="1" t="s">
        <v>2551</v>
      </c>
      <c r="G4378" s="1" t="s">
        <v>2555</v>
      </c>
    </row>
    <row x14ac:dyDescent="0.25" r="4379" customHeight="1" ht="17.25" hidden="1">
      <c r="A4379" s="112" t="s">
        <v>9902</v>
      </c>
      <c r="B4379" s="1" t="s">
        <v>2549</v>
      </c>
      <c r="C4379" s="1" t="s">
        <v>45</v>
      </c>
      <c r="D4379" s="1" t="s">
        <v>9903</v>
      </c>
      <c r="E4379" s="62">
        <v>35</v>
      </c>
      <c r="F4379" s="1" t="s">
        <v>2551</v>
      </c>
      <c r="G4379" s="1" t="s">
        <v>2555</v>
      </c>
    </row>
    <row x14ac:dyDescent="0.25" r="4380" customHeight="1" ht="17.25" hidden="1">
      <c r="A4380" s="112" t="s">
        <v>9904</v>
      </c>
      <c r="B4380" s="1" t="s">
        <v>2549</v>
      </c>
      <c r="C4380" s="1" t="s">
        <v>45</v>
      </c>
      <c r="D4380" s="1" t="s">
        <v>5450</v>
      </c>
      <c r="E4380" s="62">
        <v>18</v>
      </c>
      <c r="F4380" s="1" t="s">
        <v>2551</v>
      </c>
      <c r="G4380" s="1" t="s">
        <v>2555</v>
      </c>
    </row>
    <row x14ac:dyDescent="0.25" r="4381" customHeight="1" ht="17.25" hidden="1">
      <c r="A4381" s="112" t="s">
        <v>9905</v>
      </c>
      <c r="B4381" s="1" t="s">
        <v>2549</v>
      </c>
      <c r="C4381" s="1" t="s">
        <v>45</v>
      </c>
      <c r="D4381" s="1" t="s">
        <v>9906</v>
      </c>
      <c r="E4381" s="62">
        <v>25</v>
      </c>
      <c r="F4381" s="1" t="s">
        <v>2551</v>
      </c>
      <c r="G4381" s="1" t="s">
        <v>2552</v>
      </c>
    </row>
    <row x14ac:dyDescent="0.25" r="4382" customHeight="1" ht="17.25" hidden="1">
      <c r="A4382" s="112" t="s">
        <v>9907</v>
      </c>
      <c r="B4382" s="1" t="s">
        <v>2549</v>
      </c>
      <c r="C4382" s="1" t="s">
        <v>45</v>
      </c>
      <c r="D4382" s="1" t="s">
        <v>9908</v>
      </c>
      <c r="E4382" s="62">
        <v>24</v>
      </c>
      <c r="F4382" s="1" t="s">
        <v>2551</v>
      </c>
      <c r="G4382" s="1" t="s">
        <v>2555</v>
      </c>
    </row>
    <row x14ac:dyDescent="0.25" r="4383" customHeight="1" ht="17.25" hidden="1">
      <c r="A4383" s="112" t="s">
        <v>9909</v>
      </c>
      <c r="B4383" s="1" t="s">
        <v>2549</v>
      </c>
      <c r="C4383" s="1" t="s">
        <v>45</v>
      </c>
      <c r="D4383" s="1" t="s">
        <v>9910</v>
      </c>
      <c r="E4383" s="62">
        <v>34</v>
      </c>
      <c r="F4383" s="1" t="s">
        <v>2551</v>
      </c>
      <c r="G4383" s="1" t="s">
        <v>2555</v>
      </c>
    </row>
    <row x14ac:dyDescent="0.25" r="4384" customHeight="1" ht="17.25" hidden="1">
      <c r="A4384" s="112" t="s">
        <v>9911</v>
      </c>
      <c r="B4384" s="1" t="s">
        <v>2549</v>
      </c>
      <c r="C4384" s="1" t="s">
        <v>45</v>
      </c>
      <c r="D4384" s="1" t="s">
        <v>9912</v>
      </c>
      <c r="E4384" s="62">
        <v>30</v>
      </c>
      <c r="F4384" s="1" t="s">
        <v>2551</v>
      </c>
      <c r="G4384" s="1" t="s">
        <v>2558</v>
      </c>
    </row>
    <row x14ac:dyDescent="0.25" r="4385" customHeight="1" ht="17.25" hidden="1">
      <c r="A4385" s="112" t="s">
        <v>9913</v>
      </c>
      <c r="B4385" s="1" t="s">
        <v>2549</v>
      </c>
      <c r="C4385" s="1" t="s">
        <v>45</v>
      </c>
      <c r="D4385" s="1" t="s">
        <v>9914</v>
      </c>
      <c r="E4385" s="62">
        <v>43</v>
      </c>
      <c r="F4385" s="1" t="s">
        <v>2551</v>
      </c>
      <c r="G4385" s="1" t="s">
        <v>2558</v>
      </c>
    </row>
    <row x14ac:dyDescent="0.25" r="4386" customHeight="1" ht="17.25" hidden="1">
      <c r="A4386" s="112" t="s">
        <v>2280</v>
      </c>
      <c r="B4386" s="1" t="s">
        <v>2549</v>
      </c>
      <c r="C4386" s="1" t="s">
        <v>45</v>
      </c>
      <c r="D4386" s="1" t="s">
        <v>9915</v>
      </c>
      <c r="E4386" s="62">
        <v>29</v>
      </c>
      <c r="F4386" s="1" t="s">
        <v>2551</v>
      </c>
      <c r="G4386" s="1" t="s">
        <v>2552</v>
      </c>
    </row>
    <row x14ac:dyDescent="0.25" r="4387" customHeight="1" ht="17.25" hidden="1">
      <c r="A4387" s="112" t="s">
        <v>9916</v>
      </c>
      <c r="B4387" s="1" t="s">
        <v>2549</v>
      </c>
      <c r="C4387" s="1" t="s">
        <v>45</v>
      </c>
      <c r="D4387" s="1" t="s">
        <v>9917</v>
      </c>
      <c r="E4387" s="62">
        <v>37</v>
      </c>
      <c r="F4387" s="1" t="s">
        <v>2551</v>
      </c>
      <c r="G4387" s="1" t="s">
        <v>2552</v>
      </c>
    </row>
    <row x14ac:dyDescent="0.25" r="4388" customHeight="1" ht="17.25" hidden="1">
      <c r="A4388" s="112" t="s">
        <v>9918</v>
      </c>
      <c r="B4388" s="1" t="s">
        <v>2549</v>
      </c>
      <c r="C4388" s="1" t="s">
        <v>45</v>
      </c>
      <c r="D4388" s="1" t="s">
        <v>9919</v>
      </c>
      <c r="E4388" s="62">
        <v>27</v>
      </c>
      <c r="F4388" s="1" t="s">
        <v>2551</v>
      </c>
      <c r="G4388" s="1" t="s">
        <v>2555</v>
      </c>
    </row>
    <row x14ac:dyDescent="0.25" r="4389" customHeight="1" ht="17.25" hidden="1">
      <c r="A4389" s="112" t="s">
        <v>9920</v>
      </c>
      <c r="B4389" s="1" t="s">
        <v>2549</v>
      </c>
      <c r="C4389" s="1" t="s">
        <v>45</v>
      </c>
      <c r="D4389" s="1" t="s">
        <v>9921</v>
      </c>
      <c r="E4389" s="62">
        <v>35</v>
      </c>
      <c r="F4389" s="1" t="s">
        <v>2551</v>
      </c>
      <c r="G4389" s="1" t="s">
        <v>2552</v>
      </c>
    </row>
    <row x14ac:dyDescent="0.25" r="4390" customHeight="1" ht="17.25" hidden="1">
      <c r="A4390" s="112" t="s">
        <v>9922</v>
      </c>
      <c r="B4390" s="1" t="s">
        <v>2549</v>
      </c>
      <c r="C4390" s="1" t="s">
        <v>45</v>
      </c>
      <c r="D4390" s="1" t="s">
        <v>9923</v>
      </c>
      <c r="E4390" s="62">
        <v>19</v>
      </c>
      <c r="F4390" s="1" t="s">
        <v>2551</v>
      </c>
      <c r="G4390" s="1" t="s">
        <v>2552</v>
      </c>
    </row>
    <row x14ac:dyDescent="0.25" r="4391" customHeight="1" ht="17.25" hidden="1">
      <c r="A4391" s="112" t="s">
        <v>9924</v>
      </c>
      <c r="B4391" s="1" t="s">
        <v>2549</v>
      </c>
      <c r="C4391" s="1" t="s">
        <v>45</v>
      </c>
      <c r="D4391" s="1" t="s">
        <v>9925</v>
      </c>
      <c r="E4391" s="62">
        <v>35</v>
      </c>
      <c r="F4391" s="1" t="s">
        <v>2551</v>
      </c>
      <c r="G4391" s="1" t="s">
        <v>2552</v>
      </c>
    </row>
    <row x14ac:dyDescent="0.25" r="4392" customHeight="1" ht="17.25" hidden="1">
      <c r="A4392" s="112" t="s">
        <v>9926</v>
      </c>
      <c r="B4392" s="1" t="s">
        <v>2549</v>
      </c>
      <c r="C4392" s="1" t="s">
        <v>45</v>
      </c>
      <c r="D4392" s="1" t="s">
        <v>9927</v>
      </c>
      <c r="E4392" s="62">
        <v>40</v>
      </c>
      <c r="F4392" s="1" t="s">
        <v>2551</v>
      </c>
      <c r="G4392" s="1" t="s">
        <v>2552</v>
      </c>
    </row>
    <row x14ac:dyDescent="0.25" r="4393" customHeight="1" ht="17.25" hidden="1">
      <c r="A4393" s="112" t="s">
        <v>9928</v>
      </c>
      <c r="B4393" s="1" t="s">
        <v>2549</v>
      </c>
      <c r="C4393" s="1" t="s">
        <v>45</v>
      </c>
      <c r="D4393" s="1" t="s">
        <v>9929</v>
      </c>
      <c r="E4393" s="62">
        <v>29</v>
      </c>
      <c r="F4393" s="1" t="s">
        <v>2551</v>
      </c>
      <c r="G4393" s="1" t="s">
        <v>2558</v>
      </c>
    </row>
    <row x14ac:dyDescent="0.25" r="4394" customHeight="1" ht="17.25" hidden="1">
      <c r="A4394" s="112" t="s">
        <v>9930</v>
      </c>
      <c r="B4394" s="1" t="s">
        <v>2549</v>
      </c>
      <c r="C4394" s="1" t="s">
        <v>45</v>
      </c>
      <c r="D4394" s="1" t="s">
        <v>9931</v>
      </c>
      <c r="E4394" s="62">
        <v>20</v>
      </c>
      <c r="F4394" s="1" t="s">
        <v>2551</v>
      </c>
      <c r="G4394" s="1" t="s">
        <v>2552</v>
      </c>
    </row>
    <row x14ac:dyDescent="0.25" r="4395" customHeight="1" ht="17.25" hidden="1">
      <c r="A4395" s="112" t="s">
        <v>9930</v>
      </c>
      <c r="B4395" s="1" t="s">
        <v>2549</v>
      </c>
      <c r="C4395" s="1" t="s">
        <v>45</v>
      </c>
      <c r="D4395" s="1" t="s">
        <v>9932</v>
      </c>
      <c r="E4395" s="62">
        <v>18</v>
      </c>
      <c r="F4395" s="1" t="s">
        <v>2551</v>
      </c>
      <c r="G4395" s="1" t="s">
        <v>2552</v>
      </c>
    </row>
    <row x14ac:dyDescent="0.25" r="4396" customHeight="1" ht="17.25" hidden="1">
      <c r="A4396" s="112" t="s">
        <v>9933</v>
      </c>
      <c r="B4396" s="1" t="s">
        <v>2549</v>
      </c>
      <c r="C4396" s="1" t="s">
        <v>45</v>
      </c>
      <c r="D4396" s="1" t="s">
        <v>9934</v>
      </c>
      <c r="E4396" s="62">
        <v>23</v>
      </c>
      <c r="F4396" s="1" t="s">
        <v>2551</v>
      </c>
      <c r="G4396" s="1" t="s">
        <v>2555</v>
      </c>
    </row>
    <row x14ac:dyDescent="0.25" r="4397" customHeight="1" ht="17.25" hidden="1">
      <c r="A4397" s="112" t="s">
        <v>1185</v>
      </c>
      <c r="B4397" s="1" t="s">
        <v>2549</v>
      </c>
      <c r="C4397" s="1" t="s">
        <v>45</v>
      </c>
      <c r="D4397" s="1" t="s">
        <v>1186</v>
      </c>
      <c r="E4397" s="62">
        <v>20</v>
      </c>
      <c r="F4397" s="1" t="s">
        <v>2551</v>
      </c>
      <c r="G4397" s="1" t="s">
        <v>2552</v>
      </c>
    </row>
    <row x14ac:dyDescent="0.25" r="4398" customHeight="1" ht="17.25" hidden="1">
      <c r="A4398" s="112" t="s">
        <v>9935</v>
      </c>
      <c r="B4398" s="1" t="s">
        <v>2549</v>
      </c>
      <c r="C4398" s="1" t="s">
        <v>45</v>
      </c>
      <c r="D4398" s="1" t="s">
        <v>8865</v>
      </c>
      <c r="E4398" s="62">
        <v>19</v>
      </c>
      <c r="F4398" s="1" t="s">
        <v>2551</v>
      </c>
      <c r="G4398" s="1" t="s">
        <v>2552</v>
      </c>
    </row>
    <row x14ac:dyDescent="0.25" r="4399" customHeight="1" ht="17.25" hidden="1">
      <c r="A4399" s="112" t="s">
        <v>9936</v>
      </c>
      <c r="B4399" s="1" t="s">
        <v>2549</v>
      </c>
      <c r="C4399" s="1" t="s">
        <v>45</v>
      </c>
      <c r="D4399" s="1" t="s">
        <v>2393</v>
      </c>
      <c r="E4399" s="62">
        <v>28</v>
      </c>
      <c r="F4399" s="1" t="s">
        <v>2551</v>
      </c>
      <c r="G4399" s="1" t="s">
        <v>2552</v>
      </c>
    </row>
    <row x14ac:dyDescent="0.25" r="4400" customHeight="1" ht="17.25" hidden="1">
      <c r="A4400" s="112" t="s">
        <v>9937</v>
      </c>
      <c r="B4400" s="1" t="s">
        <v>2549</v>
      </c>
      <c r="C4400" s="1" t="s">
        <v>45</v>
      </c>
      <c r="D4400" s="1" t="s">
        <v>9938</v>
      </c>
      <c r="E4400" s="62">
        <v>18</v>
      </c>
      <c r="F4400" s="1" t="s">
        <v>2561</v>
      </c>
      <c r="G4400" s="1" t="s">
        <v>2555</v>
      </c>
    </row>
    <row x14ac:dyDescent="0.25" r="4401" customHeight="1" ht="17.25" hidden="1">
      <c r="A4401" s="112" t="s">
        <v>9937</v>
      </c>
      <c r="B4401" s="1" t="s">
        <v>2549</v>
      </c>
      <c r="C4401" s="1" t="s">
        <v>45</v>
      </c>
      <c r="D4401" s="1" t="s">
        <v>9939</v>
      </c>
      <c r="E4401" s="62">
        <v>31</v>
      </c>
      <c r="F4401" s="1" t="s">
        <v>2551</v>
      </c>
      <c r="G4401" s="1" t="s">
        <v>2555</v>
      </c>
    </row>
    <row x14ac:dyDescent="0.25" r="4402" customHeight="1" ht="17.25" hidden="1">
      <c r="A4402" s="112" t="s">
        <v>9937</v>
      </c>
      <c r="B4402" s="1" t="s">
        <v>2549</v>
      </c>
      <c r="C4402" s="1" t="s">
        <v>45</v>
      </c>
      <c r="D4402" s="1" t="s">
        <v>9940</v>
      </c>
      <c r="E4402" s="62">
        <v>23</v>
      </c>
      <c r="F4402" s="1" t="s">
        <v>2551</v>
      </c>
      <c r="G4402" s="1" t="s">
        <v>2555</v>
      </c>
    </row>
    <row x14ac:dyDescent="0.25" r="4403" customHeight="1" ht="17.25" hidden="1">
      <c r="A4403" s="112" t="s">
        <v>9941</v>
      </c>
      <c r="B4403" s="1" t="s">
        <v>2549</v>
      </c>
      <c r="C4403" s="1" t="s">
        <v>45</v>
      </c>
      <c r="D4403" s="1" t="s">
        <v>9942</v>
      </c>
      <c r="E4403" s="62">
        <v>29</v>
      </c>
      <c r="F4403" s="1" t="s">
        <v>2551</v>
      </c>
      <c r="G4403" s="1" t="s">
        <v>2558</v>
      </c>
    </row>
    <row x14ac:dyDescent="0.25" r="4404" customHeight="1" ht="17.25" hidden="1">
      <c r="A4404" s="112" t="s">
        <v>9943</v>
      </c>
      <c r="B4404" s="1" t="s">
        <v>2549</v>
      </c>
      <c r="C4404" s="1" t="s">
        <v>45</v>
      </c>
      <c r="D4404" s="1" t="s">
        <v>9944</v>
      </c>
      <c r="E4404" s="62">
        <v>22</v>
      </c>
      <c r="F4404" s="1" t="s">
        <v>2551</v>
      </c>
      <c r="G4404" s="1" t="s">
        <v>2552</v>
      </c>
    </row>
    <row x14ac:dyDescent="0.25" r="4405" customHeight="1" ht="17.25" hidden="1">
      <c r="A4405" s="112" t="s">
        <v>9945</v>
      </c>
      <c r="B4405" s="1" t="s">
        <v>2549</v>
      </c>
      <c r="C4405" s="1" t="s">
        <v>45</v>
      </c>
      <c r="D4405" s="1" t="s">
        <v>9946</v>
      </c>
      <c r="E4405" s="62">
        <v>41</v>
      </c>
      <c r="F4405" s="1" t="s">
        <v>2551</v>
      </c>
      <c r="G4405" s="1" t="s">
        <v>2555</v>
      </c>
    </row>
    <row x14ac:dyDescent="0.25" r="4406" customHeight="1" ht="17.25" hidden="1">
      <c r="A4406" s="112" t="s">
        <v>9945</v>
      </c>
      <c r="B4406" s="1" t="s">
        <v>2549</v>
      </c>
      <c r="C4406" s="1" t="s">
        <v>45</v>
      </c>
      <c r="D4406" s="1" t="s">
        <v>9947</v>
      </c>
      <c r="E4406" s="62">
        <v>25</v>
      </c>
      <c r="F4406" s="1" t="s">
        <v>2551</v>
      </c>
      <c r="G4406" s="1" t="s">
        <v>2555</v>
      </c>
    </row>
    <row x14ac:dyDescent="0.25" r="4407" customHeight="1" ht="17.25" hidden="1">
      <c r="A4407" s="112" t="s">
        <v>9948</v>
      </c>
      <c r="B4407" s="1" t="s">
        <v>2549</v>
      </c>
      <c r="C4407" s="1" t="s">
        <v>45</v>
      </c>
      <c r="D4407" s="1" t="s">
        <v>9949</v>
      </c>
      <c r="E4407" s="62">
        <v>29</v>
      </c>
      <c r="F4407" s="1" t="s">
        <v>2551</v>
      </c>
      <c r="G4407" s="1" t="s">
        <v>2555</v>
      </c>
    </row>
    <row x14ac:dyDescent="0.25" r="4408" customHeight="1" ht="17.25" hidden="1">
      <c r="A4408" s="112" t="s">
        <v>9950</v>
      </c>
      <c r="B4408" s="1" t="s">
        <v>2549</v>
      </c>
      <c r="C4408" s="1" t="s">
        <v>45</v>
      </c>
      <c r="D4408" s="1" t="s">
        <v>9951</v>
      </c>
      <c r="E4408" s="62">
        <v>27</v>
      </c>
      <c r="F4408" s="1" t="s">
        <v>2551</v>
      </c>
      <c r="G4408" s="1" t="s">
        <v>2552</v>
      </c>
    </row>
    <row x14ac:dyDescent="0.25" r="4409" customHeight="1" ht="17.25" hidden="1">
      <c r="A4409" s="112" t="s">
        <v>9952</v>
      </c>
      <c r="B4409" s="1" t="s">
        <v>2549</v>
      </c>
      <c r="C4409" s="1" t="s">
        <v>45</v>
      </c>
      <c r="D4409" s="1" t="s">
        <v>9953</v>
      </c>
      <c r="E4409" s="62">
        <v>19</v>
      </c>
      <c r="F4409" s="1" t="s">
        <v>2551</v>
      </c>
      <c r="G4409" s="1" t="s">
        <v>2552</v>
      </c>
    </row>
    <row x14ac:dyDescent="0.25" r="4410" customHeight="1" ht="17.25" hidden="1">
      <c r="A4410" s="112" t="s">
        <v>9954</v>
      </c>
      <c r="B4410" s="1" t="s">
        <v>2549</v>
      </c>
      <c r="C4410" s="1" t="s">
        <v>45</v>
      </c>
      <c r="D4410" s="1" t="s">
        <v>9955</v>
      </c>
      <c r="E4410" s="62">
        <v>20</v>
      </c>
      <c r="F4410" s="1" t="s">
        <v>2551</v>
      </c>
      <c r="G4410" s="1" t="s">
        <v>2555</v>
      </c>
    </row>
    <row x14ac:dyDescent="0.25" r="4411" customHeight="1" ht="17.25" hidden="1">
      <c r="A4411" s="112" t="s">
        <v>1850</v>
      </c>
      <c r="B4411" s="1" t="s">
        <v>2549</v>
      </c>
      <c r="C4411" s="1" t="s">
        <v>45</v>
      </c>
      <c r="D4411" s="1" t="s">
        <v>1851</v>
      </c>
      <c r="E4411" s="62">
        <v>22</v>
      </c>
      <c r="F4411" s="1" t="s">
        <v>2551</v>
      </c>
      <c r="G4411" s="1" t="s">
        <v>2558</v>
      </c>
    </row>
    <row x14ac:dyDescent="0.25" r="4412" customHeight="1" ht="17.25" hidden="1">
      <c r="A4412" s="112" t="s">
        <v>9956</v>
      </c>
      <c r="B4412" s="1" t="s">
        <v>2549</v>
      </c>
      <c r="C4412" s="1" t="s">
        <v>45</v>
      </c>
      <c r="D4412" s="1" t="s">
        <v>9957</v>
      </c>
      <c r="E4412" s="62">
        <v>50</v>
      </c>
      <c r="F4412" s="1" t="s">
        <v>2551</v>
      </c>
      <c r="G4412" s="1" t="s">
        <v>2552</v>
      </c>
    </row>
    <row x14ac:dyDescent="0.25" r="4413" customHeight="1" ht="17.25" hidden="1">
      <c r="A4413" s="112" t="s">
        <v>9956</v>
      </c>
      <c r="B4413" s="1" t="s">
        <v>2549</v>
      </c>
      <c r="C4413" s="1" t="s">
        <v>45</v>
      </c>
      <c r="D4413" s="1" t="s">
        <v>9958</v>
      </c>
      <c r="E4413" s="62">
        <v>36</v>
      </c>
      <c r="F4413" s="1" t="s">
        <v>2551</v>
      </c>
      <c r="G4413" s="1" t="s">
        <v>2552</v>
      </c>
    </row>
    <row x14ac:dyDescent="0.25" r="4414" customHeight="1" ht="17.25" hidden="1">
      <c r="A4414" s="112" t="s">
        <v>9959</v>
      </c>
      <c r="B4414" s="1" t="s">
        <v>2549</v>
      </c>
      <c r="C4414" s="1" t="s">
        <v>45</v>
      </c>
      <c r="D4414" s="1" t="s">
        <v>9960</v>
      </c>
      <c r="E4414" s="62">
        <v>20</v>
      </c>
      <c r="F4414" s="1" t="s">
        <v>2551</v>
      </c>
      <c r="G4414" s="1" t="s">
        <v>2552</v>
      </c>
    </row>
    <row x14ac:dyDescent="0.25" r="4415" customHeight="1" ht="17.25" hidden="1">
      <c r="A4415" s="112" t="s">
        <v>9961</v>
      </c>
      <c r="B4415" s="1" t="s">
        <v>2549</v>
      </c>
      <c r="C4415" s="1" t="s">
        <v>45</v>
      </c>
      <c r="D4415" s="1" t="s">
        <v>9962</v>
      </c>
      <c r="E4415" s="62">
        <v>22</v>
      </c>
      <c r="F4415" s="1" t="s">
        <v>2551</v>
      </c>
      <c r="G4415" s="1" t="s">
        <v>2552</v>
      </c>
    </row>
    <row x14ac:dyDescent="0.25" r="4416" customHeight="1" ht="17.25" hidden="1">
      <c r="A4416" s="112" t="s">
        <v>9963</v>
      </c>
      <c r="B4416" s="1" t="s">
        <v>2549</v>
      </c>
      <c r="C4416" s="1" t="s">
        <v>45</v>
      </c>
      <c r="D4416" s="1" t="s">
        <v>9964</v>
      </c>
      <c r="E4416" s="62">
        <v>32</v>
      </c>
      <c r="F4416" s="1" t="s">
        <v>2551</v>
      </c>
      <c r="G4416" s="1" t="s">
        <v>2555</v>
      </c>
    </row>
    <row x14ac:dyDescent="0.25" r="4417" customHeight="1" ht="17.25" hidden="1">
      <c r="A4417" s="112" t="s">
        <v>9963</v>
      </c>
      <c r="B4417" s="1" t="s">
        <v>2549</v>
      </c>
      <c r="C4417" s="1" t="s">
        <v>45</v>
      </c>
      <c r="D4417" s="1" t="s">
        <v>9965</v>
      </c>
      <c r="E4417" s="62">
        <v>22</v>
      </c>
      <c r="F4417" s="1" t="s">
        <v>2551</v>
      </c>
      <c r="G4417" s="1" t="s">
        <v>2552</v>
      </c>
    </row>
    <row x14ac:dyDescent="0.25" r="4418" customHeight="1" ht="17.25" hidden="1">
      <c r="A4418" s="112" t="s">
        <v>9966</v>
      </c>
      <c r="B4418" s="1" t="s">
        <v>2549</v>
      </c>
      <c r="C4418" s="1" t="s">
        <v>45</v>
      </c>
      <c r="D4418" s="1" t="s">
        <v>9967</v>
      </c>
      <c r="E4418" s="62">
        <v>19</v>
      </c>
      <c r="F4418" s="1" t="s">
        <v>2551</v>
      </c>
      <c r="G4418" s="1" t="s">
        <v>2552</v>
      </c>
    </row>
    <row x14ac:dyDescent="0.25" r="4419" customHeight="1" ht="17.25" hidden="1">
      <c r="A4419" s="112" t="s">
        <v>9968</v>
      </c>
      <c r="B4419" s="1" t="s">
        <v>2549</v>
      </c>
      <c r="C4419" s="1" t="s">
        <v>45</v>
      </c>
      <c r="D4419" s="1" t="s">
        <v>9969</v>
      </c>
      <c r="E4419" s="62">
        <v>23</v>
      </c>
      <c r="F4419" s="1" t="s">
        <v>2551</v>
      </c>
      <c r="G4419" s="1" t="s">
        <v>2552</v>
      </c>
    </row>
    <row x14ac:dyDescent="0.25" r="4420" customHeight="1" ht="17.25" hidden="1">
      <c r="A4420" s="112" t="s">
        <v>9970</v>
      </c>
      <c r="B4420" s="1" t="s">
        <v>2549</v>
      </c>
      <c r="C4420" s="1" t="s">
        <v>45</v>
      </c>
      <c r="D4420" s="1" t="s">
        <v>9971</v>
      </c>
      <c r="E4420" s="62">
        <v>18</v>
      </c>
      <c r="F4420" s="1" t="s">
        <v>2551</v>
      </c>
      <c r="G4420" s="1" t="s">
        <v>2552</v>
      </c>
    </row>
    <row x14ac:dyDescent="0.25" r="4421" customHeight="1" ht="17.25" hidden="1">
      <c r="A4421" s="112" t="s">
        <v>9972</v>
      </c>
      <c r="B4421" s="1" t="s">
        <v>2549</v>
      </c>
      <c r="C4421" s="1" t="s">
        <v>45</v>
      </c>
      <c r="D4421" s="1" t="s">
        <v>9973</v>
      </c>
      <c r="E4421" s="54" t="s">
        <v>2571</v>
      </c>
      <c r="F4421" s="1" t="s">
        <v>2551</v>
      </c>
      <c r="G4421" s="1" t="s">
        <v>2552</v>
      </c>
    </row>
    <row x14ac:dyDescent="0.25" r="4422" customHeight="1" ht="17.25" hidden="1">
      <c r="A4422" s="112" t="s">
        <v>9974</v>
      </c>
      <c r="B4422" s="1" t="s">
        <v>2549</v>
      </c>
      <c r="C4422" s="1" t="s">
        <v>46</v>
      </c>
      <c r="D4422" s="1" t="s">
        <v>9975</v>
      </c>
      <c r="E4422" s="62">
        <v>28</v>
      </c>
      <c r="F4422" s="1" t="s">
        <v>2551</v>
      </c>
      <c r="G4422" s="1" t="s">
        <v>2571</v>
      </c>
    </row>
    <row x14ac:dyDescent="0.25" r="4423" customHeight="1" ht="17.25" hidden="1">
      <c r="A4423" s="112" t="s">
        <v>9976</v>
      </c>
      <c r="B4423" s="1" t="s">
        <v>2549</v>
      </c>
      <c r="C4423" s="1" t="s">
        <v>46</v>
      </c>
      <c r="D4423" s="1" t="s">
        <v>9977</v>
      </c>
      <c r="E4423" s="62">
        <v>22</v>
      </c>
      <c r="F4423" s="1" t="s">
        <v>2551</v>
      </c>
      <c r="G4423" s="1" t="s">
        <v>2552</v>
      </c>
    </row>
    <row x14ac:dyDescent="0.25" r="4424" customHeight="1" ht="17.25" hidden="1">
      <c r="A4424" s="112" t="s">
        <v>9978</v>
      </c>
      <c r="B4424" s="1" t="s">
        <v>2549</v>
      </c>
      <c r="C4424" s="1" t="s">
        <v>46</v>
      </c>
      <c r="D4424" s="1" t="s">
        <v>9979</v>
      </c>
      <c r="E4424" s="62">
        <v>37</v>
      </c>
      <c r="F4424" s="1" t="s">
        <v>2551</v>
      </c>
      <c r="G4424" s="1" t="s">
        <v>2555</v>
      </c>
    </row>
    <row x14ac:dyDescent="0.25" r="4425" customHeight="1" ht="17.25" hidden="1">
      <c r="A4425" s="112" t="s">
        <v>9980</v>
      </c>
      <c r="B4425" s="1" t="s">
        <v>2549</v>
      </c>
      <c r="C4425" s="1" t="s">
        <v>46</v>
      </c>
      <c r="D4425" s="1" t="s">
        <v>3625</v>
      </c>
      <c r="E4425" s="62">
        <v>22</v>
      </c>
      <c r="F4425" s="1" t="s">
        <v>2551</v>
      </c>
      <c r="G4425" s="1" t="s">
        <v>2555</v>
      </c>
    </row>
    <row x14ac:dyDescent="0.25" r="4426" customHeight="1" ht="17.25" hidden="1">
      <c r="A4426" s="112" t="s">
        <v>9981</v>
      </c>
      <c r="B4426" s="1" t="s">
        <v>2549</v>
      </c>
      <c r="C4426" s="1" t="s">
        <v>46</v>
      </c>
      <c r="D4426" s="1" t="s">
        <v>9982</v>
      </c>
      <c r="E4426" s="62">
        <v>28</v>
      </c>
      <c r="F4426" s="1" t="s">
        <v>2551</v>
      </c>
      <c r="G4426" s="1" t="s">
        <v>2555</v>
      </c>
    </row>
    <row x14ac:dyDescent="0.25" r="4427" customHeight="1" ht="17.25" hidden="1">
      <c r="A4427" s="112" t="s">
        <v>9983</v>
      </c>
      <c r="B4427" s="1" t="s">
        <v>2549</v>
      </c>
      <c r="C4427" s="1" t="s">
        <v>46</v>
      </c>
      <c r="D4427" s="1" t="s">
        <v>9984</v>
      </c>
      <c r="E4427" s="62">
        <v>23</v>
      </c>
      <c r="F4427" s="1" t="s">
        <v>2551</v>
      </c>
      <c r="G4427" s="1" t="s">
        <v>2552</v>
      </c>
    </row>
    <row x14ac:dyDescent="0.25" r="4428" customHeight="1" ht="17.25" hidden="1">
      <c r="A4428" s="112" t="s">
        <v>9985</v>
      </c>
      <c r="B4428" s="1" t="s">
        <v>2549</v>
      </c>
      <c r="C4428" s="1" t="s">
        <v>46</v>
      </c>
      <c r="D4428" s="1" t="s">
        <v>9986</v>
      </c>
      <c r="E4428" s="62">
        <v>18</v>
      </c>
      <c r="F4428" s="1" t="s">
        <v>2551</v>
      </c>
      <c r="G4428" s="1" t="s">
        <v>2558</v>
      </c>
    </row>
    <row x14ac:dyDescent="0.25" r="4429" customHeight="1" ht="17.25" hidden="1">
      <c r="A4429" s="112" t="s">
        <v>1748</v>
      </c>
      <c r="B4429" s="1" t="s">
        <v>2549</v>
      </c>
      <c r="C4429" s="1" t="s">
        <v>46</v>
      </c>
      <c r="D4429" s="1" t="s">
        <v>1749</v>
      </c>
      <c r="E4429" s="62">
        <v>31</v>
      </c>
      <c r="F4429" s="1" t="s">
        <v>2551</v>
      </c>
      <c r="G4429" s="1" t="s">
        <v>2552</v>
      </c>
    </row>
    <row x14ac:dyDescent="0.25" r="4430" customHeight="1" ht="17.25" hidden="1">
      <c r="A4430" s="112" t="s">
        <v>9987</v>
      </c>
      <c r="B4430" s="1" t="s">
        <v>2549</v>
      </c>
      <c r="C4430" s="1" t="s">
        <v>46</v>
      </c>
      <c r="D4430" s="1" t="s">
        <v>9988</v>
      </c>
      <c r="E4430" s="62">
        <v>46</v>
      </c>
      <c r="F4430" s="1" t="s">
        <v>2551</v>
      </c>
      <c r="G4430" s="1" t="s">
        <v>2552</v>
      </c>
    </row>
    <row x14ac:dyDescent="0.25" r="4431" customHeight="1" ht="17.25" hidden="1">
      <c r="A4431" s="112" t="s">
        <v>9989</v>
      </c>
      <c r="B4431" s="1" t="s">
        <v>2549</v>
      </c>
      <c r="C4431" s="1" t="s">
        <v>46</v>
      </c>
      <c r="D4431" s="1" t="s">
        <v>9990</v>
      </c>
      <c r="E4431" s="62">
        <v>19</v>
      </c>
      <c r="F4431" s="1" t="s">
        <v>2551</v>
      </c>
      <c r="G4431" s="1" t="s">
        <v>2555</v>
      </c>
    </row>
    <row x14ac:dyDescent="0.25" r="4432" customHeight="1" ht="17.25" hidden="1">
      <c r="A4432" s="112" t="s">
        <v>9991</v>
      </c>
      <c r="B4432" s="1" t="s">
        <v>2549</v>
      </c>
      <c r="C4432" s="1" t="s">
        <v>46</v>
      </c>
      <c r="D4432" s="1" t="s">
        <v>9992</v>
      </c>
      <c r="E4432" s="62">
        <v>21</v>
      </c>
      <c r="F4432" s="1" t="s">
        <v>2551</v>
      </c>
      <c r="G4432" s="1" t="s">
        <v>2555</v>
      </c>
    </row>
    <row x14ac:dyDescent="0.25" r="4433" customHeight="1" ht="17.25" hidden="1">
      <c r="A4433" s="112" t="s">
        <v>9993</v>
      </c>
      <c r="B4433" s="1" t="s">
        <v>2549</v>
      </c>
      <c r="C4433" s="1" t="s">
        <v>46</v>
      </c>
      <c r="D4433" s="1" t="s">
        <v>9994</v>
      </c>
      <c r="E4433" s="62">
        <v>32</v>
      </c>
      <c r="F4433" s="1" t="s">
        <v>2551</v>
      </c>
      <c r="G4433" s="1" t="s">
        <v>2558</v>
      </c>
    </row>
    <row x14ac:dyDescent="0.25" r="4434" customHeight="1" ht="17.25" hidden="1">
      <c r="A4434" s="112" t="s">
        <v>9995</v>
      </c>
      <c r="B4434" s="1" t="s">
        <v>2549</v>
      </c>
      <c r="C4434" s="1" t="s">
        <v>46</v>
      </c>
      <c r="D4434" s="1" t="s">
        <v>9996</v>
      </c>
      <c r="E4434" s="62">
        <v>29</v>
      </c>
      <c r="F4434" s="1" t="s">
        <v>2551</v>
      </c>
      <c r="G4434" s="1" t="s">
        <v>2558</v>
      </c>
    </row>
    <row x14ac:dyDescent="0.25" r="4435" customHeight="1" ht="17.25" hidden="1">
      <c r="A4435" s="112" t="s">
        <v>9997</v>
      </c>
      <c r="B4435" s="1" t="s">
        <v>2549</v>
      </c>
      <c r="C4435" s="1" t="s">
        <v>46</v>
      </c>
      <c r="D4435" s="1" t="s">
        <v>9998</v>
      </c>
      <c r="E4435" s="62">
        <v>18</v>
      </c>
      <c r="F4435" s="1" t="s">
        <v>2551</v>
      </c>
      <c r="G4435" s="1" t="s">
        <v>2555</v>
      </c>
    </row>
    <row x14ac:dyDescent="0.25" r="4436" customHeight="1" ht="17.25" hidden="1">
      <c r="A4436" s="112" t="s">
        <v>9999</v>
      </c>
      <c r="B4436" s="1" t="s">
        <v>2549</v>
      </c>
      <c r="C4436" s="1" t="s">
        <v>46</v>
      </c>
      <c r="D4436" s="1" t="s">
        <v>10000</v>
      </c>
      <c r="E4436" s="62">
        <v>18</v>
      </c>
      <c r="F4436" s="1" t="s">
        <v>2551</v>
      </c>
      <c r="G4436" s="1" t="s">
        <v>2552</v>
      </c>
    </row>
    <row x14ac:dyDescent="0.25" r="4437" customHeight="1" ht="17.25" hidden="1">
      <c r="A4437" s="112" t="s">
        <v>10001</v>
      </c>
      <c r="B4437" s="1" t="s">
        <v>2549</v>
      </c>
      <c r="C4437" s="1" t="s">
        <v>46</v>
      </c>
      <c r="D4437" s="1" t="s">
        <v>10002</v>
      </c>
      <c r="E4437" s="62">
        <v>29</v>
      </c>
      <c r="F4437" s="1" t="s">
        <v>2551</v>
      </c>
      <c r="G4437" s="1" t="s">
        <v>2555</v>
      </c>
    </row>
    <row x14ac:dyDescent="0.25" r="4438" customHeight="1" ht="17.25" hidden="1">
      <c r="A4438" s="112" t="s">
        <v>10003</v>
      </c>
      <c r="B4438" s="1" t="s">
        <v>2549</v>
      </c>
      <c r="C4438" s="1" t="s">
        <v>46</v>
      </c>
      <c r="D4438" s="1" t="s">
        <v>10004</v>
      </c>
      <c r="E4438" s="62">
        <v>27</v>
      </c>
      <c r="F4438" s="1" t="s">
        <v>2551</v>
      </c>
      <c r="G4438" s="1" t="s">
        <v>2552</v>
      </c>
    </row>
    <row x14ac:dyDescent="0.25" r="4439" customHeight="1" ht="17.25" hidden="1">
      <c r="A4439" s="112" t="s">
        <v>10003</v>
      </c>
      <c r="B4439" s="1" t="s">
        <v>2549</v>
      </c>
      <c r="C4439" s="1" t="s">
        <v>46</v>
      </c>
      <c r="D4439" s="1" t="s">
        <v>10005</v>
      </c>
      <c r="E4439" s="54" t="s">
        <v>2571</v>
      </c>
      <c r="F4439" s="1" t="s">
        <v>2551</v>
      </c>
      <c r="G4439" s="1" t="s">
        <v>2571</v>
      </c>
    </row>
    <row x14ac:dyDescent="0.25" r="4440" customHeight="1" ht="17.25" hidden="1">
      <c r="A4440" s="112" t="s">
        <v>10003</v>
      </c>
      <c r="B4440" s="1" t="s">
        <v>2549</v>
      </c>
      <c r="C4440" s="1" t="s">
        <v>46</v>
      </c>
      <c r="D4440" s="1" t="s">
        <v>10006</v>
      </c>
      <c r="E4440" s="62">
        <v>32</v>
      </c>
      <c r="F4440" s="1" t="s">
        <v>2551</v>
      </c>
      <c r="G4440" s="1" t="s">
        <v>2558</v>
      </c>
    </row>
    <row x14ac:dyDescent="0.25" r="4441" customHeight="1" ht="17.25" hidden="1">
      <c r="A4441" s="112" t="s">
        <v>10003</v>
      </c>
      <c r="B4441" s="1" t="s">
        <v>2549</v>
      </c>
      <c r="C4441" s="1" t="s">
        <v>46</v>
      </c>
      <c r="D4441" s="1" t="s">
        <v>10007</v>
      </c>
      <c r="E4441" s="54" t="s">
        <v>2571</v>
      </c>
      <c r="F4441" s="1" t="s">
        <v>2551</v>
      </c>
      <c r="G4441" s="1" t="s">
        <v>2571</v>
      </c>
    </row>
    <row x14ac:dyDescent="0.25" r="4442" customHeight="1" ht="17.25" hidden="1">
      <c r="A4442" s="112" t="s">
        <v>10003</v>
      </c>
      <c r="B4442" s="1" t="s">
        <v>2549</v>
      </c>
      <c r="C4442" s="1" t="s">
        <v>46</v>
      </c>
      <c r="D4442" s="1" t="s">
        <v>10008</v>
      </c>
      <c r="E4442" s="62">
        <v>36</v>
      </c>
      <c r="F4442" s="1" t="s">
        <v>2551</v>
      </c>
      <c r="G4442" s="1" t="s">
        <v>2555</v>
      </c>
    </row>
    <row x14ac:dyDescent="0.25" r="4443" customHeight="1" ht="17.25" hidden="1">
      <c r="A4443" s="112" t="s">
        <v>10003</v>
      </c>
      <c r="B4443" s="1" t="s">
        <v>2549</v>
      </c>
      <c r="C4443" s="1" t="s">
        <v>46</v>
      </c>
      <c r="D4443" s="1" t="s">
        <v>10009</v>
      </c>
      <c r="E4443" s="62">
        <v>25</v>
      </c>
      <c r="F4443" s="1" t="s">
        <v>2551</v>
      </c>
      <c r="G4443" s="1" t="s">
        <v>2555</v>
      </c>
    </row>
    <row x14ac:dyDescent="0.25" r="4444" customHeight="1" ht="17.25" hidden="1">
      <c r="A4444" s="112" t="s">
        <v>10003</v>
      </c>
      <c r="B4444" s="1" t="s">
        <v>2549</v>
      </c>
      <c r="C4444" s="1" t="s">
        <v>46</v>
      </c>
      <c r="D4444" s="1" t="s">
        <v>10010</v>
      </c>
      <c r="E4444" s="62">
        <v>36</v>
      </c>
      <c r="F4444" s="1" t="s">
        <v>2551</v>
      </c>
      <c r="G4444" s="1" t="s">
        <v>2555</v>
      </c>
    </row>
    <row x14ac:dyDescent="0.25" r="4445" customHeight="1" ht="17.25" hidden="1">
      <c r="A4445" s="112" t="s">
        <v>10003</v>
      </c>
      <c r="B4445" s="1" t="s">
        <v>2549</v>
      </c>
      <c r="C4445" s="1" t="s">
        <v>46</v>
      </c>
      <c r="D4445" s="1" t="s">
        <v>10011</v>
      </c>
      <c r="E4445" s="62">
        <v>41</v>
      </c>
      <c r="F4445" s="1" t="s">
        <v>2551</v>
      </c>
      <c r="G4445" s="1" t="s">
        <v>2552</v>
      </c>
    </row>
    <row x14ac:dyDescent="0.25" r="4446" customHeight="1" ht="17.25" hidden="1">
      <c r="A4446" s="112" t="s">
        <v>10012</v>
      </c>
      <c r="B4446" s="1" t="s">
        <v>2549</v>
      </c>
      <c r="C4446" s="1" t="s">
        <v>46</v>
      </c>
      <c r="D4446" s="1" t="s">
        <v>10013</v>
      </c>
      <c r="E4446" s="62">
        <v>20</v>
      </c>
      <c r="F4446" s="1" t="s">
        <v>2551</v>
      </c>
      <c r="G4446" s="1" t="s">
        <v>2558</v>
      </c>
    </row>
    <row x14ac:dyDescent="0.25" r="4447" customHeight="1" ht="17.25" hidden="1">
      <c r="A4447" s="112" t="s">
        <v>10014</v>
      </c>
      <c r="B4447" s="1" t="s">
        <v>2549</v>
      </c>
      <c r="C4447" s="1" t="s">
        <v>46</v>
      </c>
      <c r="D4447" s="1" t="s">
        <v>10015</v>
      </c>
      <c r="E4447" s="62">
        <v>21</v>
      </c>
      <c r="F4447" s="1" t="s">
        <v>2551</v>
      </c>
      <c r="G4447" s="1" t="s">
        <v>2552</v>
      </c>
    </row>
    <row x14ac:dyDescent="0.25" r="4448" customHeight="1" ht="17.25" hidden="1">
      <c r="A4448" s="112" t="s">
        <v>10014</v>
      </c>
      <c r="B4448" s="1" t="s">
        <v>2549</v>
      </c>
      <c r="C4448" s="1" t="s">
        <v>46</v>
      </c>
      <c r="D4448" s="1" t="s">
        <v>10016</v>
      </c>
      <c r="E4448" s="62">
        <v>24</v>
      </c>
      <c r="F4448" s="1" t="s">
        <v>2551</v>
      </c>
      <c r="G4448" s="1" t="s">
        <v>2552</v>
      </c>
    </row>
    <row x14ac:dyDescent="0.25" r="4449" customHeight="1" ht="17.25" hidden="1">
      <c r="A4449" s="112" t="s">
        <v>10017</v>
      </c>
      <c r="B4449" s="1" t="s">
        <v>2549</v>
      </c>
      <c r="C4449" s="1" t="s">
        <v>46</v>
      </c>
      <c r="D4449" s="1" t="s">
        <v>10018</v>
      </c>
      <c r="E4449" s="62">
        <v>19</v>
      </c>
      <c r="F4449" s="1" t="s">
        <v>2551</v>
      </c>
      <c r="G4449" s="1" t="s">
        <v>2552</v>
      </c>
    </row>
    <row x14ac:dyDescent="0.25" r="4450" customHeight="1" ht="17.25" hidden="1">
      <c r="A4450" s="112" t="s">
        <v>1698</v>
      </c>
      <c r="B4450" s="1" t="s">
        <v>2549</v>
      </c>
      <c r="C4450" s="1" t="s">
        <v>46</v>
      </c>
      <c r="D4450" s="1" t="s">
        <v>10019</v>
      </c>
      <c r="E4450" s="62">
        <v>29</v>
      </c>
      <c r="F4450" s="1" t="s">
        <v>2551</v>
      </c>
      <c r="G4450" s="1" t="s">
        <v>2552</v>
      </c>
    </row>
    <row x14ac:dyDescent="0.25" r="4451" customHeight="1" ht="17.25" hidden="1">
      <c r="A4451" s="112" t="s">
        <v>10020</v>
      </c>
      <c r="B4451" s="1" t="s">
        <v>2549</v>
      </c>
      <c r="C4451" s="1" t="s">
        <v>46</v>
      </c>
      <c r="D4451" s="1" t="s">
        <v>10021</v>
      </c>
      <c r="E4451" s="62">
        <v>43</v>
      </c>
      <c r="F4451" s="1" t="s">
        <v>2551</v>
      </c>
      <c r="G4451" s="1" t="s">
        <v>2552</v>
      </c>
    </row>
    <row x14ac:dyDescent="0.25" r="4452" customHeight="1" ht="17.25" hidden="1">
      <c r="A4452" s="112" t="s">
        <v>10022</v>
      </c>
      <c r="B4452" s="1" t="s">
        <v>2549</v>
      </c>
      <c r="C4452" s="1" t="s">
        <v>46</v>
      </c>
      <c r="D4452" s="1" t="s">
        <v>10023</v>
      </c>
      <c r="E4452" s="62">
        <v>20</v>
      </c>
      <c r="F4452" s="1" t="s">
        <v>2551</v>
      </c>
      <c r="G4452" s="1" t="s">
        <v>2552</v>
      </c>
    </row>
    <row x14ac:dyDescent="0.25" r="4453" customHeight="1" ht="17.25" hidden="1">
      <c r="A4453" s="112" t="s">
        <v>10024</v>
      </c>
      <c r="B4453" s="1" t="s">
        <v>2549</v>
      </c>
      <c r="C4453" s="1" t="s">
        <v>46</v>
      </c>
      <c r="D4453" s="1" t="s">
        <v>10025</v>
      </c>
      <c r="E4453" s="62">
        <v>25</v>
      </c>
      <c r="F4453" s="1" t="s">
        <v>2551</v>
      </c>
      <c r="G4453" s="1" t="s">
        <v>2552</v>
      </c>
    </row>
    <row x14ac:dyDescent="0.25" r="4454" customHeight="1" ht="17.25" hidden="1">
      <c r="A4454" s="112" t="s">
        <v>10026</v>
      </c>
      <c r="B4454" s="1" t="s">
        <v>2549</v>
      </c>
      <c r="C4454" s="1" t="s">
        <v>46</v>
      </c>
      <c r="D4454" s="1" t="s">
        <v>10027</v>
      </c>
      <c r="E4454" s="62">
        <v>20</v>
      </c>
      <c r="F4454" s="1" t="s">
        <v>2551</v>
      </c>
      <c r="G4454" s="1" t="s">
        <v>2552</v>
      </c>
    </row>
    <row x14ac:dyDescent="0.25" r="4455" customHeight="1" ht="17.25" hidden="1">
      <c r="A4455" s="112" t="s">
        <v>10028</v>
      </c>
      <c r="B4455" s="1" t="s">
        <v>2549</v>
      </c>
      <c r="C4455" s="1" t="s">
        <v>46</v>
      </c>
      <c r="D4455" s="1" t="s">
        <v>10029</v>
      </c>
      <c r="E4455" s="62">
        <v>20</v>
      </c>
      <c r="F4455" s="1" t="s">
        <v>2551</v>
      </c>
      <c r="G4455" s="1" t="s">
        <v>2552</v>
      </c>
    </row>
    <row x14ac:dyDescent="0.25" r="4456" customHeight="1" ht="17.25" hidden="1">
      <c r="A4456" s="112" t="s">
        <v>10028</v>
      </c>
      <c r="B4456" s="1" t="s">
        <v>2549</v>
      </c>
      <c r="C4456" s="1" t="s">
        <v>46</v>
      </c>
      <c r="D4456" s="1" t="s">
        <v>10030</v>
      </c>
      <c r="E4456" s="62">
        <v>25</v>
      </c>
      <c r="F4456" s="1" t="s">
        <v>2551</v>
      </c>
      <c r="G4456" s="1" t="s">
        <v>2552</v>
      </c>
    </row>
    <row x14ac:dyDescent="0.25" r="4457" customHeight="1" ht="17.25" hidden="1">
      <c r="A4457" s="112" t="s">
        <v>1487</v>
      </c>
      <c r="B4457" s="1" t="s">
        <v>2549</v>
      </c>
      <c r="C4457" s="1" t="s">
        <v>46</v>
      </c>
      <c r="D4457" s="1" t="s">
        <v>1488</v>
      </c>
      <c r="E4457" s="62">
        <v>28</v>
      </c>
      <c r="F4457" s="1" t="s">
        <v>2551</v>
      </c>
      <c r="G4457" s="1" t="s">
        <v>2552</v>
      </c>
    </row>
    <row x14ac:dyDescent="0.25" r="4458" customHeight="1" ht="17.25" hidden="1">
      <c r="A4458" s="112" t="s">
        <v>10031</v>
      </c>
      <c r="B4458" s="1" t="s">
        <v>2549</v>
      </c>
      <c r="C4458" s="1" t="s">
        <v>46</v>
      </c>
      <c r="D4458" s="1" t="s">
        <v>10032</v>
      </c>
      <c r="E4458" s="62">
        <v>23</v>
      </c>
      <c r="F4458" s="1" t="s">
        <v>2551</v>
      </c>
      <c r="G4458" s="1" t="s">
        <v>2552</v>
      </c>
    </row>
    <row x14ac:dyDescent="0.25" r="4459" customHeight="1" ht="17.25" hidden="1">
      <c r="A4459" s="112" t="s">
        <v>10033</v>
      </c>
      <c r="B4459" s="1" t="s">
        <v>2549</v>
      </c>
      <c r="C4459" s="1" t="s">
        <v>46</v>
      </c>
      <c r="D4459" s="1" t="s">
        <v>10034</v>
      </c>
      <c r="E4459" s="62">
        <v>27</v>
      </c>
      <c r="F4459" s="1" t="s">
        <v>2551</v>
      </c>
      <c r="G4459" s="1" t="s">
        <v>2558</v>
      </c>
    </row>
    <row x14ac:dyDescent="0.25" r="4460" customHeight="1" ht="17.25" hidden="1">
      <c r="A4460" s="112" t="s">
        <v>10035</v>
      </c>
      <c r="B4460" s="1" t="s">
        <v>2549</v>
      </c>
      <c r="C4460" s="1" t="s">
        <v>46</v>
      </c>
      <c r="D4460" s="1" t="s">
        <v>10036</v>
      </c>
      <c r="E4460" s="62">
        <v>19</v>
      </c>
      <c r="F4460" s="1" t="s">
        <v>2551</v>
      </c>
      <c r="G4460" s="1" t="s">
        <v>2552</v>
      </c>
    </row>
    <row x14ac:dyDescent="0.25" r="4461" customHeight="1" ht="17.25" hidden="1">
      <c r="A4461" s="112" t="s">
        <v>10037</v>
      </c>
      <c r="B4461" s="1" t="s">
        <v>2549</v>
      </c>
      <c r="C4461" s="1" t="s">
        <v>46</v>
      </c>
      <c r="D4461" s="1" t="s">
        <v>10038</v>
      </c>
      <c r="E4461" s="62">
        <v>25</v>
      </c>
      <c r="F4461" s="1" t="s">
        <v>2551</v>
      </c>
      <c r="G4461" s="1" t="s">
        <v>2552</v>
      </c>
    </row>
    <row x14ac:dyDescent="0.25" r="4462" customHeight="1" ht="17.25" hidden="1">
      <c r="A4462" s="112" t="s">
        <v>10039</v>
      </c>
      <c r="B4462" s="1" t="s">
        <v>2549</v>
      </c>
      <c r="C4462" s="1" t="s">
        <v>46</v>
      </c>
      <c r="D4462" s="1" t="s">
        <v>10040</v>
      </c>
      <c r="E4462" s="62">
        <v>31</v>
      </c>
      <c r="F4462" s="1" t="s">
        <v>2551</v>
      </c>
      <c r="G4462" s="1" t="s">
        <v>2552</v>
      </c>
    </row>
    <row x14ac:dyDescent="0.25" r="4463" customHeight="1" ht="17.25" hidden="1">
      <c r="A4463" s="112" t="s">
        <v>10041</v>
      </c>
      <c r="B4463" s="1" t="s">
        <v>2549</v>
      </c>
      <c r="C4463" s="1" t="s">
        <v>46</v>
      </c>
      <c r="D4463" s="1" t="s">
        <v>10042</v>
      </c>
      <c r="E4463" s="62">
        <v>22</v>
      </c>
      <c r="F4463" s="1" t="s">
        <v>2551</v>
      </c>
      <c r="G4463" s="1" t="s">
        <v>2558</v>
      </c>
    </row>
    <row x14ac:dyDescent="0.25" r="4464" customHeight="1" ht="17.25" hidden="1">
      <c r="A4464" s="112" t="s">
        <v>10043</v>
      </c>
      <c r="B4464" s="1" t="s">
        <v>2549</v>
      </c>
      <c r="C4464" s="1" t="s">
        <v>46</v>
      </c>
      <c r="D4464" s="1" t="s">
        <v>10044</v>
      </c>
      <c r="E4464" s="62">
        <v>18</v>
      </c>
      <c r="F4464" s="1" t="s">
        <v>2551</v>
      </c>
      <c r="G4464" s="1" t="s">
        <v>2552</v>
      </c>
    </row>
    <row x14ac:dyDescent="0.25" r="4465" customHeight="1" ht="17.25" hidden="1">
      <c r="A4465" s="112" t="s">
        <v>10045</v>
      </c>
      <c r="B4465" s="1" t="s">
        <v>2549</v>
      </c>
      <c r="C4465" s="1" t="s">
        <v>46</v>
      </c>
      <c r="D4465" s="1" t="s">
        <v>10046</v>
      </c>
      <c r="E4465" s="62">
        <v>24</v>
      </c>
      <c r="F4465" s="1" t="s">
        <v>2551</v>
      </c>
      <c r="G4465" s="1" t="s">
        <v>2555</v>
      </c>
    </row>
    <row x14ac:dyDescent="0.25" r="4466" customHeight="1" ht="17.25" hidden="1">
      <c r="A4466" s="112" t="s">
        <v>10047</v>
      </c>
      <c r="B4466" s="1" t="s">
        <v>2549</v>
      </c>
      <c r="C4466" s="1" t="s">
        <v>46</v>
      </c>
      <c r="D4466" s="1" t="s">
        <v>10048</v>
      </c>
      <c r="E4466" s="62">
        <v>18</v>
      </c>
      <c r="F4466" s="1" t="s">
        <v>2551</v>
      </c>
      <c r="G4466" s="1" t="s">
        <v>2552</v>
      </c>
    </row>
    <row x14ac:dyDescent="0.25" r="4467" customHeight="1" ht="17.25" hidden="1">
      <c r="A4467" s="112" t="s">
        <v>795</v>
      </c>
      <c r="B4467" s="1" t="s">
        <v>2549</v>
      </c>
      <c r="C4467" s="1" t="s">
        <v>46</v>
      </c>
      <c r="D4467" s="1" t="s">
        <v>797</v>
      </c>
      <c r="E4467" s="62">
        <v>18</v>
      </c>
      <c r="F4467" s="1" t="s">
        <v>2551</v>
      </c>
      <c r="G4467" s="1" t="s">
        <v>2552</v>
      </c>
    </row>
    <row x14ac:dyDescent="0.25" r="4468" customHeight="1" ht="17.25" hidden="1">
      <c r="A4468" s="112" t="s">
        <v>10049</v>
      </c>
      <c r="B4468" s="1" t="s">
        <v>2549</v>
      </c>
      <c r="C4468" s="1" t="s">
        <v>46</v>
      </c>
      <c r="D4468" s="1" t="s">
        <v>10050</v>
      </c>
      <c r="E4468" s="62">
        <v>38</v>
      </c>
      <c r="F4468" s="1" t="s">
        <v>2551</v>
      </c>
      <c r="G4468" s="1" t="s">
        <v>2555</v>
      </c>
    </row>
    <row x14ac:dyDescent="0.25" r="4469" customHeight="1" ht="17.25" hidden="1">
      <c r="A4469" s="112" t="s">
        <v>10051</v>
      </c>
      <c r="B4469" s="1" t="s">
        <v>2549</v>
      </c>
      <c r="C4469" s="1" t="s">
        <v>46</v>
      </c>
      <c r="D4469" s="1" t="s">
        <v>10052</v>
      </c>
      <c r="E4469" s="62">
        <v>21</v>
      </c>
      <c r="F4469" s="1" t="s">
        <v>2551</v>
      </c>
      <c r="G4469" s="1" t="s">
        <v>2552</v>
      </c>
    </row>
    <row x14ac:dyDescent="0.25" r="4470" customHeight="1" ht="17.25" hidden="1">
      <c r="A4470" s="112" t="s">
        <v>10053</v>
      </c>
      <c r="B4470" s="1" t="s">
        <v>2549</v>
      </c>
      <c r="C4470" s="1" t="s">
        <v>46</v>
      </c>
      <c r="D4470" s="1" t="s">
        <v>10054</v>
      </c>
      <c r="E4470" s="62">
        <v>21</v>
      </c>
      <c r="F4470" s="1" t="s">
        <v>2551</v>
      </c>
      <c r="G4470" s="1" t="s">
        <v>2558</v>
      </c>
    </row>
    <row x14ac:dyDescent="0.25" r="4471" customHeight="1" ht="17.25" hidden="1">
      <c r="A4471" s="112" t="s">
        <v>10055</v>
      </c>
      <c r="B4471" s="1" t="s">
        <v>2549</v>
      </c>
      <c r="C4471" s="1" t="s">
        <v>46</v>
      </c>
      <c r="D4471" s="1" t="s">
        <v>10056</v>
      </c>
      <c r="E4471" s="62">
        <v>35</v>
      </c>
      <c r="F4471" s="1" t="s">
        <v>2551</v>
      </c>
      <c r="G4471" s="1" t="s">
        <v>2552</v>
      </c>
    </row>
    <row x14ac:dyDescent="0.25" r="4472" customHeight="1" ht="17.25" hidden="1">
      <c r="A4472" s="112" t="s">
        <v>10057</v>
      </c>
      <c r="B4472" s="1" t="s">
        <v>2549</v>
      </c>
      <c r="C4472" s="1" t="s">
        <v>46</v>
      </c>
      <c r="D4472" s="1" t="s">
        <v>10058</v>
      </c>
      <c r="E4472" s="62">
        <v>25</v>
      </c>
      <c r="F4472" s="1" t="s">
        <v>2551</v>
      </c>
      <c r="G4472" s="1" t="s">
        <v>2552</v>
      </c>
    </row>
    <row x14ac:dyDescent="0.25" r="4473" customHeight="1" ht="17.25" hidden="1">
      <c r="A4473" s="112" t="s">
        <v>10059</v>
      </c>
      <c r="B4473" s="1" t="s">
        <v>2549</v>
      </c>
      <c r="C4473" s="1" t="s">
        <v>46</v>
      </c>
      <c r="D4473" s="1" t="s">
        <v>10060</v>
      </c>
      <c r="E4473" s="62">
        <v>33</v>
      </c>
      <c r="F4473" s="1" t="s">
        <v>2551</v>
      </c>
      <c r="G4473" s="1" t="s">
        <v>2555</v>
      </c>
    </row>
    <row x14ac:dyDescent="0.25" r="4474" customHeight="1" ht="17.25" hidden="1">
      <c r="A4474" s="112" t="s">
        <v>10061</v>
      </c>
      <c r="B4474" s="1" t="s">
        <v>2549</v>
      </c>
      <c r="C4474" s="1" t="s">
        <v>46</v>
      </c>
      <c r="D4474" s="1" t="s">
        <v>10062</v>
      </c>
      <c r="E4474" s="62">
        <v>27</v>
      </c>
      <c r="F4474" s="1" t="s">
        <v>2551</v>
      </c>
      <c r="G4474" s="1" t="s">
        <v>2555</v>
      </c>
    </row>
    <row x14ac:dyDescent="0.25" r="4475" customHeight="1" ht="17.25" hidden="1">
      <c r="A4475" s="112" t="s">
        <v>10061</v>
      </c>
      <c r="B4475" s="1" t="s">
        <v>2549</v>
      </c>
      <c r="C4475" s="1" t="s">
        <v>46</v>
      </c>
      <c r="D4475" s="1" t="s">
        <v>10063</v>
      </c>
      <c r="E4475" s="62">
        <v>36</v>
      </c>
      <c r="F4475" s="1" t="s">
        <v>2551</v>
      </c>
      <c r="G4475" s="1" t="s">
        <v>2555</v>
      </c>
    </row>
    <row x14ac:dyDescent="0.25" r="4476" customHeight="1" ht="17.25" hidden="1">
      <c r="A4476" s="112" t="s">
        <v>1678</v>
      </c>
      <c r="B4476" s="1" t="s">
        <v>2549</v>
      </c>
      <c r="C4476" s="1" t="s">
        <v>46</v>
      </c>
      <c r="D4476" s="1" t="s">
        <v>1680</v>
      </c>
      <c r="E4476" s="62">
        <v>41</v>
      </c>
      <c r="F4476" s="1" t="s">
        <v>2551</v>
      </c>
      <c r="G4476" s="1" t="s">
        <v>2555</v>
      </c>
    </row>
    <row x14ac:dyDescent="0.25" r="4477" customHeight="1" ht="17.25" hidden="1">
      <c r="A4477" s="112" t="s">
        <v>10064</v>
      </c>
      <c r="B4477" s="1" t="s">
        <v>2549</v>
      </c>
      <c r="C4477" s="1" t="s">
        <v>46</v>
      </c>
      <c r="D4477" s="1" t="s">
        <v>10065</v>
      </c>
      <c r="E4477" s="62">
        <v>29</v>
      </c>
      <c r="F4477" s="1" t="s">
        <v>2551</v>
      </c>
      <c r="G4477" s="1" t="s">
        <v>2552</v>
      </c>
    </row>
    <row x14ac:dyDescent="0.25" r="4478" customHeight="1" ht="17.25" hidden="1">
      <c r="A4478" s="112" t="s">
        <v>10066</v>
      </c>
      <c r="B4478" s="1" t="s">
        <v>2549</v>
      </c>
      <c r="C4478" s="1" t="s">
        <v>46</v>
      </c>
      <c r="D4478" s="1" t="s">
        <v>10067</v>
      </c>
      <c r="E4478" s="62">
        <v>21</v>
      </c>
      <c r="F4478" s="1" t="s">
        <v>2551</v>
      </c>
      <c r="G4478" s="1" t="s">
        <v>2555</v>
      </c>
    </row>
    <row x14ac:dyDescent="0.25" r="4479" customHeight="1" ht="17.25" hidden="1">
      <c r="A4479" s="112" t="s">
        <v>10068</v>
      </c>
      <c r="B4479" s="1" t="s">
        <v>2549</v>
      </c>
      <c r="C4479" s="1" t="s">
        <v>46</v>
      </c>
      <c r="D4479" s="1" t="s">
        <v>10069</v>
      </c>
      <c r="E4479" s="62">
        <v>23</v>
      </c>
      <c r="F4479" s="1" t="s">
        <v>2551</v>
      </c>
      <c r="G4479" s="1" t="s">
        <v>2552</v>
      </c>
    </row>
    <row x14ac:dyDescent="0.25" r="4480" customHeight="1" ht="17.25" hidden="1">
      <c r="A4480" s="112" t="s">
        <v>10068</v>
      </c>
      <c r="B4480" s="1" t="s">
        <v>2549</v>
      </c>
      <c r="C4480" s="1" t="s">
        <v>46</v>
      </c>
      <c r="D4480" s="1" t="s">
        <v>10070</v>
      </c>
      <c r="E4480" s="62">
        <v>19</v>
      </c>
      <c r="F4480" s="1" t="s">
        <v>2551</v>
      </c>
      <c r="G4480" s="1" t="s">
        <v>2552</v>
      </c>
    </row>
    <row x14ac:dyDescent="0.25" r="4481" customHeight="1" ht="17.25" hidden="1">
      <c r="A4481" s="112" t="s">
        <v>10071</v>
      </c>
      <c r="B4481" s="1" t="s">
        <v>2549</v>
      </c>
      <c r="C4481" s="1" t="s">
        <v>46</v>
      </c>
      <c r="D4481" s="1" t="s">
        <v>10072</v>
      </c>
      <c r="E4481" s="62">
        <v>38</v>
      </c>
      <c r="F4481" s="1" t="s">
        <v>2551</v>
      </c>
      <c r="G4481" s="1" t="s">
        <v>2571</v>
      </c>
    </row>
    <row x14ac:dyDescent="0.25" r="4482" customHeight="1" ht="17.25" hidden="1">
      <c r="A4482" s="112" t="s">
        <v>10073</v>
      </c>
      <c r="B4482" s="1" t="s">
        <v>2549</v>
      </c>
      <c r="C4482" s="1" t="s">
        <v>46</v>
      </c>
      <c r="D4482" s="1" t="s">
        <v>10074</v>
      </c>
      <c r="E4482" s="62">
        <v>33</v>
      </c>
      <c r="F4482" s="1" t="s">
        <v>2551</v>
      </c>
      <c r="G4482" s="1" t="s">
        <v>2555</v>
      </c>
    </row>
    <row x14ac:dyDescent="0.25" r="4483" customHeight="1" ht="17.25" hidden="1">
      <c r="A4483" s="112" t="s">
        <v>10073</v>
      </c>
      <c r="B4483" s="1" t="s">
        <v>2549</v>
      </c>
      <c r="C4483" s="1" t="s">
        <v>46</v>
      </c>
      <c r="D4483" s="1" t="s">
        <v>6105</v>
      </c>
      <c r="E4483" s="62">
        <v>22</v>
      </c>
      <c r="F4483" s="1" t="s">
        <v>2551</v>
      </c>
      <c r="G4483" s="1" t="s">
        <v>2552</v>
      </c>
    </row>
    <row x14ac:dyDescent="0.25" r="4484" customHeight="1" ht="17.25" hidden="1">
      <c r="A4484" s="112" t="s">
        <v>10075</v>
      </c>
      <c r="B4484" s="1" t="s">
        <v>2549</v>
      </c>
      <c r="C4484" s="1" t="s">
        <v>46</v>
      </c>
      <c r="D4484" s="1" t="s">
        <v>10076</v>
      </c>
      <c r="E4484" s="62">
        <v>20</v>
      </c>
      <c r="F4484" s="1" t="s">
        <v>2551</v>
      </c>
      <c r="G4484" s="1" t="s">
        <v>2552</v>
      </c>
    </row>
    <row x14ac:dyDescent="0.25" r="4485" customHeight="1" ht="17.25" hidden="1">
      <c r="A4485" s="112" t="s">
        <v>10077</v>
      </c>
      <c r="B4485" s="1" t="s">
        <v>2549</v>
      </c>
      <c r="C4485" s="1" t="s">
        <v>46</v>
      </c>
      <c r="D4485" s="1" t="s">
        <v>10078</v>
      </c>
      <c r="E4485" s="62">
        <v>41</v>
      </c>
      <c r="F4485" s="1" t="s">
        <v>2551</v>
      </c>
      <c r="G4485" s="1" t="s">
        <v>2552</v>
      </c>
    </row>
    <row x14ac:dyDescent="0.25" r="4486" customHeight="1" ht="17.25" hidden="1">
      <c r="A4486" s="112" t="s">
        <v>10079</v>
      </c>
      <c r="B4486" s="1" t="s">
        <v>2549</v>
      </c>
      <c r="C4486" s="1" t="s">
        <v>46</v>
      </c>
      <c r="D4486" s="1" t="s">
        <v>10080</v>
      </c>
      <c r="E4486" s="62">
        <v>26</v>
      </c>
      <c r="F4486" s="1" t="s">
        <v>2551</v>
      </c>
      <c r="G4486" s="1" t="s">
        <v>2558</v>
      </c>
    </row>
    <row x14ac:dyDescent="0.25" r="4487" customHeight="1" ht="17.25" hidden="1">
      <c r="A4487" s="112" t="s">
        <v>10079</v>
      </c>
      <c r="B4487" s="1" t="s">
        <v>2549</v>
      </c>
      <c r="C4487" s="1" t="s">
        <v>46</v>
      </c>
      <c r="D4487" s="1" t="s">
        <v>10081</v>
      </c>
      <c r="E4487" s="62">
        <v>18</v>
      </c>
      <c r="F4487" s="1" t="s">
        <v>2551</v>
      </c>
      <c r="G4487" s="1" t="s">
        <v>2555</v>
      </c>
    </row>
    <row x14ac:dyDescent="0.25" r="4488" customHeight="1" ht="17.25" hidden="1">
      <c r="A4488" s="112" t="s">
        <v>10082</v>
      </c>
      <c r="B4488" s="1" t="s">
        <v>2549</v>
      </c>
      <c r="C4488" s="1" t="s">
        <v>46</v>
      </c>
      <c r="D4488" s="1" t="s">
        <v>10083</v>
      </c>
      <c r="E4488" s="62">
        <v>19</v>
      </c>
      <c r="F4488" s="1" t="s">
        <v>2551</v>
      </c>
      <c r="G4488" s="1" t="s">
        <v>2552</v>
      </c>
    </row>
    <row x14ac:dyDescent="0.25" r="4489" customHeight="1" ht="17.25" hidden="1">
      <c r="A4489" s="112" t="s">
        <v>10084</v>
      </c>
      <c r="B4489" s="1" t="s">
        <v>2549</v>
      </c>
      <c r="C4489" s="1" t="s">
        <v>46</v>
      </c>
      <c r="D4489" s="1" t="s">
        <v>10085</v>
      </c>
      <c r="E4489" s="62">
        <v>41</v>
      </c>
      <c r="F4489" s="1" t="s">
        <v>2551</v>
      </c>
      <c r="G4489" s="1" t="s">
        <v>2555</v>
      </c>
    </row>
    <row x14ac:dyDescent="0.25" r="4490" customHeight="1" ht="17.25" hidden="1">
      <c r="A4490" s="112" t="s">
        <v>10084</v>
      </c>
      <c r="B4490" s="1" t="s">
        <v>2549</v>
      </c>
      <c r="C4490" s="1" t="s">
        <v>46</v>
      </c>
      <c r="D4490" s="1" t="s">
        <v>10086</v>
      </c>
      <c r="E4490" s="54" t="s">
        <v>2571</v>
      </c>
      <c r="F4490" s="1" t="s">
        <v>2551</v>
      </c>
      <c r="G4490" s="1" t="s">
        <v>2555</v>
      </c>
    </row>
    <row x14ac:dyDescent="0.25" r="4491" customHeight="1" ht="17.25" hidden="1">
      <c r="A4491" s="112" t="s">
        <v>10084</v>
      </c>
      <c r="B4491" s="1" t="s">
        <v>2549</v>
      </c>
      <c r="C4491" s="1" t="s">
        <v>46</v>
      </c>
      <c r="D4491" s="1" t="s">
        <v>10087</v>
      </c>
      <c r="E4491" s="62">
        <v>39</v>
      </c>
      <c r="F4491" s="1" t="s">
        <v>2551</v>
      </c>
      <c r="G4491" s="1" t="s">
        <v>2558</v>
      </c>
    </row>
    <row x14ac:dyDescent="0.25" r="4492" customHeight="1" ht="17.25" hidden="1">
      <c r="A4492" s="112" t="s">
        <v>10088</v>
      </c>
      <c r="B4492" s="1" t="s">
        <v>2549</v>
      </c>
      <c r="C4492" s="1" t="s">
        <v>46</v>
      </c>
      <c r="D4492" s="1" t="s">
        <v>4057</v>
      </c>
      <c r="E4492" s="62">
        <v>18</v>
      </c>
      <c r="F4492" s="1" t="s">
        <v>2551</v>
      </c>
      <c r="G4492" s="1" t="s">
        <v>2552</v>
      </c>
    </row>
    <row x14ac:dyDescent="0.25" r="4493" customHeight="1" ht="17.25" hidden="1">
      <c r="A4493" s="112" t="s">
        <v>10089</v>
      </c>
      <c r="B4493" s="1" t="s">
        <v>2549</v>
      </c>
      <c r="C4493" s="1" t="s">
        <v>46</v>
      </c>
      <c r="D4493" s="1" t="s">
        <v>10090</v>
      </c>
      <c r="E4493" s="62">
        <v>36</v>
      </c>
      <c r="F4493" s="1" t="s">
        <v>2551</v>
      </c>
      <c r="G4493" s="1" t="s">
        <v>2555</v>
      </c>
    </row>
    <row x14ac:dyDescent="0.25" r="4494" customHeight="1" ht="17.25" hidden="1">
      <c r="A4494" s="112" t="s">
        <v>10091</v>
      </c>
      <c r="B4494" s="1" t="s">
        <v>2549</v>
      </c>
      <c r="C4494" s="1" t="s">
        <v>46</v>
      </c>
      <c r="D4494" s="1" t="s">
        <v>10092</v>
      </c>
      <c r="E4494" s="62">
        <v>25</v>
      </c>
      <c r="F4494" s="1" t="s">
        <v>2551</v>
      </c>
      <c r="G4494" s="1" t="s">
        <v>2552</v>
      </c>
    </row>
    <row x14ac:dyDescent="0.25" r="4495" customHeight="1" ht="17.25" hidden="1">
      <c r="A4495" s="112" t="s">
        <v>10093</v>
      </c>
      <c r="B4495" s="1" t="s">
        <v>2549</v>
      </c>
      <c r="C4495" s="1" t="s">
        <v>46</v>
      </c>
      <c r="D4495" s="1" t="s">
        <v>10094</v>
      </c>
      <c r="E4495" s="62">
        <v>40</v>
      </c>
      <c r="F4495" s="1" t="s">
        <v>2551</v>
      </c>
      <c r="G4495" s="1" t="s">
        <v>2558</v>
      </c>
    </row>
    <row x14ac:dyDescent="0.25" r="4496" customHeight="1" ht="17.25" hidden="1">
      <c r="A4496" s="112" t="s">
        <v>10095</v>
      </c>
      <c r="B4496" s="1" t="s">
        <v>2549</v>
      </c>
      <c r="C4496" s="1" t="s">
        <v>46</v>
      </c>
      <c r="D4496" s="1" t="s">
        <v>10096</v>
      </c>
      <c r="E4496" s="62">
        <v>40</v>
      </c>
      <c r="F4496" s="1" t="s">
        <v>2551</v>
      </c>
      <c r="G4496" s="1" t="s">
        <v>2555</v>
      </c>
    </row>
    <row x14ac:dyDescent="0.25" r="4497" customHeight="1" ht="17.25" hidden="1">
      <c r="A4497" s="112" t="s">
        <v>10097</v>
      </c>
      <c r="B4497" s="1" t="s">
        <v>2549</v>
      </c>
      <c r="C4497" s="1" t="s">
        <v>46</v>
      </c>
      <c r="D4497" s="1" t="s">
        <v>10098</v>
      </c>
      <c r="E4497" s="62">
        <v>24</v>
      </c>
      <c r="F4497" s="1" t="s">
        <v>2551</v>
      </c>
      <c r="G4497" s="1" t="s">
        <v>2552</v>
      </c>
    </row>
    <row x14ac:dyDescent="0.25" r="4498" customHeight="1" ht="17.25" hidden="1">
      <c r="A4498" s="112" t="s">
        <v>10099</v>
      </c>
      <c r="B4498" s="1" t="s">
        <v>2549</v>
      </c>
      <c r="C4498" s="1" t="s">
        <v>46</v>
      </c>
      <c r="D4498" s="1" t="s">
        <v>10100</v>
      </c>
      <c r="E4498" s="62">
        <v>35</v>
      </c>
      <c r="F4498" s="1" t="s">
        <v>2551</v>
      </c>
      <c r="G4498" s="1" t="s">
        <v>2555</v>
      </c>
    </row>
    <row x14ac:dyDescent="0.25" r="4499" customHeight="1" ht="17.25" hidden="1">
      <c r="A4499" s="112" t="s">
        <v>10101</v>
      </c>
      <c r="B4499" s="1" t="s">
        <v>2549</v>
      </c>
      <c r="C4499" s="1" t="s">
        <v>46</v>
      </c>
      <c r="D4499" s="1" t="s">
        <v>10102</v>
      </c>
      <c r="E4499" s="62">
        <v>29</v>
      </c>
      <c r="F4499" s="1" t="s">
        <v>2551</v>
      </c>
      <c r="G4499" s="1" t="s">
        <v>2552</v>
      </c>
    </row>
    <row x14ac:dyDescent="0.25" r="4500" customHeight="1" ht="17.25" hidden="1">
      <c r="A4500" s="112" t="s">
        <v>10103</v>
      </c>
      <c r="B4500" s="1" t="s">
        <v>2549</v>
      </c>
      <c r="C4500" s="1" t="s">
        <v>46</v>
      </c>
      <c r="D4500" s="1" t="s">
        <v>10104</v>
      </c>
      <c r="E4500" s="62">
        <v>20</v>
      </c>
      <c r="F4500" s="1" t="s">
        <v>2551</v>
      </c>
      <c r="G4500" s="1" t="s">
        <v>2555</v>
      </c>
    </row>
    <row x14ac:dyDescent="0.25" r="4501" customHeight="1" ht="17.25" hidden="1">
      <c r="A4501" s="112" t="s">
        <v>10105</v>
      </c>
      <c r="B4501" s="1" t="s">
        <v>2549</v>
      </c>
      <c r="C4501" s="1" t="s">
        <v>46</v>
      </c>
      <c r="D4501" s="1" t="s">
        <v>10106</v>
      </c>
      <c r="E4501" s="62">
        <v>18</v>
      </c>
      <c r="F4501" s="1" t="s">
        <v>2551</v>
      </c>
      <c r="G4501" s="1" t="s">
        <v>2552</v>
      </c>
    </row>
    <row x14ac:dyDescent="0.25" r="4502" customHeight="1" ht="17.25" hidden="1">
      <c r="A4502" s="112" t="s">
        <v>10107</v>
      </c>
      <c r="B4502" s="1" t="s">
        <v>2549</v>
      </c>
      <c r="C4502" s="1" t="s">
        <v>46</v>
      </c>
      <c r="D4502" s="1" t="s">
        <v>10108</v>
      </c>
      <c r="E4502" s="62">
        <v>24</v>
      </c>
      <c r="F4502" s="1" t="s">
        <v>2551</v>
      </c>
      <c r="G4502" s="1" t="s">
        <v>2558</v>
      </c>
    </row>
    <row x14ac:dyDescent="0.25" r="4503" customHeight="1" ht="17.25" hidden="1">
      <c r="A4503" s="112" t="s">
        <v>10109</v>
      </c>
      <c r="B4503" s="1" t="s">
        <v>2549</v>
      </c>
      <c r="C4503" s="1" t="s">
        <v>46</v>
      </c>
      <c r="D4503" s="1" t="s">
        <v>10110</v>
      </c>
      <c r="E4503" s="62">
        <v>21</v>
      </c>
      <c r="F4503" s="1" t="s">
        <v>2551</v>
      </c>
      <c r="G4503" s="1" t="s">
        <v>2558</v>
      </c>
    </row>
    <row x14ac:dyDescent="0.25" r="4504" customHeight="1" ht="17.25" hidden="1">
      <c r="A4504" s="112" t="s">
        <v>10111</v>
      </c>
      <c r="B4504" s="1" t="s">
        <v>2549</v>
      </c>
      <c r="C4504" s="1" t="s">
        <v>46</v>
      </c>
      <c r="D4504" s="1" t="s">
        <v>10112</v>
      </c>
      <c r="E4504" s="62">
        <v>27</v>
      </c>
      <c r="F4504" s="1" t="s">
        <v>2551</v>
      </c>
      <c r="G4504" s="1" t="s">
        <v>2555</v>
      </c>
    </row>
    <row x14ac:dyDescent="0.25" r="4505" customHeight="1" ht="17.25" hidden="1">
      <c r="A4505" s="112" t="s">
        <v>10113</v>
      </c>
      <c r="B4505" s="1" t="s">
        <v>2549</v>
      </c>
      <c r="C4505" s="1" t="s">
        <v>46</v>
      </c>
      <c r="D4505" s="1" t="s">
        <v>10114</v>
      </c>
      <c r="E4505" s="62">
        <v>19</v>
      </c>
      <c r="F4505" s="1" t="s">
        <v>2551</v>
      </c>
      <c r="G4505" s="1" t="s">
        <v>2555</v>
      </c>
    </row>
    <row x14ac:dyDescent="0.25" r="4506" customHeight="1" ht="17.25" hidden="1">
      <c r="A4506" s="112" t="s">
        <v>10115</v>
      </c>
      <c r="B4506" s="1" t="s">
        <v>2549</v>
      </c>
      <c r="C4506" s="1" t="s">
        <v>46</v>
      </c>
      <c r="D4506" s="1" t="s">
        <v>10116</v>
      </c>
      <c r="E4506" s="62">
        <v>29</v>
      </c>
      <c r="F4506" s="1" t="s">
        <v>2561</v>
      </c>
      <c r="G4506" s="1" t="s">
        <v>2555</v>
      </c>
    </row>
    <row x14ac:dyDescent="0.25" r="4507" customHeight="1" ht="17.25" hidden="1">
      <c r="A4507" s="112" t="s">
        <v>10117</v>
      </c>
      <c r="B4507" s="1" t="s">
        <v>2549</v>
      </c>
      <c r="C4507" s="1" t="s">
        <v>46</v>
      </c>
      <c r="D4507" s="1" t="s">
        <v>3126</v>
      </c>
      <c r="E4507" s="62">
        <v>20</v>
      </c>
      <c r="F4507" s="1" t="s">
        <v>2551</v>
      </c>
      <c r="G4507" s="1" t="s">
        <v>2555</v>
      </c>
    </row>
    <row x14ac:dyDescent="0.25" r="4508" customHeight="1" ht="17.25" hidden="1">
      <c r="A4508" s="112" t="s">
        <v>720</v>
      </c>
      <c r="B4508" s="1" t="s">
        <v>2549</v>
      </c>
      <c r="C4508" s="1" t="s">
        <v>46</v>
      </c>
      <c r="D4508" s="1" t="s">
        <v>722</v>
      </c>
      <c r="E4508" s="62">
        <v>26</v>
      </c>
      <c r="F4508" s="1" t="s">
        <v>2551</v>
      </c>
      <c r="G4508" s="1" t="s">
        <v>2555</v>
      </c>
    </row>
    <row x14ac:dyDescent="0.25" r="4509" customHeight="1" ht="17.25" hidden="1">
      <c r="A4509" s="112" t="s">
        <v>10118</v>
      </c>
      <c r="B4509" s="1" t="s">
        <v>2549</v>
      </c>
      <c r="C4509" s="1" t="s">
        <v>46</v>
      </c>
      <c r="D4509" s="1" t="s">
        <v>10119</v>
      </c>
      <c r="E4509" s="62">
        <v>18</v>
      </c>
      <c r="F4509" s="1" t="s">
        <v>2551</v>
      </c>
      <c r="G4509" s="1" t="s">
        <v>2552</v>
      </c>
    </row>
    <row x14ac:dyDescent="0.25" r="4510" customHeight="1" ht="17.25" hidden="1">
      <c r="A4510" s="112" t="s">
        <v>10120</v>
      </c>
      <c r="B4510" s="1" t="s">
        <v>2549</v>
      </c>
      <c r="C4510" s="1" t="s">
        <v>46</v>
      </c>
      <c r="D4510" s="1" t="s">
        <v>10030</v>
      </c>
      <c r="E4510" s="62">
        <v>25</v>
      </c>
      <c r="F4510" s="1" t="s">
        <v>2551</v>
      </c>
      <c r="G4510" s="1" t="s">
        <v>2552</v>
      </c>
    </row>
    <row x14ac:dyDescent="0.25" r="4511" customHeight="1" ht="17.25" hidden="1">
      <c r="A4511" s="112" t="s">
        <v>10120</v>
      </c>
      <c r="B4511" s="1" t="s">
        <v>2549</v>
      </c>
      <c r="C4511" s="1" t="s">
        <v>46</v>
      </c>
      <c r="D4511" s="1" t="s">
        <v>10029</v>
      </c>
      <c r="E4511" s="62">
        <v>20</v>
      </c>
      <c r="F4511" s="1" t="s">
        <v>2551</v>
      </c>
      <c r="G4511" s="1" t="s">
        <v>2552</v>
      </c>
    </row>
    <row x14ac:dyDescent="0.25" r="4512" customHeight="1" ht="17.25" hidden="1">
      <c r="A4512" s="112" t="s">
        <v>10121</v>
      </c>
      <c r="B4512" s="1" t="s">
        <v>2549</v>
      </c>
      <c r="C4512" s="1" t="s">
        <v>46</v>
      </c>
      <c r="D4512" s="1" t="s">
        <v>10122</v>
      </c>
      <c r="E4512" s="62">
        <v>28</v>
      </c>
      <c r="F4512" s="1" t="s">
        <v>2551</v>
      </c>
      <c r="G4512" s="1" t="s">
        <v>2552</v>
      </c>
    </row>
    <row x14ac:dyDescent="0.25" r="4513" customHeight="1" ht="17.25" hidden="1">
      <c r="A4513" s="112" t="s">
        <v>10123</v>
      </c>
      <c r="B4513" s="1" t="s">
        <v>2549</v>
      </c>
      <c r="C4513" s="1" t="s">
        <v>46</v>
      </c>
      <c r="D4513" s="1" t="s">
        <v>10124</v>
      </c>
      <c r="E4513" s="62">
        <v>18</v>
      </c>
      <c r="F4513" s="1" t="s">
        <v>2551</v>
      </c>
      <c r="G4513" s="1" t="s">
        <v>2552</v>
      </c>
    </row>
    <row x14ac:dyDescent="0.25" r="4514" customHeight="1" ht="17.25" hidden="1">
      <c r="A4514" s="112" t="s">
        <v>10123</v>
      </c>
      <c r="B4514" s="1" t="s">
        <v>2549</v>
      </c>
      <c r="C4514" s="1" t="s">
        <v>46</v>
      </c>
      <c r="D4514" s="1" t="s">
        <v>10125</v>
      </c>
      <c r="E4514" s="62">
        <v>18</v>
      </c>
      <c r="F4514" s="1" t="s">
        <v>2551</v>
      </c>
      <c r="G4514" s="1" t="s">
        <v>2555</v>
      </c>
    </row>
    <row x14ac:dyDescent="0.25" r="4515" customHeight="1" ht="17.25" hidden="1">
      <c r="A4515" s="112" t="s">
        <v>10126</v>
      </c>
      <c r="B4515" s="1" t="s">
        <v>2549</v>
      </c>
      <c r="C4515" s="1" t="s">
        <v>46</v>
      </c>
      <c r="D4515" s="1" t="s">
        <v>10127</v>
      </c>
      <c r="E4515" s="62">
        <v>20</v>
      </c>
      <c r="F4515" s="1" t="s">
        <v>2551</v>
      </c>
      <c r="G4515" s="1" t="s">
        <v>2552</v>
      </c>
    </row>
    <row x14ac:dyDescent="0.25" r="4516" customHeight="1" ht="17.25" hidden="1">
      <c r="A4516" s="112" t="s">
        <v>10128</v>
      </c>
      <c r="B4516" s="1" t="s">
        <v>2549</v>
      </c>
      <c r="C4516" s="1" t="s">
        <v>46</v>
      </c>
      <c r="D4516" s="1" t="s">
        <v>10129</v>
      </c>
      <c r="E4516" s="62">
        <v>23</v>
      </c>
      <c r="F4516" s="1" t="s">
        <v>2551</v>
      </c>
      <c r="G4516" s="1" t="s">
        <v>2555</v>
      </c>
    </row>
    <row x14ac:dyDescent="0.25" r="4517" customHeight="1" ht="17.25" hidden="1">
      <c r="A4517" s="112" t="s">
        <v>10130</v>
      </c>
      <c r="B4517" s="1" t="s">
        <v>2549</v>
      </c>
      <c r="C4517" s="1" t="s">
        <v>46</v>
      </c>
      <c r="D4517" s="1" t="s">
        <v>10131</v>
      </c>
      <c r="E4517" s="62">
        <v>35</v>
      </c>
      <c r="F4517" s="1" t="s">
        <v>2551</v>
      </c>
      <c r="G4517" s="1" t="s">
        <v>2558</v>
      </c>
    </row>
    <row x14ac:dyDescent="0.25" r="4518" customHeight="1" ht="17.25" hidden="1">
      <c r="A4518" s="112" t="s">
        <v>10132</v>
      </c>
      <c r="B4518" s="1" t="s">
        <v>2549</v>
      </c>
      <c r="C4518" s="1" t="s">
        <v>46</v>
      </c>
      <c r="D4518" s="1" t="s">
        <v>10133</v>
      </c>
      <c r="E4518" s="62">
        <v>22</v>
      </c>
      <c r="F4518" s="1" t="s">
        <v>2551</v>
      </c>
      <c r="G4518" s="1" t="s">
        <v>2552</v>
      </c>
    </row>
    <row x14ac:dyDescent="0.25" r="4519" customHeight="1" ht="17.25" hidden="1">
      <c r="A4519" s="112" t="s">
        <v>10134</v>
      </c>
      <c r="B4519" s="1" t="s">
        <v>2549</v>
      </c>
      <c r="C4519" s="1" t="s">
        <v>46</v>
      </c>
      <c r="D4519" s="1" t="s">
        <v>10135</v>
      </c>
      <c r="E4519" s="62">
        <v>22</v>
      </c>
      <c r="F4519" s="1" t="s">
        <v>2551</v>
      </c>
      <c r="G4519" s="1" t="s">
        <v>2558</v>
      </c>
    </row>
    <row x14ac:dyDescent="0.25" r="4520" customHeight="1" ht="17.25" hidden="1">
      <c r="A4520" s="112" t="s">
        <v>10134</v>
      </c>
      <c r="B4520" s="1" t="s">
        <v>2549</v>
      </c>
      <c r="C4520" s="1" t="s">
        <v>46</v>
      </c>
      <c r="D4520" s="1" t="s">
        <v>10136</v>
      </c>
      <c r="E4520" s="62">
        <v>21</v>
      </c>
      <c r="F4520" s="1" t="s">
        <v>2551</v>
      </c>
      <c r="G4520" s="1" t="s">
        <v>2555</v>
      </c>
    </row>
    <row x14ac:dyDescent="0.25" r="4521" customHeight="1" ht="17.25" hidden="1">
      <c r="A4521" s="112" t="s">
        <v>10137</v>
      </c>
      <c r="B4521" s="1" t="s">
        <v>2549</v>
      </c>
      <c r="C4521" s="1" t="s">
        <v>46</v>
      </c>
      <c r="D4521" s="1" t="s">
        <v>10138</v>
      </c>
      <c r="E4521" s="62">
        <v>21</v>
      </c>
      <c r="F4521" s="1" t="s">
        <v>2551</v>
      </c>
      <c r="G4521" s="1" t="s">
        <v>2552</v>
      </c>
    </row>
    <row x14ac:dyDescent="0.25" r="4522" customHeight="1" ht="17.25" hidden="1">
      <c r="A4522" s="112" t="s">
        <v>10139</v>
      </c>
      <c r="B4522" s="1" t="s">
        <v>2549</v>
      </c>
      <c r="C4522" s="1" t="s">
        <v>46</v>
      </c>
      <c r="D4522" s="1" t="s">
        <v>10140</v>
      </c>
      <c r="E4522" s="62">
        <v>23</v>
      </c>
      <c r="F4522" s="1" t="s">
        <v>2551</v>
      </c>
      <c r="G4522" s="1" t="s">
        <v>2552</v>
      </c>
    </row>
    <row x14ac:dyDescent="0.25" r="4523" customHeight="1" ht="17.25" hidden="1">
      <c r="A4523" s="112" t="s">
        <v>10139</v>
      </c>
      <c r="B4523" s="1" t="s">
        <v>2549</v>
      </c>
      <c r="C4523" s="1" t="s">
        <v>46</v>
      </c>
      <c r="D4523" s="1" t="s">
        <v>7465</v>
      </c>
      <c r="E4523" s="62">
        <v>16</v>
      </c>
      <c r="F4523" s="1" t="s">
        <v>2551</v>
      </c>
      <c r="G4523" s="1" t="s">
        <v>2558</v>
      </c>
    </row>
    <row x14ac:dyDescent="0.25" r="4524" customHeight="1" ht="17.25" hidden="1">
      <c r="A4524" s="112" t="s">
        <v>10141</v>
      </c>
      <c r="B4524" s="1" t="s">
        <v>2549</v>
      </c>
      <c r="C4524" s="1" t="s">
        <v>46</v>
      </c>
      <c r="D4524" s="1" t="s">
        <v>10142</v>
      </c>
      <c r="E4524" s="62">
        <v>21</v>
      </c>
      <c r="F4524" s="1" t="s">
        <v>2551</v>
      </c>
      <c r="G4524" s="1" t="s">
        <v>2555</v>
      </c>
    </row>
    <row x14ac:dyDescent="0.25" r="4525" customHeight="1" ht="17.25" hidden="1">
      <c r="A4525" s="112" t="s">
        <v>10143</v>
      </c>
      <c r="B4525" s="1" t="s">
        <v>2549</v>
      </c>
      <c r="C4525" s="1" t="s">
        <v>46</v>
      </c>
      <c r="D4525" s="1" t="s">
        <v>10144</v>
      </c>
      <c r="E4525" s="62">
        <v>55</v>
      </c>
      <c r="F4525" s="1" t="s">
        <v>2551</v>
      </c>
      <c r="G4525" s="1" t="s">
        <v>2555</v>
      </c>
    </row>
    <row x14ac:dyDescent="0.25" r="4526" customHeight="1" ht="17.25" hidden="1">
      <c r="A4526" s="112" t="s">
        <v>10145</v>
      </c>
      <c r="B4526" s="1" t="s">
        <v>2549</v>
      </c>
      <c r="C4526" s="1" t="s">
        <v>46</v>
      </c>
      <c r="D4526" s="1" t="s">
        <v>10146</v>
      </c>
      <c r="E4526" s="62">
        <v>26</v>
      </c>
      <c r="F4526" s="1" t="s">
        <v>2551</v>
      </c>
      <c r="G4526" s="1" t="s">
        <v>2555</v>
      </c>
    </row>
    <row x14ac:dyDescent="0.25" r="4527" customHeight="1" ht="17.25" hidden="1">
      <c r="A4527" s="112" t="s">
        <v>10147</v>
      </c>
      <c r="B4527" s="1" t="s">
        <v>2549</v>
      </c>
      <c r="C4527" s="1" t="s">
        <v>46</v>
      </c>
      <c r="D4527" s="1" t="s">
        <v>10148</v>
      </c>
      <c r="E4527" s="62">
        <v>21</v>
      </c>
      <c r="F4527" s="1" t="s">
        <v>2551</v>
      </c>
      <c r="G4527" s="1" t="s">
        <v>2555</v>
      </c>
    </row>
    <row x14ac:dyDescent="0.25" r="4528" customHeight="1" ht="17.25" hidden="1">
      <c r="A4528" s="112" t="s">
        <v>10149</v>
      </c>
      <c r="B4528" s="1" t="s">
        <v>2549</v>
      </c>
      <c r="C4528" s="1" t="s">
        <v>46</v>
      </c>
      <c r="D4528" s="1" t="s">
        <v>10150</v>
      </c>
      <c r="E4528" s="62">
        <v>19</v>
      </c>
      <c r="F4528" s="1" t="s">
        <v>2551</v>
      </c>
      <c r="G4528" s="1" t="s">
        <v>2555</v>
      </c>
    </row>
    <row x14ac:dyDescent="0.25" r="4529" customHeight="1" ht="17.25" hidden="1">
      <c r="A4529" s="112" t="s">
        <v>10149</v>
      </c>
      <c r="B4529" s="1" t="s">
        <v>2549</v>
      </c>
      <c r="C4529" s="1" t="s">
        <v>46</v>
      </c>
      <c r="D4529" s="1" t="s">
        <v>10151</v>
      </c>
      <c r="E4529" s="62">
        <v>22</v>
      </c>
      <c r="F4529" s="1" t="s">
        <v>2551</v>
      </c>
      <c r="G4529" s="1" t="s">
        <v>2552</v>
      </c>
    </row>
    <row x14ac:dyDescent="0.25" r="4530" customHeight="1" ht="17.25" hidden="1">
      <c r="A4530" s="112" t="s">
        <v>10152</v>
      </c>
      <c r="B4530" s="1" t="s">
        <v>2549</v>
      </c>
      <c r="C4530" s="1" t="s">
        <v>46</v>
      </c>
      <c r="D4530" s="1" t="s">
        <v>10153</v>
      </c>
      <c r="E4530" s="62">
        <v>25</v>
      </c>
      <c r="F4530" s="1" t="s">
        <v>2551</v>
      </c>
      <c r="G4530" s="1" t="s">
        <v>2552</v>
      </c>
    </row>
    <row x14ac:dyDescent="0.25" r="4531" customHeight="1" ht="17.25" hidden="1">
      <c r="A4531" s="112" t="s">
        <v>10154</v>
      </c>
      <c r="B4531" s="1" t="s">
        <v>2549</v>
      </c>
      <c r="C4531" s="1" t="s">
        <v>46</v>
      </c>
      <c r="D4531" s="1" t="s">
        <v>10155</v>
      </c>
      <c r="E4531" s="62">
        <v>28</v>
      </c>
      <c r="F4531" s="1" t="s">
        <v>2551</v>
      </c>
      <c r="G4531" s="1" t="s">
        <v>2552</v>
      </c>
    </row>
    <row x14ac:dyDescent="0.25" r="4532" customHeight="1" ht="17.25" hidden="1">
      <c r="A4532" s="112" t="s">
        <v>426</v>
      </c>
      <c r="B4532" s="1" t="s">
        <v>2549</v>
      </c>
      <c r="C4532" s="1" t="s">
        <v>46</v>
      </c>
      <c r="D4532" s="1" t="s">
        <v>2175</v>
      </c>
      <c r="E4532" s="62">
        <v>22</v>
      </c>
      <c r="F4532" s="1" t="s">
        <v>2551</v>
      </c>
      <c r="G4532" s="1" t="s">
        <v>2552</v>
      </c>
    </row>
    <row x14ac:dyDescent="0.25" r="4533" customHeight="1" ht="17.25" hidden="1">
      <c r="A4533" s="112" t="s">
        <v>10156</v>
      </c>
      <c r="B4533" s="1" t="s">
        <v>2549</v>
      </c>
      <c r="C4533" s="1" t="s">
        <v>46</v>
      </c>
      <c r="D4533" s="1" t="s">
        <v>10157</v>
      </c>
      <c r="E4533" s="62">
        <v>21</v>
      </c>
      <c r="F4533" s="1" t="s">
        <v>2551</v>
      </c>
      <c r="G4533" s="1" t="s">
        <v>4578</v>
      </c>
    </row>
    <row x14ac:dyDescent="0.25" r="4534" customHeight="1" ht="17.25" hidden="1">
      <c r="A4534" s="112" t="s">
        <v>1727</v>
      </c>
      <c r="B4534" s="1" t="s">
        <v>2549</v>
      </c>
      <c r="C4534" s="1" t="s">
        <v>46</v>
      </c>
      <c r="D4534" s="1" t="s">
        <v>1728</v>
      </c>
      <c r="E4534" s="62">
        <v>27</v>
      </c>
      <c r="F4534" s="1" t="s">
        <v>2551</v>
      </c>
      <c r="G4534" s="1" t="s">
        <v>2552</v>
      </c>
    </row>
    <row x14ac:dyDescent="0.25" r="4535" customHeight="1" ht="17.25" hidden="1">
      <c r="A4535" s="112" t="s">
        <v>10158</v>
      </c>
      <c r="B4535" s="1" t="s">
        <v>2549</v>
      </c>
      <c r="C4535" s="1" t="s">
        <v>46</v>
      </c>
      <c r="D4535" s="1" t="s">
        <v>10159</v>
      </c>
      <c r="E4535" s="62">
        <v>65</v>
      </c>
      <c r="F4535" s="1" t="s">
        <v>2551</v>
      </c>
      <c r="G4535" s="1" t="s">
        <v>2555</v>
      </c>
    </row>
    <row x14ac:dyDescent="0.25" r="4536" customHeight="1" ht="17.25" hidden="1">
      <c r="A4536" s="112" t="s">
        <v>10160</v>
      </c>
      <c r="B4536" s="1" t="s">
        <v>2549</v>
      </c>
      <c r="C4536" s="1" t="s">
        <v>46</v>
      </c>
      <c r="D4536" s="1" t="s">
        <v>10161</v>
      </c>
      <c r="E4536" s="62">
        <v>26</v>
      </c>
      <c r="F4536" s="1" t="s">
        <v>2551</v>
      </c>
      <c r="G4536" s="1" t="s">
        <v>2552</v>
      </c>
    </row>
    <row x14ac:dyDescent="0.25" r="4537" customHeight="1" ht="17.25" hidden="1">
      <c r="A4537" s="112" t="s">
        <v>10162</v>
      </c>
      <c r="B4537" s="1" t="s">
        <v>2549</v>
      </c>
      <c r="C4537" s="1" t="s">
        <v>46</v>
      </c>
      <c r="D4537" s="1" t="s">
        <v>10163</v>
      </c>
      <c r="E4537" s="62">
        <v>25</v>
      </c>
      <c r="F4537" s="1" t="s">
        <v>2551</v>
      </c>
      <c r="G4537" s="1" t="s">
        <v>2552</v>
      </c>
    </row>
    <row x14ac:dyDescent="0.25" r="4538" customHeight="1" ht="17.25" hidden="1">
      <c r="A4538" s="112" t="s">
        <v>10164</v>
      </c>
      <c r="B4538" s="1" t="s">
        <v>2549</v>
      </c>
      <c r="C4538" s="1" t="s">
        <v>46</v>
      </c>
      <c r="D4538" s="1" t="s">
        <v>10165</v>
      </c>
      <c r="E4538" s="62">
        <v>29</v>
      </c>
      <c r="F4538" s="1" t="s">
        <v>2551</v>
      </c>
      <c r="G4538" s="1" t="s">
        <v>2552</v>
      </c>
    </row>
    <row x14ac:dyDescent="0.25" r="4539" customHeight="1" ht="17.25" hidden="1">
      <c r="A4539" s="112" t="s">
        <v>10166</v>
      </c>
      <c r="B4539" s="1" t="s">
        <v>2549</v>
      </c>
      <c r="C4539" s="1" t="s">
        <v>46</v>
      </c>
      <c r="D4539" s="1" t="s">
        <v>10167</v>
      </c>
      <c r="E4539" s="62">
        <v>22</v>
      </c>
      <c r="F4539" s="1" t="s">
        <v>2561</v>
      </c>
      <c r="G4539" s="1" t="s">
        <v>2558</v>
      </c>
    </row>
    <row x14ac:dyDescent="0.25" r="4540" customHeight="1" ht="17.25" hidden="1">
      <c r="A4540" s="112" t="s">
        <v>10168</v>
      </c>
      <c r="B4540" s="1" t="s">
        <v>2549</v>
      </c>
      <c r="C4540" s="1" t="s">
        <v>46</v>
      </c>
      <c r="D4540" s="1" t="s">
        <v>10169</v>
      </c>
      <c r="E4540" s="62">
        <v>20</v>
      </c>
      <c r="F4540" s="1" t="s">
        <v>2551</v>
      </c>
      <c r="G4540" s="1" t="s">
        <v>2552</v>
      </c>
    </row>
    <row x14ac:dyDescent="0.25" r="4541" customHeight="1" ht="17.25" hidden="1">
      <c r="A4541" s="112" t="s">
        <v>10170</v>
      </c>
      <c r="B4541" s="1" t="s">
        <v>2549</v>
      </c>
      <c r="C4541" s="1" t="s">
        <v>46</v>
      </c>
      <c r="D4541" s="1" t="s">
        <v>10171</v>
      </c>
      <c r="E4541" s="62">
        <v>47</v>
      </c>
      <c r="F4541" s="1" t="s">
        <v>2551</v>
      </c>
      <c r="G4541" s="1" t="s">
        <v>2558</v>
      </c>
    </row>
    <row x14ac:dyDescent="0.25" r="4542" customHeight="1" ht="17.25" hidden="1">
      <c r="A4542" s="112" t="s">
        <v>10172</v>
      </c>
      <c r="B4542" s="1" t="s">
        <v>2549</v>
      </c>
      <c r="C4542" s="1" t="s">
        <v>46</v>
      </c>
      <c r="D4542" s="1" t="s">
        <v>10173</v>
      </c>
      <c r="E4542" s="62">
        <v>19</v>
      </c>
      <c r="F4542" s="1" t="s">
        <v>2551</v>
      </c>
      <c r="G4542" s="1" t="s">
        <v>2552</v>
      </c>
    </row>
    <row x14ac:dyDescent="0.25" r="4543" customHeight="1" ht="17.25" hidden="1">
      <c r="A4543" s="112" t="s">
        <v>10174</v>
      </c>
      <c r="B4543" s="1" t="s">
        <v>2549</v>
      </c>
      <c r="C4543" s="1" t="s">
        <v>46</v>
      </c>
      <c r="D4543" s="1" t="s">
        <v>10175</v>
      </c>
      <c r="E4543" s="62">
        <v>34</v>
      </c>
      <c r="F4543" s="1" t="s">
        <v>2551</v>
      </c>
      <c r="G4543" s="1" t="s">
        <v>2552</v>
      </c>
    </row>
    <row x14ac:dyDescent="0.25" r="4544" customHeight="1" ht="17.25" hidden="1">
      <c r="A4544" s="112" t="s">
        <v>10176</v>
      </c>
      <c r="B4544" s="1" t="s">
        <v>2549</v>
      </c>
      <c r="C4544" s="1" t="s">
        <v>46</v>
      </c>
      <c r="D4544" s="1" t="s">
        <v>10177</v>
      </c>
      <c r="E4544" s="62">
        <v>36</v>
      </c>
      <c r="F4544" s="1" t="s">
        <v>2551</v>
      </c>
      <c r="G4544" s="1" t="s">
        <v>2552</v>
      </c>
    </row>
    <row x14ac:dyDescent="0.25" r="4545" customHeight="1" ht="17.25" hidden="1">
      <c r="A4545" s="112" t="s">
        <v>10178</v>
      </c>
      <c r="B4545" s="1" t="s">
        <v>2549</v>
      </c>
      <c r="C4545" s="1" t="s">
        <v>46</v>
      </c>
      <c r="D4545" s="1" t="s">
        <v>1514</v>
      </c>
      <c r="E4545" s="62">
        <v>35</v>
      </c>
      <c r="F4545" s="1" t="s">
        <v>2551</v>
      </c>
      <c r="G4545" s="1" t="s">
        <v>2552</v>
      </c>
    </row>
    <row x14ac:dyDescent="0.25" r="4546" customHeight="1" ht="17.25" hidden="1">
      <c r="A4546" s="112" t="s">
        <v>10179</v>
      </c>
      <c r="B4546" s="1" t="s">
        <v>2549</v>
      </c>
      <c r="C4546" s="1" t="s">
        <v>46</v>
      </c>
      <c r="D4546" s="1" t="s">
        <v>10180</v>
      </c>
      <c r="E4546" s="62">
        <v>26</v>
      </c>
      <c r="F4546" s="1" t="s">
        <v>2551</v>
      </c>
      <c r="G4546" s="1" t="s">
        <v>2555</v>
      </c>
    </row>
    <row x14ac:dyDescent="0.25" r="4547" customHeight="1" ht="17.25" hidden="1">
      <c r="A4547" s="112" t="s">
        <v>10179</v>
      </c>
      <c r="B4547" s="1" t="s">
        <v>2549</v>
      </c>
      <c r="C4547" s="1" t="s">
        <v>46</v>
      </c>
      <c r="D4547" s="1" t="s">
        <v>10181</v>
      </c>
      <c r="E4547" s="62">
        <v>47</v>
      </c>
      <c r="F4547" s="1" t="s">
        <v>2551</v>
      </c>
      <c r="G4547" s="1" t="s">
        <v>2555</v>
      </c>
    </row>
    <row x14ac:dyDescent="0.25" r="4548" customHeight="1" ht="17.25" hidden="1">
      <c r="A4548" s="112" t="s">
        <v>10182</v>
      </c>
      <c r="B4548" s="1" t="s">
        <v>2549</v>
      </c>
      <c r="C4548" s="1" t="s">
        <v>46</v>
      </c>
      <c r="D4548" s="1" t="s">
        <v>10183</v>
      </c>
      <c r="E4548" s="62">
        <v>18</v>
      </c>
      <c r="F4548" s="1" t="s">
        <v>2551</v>
      </c>
      <c r="G4548" s="1" t="s">
        <v>2555</v>
      </c>
    </row>
    <row x14ac:dyDescent="0.25" r="4549" customHeight="1" ht="17.25" hidden="1">
      <c r="A4549" s="112" t="s">
        <v>10184</v>
      </c>
      <c r="B4549" s="1" t="s">
        <v>2549</v>
      </c>
      <c r="C4549" s="1" t="s">
        <v>46</v>
      </c>
      <c r="D4549" s="1" t="s">
        <v>10185</v>
      </c>
      <c r="E4549" s="62">
        <v>36</v>
      </c>
      <c r="F4549" s="1" t="s">
        <v>2551</v>
      </c>
      <c r="G4549" s="1" t="s">
        <v>2552</v>
      </c>
    </row>
    <row x14ac:dyDescent="0.25" r="4550" customHeight="1" ht="17.25" hidden="1">
      <c r="A4550" s="112" t="s">
        <v>10186</v>
      </c>
      <c r="B4550" s="1" t="s">
        <v>2549</v>
      </c>
      <c r="C4550" s="1" t="s">
        <v>46</v>
      </c>
      <c r="D4550" s="1" t="s">
        <v>10187</v>
      </c>
      <c r="E4550" s="62">
        <v>28</v>
      </c>
      <c r="F4550" s="1" t="s">
        <v>2551</v>
      </c>
      <c r="G4550" s="1" t="s">
        <v>2555</v>
      </c>
    </row>
    <row x14ac:dyDescent="0.25" r="4551" customHeight="1" ht="17.25" hidden="1">
      <c r="A4551" s="112" t="s">
        <v>10188</v>
      </c>
      <c r="B4551" s="1" t="s">
        <v>2549</v>
      </c>
      <c r="C4551" s="1" t="s">
        <v>46</v>
      </c>
      <c r="D4551" s="1" t="s">
        <v>6811</v>
      </c>
      <c r="E4551" s="62">
        <v>18</v>
      </c>
      <c r="F4551" s="1" t="s">
        <v>2551</v>
      </c>
      <c r="G4551" s="1" t="s">
        <v>2552</v>
      </c>
    </row>
    <row x14ac:dyDescent="0.25" r="4552" customHeight="1" ht="17.25" hidden="1">
      <c r="A4552" s="112" t="s">
        <v>10189</v>
      </c>
      <c r="B4552" s="1" t="s">
        <v>2549</v>
      </c>
      <c r="C4552" s="1" t="s">
        <v>46</v>
      </c>
      <c r="D4552" s="1" t="s">
        <v>10190</v>
      </c>
      <c r="E4552" s="62">
        <v>18</v>
      </c>
      <c r="F4552" s="1" t="s">
        <v>2551</v>
      </c>
      <c r="G4552" s="1" t="s">
        <v>2552</v>
      </c>
    </row>
    <row x14ac:dyDescent="0.25" r="4553" customHeight="1" ht="17.25" hidden="1">
      <c r="A4553" s="112" t="s">
        <v>10191</v>
      </c>
      <c r="B4553" s="1" t="s">
        <v>2549</v>
      </c>
      <c r="C4553" s="1" t="s">
        <v>46</v>
      </c>
      <c r="D4553" s="1" t="s">
        <v>10192</v>
      </c>
      <c r="E4553" s="62">
        <v>19</v>
      </c>
      <c r="F4553" s="1" t="s">
        <v>2551</v>
      </c>
      <c r="G4553" s="1" t="s">
        <v>2558</v>
      </c>
    </row>
    <row x14ac:dyDescent="0.25" r="4554" customHeight="1" ht="17.25" hidden="1">
      <c r="A4554" s="112" t="s">
        <v>1770</v>
      </c>
      <c r="B4554" s="1" t="s">
        <v>2549</v>
      </c>
      <c r="C4554" s="1" t="s">
        <v>46</v>
      </c>
      <c r="D4554" s="1" t="s">
        <v>1772</v>
      </c>
      <c r="E4554" s="62">
        <v>20</v>
      </c>
      <c r="F4554" s="1" t="s">
        <v>2551</v>
      </c>
      <c r="G4554" s="1" t="s">
        <v>2552</v>
      </c>
    </row>
    <row x14ac:dyDescent="0.25" r="4555" customHeight="1" ht="17.25" hidden="1">
      <c r="A4555" s="112" t="s">
        <v>10193</v>
      </c>
      <c r="B4555" s="1" t="s">
        <v>2549</v>
      </c>
      <c r="C4555" s="1" t="s">
        <v>46</v>
      </c>
      <c r="D4555" s="1" t="s">
        <v>10194</v>
      </c>
      <c r="E4555" s="62">
        <v>35</v>
      </c>
      <c r="F4555" s="1" t="s">
        <v>2551</v>
      </c>
      <c r="G4555" s="1" t="s">
        <v>2552</v>
      </c>
    </row>
    <row x14ac:dyDescent="0.25" r="4556" customHeight="1" ht="17.25" hidden="1">
      <c r="A4556" s="112" t="s">
        <v>10195</v>
      </c>
      <c r="B4556" s="1" t="s">
        <v>2549</v>
      </c>
      <c r="C4556" s="1" t="s">
        <v>46</v>
      </c>
      <c r="D4556" s="1" t="s">
        <v>10196</v>
      </c>
      <c r="E4556" s="62">
        <v>42</v>
      </c>
      <c r="F4556" s="1" t="s">
        <v>2551</v>
      </c>
      <c r="G4556" s="1" t="s">
        <v>2555</v>
      </c>
    </row>
    <row x14ac:dyDescent="0.25" r="4557" customHeight="1" ht="17.25" hidden="1">
      <c r="A4557" s="112" t="s">
        <v>10195</v>
      </c>
      <c r="B4557" s="1" t="s">
        <v>2549</v>
      </c>
      <c r="C4557" s="1" t="s">
        <v>46</v>
      </c>
      <c r="D4557" s="1" t="s">
        <v>10197</v>
      </c>
      <c r="E4557" s="62">
        <v>29</v>
      </c>
      <c r="F4557" s="1" t="s">
        <v>2561</v>
      </c>
      <c r="G4557" s="1" t="s">
        <v>2555</v>
      </c>
    </row>
    <row x14ac:dyDescent="0.25" r="4558" customHeight="1" ht="17.25" hidden="1">
      <c r="A4558" s="112" t="s">
        <v>10198</v>
      </c>
      <c r="B4558" s="1" t="s">
        <v>2549</v>
      </c>
      <c r="C4558" s="1" t="s">
        <v>46</v>
      </c>
      <c r="D4558" s="1" t="s">
        <v>10199</v>
      </c>
      <c r="E4558" s="62">
        <v>25</v>
      </c>
      <c r="F4558" s="1" t="s">
        <v>2551</v>
      </c>
      <c r="G4558" s="1" t="s">
        <v>2552</v>
      </c>
    </row>
    <row x14ac:dyDescent="0.25" r="4559" customHeight="1" ht="17.25" hidden="1">
      <c r="A4559" s="112" t="s">
        <v>10200</v>
      </c>
      <c r="B4559" s="1" t="s">
        <v>2549</v>
      </c>
      <c r="C4559" s="1" t="s">
        <v>46</v>
      </c>
      <c r="D4559" s="1" t="s">
        <v>10201</v>
      </c>
      <c r="E4559" s="62">
        <v>29</v>
      </c>
      <c r="F4559" s="1" t="s">
        <v>2561</v>
      </c>
      <c r="G4559" s="1" t="s">
        <v>2555</v>
      </c>
    </row>
    <row x14ac:dyDescent="0.25" r="4560" customHeight="1" ht="17.25" hidden="1">
      <c r="A4560" s="112" t="s">
        <v>2100</v>
      </c>
      <c r="B4560" s="1" t="s">
        <v>2549</v>
      </c>
      <c r="C4560" s="1" t="s">
        <v>46</v>
      </c>
      <c r="D4560" s="1" t="s">
        <v>2101</v>
      </c>
      <c r="E4560" s="62">
        <v>27</v>
      </c>
      <c r="F4560" s="1" t="s">
        <v>2551</v>
      </c>
      <c r="G4560" s="1" t="s">
        <v>2555</v>
      </c>
    </row>
    <row x14ac:dyDescent="0.25" r="4561" customHeight="1" ht="17.25" hidden="1">
      <c r="A4561" s="112" t="s">
        <v>10202</v>
      </c>
      <c r="B4561" s="1" t="s">
        <v>2549</v>
      </c>
      <c r="C4561" s="1" t="s">
        <v>46</v>
      </c>
      <c r="D4561" s="1" t="s">
        <v>10203</v>
      </c>
      <c r="E4561" s="62">
        <v>26</v>
      </c>
      <c r="F4561" s="1" t="s">
        <v>2551</v>
      </c>
      <c r="G4561" s="1" t="s">
        <v>2558</v>
      </c>
    </row>
    <row x14ac:dyDescent="0.25" r="4562" customHeight="1" ht="17.25" hidden="1">
      <c r="A4562" s="112" t="s">
        <v>10204</v>
      </c>
      <c r="B4562" s="1" t="s">
        <v>2549</v>
      </c>
      <c r="C4562" s="1" t="s">
        <v>46</v>
      </c>
      <c r="D4562" s="1" t="s">
        <v>10205</v>
      </c>
      <c r="E4562" s="62">
        <v>19</v>
      </c>
      <c r="F4562" s="1" t="s">
        <v>2551</v>
      </c>
      <c r="G4562" s="1" t="s">
        <v>2558</v>
      </c>
    </row>
    <row x14ac:dyDescent="0.25" r="4563" customHeight="1" ht="17.25" hidden="1">
      <c r="A4563" s="112" t="s">
        <v>10206</v>
      </c>
      <c r="B4563" s="1" t="s">
        <v>2549</v>
      </c>
      <c r="C4563" s="1" t="s">
        <v>46</v>
      </c>
      <c r="D4563" s="1" t="s">
        <v>2393</v>
      </c>
      <c r="E4563" s="62">
        <v>19</v>
      </c>
      <c r="F4563" s="1" t="s">
        <v>2551</v>
      </c>
      <c r="G4563" s="1" t="s">
        <v>2558</v>
      </c>
    </row>
    <row x14ac:dyDescent="0.25" r="4564" customHeight="1" ht="17.25" hidden="1">
      <c r="A4564" s="112" t="s">
        <v>10207</v>
      </c>
      <c r="B4564" s="1" t="s">
        <v>2549</v>
      </c>
      <c r="C4564" s="1" t="s">
        <v>46</v>
      </c>
      <c r="D4564" s="1" t="s">
        <v>10208</v>
      </c>
      <c r="E4564" s="62">
        <v>18</v>
      </c>
      <c r="F4564" s="1" t="s">
        <v>2551</v>
      </c>
      <c r="G4564" s="1" t="s">
        <v>2555</v>
      </c>
    </row>
    <row x14ac:dyDescent="0.25" r="4565" customHeight="1" ht="17.25" hidden="1">
      <c r="A4565" s="112" t="s">
        <v>10209</v>
      </c>
      <c r="B4565" s="1" t="s">
        <v>2549</v>
      </c>
      <c r="C4565" s="1" t="s">
        <v>46</v>
      </c>
      <c r="D4565" s="1" t="s">
        <v>10210</v>
      </c>
      <c r="E4565" s="62">
        <v>24</v>
      </c>
      <c r="F4565" s="1" t="s">
        <v>2551</v>
      </c>
      <c r="G4565" s="1" t="s">
        <v>2552</v>
      </c>
    </row>
    <row x14ac:dyDescent="0.25" r="4566" customHeight="1" ht="17.25" hidden="1">
      <c r="A4566" s="112" t="s">
        <v>10209</v>
      </c>
      <c r="B4566" s="1" t="s">
        <v>2549</v>
      </c>
      <c r="C4566" s="1" t="s">
        <v>46</v>
      </c>
      <c r="D4566" s="1" t="s">
        <v>10211</v>
      </c>
      <c r="E4566" s="62">
        <v>23</v>
      </c>
      <c r="F4566" s="1" t="s">
        <v>2551</v>
      </c>
      <c r="G4566" s="1" t="s">
        <v>2552</v>
      </c>
    </row>
    <row x14ac:dyDescent="0.25" r="4567" customHeight="1" ht="17.25" hidden="1">
      <c r="A4567" s="112" t="s">
        <v>10212</v>
      </c>
      <c r="B4567" s="1" t="s">
        <v>2549</v>
      </c>
      <c r="C4567" s="1" t="s">
        <v>46</v>
      </c>
      <c r="D4567" s="1" t="s">
        <v>10213</v>
      </c>
      <c r="E4567" s="62">
        <v>22</v>
      </c>
      <c r="F4567" s="1" t="s">
        <v>2551</v>
      </c>
      <c r="G4567" s="1" t="s">
        <v>2555</v>
      </c>
    </row>
    <row x14ac:dyDescent="0.25" r="4568" customHeight="1" ht="17.25" hidden="1">
      <c r="A4568" s="112" t="s">
        <v>10214</v>
      </c>
      <c r="B4568" s="1" t="s">
        <v>2549</v>
      </c>
      <c r="C4568" s="1" t="s">
        <v>46</v>
      </c>
      <c r="D4568" s="1" t="s">
        <v>10215</v>
      </c>
      <c r="E4568" s="62">
        <v>65</v>
      </c>
      <c r="F4568" s="1" t="s">
        <v>2551</v>
      </c>
      <c r="G4568" s="1" t="s">
        <v>2552</v>
      </c>
    </row>
    <row x14ac:dyDescent="0.25" r="4569" customHeight="1" ht="17.25" hidden="1">
      <c r="A4569" s="112" t="s">
        <v>10216</v>
      </c>
      <c r="B4569" s="1" t="s">
        <v>2549</v>
      </c>
      <c r="C4569" s="1" t="s">
        <v>46</v>
      </c>
      <c r="D4569" s="1" t="s">
        <v>10217</v>
      </c>
      <c r="E4569" s="62">
        <v>29</v>
      </c>
      <c r="F4569" s="1" t="s">
        <v>2551</v>
      </c>
      <c r="G4569" s="1" t="s">
        <v>2555</v>
      </c>
    </row>
    <row x14ac:dyDescent="0.25" r="4570" customHeight="1" ht="17.25" hidden="1">
      <c r="A4570" s="112" t="s">
        <v>10216</v>
      </c>
      <c r="B4570" s="1" t="s">
        <v>2549</v>
      </c>
      <c r="C4570" s="1" t="s">
        <v>46</v>
      </c>
      <c r="D4570" s="1" t="s">
        <v>2704</v>
      </c>
      <c r="E4570" s="62">
        <v>26</v>
      </c>
      <c r="F4570" s="1" t="s">
        <v>2551</v>
      </c>
      <c r="G4570" s="1" t="s">
        <v>2555</v>
      </c>
    </row>
    <row x14ac:dyDescent="0.25" r="4571" customHeight="1" ht="17.25" hidden="1">
      <c r="A4571" s="112" t="s">
        <v>10218</v>
      </c>
      <c r="B4571" s="1" t="s">
        <v>2549</v>
      </c>
      <c r="C4571" s="1" t="s">
        <v>46</v>
      </c>
      <c r="D4571" s="1" t="s">
        <v>10219</v>
      </c>
      <c r="E4571" s="62">
        <v>20</v>
      </c>
      <c r="F4571" s="1" t="s">
        <v>2551</v>
      </c>
      <c r="G4571" s="1" t="s">
        <v>2555</v>
      </c>
    </row>
    <row x14ac:dyDescent="0.25" r="4572" customHeight="1" ht="17.25" hidden="1">
      <c r="A4572" s="112" t="s">
        <v>10220</v>
      </c>
      <c r="B4572" s="1" t="s">
        <v>2549</v>
      </c>
      <c r="C4572" s="1" t="s">
        <v>46</v>
      </c>
      <c r="D4572" s="1" t="s">
        <v>10221</v>
      </c>
      <c r="E4572" s="62">
        <v>29</v>
      </c>
      <c r="F4572" s="1" t="s">
        <v>2551</v>
      </c>
      <c r="G4572" s="1" t="s">
        <v>2555</v>
      </c>
    </row>
    <row x14ac:dyDescent="0.25" r="4573" customHeight="1" ht="17.25" hidden="1">
      <c r="A4573" s="112" t="s">
        <v>10222</v>
      </c>
      <c r="B4573" s="1" t="s">
        <v>2549</v>
      </c>
      <c r="C4573" s="1" t="s">
        <v>46</v>
      </c>
      <c r="D4573" s="1" t="s">
        <v>10223</v>
      </c>
      <c r="E4573" s="62">
        <v>19</v>
      </c>
      <c r="F4573" s="1" t="s">
        <v>2551</v>
      </c>
      <c r="G4573" s="1" t="s">
        <v>2552</v>
      </c>
    </row>
    <row x14ac:dyDescent="0.25" r="4574" customHeight="1" ht="17.25" hidden="1">
      <c r="A4574" s="112" t="s">
        <v>10224</v>
      </c>
      <c r="B4574" s="1" t="s">
        <v>2549</v>
      </c>
      <c r="C4574" s="1" t="s">
        <v>46</v>
      </c>
      <c r="D4574" s="1" t="s">
        <v>10225</v>
      </c>
      <c r="E4574" s="62">
        <v>19</v>
      </c>
      <c r="F4574" s="1" t="s">
        <v>2551</v>
      </c>
      <c r="G4574" s="1" t="s">
        <v>2558</v>
      </c>
    </row>
    <row x14ac:dyDescent="0.25" r="4575" customHeight="1" ht="17.25" hidden="1">
      <c r="A4575" s="112" t="s">
        <v>10226</v>
      </c>
      <c r="B4575" s="1" t="s">
        <v>2549</v>
      </c>
      <c r="C4575" s="1" t="s">
        <v>46</v>
      </c>
      <c r="D4575" s="1" t="s">
        <v>9624</v>
      </c>
      <c r="E4575" s="62">
        <v>20</v>
      </c>
      <c r="F4575" s="1" t="s">
        <v>2551</v>
      </c>
      <c r="G4575" s="1" t="s">
        <v>2552</v>
      </c>
    </row>
    <row x14ac:dyDescent="0.25" r="4576" customHeight="1" ht="17.25" hidden="1">
      <c r="A4576" s="112" t="s">
        <v>10227</v>
      </c>
      <c r="B4576" s="1" t="s">
        <v>2549</v>
      </c>
      <c r="C4576" s="1" t="s">
        <v>46</v>
      </c>
      <c r="D4576" s="1" t="s">
        <v>10228</v>
      </c>
      <c r="E4576" s="62">
        <v>37</v>
      </c>
      <c r="F4576" s="1" t="s">
        <v>2551</v>
      </c>
      <c r="G4576" s="1" t="s">
        <v>2555</v>
      </c>
    </row>
    <row x14ac:dyDescent="0.25" r="4577" customHeight="1" ht="17.25" hidden="1">
      <c r="A4577" s="112" t="s">
        <v>10227</v>
      </c>
      <c r="B4577" s="1" t="s">
        <v>2549</v>
      </c>
      <c r="C4577" s="1" t="s">
        <v>46</v>
      </c>
      <c r="D4577" s="1" t="s">
        <v>10229</v>
      </c>
      <c r="E4577" s="62">
        <v>44</v>
      </c>
      <c r="F4577" s="1" t="s">
        <v>2551</v>
      </c>
      <c r="G4577" s="1" t="s">
        <v>2555</v>
      </c>
    </row>
    <row x14ac:dyDescent="0.25" r="4578" customHeight="1" ht="17.25" hidden="1">
      <c r="A4578" s="112" t="s">
        <v>10230</v>
      </c>
      <c r="B4578" s="1" t="s">
        <v>2549</v>
      </c>
      <c r="C4578" s="1" t="s">
        <v>46</v>
      </c>
      <c r="D4578" s="1" t="s">
        <v>10231</v>
      </c>
      <c r="E4578" s="62">
        <v>21</v>
      </c>
      <c r="F4578" s="1" t="s">
        <v>2551</v>
      </c>
      <c r="G4578" s="1" t="s">
        <v>2552</v>
      </c>
    </row>
    <row x14ac:dyDescent="0.25" r="4579" customHeight="1" ht="17.25" hidden="1">
      <c r="A4579" s="112" t="s">
        <v>10232</v>
      </c>
      <c r="B4579" s="1" t="s">
        <v>2549</v>
      </c>
      <c r="C4579" s="1" t="s">
        <v>46</v>
      </c>
      <c r="D4579" s="1" t="s">
        <v>10233</v>
      </c>
      <c r="E4579" s="62">
        <v>37</v>
      </c>
      <c r="F4579" s="1" t="s">
        <v>2551</v>
      </c>
      <c r="G4579" s="1" t="s">
        <v>2552</v>
      </c>
    </row>
    <row x14ac:dyDescent="0.25" r="4580" customHeight="1" ht="17.25" hidden="1">
      <c r="A4580" s="112" t="s">
        <v>10232</v>
      </c>
      <c r="B4580" s="1" t="s">
        <v>2549</v>
      </c>
      <c r="C4580" s="1" t="s">
        <v>46</v>
      </c>
      <c r="D4580" s="1" t="s">
        <v>10234</v>
      </c>
      <c r="E4580" s="62">
        <v>38</v>
      </c>
      <c r="F4580" s="1" t="s">
        <v>2551</v>
      </c>
      <c r="G4580" s="1" t="s">
        <v>2558</v>
      </c>
    </row>
    <row x14ac:dyDescent="0.25" r="4581" customHeight="1" ht="17.25" hidden="1">
      <c r="A4581" s="112" t="s">
        <v>10235</v>
      </c>
      <c r="B4581" s="1" t="s">
        <v>2549</v>
      </c>
      <c r="C4581" s="1" t="s">
        <v>46</v>
      </c>
      <c r="D4581" s="1" t="s">
        <v>10236</v>
      </c>
      <c r="E4581" s="62">
        <v>21</v>
      </c>
      <c r="F4581" s="1" t="s">
        <v>2551</v>
      </c>
      <c r="G4581" s="1" t="s">
        <v>2555</v>
      </c>
    </row>
    <row x14ac:dyDescent="0.25" r="4582" customHeight="1" ht="17.25" hidden="1">
      <c r="A4582" s="112" t="s">
        <v>10237</v>
      </c>
      <c r="B4582" s="1" t="s">
        <v>2549</v>
      </c>
      <c r="C4582" s="1" t="s">
        <v>46</v>
      </c>
      <c r="D4582" s="1" t="s">
        <v>10238</v>
      </c>
      <c r="E4582" s="62">
        <v>23</v>
      </c>
      <c r="F4582" s="1" t="s">
        <v>2551</v>
      </c>
      <c r="G4582" s="1" t="s">
        <v>2552</v>
      </c>
    </row>
    <row x14ac:dyDescent="0.25" r="4583" customHeight="1" ht="17.25" hidden="1">
      <c r="A4583" s="112" t="s">
        <v>10239</v>
      </c>
      <c r="B4583" s="1" t="s">
        <v>2549</v>
      </c>
      <c r="C4583" s="1" t="s">
        <v>46</v>
      </c>
      <c r="D4583" s="1" t="s">
        <v>10240</v>
      </c>
      <c r="E4583" s="62">
        <v>33</v>
      </c>
      <c r="F4583" s="1" t="s">
        <v>2561</v>
      </c>
      <c r="G4583" s="1" t="s">
        <v>2555</v>
      </c>
    </row>
    <row x14ac:dyDescent="0.25" r="4584" customHeight="1" ht="17.25" hidden="1">
      <c r="A4584" s="112" t="s">
        <v>456</v>
      </c>
      <c r="B4584" s="1" t="s">
        <v>2549</v>
      </c>
      <c r="C4584" s="1" t="s">
        <v>46</v>
      </c>
      <c r="D4584" s="1" t="s">
        <v>10241</v>
      </c>
      <c r="E4584" s="62">
        <v>30</v>
      </c>
      <c r="F4584" s="1" t="s">
        <v>2551</v>
      </c>
      <c r="G4584" s="1" t="s">
        <v>2552</v>
      </c>
    </row>
    <row x14ac:dyDescent="0.25" r="4585" customHeight="1" ht="17.25" hidden="1">
      <c r="A4585" s="112" t="s">
        <v>10242</v>
      </c>
      <c r="B4585" s="1" t="s">
        <v>2549</v>
      </c>
      <c r="C4585" s="1" t="s">
        <v>46</v>
      </c>
      <c r="D4585" s="1" t="s">
        <v>10243</v>
      </c>
      <c r="E4585" s="62">
        <v>36</v>
      </c>
      <c r="F4585" s="1" t="s">
        <v>2551</v>
      </c>
      <c r="G4585" s="1" t="s">
        <v>2552</v>
      </c>
    </row>
    <row x14ac:dyDescent="0.25" r="4586" customHeight="1" ht="17.25" hidden="1">
      <c r="A4586" s="112" t="s">
        <v>10244</v>
      </c>
      <c r="B4586" s="1" t="s">
        <v>2549</v>
      </c>
      <c r="C4586" s="1" t="s">
        <v>10245</v>
      </c>
      <c r="D4586" s="1" t="s">
        <v>10246</v>
      </c>
      <c r="E4586" s="54" t="s">
        <v>2571</v>
      </c>
      <c r="F4586" s="1" t="s">
        <v>2551</v>
      </c>
      <c r="G4586" s="1" t="s">
        <v>2571</v>
      </c>
    </row>
    <row x14ac:dyDescent="0.25" r="4587" customHeight="1" ht="17.25" hidden="1">
      <c r="A4587" s="112" t="s">
        <v>10247</v>
      </c>
      <c r="B4587" s="1" t="s">
        <v>2549</v>
      </c>
      <c r="C4587" s="1" t="s">
        <v>10248</v>
      </c>
      <c r="D4587" s="1" t="s">
        <v>10249</v>
      </c>
      <c r="E4587" s="54" t="s">
        <v>2571</v>
      </c>
      <c r="F4587" s="1" t="s">
        <v>2551</v>
      </c>
      <c r="G4587" s="1" t="s">
        <v>2571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S421"/>
  <sheetViews>
    <sheetView workbookViewId="0" tabSelected="1">
      <pane state="frozen" activePane="bottomLeft" topLeftCell="A2" ySplit="1" xSplit="0"/>
    </sheetView>
  </sheetViews>
  <sheetFormatPr defaultRowHeight="15" x14ac:dyDescent="0.25"/>
  <cols>
    <col min="1" max="1" style="92" width="9.147857142857141" customWidth="1" bestFit="1"/>
    <col min="2" max="2" style="47" width="26.576428571428572" customWidth="1" bestFit="1"/>
    <col min="3" max="3" style="92" width="17.719285714285714" customWidth="1" bestFit="1"/>
    <col min="4" max="4" style="109" width="11.576428571428572" customWidth="1" bestFit="1"/>
    <col min="5" max="5" style="47" width="53.005" customWidth="1" bestFit="1"/>
    <col min="6" max="6" style="47" width="11.290714285714287" customWidth="1" bestFit="1"/>
    <col min="7" max="7" style="47" width="18.14785714285714" customWidth="1" bestFit="1"/>
    <col min="8" max="8" style="47" width="48.005" customWidth="1" bestFit="1"/>
    <col min="9" max="9" style="92" width="17.719285714285714" customWidth="1" bestFit="1"/>
    <col min="10" max="10" style="47" width="20.862142857142857" customWidth="1" bestFit="1"/>
    <col min="11" max="11" style="47" width="12.005" customWidth="1" bestFit="1"/>
    <col min="12" max="12" style="109" width="25.862142857142857" customWidth="1" bestFit="1"/>
    <col min="13" max="13" style="110" width="8.43357142857143" customWidth="1" bestFit="1"/>
    <col min="14" max="14" style="47" width="9.43357142857143" customWidth="1" bestFit="1"/>
    <col min="15" max="15" style="47" width="14.576428571428572" customWidth="1" bestFit="1"/>
    <col min="16" max="16" style="47" width="16.005" customWidth="1" bestFit="1"/>
    <col min="17" max="17" style="47" width="77.29071428571429" customWidth="1" bestFit="1"/>
    <col min="18" max="18" style="89" width="38.71928571428572" customWidth="1" bestFit="1"/>
    <col min="19" max="19" style="111" width="14.576428571428572" customWidth="1" bestFit="1"/>
    <col min="20" max="20" style="89" width="37.005" customWidth="1" bestFit="1"/>
    <col min="21" max="21" style="111" width="13.147857142857141" customWidth="1" bestFit="1"/>
    <col min="22" max="22" style="89" width="37.86214285714286" customWidth="1" bestFit="1"/>
    <col min="23" max="23" style="111" width="13.147857142857141" customWidth="1" bestFit="1"/>
    <col min="24" max="24" style="89" width="25.719285714285714" customWidth="1" bestFit="1"/>
    <col min="25" max="25" style="111" width="13.147857142857141" customWidth="1" bestFit="1"/>
    <col min="26" max="26" style="92" width="18.14785714285714" customWidth="1" bestFit="1"/>
    <col min="27" max="27" style="92" width="13.147857142857141" customWidth="1" bestFit="1"/>
    <col min="28" max="28" style="92" width="61.005" customWidth="1" bestFit="1"/>
    <col min="29" max="29" style="47" width="15.43357142857143" customWidth="1" bestFit="1"/>
    <col min="30" max="30" style="47" width="15.43357142857143" customWidth="1" bestFit="1"/>
    <col min="31" max="31" style="47" width="15.43357142857143" customWidth="1" bestFit="1"/>
    <col min="32" max="32" style="47" width="15.43357142857143" customWidth="1" bestFit="1"/>
    <col min="33" max="33" style="47" width="15.43357142857143" customWidth="1" bestFit="1"/>
    <col min="34" max="34" style="47" width="15.43357142857143" customWidth="1" bestFit="1"/>
    <col min="35" max="35" style="47" width="16.862142857142857" customWidth="1" bestFit="1"/>
    <col min="36" max="36" style="47" width="12.43357142857143" customWidth="1" bestFit="1"/>
    <col min="37" max="37" style="47" width="12.43357142857143" customWidth="1" bestFit="1"/>
    <col min="38" max="38" style="47" width="23.862142857142857" customWidth="1" bestFit="1"/>
    <col min="39" max="39" style="47" width="18.433571428571426" customWidth="1" bestFit="1"/>
    <col min="40" max="40" style="47" width="12.43357142857143" customWidth="1" bestFit="1"/>
    <col min="41" max="41" style="47" width="12.43357142857143" customWidth="1" bestFit="1"/>
    <col min="42" max="42" style="47" width="12.43357142857143" customWidth="1" bestFit="1"/>
    <col min="43" max="43" style="47" width="12.43357142857143" customWidth="1" bestFit="1"/>
    <col min="44" max="44" style="47" width="15.147857142857141" customWidth="1" bestFit="1"/>
    <col min="45" max="45" style="47" width="15.147857142857141" customWidth="1" bestFit="1"/>
    <col min="46" max="46" style="47" width="15.147857142857141" customWidth="1" bestFit="1"/>
    <col min="47" max="47" style="47" width="15.147857142857141" customWidth="1" bestFit="1"/>
    <col min="48" max="48" style="47" width="15.147857142857141" customWidth="1" bestFit="1"/>
    <col min="49" max="49" style="47" width="15.147857142857141" customWidth="1" bestFit="1"/>
    <col min="50" max="50" style="47" width="15.147857142857141" customWidth="1" bestFit="1"/>
    <col min="51" max="51" style="47" width="15.147857142857141" customWidth="1" bestFit="1"/>
    <col min="52" max="52" style="47" width="25.576428571428572" customWidth="1" bestFit="1"/>
    <col min="53" max="53" style="47" width="14.43357142857143" customWidth="1" bestFit="1"/>
    <col min="54" max="54" style="47" width="15.147857142857141" customWidth="1" bestFit="1"/>
    <col min="55" max="55" style="47" width="15.147857142857141" customWidth="1" bestFit="1"/>
    <col min="56" max="56" style="47" width="17.862142857142857" customWidth="1" bestFit="1"/>
    <col min="57" max="57" style="47" width="17.862142857142857" customWidth="1" bestFit="1"/>
    <col min="58" max="58" style="47" width="17.862142857142857" customWidth="1" bestFit="1"/>
    <col min="59" max="59" style="47" width="17.862142857142857" customWidth="1" bestFit="1"/>
    <col min="60" max="60" style="47" width="15.147857142857141" customWidth="1" bestFit="1"/>
    <col min="61" max="61" style="47" width="14.719285714285713" customWidth="1" bestFit="1"/>
    <col min="62" max="62" style="47" width="14.719285714285713" customWidth="1" bestFit="1"/>
    <col min="63" max="63" style="47" width="11.290714285714287" customWidth="1" bestFit="1"/>
    <col min="64" max="64" style="92" width="17.290714285714284" customWidth="1" bestFit="1"/>
    <col min="65" max="65" style="47" width="12.43357142857143" customWidth="1" bestFit="1"/>
    <col min="66" max="66" style="47" width="12.43357142857143" customWidth="1" bestFit="1"/>
    <col min="67" max="67" style="47" width="11.719285714285713" customWidth="1" bestFit="1"/>
    <col min="68" max="68" style="92" width="17.290714285714284" customWidth="1" bestFit="1"/>
    <col min="69" max="69" style="47" width="21.862142857142857" customWidth="1" bestFit="1"/>
    <col min="70" max="70" style="47" width="15.862142857142858" customWidth="1" bestFit="1"/>
    <col min="71" max="71" style="47" width="26.290714285714284" customWidth="1" bestFit="1"/>
  </cols>
  <sheetData>
    <row x14ac:dyDescent="0.25" r="1" customHeight="1" ht="17.25">
      <c r="A1" s="95" t="s">
        <v>309</v>
      </c>
      <c r="B1" s="96" t="s">
        <v>310</v>
      </c>
      <c r="C1" s="95" t="s">
        <v>311</v>
      </c>
      <c r="D1" s="97" t="s">
        <v>312</v>
      </c>
      <c r="E1" s="96" t="s">
        <v>313</v>
      </c>
      <c r="F1" s="96" t="s">
        <v>314</v>
      </c>
      <c r="G1" s="96" t="s">
        <v>20</v>
      </c>
      <c r="H1" s="96" t="s">
        <v>315</v>
      </c>
      <c r="I1" s="95" t="s">
        <v>316</v>
      </c>
      <c r="J1" s="96" t="s">
        <v>317</v>
      </c>
      <c r="K1" s="96" t="s">
        <v>318</v>
      </c>
      <c r="L1" s="98" t="s">
        <v>319</v>
      </c>
      <c r="M1" s="99" t="s">
        <v>194</v>
      </c>
      <c r="N1" s="96" t="s">
        <v>320</v>
      </c>
      <c r="O1" s="96" t="s">
        <v>321</v>
      </c>
      <c r="P1" s="96" t="s">
        <v>322</v>
      </c>
      <c r="Q1" s="96" t="s">
        <v>323</v>
      </c>
      <c r="R1" s="59" t="s">
        <v>324</v>
      </c>
      <c r="S1" s="100" t="s">
        <v>5</v>
      </c>
      <c r="T1" s="59" t="s">
        <v>325</v>
      </c>
      <c r="U1" s="100" t="s">
        <v>6</v>
      </c>
      <c r="V1" s="59" t="s">
        <v>326</v>
      </c>
      <c r="W1" s="100" t="s">
        <v>7</v>
      </c>
      <c r="X1" s="59" t="s">
        <v>327</v>
      </c>
      <c r="Y1" s="100" t="s">
        <v>8</v>
      </c>
      <c r="Z1" s="59" t="s">
        <v>328</v>
      </c>
      <c r="AA1" s="95" t="s">
        <v>9</v>
      </c>
      <c r="AB1" s="59" t="s">
        <v>329</v>
      </c>
      <c r="AC1" s="101" t="s">
        <v>288</v>
      </c>
      <c r="AD1" s="101" t="s">
        <v>289</v>
      </c>
      <c r="AE1" s="101" t="s">
        <v>290</v>
      </c>
      <c r="AF1" s="101" t="s">
        <v>291</v>
      </c>
      <c r="AG1" s="101" t="s">
        <v>292</v>
      </c>
      <c r="AH1" s="101" t="s">
        <v>293</v>
      </c>
      <c r="AI1" s="96" t="s">
        <v>330</v>
      </c>
      <c r="AJ1" s="96" t="s">
        <v>331</v>
      </c>
      <c r="AK1" s="96" t="s">
        <v>332</v>
      </c>
      <c r="AL1" s="96" t="s">
        <v>11</v>
      </c>
      <c r="AM1" s="101" t="s">
        <v>333</v>
      </c>
      <c r="AN1" s="96" t="s">
        <v>334</v>
      </c>
      <c r="AO1" s="96" t="s">
        <v>335</v>
      </c>
      <c r="AP1" s="96" t="s">
        <v>336</v>
      </c>
      <c r="AQ1" s="96" t="s">
        <v>337</v>
      </c>
      <c r="AR1" s="96" t="s">
        <v>338</v>
      </c>
      <c r="AS1" s="101" t="s">
        <v>339</v>
      </c>
      <c r="AT1" s="96" t="s">
        <v>340</v>
      </c>
      <c r="AU1" s="101" t="s">
        <v>28</v>
      </c>
      <c r="AV1" s="101" t="s">
        <v>29</v>
      </c>
      <c r="AW1" s="101" t="s">
        <v>214</v>
      </c>
      <c r="AX1" s="101" t="s">
        <v>208</v>
      </c>
      <c r="AY1" s="101" t="s">
        <v>341</v>
      </c>
      <c r="AZ1" s="96" t="s">
        <v>342</v>
      </c>
      <c r="BA1" s="101" t="s">
        <v>30</v>
      </c>
      <c r="BB1" s="101" t="s">
        <v>31</v>
      </c>
      <c r="BC1" s="101" t="s">
        <v>32</v>
      </c>
      <c r="BD1" s="101" t="s">
        <v>33</v>
      </c>
      <c r="BE1" s="101" t="s">
        <v>34</v>
      </c>
      <c r="BF1" s="101" t="s">
        <v>214</v>
      </c>
      <c r="BG1" s="101" t="s">
        <v>208</v>
      </c>
      <c r="BH1" s="101" t="s">
        <v>343</v>
      </c>
      <c r="BI1" s="96" t="s">
        <v>344</v>
      </c>
      <c r="BJ1" s="101" t="s">
        <v>345</v>
      </c>
      <c r="BK1" s="96" t="s">
        <v>346</v>
      </c>
      <c r="BL1" s="95" t="s">
        <v>259</v>
      </c>
      <c r="BM1" s="96" t="s">
        <v>347</v>
      </c>
      <c r="BN1" s="96" t="s">
        <v>348</v>
      </c>
      <c r="BO1" s="96" t="s">
        <v>349</v>
      </c>
      <c r="BP1" s="95" t="s">
        <v>249</v>
      </c>
      <c r="BQ1" s="96" t="s">
        <v>18</v>
      </c>
      <c r="BR1" s="96" t="s">
        <v>19</v>
      </c>
      <c r="BS1" s="101" t="s">
        <v>350</v>
      </c>
    </row>
    <row x14ac:dyDescent="0.25" r="2" customHeight="1" ht="17.25">
      <c r="A2" s="102">
        <v>1</v>
      </c>
      <c r="B2" s="1" t="s">
        <v>351</v>
      </c>
      <c r="C2" s="102">
        <v>1</v>
      </c>
      <c r="D2" s="61" t="s">
        <v>352</v>
      </c>
      <c r="E2" s="1" t="s">
        <v>77</v>
      </c>
      <c r="F2" s="1" t="s">
        <v>22</v>
      </c>
      <c r="G2" s="1" t="s">
        <v>40</v>
      </c>
      <c r="H2" s="1" t="s">
        <v>353</v>
      </c>
      <c r="I2" s="102">
        <v>1</v>
      </c>
      <c r="J2" s="1" t="s">
        <v>162</v>
      </c>
      <c r="K2" s="1" t="s">
        <v>22</v>
      </c>
      <c r="L2" s="103">
        <v>27624</v>
      </c>
      <c r="M2" s="104">
        <v>41</v>
      </c>
      <c r="N2" s="1" t="s">
        <v>177</v>
      </c>
      <c r="O2" s="1" t="s">
        <v>24</v>
      </c>
      <c r="P2" s="1" t="s">
        <v>354</v>
      </c>
      <c r="Q2" s="1" t="s">
        <v>355</v>
      </c>
      <c r="R2" s="62">
        <v>0</v>
      </c>
      <c r="S2" s="102">
        <v>0</v>
      </c>
      <c r="T2" s="54" t="s">
        <v>356</v>
      </c>
      <c r="U2" s="105">
        <v>1971.3</v>
      </c>
      <c r="V2" s="62">
        <v>0</v>
      </c>
      <c r="W2" s="102">
        <v>0</v>
      </c>
      <c r="X2" s="62">
        <v>0</v>
      </c>
      <c r="Y2" s="102">
        <v>0</v>
      </c>
      <c r="Z2" s="62">
        <v>0</v>
      </c>
      <c r="AA2" s="102">
        <v>0</v>
      </c>
      <c r="AB2" s="62">
        <v>0</v>
      </c>
      <c r="AC2" s="106" t="s">
        <v>206</v>
      </c>
      <c r="AD2" s="106" t="s">
        <v>206</v>
      </c>
      <c r="AE2" s="106" t="s">
        <v>206</v>
      </c>
      <c r="AF2" s="106" t="s">
        <v>206</v>
      </c>
      <c r="AG2" s="106" t="s">
        <v>206</v>
      </c>
      <c r="AH2" s="106" t="s">
        <v>206</v>
      </c>
      <c r="AI2" s="1" t="s">
        <v>357</v>
      </c>
      <c r="AJ2" s="1" t="s">
        <v>206</v>
      </c>
      <c r="AK2" s="1" t="s">
        <v>358</v>
      </c>
      <c r="AL2" s="1" t="s">
        <v>197</v>
      </c>
      <c r="AM2" s="106" t="s">
        <v>27</v>
      </c>
      <c r="AN2" s="1" t="s">
        <v>357</v>
      </c>
      <c r="AO2" s="1" t="s">
        <v>208</v>
      </c>
      <c r="AP2" s="1" t="s">
        <v>359</v>
      </c>
      <c r="AQ2" s="1" t="s">
        <v>360</v>
      </c>
      <c r="AR2" s="1" t="s">
        <v>207</v>
      </c>
      <c r="AS2" s="106" t="s">
        <v>35</v>
      </c>
      <c r="AT2" s="1" t="s">
        <v>206</v>
      </c>
      <c r="AU2" s="106" t="s">
        <v>206</v>
      </c>
      <c r="AV2" s="106" t="s">
        <v>206</v>
      </c>
      <c r="AW2" s="106" t="s">
        <v>35</v>
      </c>
      <c r="AX2" s="106" t="s">
        <v>206</v>
      </c>
      <c r="AY2" s="106" t="s">
        <v>206</v>
      </c>
      <c r="AZ2" s="1" t="s">
        <v>206</v>
      </c>
      <c r="BA2" s="106" t="s">
        <v>206</v>
      </c>
      <c r="BB2" s="106" t="s">
        <v>206</v>
      </c>
      <c r="BC2" s="106" t="s">
        <v>206</v>
      </c>
      <c r="BD2" s="106" t="s">
        <v>206</v>
      </c>
      <c r="BE2" s="106" t="s">
        <v>206</v>
      </c>
      <c r="BF2" s="107">
        <f>IF(AZ2="Não","Sim","Não")</f>
      </c>
      <c r="BG2" s="107">
        <f>IF(AZ2="NA","Sim","Não")</f>
      </c>
      <c r="BH2" s="106" t="s">
        <v>206</v>
      </c>
      <c r="BI2" s="1" t="s">
        <v>238</v>
      </c>
      <c r="BJ2" s="106" t="s">
        <v>241</v>
      </c>
      <c r="BK2" s="1" t="s">
        <v>361</v>
      </c>
      <c r="BL2" s="102">
        <v>120</v>
      </c>
      <c r="BM2" s="1" t="s">
        <v>208</v>
      </c>
      <c r="BN2" s="1" t="s">
        <v>208</v>
      </c>
      <c r="BO2" s="1" t="s">
        <v>361</v>
      </c>
      <c r="BP2" s="102">
        <v>120</v>
      </c>
      <c r="BQ2" s="1" t="s">
        <v>208</v>
      </c>
      <c r="BR2" s="1" t="s">
        <v>227</v>
      </c>
      <c r="BS2" s="106" t="s">
        <v>232</v>
      </c>
    </row>
    <row x14ac:dyDescent="0.25" r="3" customHeight="1" ht="17.25">
      <c r="A3" s="102">
        <v>2</v>
      </c>
      <c r="B3" s="1" t="s">
        <v>362</v>
      </c>
      <c r="C3" s="102">
        <v>0</v>
      </c>
      <c r="D3" s="61" t="s">
        <v>363</v>
      </c>
      <c r="E3" s="1" t="s">
        <v>77</v>
      </c>
      <c r="F3" s="1" t="s">
        <v>22</v>
      </c>
      <c r="G3" s="1" t="s">
        <v>40</v>
      </c>
      <c r="H3" s="1" t="s">
        <v>364</v>
      </c>
      <c r="I3" s="102">
        <v>1</v>
      </c>
      <c r="J3" s="1" t="s">
        <v>158</v>
      </c>
      <c r="K3" s="1" t="s">
        <v>22</v>
      </c>
      <c r="L3" s="103">
        <v>34466</v>
      </c>
      <c r="M3" s="104">
        <v>22</v>
      </c>
      <c r="N3" s="1" t="s">
        <v>177</v>
      </c>
      <c r="O3" s="1" t="s">
        <v>24</v>
      </c>
      <c r="P3" s="1" t="s">
        <v>365</v>
      </c>
      <c r="Q3" s="1" t="s">
        <v>366</v>
      </c>
      <c r="R3" s="54" t="s">
        <v>367</v>
      </c>
      <c r="S3" s="105">
        <v>148.5</v>
      </c>
      <c r="T3" s="54" t="s">
        <v>368</v>
      </c>
      <c r="U3" s="105">
        <v>36.6</v>
      </c>
      <c r="V3" s="54" t="s">
        <v>369</v>
      </c>
      <c r="W3" s="105">
        <v>1.1</v>
      </c>
      <c r="X3" s="62">
        <v>0</v>
      </c>
      <c r="Y3" s="102">
        <v>0</v>
      </c>
      <c r="Z3" s="62">
        <v>0</v>
      </c>
      <c r="AA3" s="102">
        <v>0</v>
      </c>
      <c r="AB3" s="57" t="s">
        <v>370</v>
      </c>
      <c r="AC3" s="106" t="s">
        <v>206</v>
      </c>
      <c r="AD3" s="106" t="s">
        <v>206</v>
      </c>
      <c r="AE3" s="106" t="s">
        <v>35</v>
      </c>
      <c r="AF3" s="106" t="s">
        <v>35</v>
      </c>
      <c r="AG3" s="106" t="s">
        <v>206</v>
      </c>
      <c r="AH3" s="106" t="s">
        <v>206</v>
      </c>
      <c r="AI3" s="1" t="s">
        <v>371</v>
      </c>
      <c r="AJ3" s="1" t="s">
        <v>372</v>
      </c>
      <c r="AK3" s="1" t="s">
        <v>373</v>
      </c>
      <c r="AL3" s="1" t="s">
        <v>198</v>
      </c>
      <c r="AM3" s="106" t="s">
        <v>27</v>
      </c>
      <c r="AN3" s="1" t="s">
        <v>357</v>
      </c>
      <c r="AO3" s="1" t="s">
        <v>206</v>
      </c>
      <c r="AP3" s="1" t="s">
        <v>374</v>
      </c>
      <c r="AQ3" s="1" t="s">
        <v>375</v>
      </c>
      <c r="AR3" s="1" t="s">
        <v>207</v>
      </c>
      <c r="AS3" s="106" t="s">
        <v>35</v>
      </c>
      <c r="AT3" s="1" t="s">
        <v>206</v>
      </c>
      <c r="AU3" s="106" t="s">
        <v>206</v>
      </c>
      <c r="AV3" s="106" t="s">
        <v>206</v>
      </c>
      <c r="AW3" s="106" t="s">
        <v>35</v>
      </c>
      <c r="AX3" s="106" t="s">
        <v>206</v>
      </c>
      <c r="AY3" s="106" t="s">
        <v>206</v>
      </c>
      <c r="AZ3" s="1" t="s">
        <v>30</v>
      </c>
      <c r="BA3" s="106" t="s">
        <v>35</v>
      </c>
      <c r="BB3" s="106" t="s">
        <v>206</v>
      </c>
      <c r="BC3" s="106" t="s">
        <v>206</v>
      </c>
      <c r="BD3" s="106" t="s">
        <v>206</v>
      </c>
      <c r="BE3" s="106" t="s">
        <v>206</v>
      </c>
      <c r="BF3" s="107">
        <f>IF(AZ3="Não","Sim","Não")</f>
      </c>
      <c r="BG3" s="107">
        <f>IF(AZ3="NA","Sim","Não")</f>
      </c>
      <c r="BH3" s="106" t="s">
        <v>35</v>
      </c>
      <c r="BI3" s="1" t="s">
        <v>238</v>
      </c>
      <c r="BJ3" s="106" t="s">
        <v>241</v>
      </c>
      <c r="BK3" s="1" t="s">
        <v>376</v>
      </c>
      <c r="BL3" s="105">
        <v>122.5</v>
      </c>
      <c r="BM3" s="1" t="s">
        <v>208</v>
      </c>
      <c r="BN3" s="1" t="s">
        <v>208</v>
      </c>
      <c r="BO3" s="1" t="s">
        <v>376</v>
      </c>
      <c r="BP3" s="105">
        <v>122.5</v>
      </c>
      <c r="BQ3" s="1" t="s">
        <v>208</v>
      </c>
      <c r="BR3" s="1" t="s">
        <v>227</v>
      </c>
      <c r="BS3" s="106" t="s">
        <v>232</v>
      </c>
    </row>
    <row x14ac:dyDescent="0.25" r="4" customHeight="1" ht="17.25">
      <c r="A4" s="102">
        <v>3</v>
      </c>
      <c r="B4" s="1" t="s">
        <v>377</v>
      </c>
      <c r="C4" s="102">
        <v>1</v>
      </c>
      <c r="D4" s="61" t="s">
        <v>378</v>
      </c>
      <c r="E4" s="1" t="s">
        <v>137</v>
      </c>
      <c r="F4" s="1" t="s">
        <v>170</v>
      </c>
      <c r="G4" s="1" t="s">
        <v>58</v>
      </c>
      <c r="H4" s="1" t="s">
        <v>379</v>
      </c>
      <c r="I4" s="102">
        <v>1</v>
      </c>
      <c r="J4" s="1" t="s">
        <v>158</v>
      </c>
      <c r="K4" s="1" t="s">
        <v>22</v>
      </c>
      <c r="L4" s="103">
        <v>33108</v>
      </c>
      <c r="M4" s="104">
        <v>26</v>
      </c>
      <c r="N4" s="1" t="s">
        <v>175</v>
      </c>
      <c r="O4" s="1" t="s">
        <v>24</v>
      </c>
      <c r="P4" s="1" t="s">
        <v>365</v>
      </c>
      <c r="Q4" s="1" t="s">
        <v>380</v>
      </c>
      <c r="R4" s="54" t="s">
        <v>381</v>
      </c>
      <c r="S4" s="102">
        <v>56</v>
      </c>
      <c r="T4" s="54" t="s">
        <v>382</v>
      </c>
      <c r="U4" s="105">
        <v>15.5</v>
      </c>
      <c r="V4" s="54" t="s">
        <v>383</v>
      </c>
      <c r="W4" s="105">
        <v>22.6</v>
      </c>
      <c r="X4" s="62">
        <v>0</v>
      </c>
      <c r="Y4" s="102">
        <v>0</v>
      </c>
      <c r="Z4" s="62">
        <v>0</v>
      </c>
      <c r="AA4" s="102">
        <v>0</v>
      </c>
      <c r="AB4" s="62">
        <v>0</v>
      </c>
      <c r="AC4" s="106" t="s">
        <v>206</v>
      </c>
      <c r="AD4" s="106" t="s">
        <v>206</v>
      </c>
      <c r="AE4" s="106" t="s">
        <v>206</v>
      </c>
      <c r="AF4" s="106" t="s">
        <v>206</v>
      </c>
      <c r="AG4" s="106" t="s">
        <v>206</v>
      </c>
      <c r="AH4" s="106" t="s">
        <v>206</v>
      </c>
      <c r="AI4" s="1" t="s">
        <v>357</v>
      </c>
      <c r="AJ4" s="1" t="s">
        <v>372</v>
      </c>
      <c r="AK4" s="1" t="s">
        <v>384</v>
      </c>
      <c r="AL4" s="1" t="s">
        <v>198</v>
      </c>
      <c r="AM4" s="106" t="s">
        <v>27</v>
      </c>
      <c r="AN4" s="1" t="s">
        <v>357</v>
      </c>
      <c r="AO4" s="1" t="s">
        <v>206</v>
      </c>
      <c r="AP4" s="1" t="s">
        <v>385</v>
      </c>
      <c r="AQ4" s="1" t="s">
        <v>386</v>
      </c>
      <c r="AR4" s="1" t="s">
        <v>207</v>
      </c>
      <c r="AS4" s="106" t="s">
        <v>35</v>
      </c>
      <c r="AT4" s="1" t="s">
        <v>206</v>
      </c>
      <c r="AU4" s="106" t="s">
        <v>206</v>
      </c>
      <c r="AV4" s="106" t="s">
        <v>206</v>
      </c>
      <c r="AW4" s="106" t="s">
        <v>35</v>
      </c>
      <c r="AX4" s="106" t="s">
        <v>206</v>
      </c>
      <c r="AY4" s="106" t="s">
        <v>206</v>
      </c>
      <c r="AZ4" s="1" t="s">
        <v>30</v>
      </c>
      <c r="BA4" s="106" t="s">
        <v>35</v>
      </c>
      <c r="BB4" s="106" t="s">
        <v>206</v>
      </c>
      <c r="BC4" s="106" t="s">
        <v>206</v>
      </c>
      <c r="BD4" s="106" t="s">
        <v>206</v>
      </c>
      <c r="BE4" s="106" t="s">
        <v>206</v>
      </c>
      <c r="BF4" s="107">
        <f>IF(AZ4="Não","Sim","Não")</f>
      </c>
      <c r="BG4" s="107">
        <f>IF(AZ4="NA","Sim","Não")</f>
      </c>
      <c r="BH4" s="106" t="s">
        <v>35</v>
      </c>
      <c r="BI4" s="1" t="s">
        <v>238</v>
      </c>
      <c r="BJ4" s="106" t="s">
        <v>241</v>
      </c>
      <c r="BK4" s="1" t="s">
        <v>387</v>
      </c>
      <c r="BL4" s="102">
        <v>126</v>
      </c>
      <c r="BM4" s="1" t="s">
        <v>208</v>
      </c>
      <c r="BN4" s="1" t="s">
        <v>208</v>
      </c>
      <c r="BO4" s="1" t="s">
        <v>387</v>
      </c>
      <c r="BP4" s="102">
        <v>126</v>
      </c>
      <c r="BQ4" s="1" t="s">
        <v>208</v>
      </c>
      <c r="BR4" s="1" t="s">
        <v>227</v>
      </c>
      <c r="BS4" s="106" t="s">
        <v>232</v>
      </c>
    </row>
    <row x14ac:dyDescent="0.25" r="5" customHeight="1" ht="17.25">
      <c r="A5" s="102">
        <v>4</v>
      </c>
      <c r="B5" s="1" t="s">
        <v>388</v>
      </c>
      <c r="C5" s="102">
        <v>1</v>
      </c>
      <c r="D5" s="61" t="s">
        <v>389</v>
      </c>
      <c r="E5" s="1" t="s">
        <v>121</v>
      </c>
      <c r="F5" s="1" t="s">
        <v>170</v>
      </c>
      <c r="G5" s="1" t="s">
        <v>66</v>
      </c>
      <c r="H5" s="1" t="s">
        <v>390</v>
      </c>
      <c r="I5" s="102">
        <v>1</v>
      </c>
      <c r="J5" s="1" t="s">
        <v>159</v>
      </c>
      <c r="K5" s="1" t="s">
        <v>22</v>
      </c>
      <c r="L5" s="103">
        <v>30213</v>
      </c>
      <c r="M5" s="104">
        <v>34</v>
      </c>
      <c r="N5" s="1" t="s">
        <v>175</v>
      </c>
      <c r="O5" s="1" t="s">
        <v>24</v>
      </c>
      <c r="P5" s="1" t="s">
        <v>365</v>
      </c>
      <c r="Q5" s="1" t="s">
        <v>391</v>
      </c>
      <c r="R5" s="54" t="s">
        <v>392</v>
      </c>
      <c r="S5" s="102">
        <v>2530</v>
      </c>
      <c r="T5" s="54" t="s">
        <v>393</v>
      </c>
      <c r="U5" s="102">
        <v>1980</v>
      </c>
      <c r="V5" s="54" t="s">
        <v>394</v>
      </c>
      <c r="W5" s="102">
        <v>858</v>
      </c>
      <c r="X5" s="62">
        <v>0</v>
      </c>
      <c r="Y5" s="102">
        <v>0</v>
      </c>
      <c r="Z5" s="62">
        <v>0</v>
      </c>
      <c r="AA5" s="102">
        <v>0</v>
      </c>
      <c r="AB5" s="62">
        <v>0</v>
      </c>
      <c r="AC5" s="106" t="s">
        <v>206</v>
      </c>
      <c r="AD5" s="106" t="s">
        <v>206</v>
      </c>
      <c r="AE5" s="106" t="s">
        <v>206</v>
      </c>
      <c r="AF5" s="106" t="s">
        <v>206</v>
      </c>
      <c r="AG5" s="106" t="s">
        <v>206</v>
      </c>
      <c r="AH5" s="106" t="s">
        <v>206</v>
      </c>
      <c r="AI5" s="1" t="s">
        <v>357</v>
      </c>
      <c r="AJ5" s="1" t="s">
        <v>206</v>
      </c>
      <c r="AK5" s="1" t="s">
        <v>395</v>
      </c>
      <c r="AL5" s="1" t="s">
        <v>197</v>
      </c>
      <c r="AM5" s="106" t="s">
        <v>27</v>
      </c>
      <c r="AN5" s="1" t="s">
        <v>357</v>
      </c>
      <c r="AO5" s="1" t="s">
        <v>208</v>
      </c>
      <c r="AP5" s="1" t="s">
        <v>396</v>
      </c>
      <c r="AQ5" s="1" t="s">
        <v>397</v>
      </c>
      <c r="AR5" s="1" t="s">
        <v>207</v>
      </c>
      <c r="AS5" s="106" t="s">
        <v>35</v>
      </c>
      <c r="AT5" s="1" t="s">
        <v>206</v>
      </c>
      <c r="AU5" s="106" t="s">
        <v>206</v>
      </c>
      <c r="AV5" s="106" t="s">
        <v>206</v>
      </c>
      <c r="AW5" s="106" t="s">
        <v>35</v>
      </c>
      <c r="AX5" s="106" t="s">
        <v>206</v>
      </c>
      <c r="AY5" s="106" t="s">
        <v>206</v>
      </c>
      <c r="AZ5" s="1" t="s">
        <v>206</v>
      </c>
      <c r="BA5" s="106" t="s">
        <v>206</v>
      </c>
      <c r="BB5" s="106" t="s">
        <v>206</v>
      </c>
      <c r="BC5" s="106" t="s">
        <v>206</v>
      </c>
      <c r="BD5" s="106" t="s">
        <v>206</v>
      </c>
      <c r="BE5" s="106" t="s">
        <v>206</v>
      </c>
      <c r="BF5" s="107">
        <f>IF(AZ5="Não","Sim","Não")</f>
      </c>
      <c r="BG5" s="107">
        <f>IF(AZ5="NA","Sim","Não")</f>
      </c>
      <c r="BH5" s="106" t="s">
        <v>206</v>
      </c>
      <c r="BI5" s="1" t="s">
        <v>238</v>
      </c>
      <c r="BJ5" s="106" t="s">
        <v>241</v>
      </c>
      <c r="BK5" s="1" t="s">
        <v>398</v>
      </c>
      <c r="BL5" s="105">
        <v>129.63333333333333</v>
      </c>
      <c r="BM5" s="1" t="s">
        <v>208</v>
      </c>
      <c r="BN5" s="1" t="s">
        <v>208</v>
      </c>
      <c r="BO5" s="1" t="s">
        <v>398</v>
      </c>
      <c r="BP5" s="105">
        <v>129.63333333333333</v>
      </c>
      <c r="BQ5" s="1" t="s">
        <v>208</v>
      </c>
      <c r="BR5" s="1" t="s">
        <v>227</v>
      </c>
      <c r="BS5" s="106" t="s">
        <v>232</v>
      </c>
    </row>
    <row x14ac:dyDescent="0.25" r="6" customHeight="1" ht="17.25">
      <c r="A6" s="102">
        <v>5</v>
      </c>
      <c r="B6" s="1" t="s">
        <v>399</v>
      </c>
      <c r="C6" s="102">
        <v>1</v>
      </c>
      <c r="D6" s="61" t="s">
        <v>400</v>
      </c>
      <c r="E6" s="1" t="s">
        <v>86</v>
      </c>
      <c r="F6" s="1" t="s">
        <v>22</v>
      </c>
      <c r="G6" s="1" t="s">
        <v>50</v>
      </c>
      <c r="H6" s="1" t="s">
        <v>401</v>
      </c>
      <c r="I6" s="102">
        <v>1</v>
      </c>
      <c r="J6" s="1" t="s">
        <v>159</v>
      </c>
      <c r="K6" s="1" t="s">
        <v>22</v>
      </c>
      <c r="L6" s="103">
        <v>33769</v>
      </c>
      <c r="M6" s="104">
        <v>25</v>
      </c>
      <c r="N6" s="1" t="s">
        <v>177</v>
      </c>
      <c r="O6" s="1" t="s">
        <v>24</v>
      </c>
      <c r="P6" s="1" t="s">
        <v>178</v>
      </c>
      <c r="Q6" s="1" t="s">
        <v>402</v>
      </c>
      <c r="R6" s="62">
        <v>0</v>
      </c>
      <c r="S6" s="102">
        <v>0</v>
      </c>
      <c r="T6" s="62">
        <v>0</v>
      </c>
      <c r="U6" s="102">
        <v>0</v>
      </c>
      <c r="V6" s="54" t="s">
        <v>403</v>
      </c>
      <c r="W6" s="105">
        <v>3334.6</v>
      </c>
      <c r="X6" s="62">
        <v>0</v>
      </c>
      <c r="Y6" s="102">
        <v>0</v>
      </c>
      <c r="Z6" s="62">
        <v>0</v>
      </c>
      <c r="AA6" s="102">
        <v>0</v>
      </c>
      <c r="AB6" s="62">
        <v>0</v>
      </c>
      <c r="AC6" s="106" t="s">
        <v>206</v>
      </c>
      <c r="AD6" s="106" t="s">
        <v>206</v>
      </c>
      <c r="AE6" s="106" t="s">
        <v>206</v>
      </c>
      <c r="AF6" s="106" t="s">
        <v>206</v>
      </c>
      <c r="AG6" s="106" t="s">
        <v>206</v>
      </c>
      <c r="AH6" s="106" t="s">
        <v>206</v>
      </c>
      <c r="AI6" s="1" t="s">
        <v>357</v>
      </c>
      <c r="AJ6" s="1" t="s">
        <v>404</v>
      </c>
      <c r="AK6" s="1" t="s">
        <v>405</v>
      </c>
      <c r="AL6" s="1" t="s">
        <v>198</v>
      </c>
      <c r="AM6" s="106" t="s">
        <v>27</v>
      </c>
      <c r="AN6" s="1" t="s">
        <v>357</v>
      </c>
      <c r="AO6" s="1" t="s">
        <v>206</v>
      </c>
      <c r="AP6" s="1" t="s">
        <v>406</v>
      </c>
      <c r="AQ6" s="1" t="s">
        <v>360</v>
      </c>
      <c r="AR6" s="1" t="s">
        <v>207</v>
      </c>
      <c r="AS6" s="106" t="s">
        <v>35</v>
      </c>
      <c r="AT6" s="1" t="s">
        <v>206</v>
      </c>
      <c r="AU6" s="106" t="s">
        <v>206</v>
      </c>
      <c r="AV6" s="106" t="s">
        <v>206</v>
      </c>
      <c r="AW6" s="106" t="s">
        <v>35</v>
      </c>
      <c r="AX6" s="106" t="s">
        <v>206</v>
      </c>
      <c r="AY6" s="106" t="s">
        <v>206</v>
      </c>
      <c r="AZ6" s="1" t="s">
        <v>219</v>
      </c>
      <c r="BA6" s="106" t="s">
        <v>35</v>
      </c>
      <c r="BB6" s="106" t="s">
        <v>35</v>
      </c>
      <c r="BC6" s="106" t="s">
        <v>206</v>
      </c>
      <c r="BD6" s="106" t="s">
        <v>206</v>
      </c>
      <c r="BE6" s="106" t="s">
        <v>206</v>
      </c>
      <c r="BF6" s="107">
        <f>IF(AZ6="Não","Sim","Não")</f>
      </c>
      <c r="BG6" s="107">
        <f>IF(AZ6="NA","Sim","Não")</f>
      </c>
      <c r="BH6" s="106" t="s">
        <v>35</v>
      </c>
      <c r="BI6" s="1" t="s">
        <v>238</v>
      </c>
      <c r="BJ6" s="106" t="s">
        <v>241</v>
      </c>
      <c r="BK6" s="1" t="s">
        <v>407</v>
      </c>
      <c r="BL6" s="105">
        <v>134.4</v>
      </c>
      <c r="BM6" s="1" t="s">
        <v>208</v>
      </c>
      <c r="BN6" s="1" t="s">
        <v>208</v>
      </c>
      <c r="BO6" s="1" t="s">
        <v>407</v>
      </c>
      <c r="BP6" s="105">
        <v>134.4</v>
      </c>
      <c r="BQ6" s="1" t="s">
        <v>208</v>
      </c>
      <c r="BR6" s="1" t="s">
        <v>227</v>
      </c>
      <c r="BS6" s="106" t="s">
        <v>232</v>
      </c>
    </row>
    <row x14ac:dyDescent="0.25" r="7" customHeight="1" ht="17.25">
      <c r="A7" s="102">
        <v>6</v>
      </c>
      <c r="B7" s="1" t="s">
        <v>408</v>
      </c>
      <c r="C7" s="102">
        <v>1</v>
      </c>
      <c r="D7" s="61" t="s">
        <v>409</v>
      </c>
      <c r="E7" s="1" t="s">
        <v>82</v>
      </c>
      <c r="F7" s="1" t="s">
        <v>22</v>
      </c>
      <c r="G7" s="1" t="s">
        <v>59</v>
      </c>
      <c r="H7" s="1" t="s">
        <v>410</v>
      </c>
      <c r="I7" s="102">
        <v>1</v>
      </c>
      <c r="J7" s="1" t="s">
        <v>159</v>
      </c>
      <c r="K7" s="1" t="s">
        <v>22</v>
      </c>
      <c r="L7" s="103">
        <v>26835</v>
      </c>
      <c r="M7" s="104">
        <v>44</v>
      </c>
      <c r="N7" s="1" t="s">
        <v>175</v>
      </c>
      <c r="O7" s="1" t="s">
        <v>24</v>
      </c>
      <c r="P7" s="1" t="s">
        <v>354</v>
      </c>
      <c r="Q7" s="1" t="s">
        <v>411</v>
      </c>
      <c r="R7" s="54" t="s">
        <v>412</v>
      </c>
      <c r="S7" s="105">
        <v>515.68</v>
      </c>
      <c r="T7" s="54" t="s">
        <v>413</v>
      </c>
      <c r="U7" s="102">
        <v>11</v>
      </c>
      <c r="V7" s="54" t="s">
        <v>414</v>
      </c>
      <c r="W7" s="105">
        <v>8.5</v>
      </c>
      <c r="X7" s="62">
        <v>0</v>
      </c>
      <c r="Y7" s="102">
        <v>0</v>
      </c>
      <c r="Z7" s="62">
        <v>0</v>
      </c>
      <c r="AA7" s="102">
        <v>0</v>
      </c>
      <c r="AB7" s="62">
        <v>0</v>
      </c>
      <c r="AC7" s="106" t="s">
        <v>206</v>
      </c>
      <c r="AD7" s="106" t="s">
        <v>206</v>
      </c>
      <c r="AE7" s="106" t="s">
        <v>206</v>
      </c>
      <c r="AF7" s="106" t="s">
        <v>206</v>
      </c>
      <c r="AG7" s="106" t="s">
        <v>206</v>
      </c>
      <c r="AH7" s="106" t="s">
        <v>206</v>
      </c>
      <c r="AI7" s="1" t="s">
        <v>371</v>
      </c>
      <c r="AJ7" s="1" t="s">
        <v>206</v>
      </c>
      <c r="AK7" s="1" t="s">
        <v>415</v>
      </c>
      <c r="AL7" s="1" t="s">
        <v>198</v>
      </c>
      <c r="AM7" s="106" t="s">
        <v>27</v>
      </c>
      <c r="AN7" s="1" t="s">
        <v>357</v>
      </c>
      <c r="AO7" s="1" t="s">
        <v>208</v>
      </c>
      <c r="AP7" s="1" t="s">
        <v>359</v>
      </c>
      <c r="AQ7" s="1" t="s">
        <v>361</v>
      </c>
      <c r="AR7" s="1" t="s">
        <v>207</v>
      </c>
      <c r="AS7" s="106" t="s">
        <v>35</v>
      </c>
      <c r="AT7" s="1" t="s">
        <v>206</v>
      </c>
      <c r="AU7" s="106" t="s">
        <v>206</v>
      </c>
      <c r="AV7" s="106" t="s">
        <v>206</v>
      </c>
      <c r="AW7" s="106" t="s">
        <v>35</v>
      </c>
      <c r="AX7" s="106" t="s">
        <v>206</v>
      </c>
      <c r="AY7" s="106" t="s">
        <v>206</v>
      </c>
      <c r="AZ7" s="1" t="s">
        <v>206</v>
      </c>
      <c r="BA7" s="106" t="s">
        <v>206</v>
      </c>
      <c r="BB7" s="106" t="s">
        <v>206</v>
      </c>
      <c r="BC7" s="106" t="s">
        <v>206</v>
      </c>
      <c r="BD7" s="106" t="s">
        <v>206</v>
      </c>
      <c r="BE7" s="106" t="s">
        <v>206</v>
      </c>
      <c r="BF7" s="107">
        <f>IF(AZ7="Não","Sim","Não")</f>
      </c>
      <c r="BG7" s="107">
        <f>IF(AZ7="NA","Sim","Não")</f>
      </c>
      <c r="BH7" s="106" t="s">
        <v>206</v>
      </c>
      <c r="BI7" s="1" t="s">
        <v>238</v>
      </c>
      <c r="BJ7" s="106" t="s">
        <v>241</v>
      </c>
      <c r="BK7" s="1" t="s">
        <v>416</v>
      </c>
      <c r="BL7" s="102">
        <v>150</v>
      </c>
      <c r="BM7" s="1" t="s">
        <v>208</v>
      </c>
      <c r="BN7" s="1" t="s">
        <v>208</v>
      </c>
      <c r="BO7" s="1" t="s">
        <v>416</v>
      </c>
      <c r="BP7" s="102">
        <v>150</v>
      </c>
      <c r="BQ7" s="1" t="s">
        <v>208</v>
      </c>
      <c r="BR7" s="1" t="s">
        <v>227</v>
      </c>
      <c r="BS7" s="106" t="s">
        <v>232</v>
      </c>
    </row>
    <row x14ac:dyDescent="0.25" r="8" customHeight="1" ht="17.25">
      <c r="A8" s="102">
        <v>7</v>
      </c>
      <c r="B8" s="1" t="s">
        <v>417</v>
      </c>
      <c r="C8" s="102">
        <v>1</v>
      </c>
      <c r="D8" s="61" t="s">
        <v>418</v>
      </c>
      <c r="E8" s="1" t="s">
        <v>97</v>
      </c>
      <c r="F8" s="1" t="s">
        <v>170</v>
      </c>
      <c r="G8" s="1" t="s">
        <v>57</v>
      </c>
      <c r="H8" s="1" t="s">
        <v>419</v>
      </c>
      <c r="I8" s="102">
        <v>1</v>
      </c>
      <c r="J8" s="1" t="s">
        <v>158</v>
      </c>
      <c r="K8" s="1" t="s">
        <v>170</v>
      </c>
      <c r="L8" s="103">
        <v>34880</v>
      </c>
      <c r="M8" s="104">
        <v>21</v>
      </c>
      <c r="N8" s="1" t="s">
        <v>175</v>
      </c>
      <c r="O8" s="1" t="s">
        <v>24</v>
      </c>
      <c r="P8" s="1" t="s">
        <v>365</v>
      </c>
      <c r="Q8" s="1" t="s">
        <v>420</v>
      </c>
      <c r="R8" s="62">
        <v>0</v>
      </c>
      <c r="S8" s="102">
        <v>0</v>
      </c>
      <c r="T8" s="62">
        <v>0</v>
      </c>
      <c r="U8" s="102">
        <v>0</v>
      </c>
      <c r="V8" s="54" t="s">
        <v>421</v>
      </c>
      <c r="W8" s="105">
        <v>12.5</v>
      </c>
      <c r="X8" s="62">
        <v>0</v>
      </c>
      <c r="Y8" s="102">
        <v>0</v>
      </c>
      <c r="Z8" s="62">
        <v>0</v>
      </c>
      <c r="AA8" s="102">
        <v>0</v>
      </c>
      <c r="AB8" s="62">
        <v>0</v>
      </c>
      <c r="AC8" s="106" t="s">
        <v>206</v>
      </c>
      <c r="AD8" s="106" t="s">
        <v>206</v>
      </c>
      <c r="AE8" s="106" t="s">
        <v>206</v>
      </c>
      <c r="AF8" s="106" t="s">
        <v>206</v>
      </c>
      <c r="AG8" s="106" t="s">
        <v>206</v>
      </c>
      <c r="AH8" s="106" t="s">
        <v>206</v>
      </c>
      <c r="AI8" s="1" t="s">
        <v>357</v>
      </c>
      <c r="AJ8" s="1" t="s">
        <v>206</v>
      </c>
      <c r="AK8" s="1" t="s">
        <v>422</v>
      </c>
      <c r="AL8" s="1" t="s">
        <v>197</v>
      </c>
      <c r="AM8" s="106" t="s">
        <v>27</v>
      </c>
      <c r="AN8" s="1" t="s">
        <v>357</v>
      </c>
      <c r="AO8" s="1" t="s">
        <v>208</v>
      </c>
      <c r="AP8" s="1" t="s">
        <v>423</v>
      </c>
      <c r="AQ8" s="1" t="s">
        <v>424</v>
      </c>
      <c r="AR8" s="1" t="s">
        <v>207</v>
      </c>
      <c r="AS8" s="106" t="s">
        <v>35</v>
      </c>
      <c r="AT8" s="1" t="s">
        <v>206</v>
      </c>
      <c r="AU8" s="106" t="s">
        <v>206</v>
      </c>
      <c r="AV8" s="106" t="s">
        <v>206</v>
      </c>
      <c r="AW8" s="106" t="s">
        <v>35</v>
      </c>
      <c r="AX8" s="106" t="s">
        <v>206</v>
      </c>
      <c r="AY8" s="106" t="s">
        <v>206</v>
      </c>
      <c r="AZ8" s="1" t="s">
        <v>206</v>
      </c>
      <c r="BA8" s="106" t="s">
        <v>206</v>
      </c>
      <c r="BB8" s="106" t="s">
        <v>206</v>
      </c>
      <c r="BC8" s="106" t="s">
        <v>206</v>
      </c>
      <c r="BD8" s="106" t="s">
        <v>206</v>
      </c>
      <c r="BE8" s="106" t="s">
        <v>206</v>
      </c>
      <c r="BF8" s="107">
        <f>IF(AZ8="Não","Sim","Não")</f>
      </c>
      <c r="BG8" s="107">
        <f>IF(AZ8="NA","Sim","Não")</f>
      </c>
      <c r="BH8" s="106" t="s">
        <v>206</v>
      </c>
      <c r="BI8" s="1" t="s">
        <v>238</v>
      </c>
      <c r="BJ8" s="106" t="s">
        <v>241</v>
      </c>
      <c r="BK8" s="1" t="s">
        <v>425</v>
      </c>
      <c r="BL8" s="102">
        <v>180</v>
      </c>
      <c r="BM8" s="1" t="s">
        <v>208</v>
      </c>
      <c r="BN8" s="1" t="s">
        <v>208</v>
      </c>
      <c r="BO8" s="1" t="s">
        <v>425</v>
      </c>
      <c r="BP8" s="102">
        <v>180</v>
      </c>
      <c r="BQ8" s="1" t="s">
        <v>208</v>
      </c>
      <c r="BR8" s="1" t="s">
        <v>227</v>
      </c>
      <c r="BS8" s="106" t="s">
        <v>232</v>
      </c>
    </row>
    <row x14ac:dyDescent="0.25" r="9" customHeight="1" ht="17.25">
      <c r="A9" s="102">
        <v>8</v>
      </c>
      <c r="B9" s="1" t="s">
        <v>426</v>
      </c>
      <c r="C9" s="102">
        <v>0</v>
      </c>
      <c r="D9" s="61" t="s">
        <v>427</v>
      </c>
      <c r="E9" s="1" t="s">
        <v>108</v>
      </c>
      <c r="F9" s="1" t="s">
        <v>170</v>
      </c>
      <c r="G9" s="1" t="s">
        <v>46</v>
      </c>
      <c r="H9" s="1" t="s">
        <v>428</v>
      </c>
      <c r="I9" s="102">
        <v>1</v>
      </c>
      <c r="J9" s="1" t="s">
        <v>158</v>
      </c>
      <c r="K9" s="1" t="s">
        <v>22</v>
      </c>
      <c r="L9" s="103">
        <v>32973</v>
      </c>
      <c r="M9" s="104">
        <v>27</v>
      </c>
      <c r="N9" s="1" t="s">
        <v>175</v>
      </c>
      <c r="O9" s="1" t="s">
        <v>24</v>
      </c>
      <c r="P9" s="1" t="s">
        <v>365</v>
      </c>
      <c r="Q9" s="1" t="s">
        <v>429</v>
      </c>
      <c r="R9" s="62">
        <v>0</v>
      </c>
      <c r="S9" s="102">
        <v>0</v>
      </c>
      <c r="T9" s="62">
        <v>0</v>
      </c>
      <c r="U9" s="102">
        <v>0</v>
      </c>
      <c r="V9" s="62">
        <v>0</v>
      </c>
      <c r="W9" s="102">
        <v>0</v>
      </c>
      <c r="X9" s="62">
        <v>0</v>
      </c>
      <c r="Y9" s="102">
        <v>0</v>
      </c>
      <c r="Z9" s="62">
        <v>0</v>
      </c>
      <c r="AA9" s="102">
        <v>0</v>
      </c>
      <c r="AB9" s="62">
        <v>0</v>
      </c>
      <c r="AC9" s="106" t="s">
        <v>206</v>
      </c>
      <c r="AD9" s="106" t="s">
        <v>206</v>
      </c>
      <c r="AE9" s="106" t="s">
        <v>206</v>
      </c>
      <c r="AF9" s="106" t="s">
        <v>206</v>
      </c>
      <c r="AG9" s="106" t="s">
        <v>206</v>
      </c>
      <c r="AH9" s="106" t="s">
        <v>206</v>
      </c>
      <c r="AI9" s="1" t="s">
        <v>371</v>
      </c>
      <c r="AJ9" s="1" t="s">
        <v>206</v>
      </c>
      <c r="AK9" s="1" t="s">
        <v>430</v>
      </c>
      <c r="AL9" s="1" t="s">
        <v>198</v>
      </c>
      <c r="AM9" s="106" t="s">
        <v>27</v>
      </c>
      <c r="AN9" s="1" t="s">
        <v>357</v>
      </c>
      <c r="AO9" s="1" t="s">
        <v>208</v>
      </c>
      <c r="AP9" s="1" t="s">
        <v>431</v>
      </c>
      <c r="AQ9" s="1" t="s">
        <v>432</v>
      </c>
      <c r="AR9" s="1" t="s">
        <v>206</v>
      </c>
      <c r="AS9" s="106" t="s">
        <v>206</v>
      </c>
      <c r="AT9" s="1" t="s">
        <v>206</v>
      </c>
      <c r="AU9" s="106" t="s">
        <v>206</v>
      </c>
      <c r="AV9" s="106" t="s">
        <v>206</v>
      </c>
      <c r="AW9" s="106" t="s">
        <v>35</v>
      </c>
      <c r="AX9" s="106" t="s">
        <v>206</v>
      </c>
      <c r="AY9" s="106" t="s">
        <v>206</v>
      </c>
      <c r="AZ9" s="1" t="s">
        <v>206</v>
      </c>
      <c r="BA9" s="106" t="s">
        <v>206</v>
      </c>
      <c r="BB9" s="106" t="s">
        <v>206</v>
      </c>
      <c r="BC9" s="106" t="s">
        <v>206</v>
      </c>
      <c r="BD9" s="106" t="s">
        <v>206</v>
      </c>
      <c r="BE9" s="106" t="s">
        <v>206</v>
      </c>
      <c r="BF9" s="107">
        <f>IF(AZ9="Não","Sim","Não")</f>
      </c>
      <c r="BG9" s="107">
        <f>IF(AZ9="NA","Sim","Não")</f>
      </c>
      <c r="BH9" s="106" t="s">
        <v>206</v>
      </c>
      <c r="BI9" s="1" t="s">
        <v>236</v>
      </c>
      <c r="BJ9" s="106" t="s">
        <v>36</v>
      </c>
      <c r="BK9" s="1" t="s">
        <v>433</v>
      </c>
      <c r="BL9" s="105">
        <v>23.333333333333332</v>
      </c>
      <c r="BM9" s="1" t="s">
        <v>208</v>
      </c>
      <c r="BN9" s="1" t="s">
        <v>208</v>
      </c>
      <c r="BO9" s="1" t="s">
        <v>433</v>
      </c>
      <c r="BP9" s="105">
        <v>23.333333333333332</v>
      </c>
      <c r="BQ9" s="1" t="s">
        <v>206</v>
      </c>
      <c r="BR9" s="1" t="s">
        <v>229</v>
      </c>
      <c r="BS9" s="106" t="s">
        <v>229</v>
      </c>
    </row>
    <row x14ac:dyDescent="0.25" r="10" customHeight="1" ht="17.25">
      <c r="A10" s="102">
        <v>9</v>
      </c>
      <c r="B10" s="1" t="s">
        <v>434</v>
      </c>
      <c r="C10" s="102">
        <v>1</v>
      </c>
      <c r="D10" s="61" t="s">
        <v>435</v>
      </c>
      <c r="E10" s="1" t="s">
        <v>76</v>
      </c>
      <c r="F10" s="1" t="s">
        <v>22</v>
      </c>
      <c r="G10" s="1" t="s">
        <v>60</v>
      </c>
      <c r="H10" s="1" t="s">
        <v>436</v>
      </c>
      <c r="I10" s="102">
        <v>1</v>
      </c>
      <c r="J10" s="1" t="s">
        <v>158</v>
      </c>
      <c r="K10" s="1" t="s">
        <v>22</v>
      </c>
      <c r="L10" s="103">
        <v>32304</v>
      </c>
      <c r="M10" s="104">
        <v>29</v>
      </c>
      <c r="N10" s="1" t="s">
        <v>175</v>
      </c>
      <c r="O10" s="1" t="s">
        <v>24</v>
      </c>
      <c r="P10" s="1" t="s">
        <v>365</v>
      </c>
      <c r="Q10" s="1" t="s">
        <v>437</v>
      </c>
      <c r="R10" s="54" t="s">
        <v>438</v>
      </c>
      <c r="S10" s="102">
        <v>29</v>
      </c>
      <c r="T10" s="54" t="s">
        <v>439</v>
      </c>
      <c r="U10" s="105">
        <v>13.2</v>
      </c>
      <c r="V10" s="62">
        <v>0</v>
      </c>
      <c r="W10" s="102">
        <v>0</v>
      </c>
      <c r="X10" s="62">
        <v>0</v>
      </c>
      <c r="Y10" s="102">
        <v>0</v>
      </c>
      <c r="Z10" s="62">
        <v>0</v>
      </c>
      <c r="AA10" s="102">
        <v>0</v>
      </c>
      <c r="AB10" s="62">
        <v>0</v>
      </c>
      <c r="AC10" s="106" t="s">
        <v>206</v>
      </c>
      <c r="AD10" s="106" t="s">
        <v>206</v>
      </c>
      <c r="AE10" s="106" t="s">
        <v>206</v>
      </c>
      <c r="AF10" s="106" t="s">
        <v>206</v>
      </c>
      <c r="AG10" s="106" t="s">
        <v>206</v>
      </c>
      <c r="AH10" s="106" t="s">
        <v>206</v>
      </c>
      <c r="AI10" s="1" t="s">
        <v>357</v>
      </c>
      <c r="AJ10" s="1" t="s">
        <v>206</v>
      </c>
      <c r="AK10" s="1" t="s">
        <v>440</v>
      </c>
      <c r="AL10" s="1" t="s">
        <v>197</v>
      </c>
      <c r="AM10" s="106" t="s">
        <v>27</v>
      </c>
      <c r="AN10" s="1" t="s">
        <v>357</v>
      </c>
      <c r="AO10" s="1" t="s">
        <v>208</v>
      </c>
      <c r="AP10" s="1" t="s">
        <v>206</v>
      </c>
      <c r="AQ10" s="1" t="s">
        <v>441</v>
      </c>
      <c r="AR10" s="1" t="s">
        <v>206</v>
      </c>
      <c r="AS10" s="106" t="s">
        <v>206</v>
      </c>
      <c r="AT10" s="1" t="s">
        <v>206</v>
      </c>
      <c r="AU10" s="106" t="s">
        <v>206</v>
      </c>
      <c r="AV10" s="106" t="s">
        <v>206</v>
      </c>
      <c r="AW10" s="106" t="s">
        <v>35</v>
      </c>
      <c r="AX10" s="106" t="s">
        <v>206</v>
      </c>
      <c r="AY10" s="106" t="s">
        <v>206</v>
      </c>
      <c r="AZ10" s="1" t="s">
        <v>30</v>
      </c>
      <c r="BA10" s="106" t="s">
        <v>35</v>
      </c>
      <c r="BB10" s="106" t="s">
        <v>206</v>
      </c>
      <c r="BC10" s="106" t="s">
        <v>206</v>
      </c>
      <c r="BD10" s="106" t="s">
        <v>206</v>
      </c>
      <c r="BE10" s="106" t="s">
        <v>206</v>
      </c>
      <c r="BF10" s="107">
        <f>IF(AZ10="Não","Sim","Não")</f>
      </c>
      <c r="BG10" s="107">
        <f>IF(AZ10="NA","Sim","Não")</f>
      </c>
      <c r="BH10" s="106" t="s">
        <v>35</v>
      </c>
      <c r="BI10" s="1" t="s">
        <v>236</v>
      </c>
      <c r="BJ10" s="106" t="s">
        <v>36</v>
      </c>
      <c r="BK10" s="1" t="s">
        <v>433</v>
      </c>
      <c r="BL10" s="105">
        <v>23.333333333333332</v>
      </c>
      <c r="BM10" s="1" t="s">
        <v>208</v>
      </c>
      <c r="BN10" s="1" t="s">
        <v>208</v>
      </c>
      <c r="BO10" s="1" t="s">
        <v>433</v>
      </c>
      <c r="BP10" s="105">
        <v>23.333333333333332</v>
      </c>
      <c r="BQ10" s="1" t="s">
        <v>206</v>
      </c>
      <c r="BR10" s="1" t="s">
        <v>227</v>
      </c>
      <c r="BS10" s="106" t="s">
        <v>37</v>
      </c>
    </row>
    <row x14ac:dyDescent="0.25" r="11" customHeight="1" ht="17.25">
      <c r="A11" s="102">
        <v>10</v>
      </c>
      <c r="B11" s="1" t="s">
        <v>442</v>
      </c>
      <c r="C11" s="102">
        <v>1</v>
      </c>
      <c r="D11" s="61" t="s">
        <v>443</v>
      </c>
      <c r="E11" s="1" t="s">
        <v>123</v>
      </c>
      <c r="F11" s="1" t="s">
        <v>170</v>
      </c>
      <c r="G11" s="1" t="s">
        <v>58</v>
      </c>
      <c r="H11" s="1" t="s">
        <v>444</v>
      </c>
      <c r="I11" s="102">
        <v>1</v>
      </c>
      <c r="J11" s="1" t="s">
        <v>158</v>
      </c>
      <c r="K11" s="1" t="s">
        <v>170</v>
      </c>
      <c r="L11" s="103">
        <v>34740</v>
      </c>
      <c r="M11" s="104">
        <v>22</v>
      </c>
      <c r="N11" s="1" t="s">
        <v>175</v>
      </c>
      <c r="O11" s="1" t="s">
        <v>24</v>
      </c>
      <c r="P11" s="1" t="s">
        <v>365</v>
      </c>
      <c r="Q11" s="1" t="s">
        <v>445</v>
      </c>
      <c r="R11" s="62">
        <v>0</v>
      </c>
      <c r="S11" s="102">
        <v>0</v>
      </c>
      <c r="T11" s="54" t="s">
        <v>446</v>
      </c>
      <c r="U11" s="105">
        <v>2.6</v>
      </c>
      <c r="V11" s="62">
        <v>0</v>
      </c>
      <c r="W11" s="102">
        <v>0</v>
      </c>
      <c r="X11" s="62">
        <v>0</v>
      </c>
      <c r="Y11" s="102">
        <v>0</v>
      </c>
      <c r="Z11" s="62">
        <v>0</v>
      </c>
      <c r="AA11" s="102">
        <v>0</v>
      </c>
      <c r="AB11" s="62">
        <v>0</v>
      </c>
      <c r="AC11" s="106" t="s">
        <v>206</v>
      </c>
      <c r="AD11" s="106" t="s">
        <v>206</v>
      </c>
      <c r="AE11" s="106" t="s">
        <v>206</v>
      </c>
      <c r="AF11" s="106" t="s">
        <v>206</v>
      </c>
      <c r="AG11" s="106" t="s">
        <v>206</v>
      </c>
      <c r="AH11" s="106" t="s">
        <v>206</v>
      </c>
      <c r="AI11" s="1" t="s">
        <v>371</v>
      </c>
      <c r="AJ11" s="1" t="s">
        <v>206</v>
      </c>
      <c r="AK11" s="1" t="s">
        <v>447</v>
      </c>
      <c r="AL11" s="1" t="s">
        <v>198</v>
      </c>
      <c r="AM11" s="106" t="s">
        <v>27</v>
      </c>
      <c r="AN11" s="1" t="s">
        <v>357</v>
      </c>
      <c r="AO11" s="1" t="s">
        <v>208</v>
      </c>
      <c r="AP11" s="1" t="s">
        <v>206</v>
      </c>
      <c r="AQ11" s="1" t="s">
        <v>441</v>
      </c>
      <c r="AR11" s="1" t="s">
        <v>206</v>
      </c>
      <c r="AS11" s="106" t="s">
        <v>206</v>
      </c>
      <c r="AT11" s="1" t="s">
        <v>206</v>
      </c>
      <c r="AU11" s="106" t="s">
        <v>206</v>
      </c>
      <c r="AV11" s="106" t="s">
        <v>206</v>
      </c>
      <c r="AW11" s="106" t="s">
        <v>35</v>
      </c>
      <c r="AX11" s="106" t="s">
        <v>206</v>
      </c>
      <c r="AY11" s="106" t="s">
        <v>206</v>
      </c>
      <c r="AZ11" s="1" t="s">
        <v>30</v>
      </c>
      <c r="BA11" s="106" t="s">
        <v>35</v>
      </c>
      <c r="BB11" s="106" t="s">
        <v>206</v>
      </c>
      <c r="BC11" s="106" t="s">
        <v>206</v>
      </c>
      <c r="BD11" s="106" t="s">
        <v>206</v>
      </c>
      <c r="BE11" s="106" t="s">
        <v>206</v>
      </c>
      <c r="BF11" s="107">
        <f>IF(AZ11="Não","Sim","Não")</f>
      </c>
      <c r="BG11" s="107">
        <f>IF(AZ11="NA","Sim","Não")</f>
      </c>
      <c r="BH11" s="106" t="s">
        <v>35</v>
      </c>
      <c r="BI11" s="1" t="s">
        <v>236</v>
      </c>
      <c r="BJ11" s="106" t="s">
        <v>36</v>
      </c>
      <c r="BK11" s="1" t="s">
        <v>433</v>
      </c>
      <c r="BL11" s="105">
        <v>23.333333333333332</v>
      </c>
      <c r="BM11" s="1" t="s">
        <v>208</v>
      </c>
      <c r="BN11" s="1" t="s">
        <v>208</v>
      </c>
      <c r="BO11" s="1" t="s">
        <v>433</v>
      </c>
      <c r="BP11" s="105">
        <v>23.333333333333332</v>
      </c>
      <c r="BQ11" s="1" t="s">
        <v>206</v>
      </c>
      <c r="BR11" s="1" t="s">
        <v>227</v>
      </c>
      <c r="BS11" s="106" t="s">
        <v>37</v>
      </c>
    </row>
    <row x14ac:dyDescent="0.25" r="12" customHeight="1" ht="17.25">
      <c r="A12" s="102">
        <v>11</v>
      </c>
      <c r="B12" s="1" t="s">
        <v>448</v>
      </c>
      <c r="C12" s="102">
        <v>1</v>
      </c>
      <c r="D12" s="61" t="s">
        <v>449</v>
      </c>
      <c r="E12" s="1" t="s">
        <v>90</v>
      </c>
      <c r="F12" s="1" t="s">
        <v>170</v>
      </c>
      <c r="G12" s="1" t="s">
        <v>41</v>
      </c>
      <c r="H12" s="1" t="s">
        <v>450</v>
      </c>
      <c r="I12" s="102">
        <v>1</v>
      </c>
      <c r="J12" s="1" t="s">
        <v>158</v>
      </c>
      <c r="K12" s="1" t="s">
        <v>22</v>
      </c>
      <c r="L12" s="103">
        <v>35423</v>
      </c>
      <c r="M12" s="104">
        <v>20</v>
      </c>
      <c r="N12" s="1" t="s">
        <v>175</v>
      </c>
      <c r="O12" s="1" t="s">
        <v>24</v>
      </c>
      <c r="P12" s="1" t="s">
        <v>365</v>
      </c>
      <c r="Q12" s="1" t="s">
        <v>451</v>
      </c>
      <c r="R12" s="54" t="s">
        <v>452</v>
      </c>
      <c r="S12" s="105">
        <v>108.2</v>
      </c>
      <c r="T12" s="54" t="s">
        <v>453</v>
      </c>
      <c r="U12" s="105">
        <v>63.8</v>
      </c>
      <c r="V12" s="62">
        <v>0</v>
      </c>
      <c r="W12" s="102">
        <v>0</v>
      </c>
      <c r="X12" s="62">
        <v>0</v>
      </c>
      <c r="Y12" s="102">
        <v>0</v>
      </c>
      <c r="Z12" s="62">
        <v>0</v>
      </c>
      <c r="AA12" s="102">
        <v>0</v>
      </c>
      <c r="AB12" s="57" t="s">
        <v>454</v>
      </c>
      <c r="AC12" s="106" t="s">
        <v>206</v>
      </c>
      <c r="AD12" s="106" t="s">
        <v>206</v>
      </c>
      <c r="AE12" s="106" t="s">
        <v>206</v>
      </c>
      <c r="AF12" s="106" t="s">
        <v>206</v>
      </c>
      <c r="AG12" s="106" t="s">
        <v>35</v>
      </c>
      <c r="AH12" s="106" t="s">
        <v>206</v>
      </c>
      <c r="AI12" s="1" t="s">
        <v>357</v>
      </c>
      <c r="AJ12" s="1" t="s">
        <v>206</v>
      </c>
      <c r="AK12" s="1" t="s">
        <v>455</v>
      </c>
      <c r="AL12" s="1" t="s">
        <v>197</v>
      </c>
      <c r="AM12" s="106" t="s">
        <v>27</v>
      </c>
      <c r="AN12" s="1" t="s">
        <v>357</v>
      </c>
      <c r="AO12" s="1" t="s">
        <v>208</v>
      </c>
      <c r="AP12" s="1" t="s">
        <v>206</v>
      </c>
      <c r="AQ12" s="1" t="s">
        <v>441</v>
      </c>
      <c r="AR12" s="1" t="s">
        <v>206</v>
      </c>
      <c r="AS12" s="106" t="s">
        <v>206</v>
      </c>
      <c r="AT12" s="1" t="s">
        <v>206</v>
      </c>
      <c r="AU12" s="106" t="s">
        <v>206</v>
      </c>
      <c r="AV12" s="106" t="s">
        <v>206</v>
      </c>
      <c r="AW12" s="106" t="s">
        <v>35</v>
      </c>
      <c r="AX12" s="106" t="s">
        <v>206</v>
      </c>
      <c r="AY12" s="106" t="s">
        <v>206</v>
      </c>
      <c r="AZ12" s="1" t="s">
        <v>34</v>
      </c>
      <c r="BA12" s="106" t="s">
        <v>206</v>
      </c>
      <c r="BB12" s="106" t="s">
        <v>206</v>
      </c>
      <c r="BC12" s="106" t="s">
        <v>206</v>
      </c>
      <c r="BD12" s="106" t="s">
        <v>206</v>
      </c>
      <c r="BE12" s="106" t="s">
        <v>35</v>
      </c>
      <c r="BF12" s="107">
        <f>IF(AZ12="Não","Sim","Não")</f>
      </c>
      <c r="BG12" s="107">
        <f>IF(AZ12="NA","Sim","Não")</f>
      </c>
      <c r="BH12" s="106" t="s">
        <v>35</v>
      </c>
      <c r="BI12" s="1" t="s">
        <v>236</v>
      </c>
      <c r="BJ12" s="106" t="s">
        <v>36</v>
      </c>
      <c r="BK12" s="1" t="s">
        <v>433</v>
      </c>
      <c r="BL12" s="105">
        <v>23.333333333333332</v>
      </c>
      <c r="BM12" s="1" t="s">
        <v>208</v>
      </c>
      <c r="BN12" s="1" t="s">
        <v>208</v>
      </c>
      <c r="BO12" s="1" t="s">
        <v>433</v>
      </c>
      <c r="BP12" s="105">
        <v>23.333333333333332</v>
      </c>
      <c r="BQ12" s="1" t="s">
        <v>206</v>
      </c>
      <c r="BR12" s="1" t="s">
        <v>227</v>
      </c>
      <c r="BS12" s="106" t="s">
        <v>37</v>
      </c>
    </row>
    <row x14ac:dyDescent="0.25" r="13" customHeight="1" ht="17.25">
      <c r="A13" s="102">
        <v>12</v>
      </c>
      <c r="B13" s="1" t="s">
        <v>456</v>
      </c>
      <c r="C13" s="102">
        <v>1</v>
      </c>
      <c r="D13" s="61" t="s">
        <v>457</v>
      </c>
      <c r="E13" s="1" t="s">
        <v>116</v>
      </c>
      <c r="F13" s="1" t="s">
        <v>170</v>
      </c>
      <c r="G13" s="1" t="s">
        <v>46</v>
      </c>
      <c r="H13" s="1" t="s">
        <v>458</v>
      </c>
      <c r="I13" s="102">
        <v>1</v>
      </c>
      <c r="J13" s="1" t="s">
        <v>161</v>
      </c>
      <c r="K13" s="1" t="s">
        <v>22</v>
      </c>
      <c r="L13" s="103">
        <v>31567</v>
      </c>
      <c r="M13" s="104">
        <v>31</v>
      </c>
      <c r="N13" s="1" t="s">
        <v>175</v>
      </c>
      <c r="O13" s="1" t="s">
        <v>24</v>
      </c>
      <c r="P13" s="1" t="s">
        <v>354</v>
      </c>
      <c r="Q13" s="1" t="s">
        <v>459</v>
      </c>
      <c r="R13" s="54" t="s">
        <v>460</v>
      </c>
      <c r="S13" s="105">
        <v>36.1</v>
      </c>
      <c r="T13" s="54" t="s">
        <v>461</v>
      </c>
      <c r="U13" s="105">
        <v>6.8</v>
      </c>
      <c r="V13" s="62">
        <v>0</v>
      </c>
      <c r="W13" s="102">
        <v>0</v>
      </c>
      <c r="X13" s="62">
        <v>0</v>
      </c>
      <c r="Y13" s="102">
        <v>0</v>
      </c>
      <c r="Z13" s="62">
        <v>0</v>
      </c>
      <c r="AA13" s="102">
        <v>0</v>
      </c>
      <c r="AB13" s="62">
        <v>0</v>
      </c>
      <c r="AC13" s="106" t="s">
        <v>206</v>
      </c>
      <c r="AD13" s="106" t="s">
        <v>206</v>
      </c>
      <c r="AE13" s="106" t="s">
        <v>206</v>
      </c>
      <c r="AF13" s="106" t="s">
        <v>206</v>
      </c>
      <c r="AG13" s="106" t="s">
        <v>206</v>
      </c>
      <c r="AH13" s="106" t="s">
        <v>206</v>
      </c>
      <c r="AI13" s="1" t="s">
        <v>357</v>
      </c>
      <c r="AJ13" s="1" t="s">
        <v>206</v>
      </c>
      <c r="AK13" s="1" t="s">
        <v>373</v>
      </c>
      <c r="AL13" s="1" t="s">
        <v>197</v>
      </c>
      <c r="AM13" s="106" t="s">
        <v>27</v>
      </c>
      <c r="AN13" s="1" t="s">
        <v>357</v>
      </c>
      <c r="AO13" s="1" t="s">
        <v>208</v>
      </c>
      <c r="AP13" s="1" t="s">
        <v>431</v>
      </c>
      <c r="AQ13" s="1" t="s">
        <v>432</v>
      </c>
      <c r="AR13" s="1" t="s">
        <v>206</v>
      </c>
      <c r="AS13" s="106" t="s">
        <v>206</v>
      </c>
      <c r="AT13" s="1" t="s">
        <v>206</v>
      </c>
      <c r="AU13" s="106" t="s">
        <v>206</v>
      </c>
      <c r="AV13" s="106" t="s">
        <v>206</v>
      </c>
      <c r="AW13" s="106" t="s">
        <v>35</v>
      </c>
      <c r="AX13" s="106" t="s">
        <v>206</v>
      </c>
      <c r="AY13" s="106" t="s">
        <v>206</v>
      </c>
      <c r="AZ13" s="1" t="s">
        <v>206</v>
      </c>
      <c r="BA13" s="106" t="s">
        <v>206</v>
      </c>
      <c r="BB13" s="106" t="s">
        <v>206</v>
      </c>
      <c r="BC13" s="106" t="s">
        <v>206</v>
      </c>
      <c r="BD13" s="106" t="s">
        <v>206</v>
      </c>
      <c r="BE13" s="106" t="s">
        <v>206</v>
      </c>
      <c r="BF13" s="107">
        <f>IF(AZ13="Não","Sim","Não")</f>
      </c>
      <c r="BG13" s="107">
        <f>IF(AZ13="NA","Sim","Não")</f>
      </c>
      <c r="BH13" s="106" t="s">
        <v>206</v>
      </c>
      <c r="BI13" s="1" t="s">
        <v>236</v>
      </c>
      <c r="BJ13" s="106" t="s">
        <v>36</v>
      </c>
      <c r="BK13" s="1" t="s">
        <v>433</v>
      </c>
      <c r="BL13" s="105">
        <v>23.333333333333332</v>
      </c>
      <c r="BM13" s="1" t="s">
        <v>208</v>
      </c>
      <c r="BN13" s="1" t="s">
        <v>208</v>
      </c>
      <c r="BO13" s="1" t="s">
        <v>433</v>
      </c>
      <c r="BP13" s="105">
        <v>23.333333333333332</v>
      </c>
      <c r="BQ13" s="1" t="s">
        <v>206</v>
      </c>
      <c r="BR13" s="1" t="s">
        <v>229</v>
      </c>
      <c r="BS13" s="106" t="s">
        <v>229</v>
      </c>
    </row>
    <row x14ac:dyDescent="0.25" r="14" customHeight="1" ht="17.25">
      <c r="A14" s="102">
        <v>13</v>
      </c>
      <c r="B14" s="1" t="s">
        <v>462</v>
      </c>
      <c r="C14" s="102">
        <v>1</v>
      </c>
      <c r="D14" s="61">
        <v>43017</v>
      </c>
      <c r="E14" s="1" t="s">
        <v>83</v>
      </c>
      <c r="F14" s="1" t="s">
        <v>22</v>
      </c>
      <c r="G14" s="1" t="s">
        <v>53</v>
      </c>
      <c r="H14" s="1" t="s">
        <v>463</v>
      </c>
      <c r="I14" s="102">
        <v>1</v>
      </c>
      <c r="J14" s="1" t="s">
        <v>166</v>
      </c>
      <c r="K14" s="1" t="s">
        <v>170</v>
      </c>
      <c r="L14" s="103">
        <v>25190</v>
      </c>
      <c r="M14" s="104">
        <v>48</v>
      </c>
      <c r="N14" s="1" t="s">
        <v>176</v>
      </c>
      <c r="O14" s="1" t="s">
        <v>182</v>
      </c>
      <c r="P14" s="1" t="s">
        <v>464</v>
      </c>
      <c r="Q14" s="1" t="s">
        <v>465</v>
      </c>
      <c r="R14" s="54" t="s">
        <v>466</v>
      </c>
      <c r="S14" s="105">
        <v>25.2</v>
      </c>
      <c r="T14" s="62">
        <v>0</v>
      </c>
      <c r="U14" s="102">
        <v>0</v>
      </c>
      <c r="V14" s="54" t="s">
        <v>467</v>
      </c>
      <c r="W14" s="102">
        <v>7</v>
      </c>
      <c r="X14" s="62">
        <v>0</v>
      </c>
      <c r="Y14" s="102">
        <v>0</v>
      </c>
      <c r="Z14" s="62">
        <v>0</v>
      </c>
      <c r="AA14" s="102">
        <v>0</v>
      </c>
      <c r="AB14" s="62">
        <v>0</v>
      </c>
      <c r="AC14" s="106" t="s">
        <v>206</v>
      </c>
      <c r="AD14" s="106" t="s">
        <v>206</v>
      </c>
      <c r="AE14" s="106" t="s">
        <v>206</v>
      </c>
      <c r="AF14" s="106" t="s">
        <v>206</v>
      </c>
      <c r="AG14" s="106" t="s">
        <v>206</v>
      </c>
      <c r="AH14" s="106" t="s">
        <v>206</v>
      </c>
      <c r="AI14" s="1" t="s">
        <v>371</v>
      </c>
      <c r="AJ14" s="1" t="s">
        <v>206</v>
      </c>
      <c r="AK14" s="1" t="s">
        <v>468</v>
      </c>
      <c r="AL14" s="1" t="s">
        <v>469</v>
      </c>
      <c r="AM14" s="106" t="s">
        <v>27</v>
      </c>
      <c r="AN14" s="1" t="s">
        <v>357</v>
      </c>
      <c r="AO14" s="1" t="s">
        <v>208</v>
      </c>
      <c r="AP14" s="1" t="s">
        <v>206</v>
      </c>
      <c r="AQ14" s="1" t="s">
        <v>441</v>
      </c>
      <c r="AR14" s="1" t="s">
        <v>206</v>
      </c>
      <c r="AS14" s="106" t="s">
        <v>206</v>
      </c>
      <c r="AT14" s="1" t="s">
        <v>206</v>
      </c>
      <c r="AU14" s="106" t="s">
        <v>206</v>
      </c>
      <c r="AV14" s="106" t="s">
        <v>206</v>
      </c>
      <c r="AW14" s="106" t="s">
        <v>35</v>
      </c>
      <c r="AX14" s="106" t="s">
        <v>206</v>
      </c>
      <c r="AY14" s="106" t="s">
        <v>206</v>
      </c>
      <c r="AZ14" s="1" t="s">
        <v>34</v>
      </c>
      <c r="BA14" s="106" t="s">
        <v>206</v>
      </c>
      <c r="BB14" s="106" t="s">
        <v>206</v>
      </c>
      <c r="BC14" s="106" t="s">
        <v>206</v>
      </c>
      <c r="BD14" s="106" t="s">
        <v>206</v>
      </c>
      <c r="BE14" s="106" t="s">
        <v>35</v>
      </c>
      <c r="BF14" s="107">
        <f>IF(AZ14="Não","Sim","Não")</f>
      </c>
      <c r="BG14" s="107">
        <f>IF(AZ14="NA","Sim","Não")</f>
      </c>
      <c r="BH14" s="106" t="s">
        <v>35</v>
      </c>
      <c r="BI14" s="1" t="s">
        <v>236</v>
      </c>
      <c r="BJ14" s="106" t="s">
        <v>36</v>
      </c>
      <c r="BK14" s="1" t="s">
        <v>433</v>
      </c>
      <c r="BL14" s="105">
        <v>23.333333333333332</v>
      </c>
      <c r="BM14" s="1" t="s">
        <v>208</v>
      </c>
      <c r="BN14" s="1" t="s">
        <v>208</v>
      </c>
      <c r="BO14" s="1" t="s">
        <v>433</v>
      </c>
      <c r="BP14" s="105">
        <v>23.333333333333332</v>
      </c>
      <c r="BQ14" s="1" t="s">
        <v>35</v>
      </c>
      <c r="BR14" s="1" t="s">
        <v>208</v>
      </c>
      <c r="BS14" s="106" t="s">
        <v>208</v>
      </c>
    </row>
    <row x14ac:dyDescent="0.25" r="15" customHeight="1" ht="17.25">
      <c r="A15" s="102">
        <v>14</v>
      </c>
      <c r="B15" s="1" t="s">
        <v>470</v>
      </c>
      <c r="C15" s="102">
        <v>1</v>
      </c>
      <c r="D15" s="61" t="s">
        <v>363</v>
      </c>
      <c r="E15" s="1" t="s">
        <v>133</v>
      </c>
      <c r="F15" s="1" t="s">
        <v>170</v>
      </c>
      <c r="G15" s="1" t="s">
        <v>69</v>
      </c>
      <c r="H15" s="1" t="s">
        <v>471</v>
      </c>
      <c r="I15" s="102">
        <v>1</v>
      </c>
      <c r="J15" s="1" t="s">
        <v>158</v>
      </c>
      <c r="K15" s="1" t="s">
        <v>22</v>
      </c>
      <c r="L15" s="103">
        <v>35816</v>
      </c>
      <c r="M15" s="104">
        <v>19</v>
      </c>
      <c r="N15" s="1" t="s">
        <v>176</v>
      </c>
      <c r="O15" s="1" t="s">
        <v>182</v>
      </c>
      <c r="P15" s="1" t="s">
        <v>178</v>
      </c>
      <c r="Q15" s="1" t="s">
        <v>472</v>
      </c>
      <c r="R15" s="54" t="s">
        <v>473</v>
      </c>
      <c r="S15" s="105">
        <v>24.3</v>
      </c>
      <c r="T15" s="54" t="s">
        <v>474</v>
      </c>
      <c r="U15" s="105">
        <v>37.5</v>
      </c>
      <c r="V15" s="54" t="s">
        <v>475</v>
      </c>
      <c r="W15" s="105">
        <v>20.5</v>
      </c>
      <c r="X15" s="62">
        <v>0</v>
      </c>
      <c r="Y15" s="102">
        <v>0</v>
      </c>
      <c r="Z15" s="62">
        <v>0</v>
      </c>
      <c r="AA15" s="102">
        <v>0</v>
      </c>
      <c r="AB15" s="62">
        <v>0</v>
      </c>
      <c r="AC15" s="106" t="s">
        <v>206</v>
      </c>
      <c r="AD15" s="106" t="s">
        <v>206</v>
      </c>
      <c r="AE15" s="106" t="s">
        <v>206</v>
      </c>
      <c r="AF15" s="106" t="s">
        <v>206</v>
      </c>
      <c r="AG15" s="106" t="s">
        <v>206</v>
      </c>
      <c r="AH15" s="106" t="s">
        <v>206</v>
      </c>
      <c r="AI15" s="1" t="s">
        <v>357</v>
      </c>
      <c r="AJ15" s="1" t="s">
        <v>372</v>
      </c>
      <c r="AK15" s="1" t="s">
        <v>476</v>
      </c>
      <c r="AL15" s="1" t="s">
        <v>198</v>
      </c>
      <c r="AM15" s="106" t="s">
        <v>27</v>
      </c>
      <c r="AN15" s="1" t="s">
        <v>357</v>
      </c>
      <c r="AO15" s="1" t="s">
        <v>206</v>
      </c>
      <c r="AP15" s="1" t="s">
        <v>206</v>
      </c>
      <c r="AQ15" s="1" t="s">
        <v>441</v>
      </c>
      <c r="AR15" s="1" t="s">
        <v>206</v>
      </c>
      <c r="AS15" s="106" t="s">
        <v>206</v>
      </c>
      <c r="AT15" s="1" t="s">
        <v>206</v>
      </c>
      <c r="AU15" s="106" t="s">
        <v>206</v>
      </c>
      <c r="AV15" s="106" t="s">
        <v>206</v>
      </c>
      <c r="AW15" s="106" t="s">
        <v>35</v>
      </c>
      <c r="AX15" s="106" t="s">
        <v>206</v>
      </c>
      <c r="AY15" s="106" t="s">
        <v>206</v>
      </c>
      <c r="AZ15" s="1" t="s">
        <v>30</v>
      </c>
      <c r="BA15" s="106" t="s">
        <v>35</v>
      </c>
      <c r="BB15" s="106" t="s">
        <v>206</v>
      </c>
      <c r="BC15" s="106" t="s">
        <v>206</v>
      </c>
      <c r="BD15" s="106" t="s">
        <v>206</v>
      </c>
      <c r="BE15" s="106" t="s">
        <v>206</v>
      </c>
      <c r="BF15" s="107">
        <f>IF(AZ15="Não","Sim","Não")</f>
      </c>
      <c r="BG15" s="107">
        <f>IF(AZ15="NA","Sim","Não")</f>
      </c>
      <c r="BH15" s="106" t="s">
        <v>35</v>
      </c>
      <c r="BI15" s="1" t="s">
        <v>236</v>
      </c>
      <c r="BJ15" s="106" t="s">
        <v>36</v>
      </c>
      <c r="BK15" s="1" t="s">
        <v>433</v>
      </c>
      <c r="BL15" s="105">
        <v>23.333333333333332</v>
      </c>
      <c r="BM15" s="1" t="s">
        <v>208</v>
      </c>
      <c r="BN15" s="1" t="s">
        <v>208</v>
      </c>
      <c r="BO15" s="1" t="s">
        <v>433</v>
      </c>
      <c r="BP15" s="105">
        <v>23.333333333333332</v>
      </c>
      <c r="BQ15" s="1" t="s">
        <v>35</v>
      </c>
      <c r="BR15" s="1" t="s">
        <v>208</v>
      </c>
      <c r="BS15" s="106" t="s">
        <v>208</v>
      </c>
    </row>
    <row x14ac:dyDescent="0.25" r="16" customHeight="1" ht="17.25">
      <c r="A16" s="102">
        <v>15</v>
      </c>
      <c r="B16" s="1" t="s">
        <v>477</v>
      </c>
      <c r="C16" s="102">
        <v>0</v>
      </c>
      <c r="D16" s="61" t="s">
        <v>478</v>
      </c>
      <c r="E16" s="1" t="s">
        <v>81</v>
      </c>
      <c r="F16" s="1" t="s">
        <v>22</v>
      </c>
      <c r="G16" s="1" t="s">
        <v>44</v>
      </c>
      <c r="H16" s="1" t="s">
        <v>479</v>
      </c>
      <c r="I16" s="102">
        <v>1</v>
      </c>
      <c r="J16" s="1" t="s">
        <v>158</v>
      </c>
      <c r="K16" s="1" t="s">
        <v>22</v>
      </c>
      <c r="L16" s="103">
        <v>34440</v>
      </c>
      <c r="M16" s="104">
        <v>22</v>
      </c>
      <c r="N16" s="1" t="s">
        <v>175</v>
      </c>
      <c r="O16" s="1" t="s">
        <v>24</v>
      </c>
      <c r="P16" s="1" t="s">
        <v>365</v>
      </c>
      <c r="Q16" s="1" t="s">
        <v>480</v>
      </c>
      <c r="R16" s="54" t="s">
        <v>481</v>
      </c>
      <c r="S16" s="105">
        <v>15.5</v>
      </c>
      <c r="T16" s="54" t="s">
        <v>482</v>
      </c>
      <c r="U16" s="105">
        <v>45.6</v>
      </c>
      <c r="V16" s="54" t="s">
        <v>483</v>
      </c>
      <c r="W16" s="105">
        <v>4.3</v>
      </c>
      <c r="X16" s="62">
        <v>0</v>
      </c>
      <c r="Y16" s="102">
        <v>0</v>
      </c>
      <c r="Z16" s="62">
        <v>0</v>
      </c>
      <c r="AA16" s="102">
        <v>0</v>
      </c>
      <c r="AB16" s="57" t="s">
        <v>484</v>
      </c>
      <c r="AC16" s="106" t="s">
        <v>206</v>
      </c>
      <c r="AD16" s="106" t="s">
        <v>206</v>
      </c>
      <c r="AE16" s="106" t="s">
        <v>206</v>
      </c>
      <c r="AF16" s="106" t="s">
        <v>206</v>
      </c>
      <c r="AG16" s="106" t="s">
        <v>35</v>
      </c>
      <c r="AH16" s="106" t="s">
        <v>206</v>
      </c>
      <c r="AI16" s="1" t="s">
        <v>371</v>
      </c>
      <c r="AJ16" s="1" t="s">
        <v>206</v>
      </c>
      <c r="AK16" s="1" t="s">
        <v>485</v>
      </c>
      <c r="AL16" s="1" t="s">
        <v>198</v>
      </c>
      <c r="AM16" s="106" t="s">
        <v>27</v>
      </c>
      <c r="AN16" s="1" t="s">
        <v>357</v>
      </c>
      <c r="AO16" s="1" t="s">
        <v>208</v>
      </c>
      <c r="AP16" s="1" t="s">
        <v>206</v>
      </c>
      <c r="AQ16" s="1" t="s">
        <v>441</v>
      </c>
      <c r="AR16" s="1" t="s">
        <v>206</v>
      </c>
      <c r="AS16" s="106" t="s">
        <v>206</v>
      </c>
      <c r="AT16" s="1" t="s">
        <v>206</v>
      </c>
      <c r="AU16" s="106" t="s">
        <v>206</v>
      </c>
      <c r="AV16" s="106" t="s">
        <v>206</v>
      </c>
      <c r="AW16" s="106" t="s">
        <v>35</v>
      </c>
      <c r="AX16" s="106" t="s">
        <v>206</v>
      </c>
      <c r="AY16" s="106" t="s">
        <v>206</v>
      </c>
      <c r="AZ16" s="1" t="s">
        <v>30</v>
      </c>
      <c r="BA16" s="106" t="s">
        <v>35</v>
      </c>
      <c r="BB16" s="106" t="s">
        <v>206</v>
      </c>
      <c r="BC16" s="106" t="s">
        <v>206</v>
      </c>
      <c r="BD16" s="106" t="s">
        <v>206</v>
      </c>
      <c r="BE16" s="106" t="s">
        <v>206</v>
      </c>
      <c r="BF16" s="107">
        <f>IF(AZ16="Não","Sim","Não")</f>
      </c>
      <c r="BG16" s="107">
        <f>IF(AZ16="NA","Sim","Não")</f>
      </c>
      <c r="BH16" s="106" t="s">
        <v>35</v>
      </c>
      <c r="BI16" s="1" t="s">
        <v>236</v>
      </c>
      <c r="BJ16" s="106" t="s">
        <v>36</v>
      </c>
      <c r="BK16" s="1" t="s">
        <v>433</v>
      </c>
      <c r="BL16" s="105">
        <v>23.333333333333332</v>
      </c>
      <c r="BM16" s="1" t="s">
        <v>208</v>
      </c>
      <c r="BN16" s="1" t="s">
        <v>208</v>
      </c>
      <c r="BO16" s="1" t="s">
        <v>433</v>
      </c>
      <c r="BP16" s="105">
        <v>23.333333333333332</v>
      </c>
      <c r="BQ16" s="1" t="s">
        <v>35</v>
      </c>
      <c r="BR16" s="1" t="s">
        <v>208</v>
      </c>
      <c r="BS16" s="106" t="s">
        <v>208</v>
      </c>
    </row>
    <row x14ac:dyDescent="0.25" r="17" customHeight="1" ht="17.25">
      <c r="A17" s="102">
        <v>16</v>
      </c>
      <c r="B17" s="1" t="s">
        <v>486</v>
      </c>
      <c r="C17" s="102">
        <v>1</v>
      </c>
      <c r="D17" s="61" t="s">
        <v>487</v>
      </c>
      <c r="E17" s="1" t="s">
        <v>100</v>
      </c>
      <c r="F17" s="1" t="s">
        <v>22</v>
      </c>
      <c r="G17" s="1" t="s">
        <v>43</v>
      </c>
      <c r="H17" s="1" t="s">
        <v>488</v>
      </c>
      <c r="I17" s="102">
        <v>1</v>
      </c>
      <c r="J17" s="1" t="s">
        <v>158</v>
      </c>
      <c r="K17" s="1" t="s">
        <v>22</v>
      </c>
      <c r="L17" s="103">
        <v>34539</v>
      </c>
      <c r="M17" s="104">
        <v>22</v>
      </c>
      <c r="N17" s="1" t="s">
        <v>176</v>
      </c>
      <c r="O17" s="1" t="s">
        <v>182</v>
      </c>
      <c r="P17" s="1" t="s">
        <v>365</v>
      </c>
      <c r="Q17" s="1" t="s">
        <v>445</v>
      </c>
      <c r="R17" s="54" t="s">
        <v>489</v>
      </c>
      <c r="S17" s="102">
        <v>1635</v>
      </c>
      <c r="T17" s="54" t="s">
        <v>490</v>
      </c>
      <c r="U17" s="105">
        <v>94.1</v>
      </c>
      <c r="V17" s="54" t="s">
        <v>491</v>
      </c>
      <c r="W17" s="105">
        <v>215.4</v>
      </c>
      <c r="X17" s="62">
        <v>0</v>
      </c>
      <c r="Y17" s="102">
        <v>0</v>
      </c>
      <c r="Z17" s="62">
        <v>0</v>
      </c>
      <c r="AA17" s="102">
        <v>0</v>
      </c>
      <c r="AB17" s="62">
        <v>0</v>
      </c>
      <c r="AC17" s="106" t="s">
        <v>206</v>
      </c>
      <c r="AD17" s="106" t="s">
        <v>206</v>
      </c>
      <c r="AE17" s="106" t="s">
        <v>206</v>
      </c>
      <c r="AF17" s="106" t="s">
        <v>206</v>
      </c>
      <c r="AG17" s="106" t="s">
        <v>206</v>
      </c>
      <c r="AH17" s="106" t="s">
        <v>206</v>
      </c>
      <c r="AI17" s="1" t="s">
        <v>357</v>
      </c>
      <c r="AJ17" s="1" t="s">
        <v>206</v>
      </c>
      <c r="AK17" s="1" t="s">
        <v>405</v>
      </c>
      <c r="AL17" s="1" t="s">
        <v>197</v>
      </c>
      <c r="AM17" s="106" t="s">
        <v>27</v>
      </c>
      <c r="AN17" s="1" t="s">
        <v>357</v>
      </c>
      <c r="AO17" s="1" t="s">
        <v>208</v>
      </c>
      <c r="AP17" s="1" t="s">
        <v>406</v>
      </c>
      <c r="AQ17" s="1" t="s">
        <v>492</v>
      </c>
      <c r="AR17" s="1" t="s">
        <v>206</v>
      </c>
      <c r="AS17" s="106" t="s">
        <v>206</v>
      </c>
      <c r="AT17" s="1" t="s">
        <v>206</v>
      </c>
      <c r="AU17" s="106" t="s">
        <v>206</v>
      </c>
      <c r="AV17" s="106" t="s">
        <v>206</v>
      </c>
      <c r="AW17" s="106" t="s">
        <v>35</v>
      </c>
      <c r="AX17" s="106" t="s">
        <v>206</v>
      </c>
      <c r="AY17" s="106" t="s">
        <v>206</v>
      </c>
      <c r="AZ17" s="1" t="s">
        <v>206</v>
      </c>
      <c r="BA17" s="106" t="s">
        <v>206</v>
      </c>
      <c r="BB17" s="106" t="s">
        <v>206</v>
      </c>
      <c r="BC17" s="106" t="s">
        <v>206</v>
      </c>
      <c r="BD17" s="106" t="s">
        <v>206</v>
      </c>
      <c r="BE17" s="106" t="s">
        <v>206</v>
      </c>
      <c r="BF17" s="107">
        <f>IF(AZ17="Não","Sim","Não")</f>
      </c>
      <c r="BG17" s="107">
        <f>IF(AZ17="NA","Sim","Não")</f>
      </c>
      <c r="BH17" s="106" t="s">
        <v>206</v>
      </c>
      <c r="BI17" s="1" t="s">
        <v>236</v>
      </c>
      <c r="BJ17" s="106" t="s">
        <v>36</v>
      </c>
      <c r="BK17" s="1" t="s">
        <v>433</v>
      </c>
      <c r="BL17" s="105">
        <v>23.333333333333332</v>
      </c>
      <c r="BM17" s="1" t="s">
        <v>208</v>
      </c>
      <c r="BN17" s="1" t="s">
        <v>208</v>
      </c>
      <c r="BO17" s="1" t="s">
        <v>433</v>
      </c>
      <c r="BP17" s="105">
        <v>23.333333333333332</v>
      </c>
      <c r="BQ17" s="1" t="s">
        <v>206</v>
      </c>
      <c r="BR17" s="1" t="s">
        <v>228</v>
      </c>
      <c r="BS17" s="106" t="s">
        <v>228</v>
      </c>
    </row>
    <row x14ac:dyDescent="0.25" r="18" customHeight="1" ht="17.25">
      <c r="A18" s="102">
        <v>17</v>
      </c>
      <c r="B18" s="1" t="s">
        <v>493</v>
      </c>
      <c r="C18" s="102">
        <v>0</v>
      </c>
      <c r="D18" s="61" t="s">
        <v>494</v>
      </c>
      <c r="E18" s="1" t="s">
        <v>99</v>
      </c>
      <c r="F18" s="1" t="s">
        <v>170</v>
      </c>
      <c r="G18" s="1" t="s">
        <v>54</v>
      </c>
      <c r="H18" s="1" t="s">
        <v>495</v>
      </c>
      <c r="I18" s="102">
        <v>1</v>
      </c>
      <c r="J18" s="1" t="s">
        <v>158</v>
      </c>
      <c r="K18" s="1" t="s">
        <v>22</v>
      </c>
      <c r="L18" s="103">
        <v>35908</v>
      </c>
      <c r="M18" s="104">
        <v>19</v>
      </c>
      <c r="N18" s="1" t="s">
        <v>176</v>
      </c>
      <c r="O18" s="1" t="s">
        <v>182</v>
      </c>
      <c r="P18" s="1" t="s">
        <v>365</v>
      </c>
      <c r="Q18" s="1" t="s">
        <v>496</v>
      </c>
      <c r="R18" s="62">
        <v>0</v>
      </c>
      <c r="S18" s="102">
        <v>0</v>
      </c>
      <c r="T18" s="62">
        <v>0</v>
      </c>
      <c r="U18" s="102">
        <v>0</v>
      </c>
      <c r="V18" s="62">
        <v>0</v>
      </c>
      <c r="W18" s="102">
        <v>0</v>
      </c>
      <c r="X18" s="62">
        <v>0</v>
      </c>
      <c r="Y18" s="102">
        <v>0</v>
      </c>
      <c r="Z18" s="62">
        <v>0</v>
      </c>
      <c r="AA18" s="102">
        <v>0</v>
      </c>
      <c r="AB18" s="62">
        <v>0</v>
      </c>
      <c r="AC18" s="106" t="s">
        <v>206</v>
      </c>
      <c r="AD18" s="106" t="s">
        <v>206</v>
      </c>
      <c r="AE18" s="106" t="s">
        <v>206</v>
      </c>
      <c r="AF18" s="106" t="s">
        <v>206</v>
      </c>
      <c r="AG18" s="106" t="s">
        <v>206</v>
      </c>
      <c r="AH18" s="106" t="s">
        <v>206</v>
      </c>
      <c r="AI18" s="1" t="s">
        <v>357</v>
      </c>
      <c r="AJ18" s="1" t="s">
        <v>206</v>
      </c>
      <c r="AK18" s="1" t="s">
        <v>430</v>
      </c>
      <c r="AL18" s="1" t="s">
        <v>197</v>
      </c>
      <c r="AM18" s="106" t="s">
        <v>27</v>
      </c>
      <c r="AN18" s="1" t="s">
        <v>357</v>
      </c>
      <c r="AO18" s="1" t="s">
        <v>208</v>
      </c>
      <c r="AP18" s="1" t="s">
        <v>206</v>
      </c>
      <c r="AQ18" s="1" t="s">
        <v>441</v>
      </c>
      <c r="AR18" s="1" t="s">
        <v>206</v>
      </c>
      <c r="AS18" s="106" t="s">
        <v>206</v>
      </c>
      <c r="AT18" s="1" t="s">
        <v>206</v>
      </c>
      <c r="AU18" s="106" t="s">
        <v>206</v>
      </c>
      <c r="AV18" s="106" t="s">
        <v>206</v>
      </c>
      <c r="AW18" s="106" t="s">
        <v>35</v>
      </c>
      <c r="AX18" s="106" t="s">
        <v>206</v>
      </c>
      <c r="AY18" s="106" t="s">
        <v>206</v>
      </c>
      <c r="AZ18" s="1" t="s">
        <v>206</v>
      </c>
      <c r="BA18" s="106" t="s">
        <v>206</v>
      </c>
      <c r="BB18" s="106" t="s">
        <v>206</v>
      </c>
      <c r="BC18" s="106" t="s">
        <v>206</v>
      </c>
      <c r="BD18" s="106" t="s">
        <v>206</v>
      </c>
      <c r="BE18" s="106" t="s">
        <v>206</v>
      </c>
      <c r="BF18" s="107">
        <f>IF(AZ18="Não","Sim","Não")</f>
      </c>
      <c r="BG18" s="107">
        <f>IF(AZ18="NA","Sim","Não")</f>
      </c>
      <c r="BH18" s="106" t="s">
        <v>206</v>
      </c>
      <c r="BI18" s="1" t="s">
        <v>236</v>
      </c>
      <c r="BJ18" s="106" t="s">
        <v>36</v>
      </c>
      <c r="BK18" s="1" t="s">
        <v>497</v>
      </c>
      <c r="BL18" s="102">
        <v>20</v>
      </c>
      <c r="BM18" s="1" t="s">
        <v>208</v>
      </c>
      <c r="BN18" s="1" t="s">
        <v>208</v>
      </c>
      <c r="BO18" s="1" t="s">
        <v>497</v>
      </c>
      <c r="BP18" s="102">
        <v>20</v>
      </c>
      <c r="BQ18" s="1" t="s">
        <v>35</v>
      </c>
      <c r="BR18" s="1" t="s">
        <v>208</v>
      </c>
      <c r="BS18" s="106" t="s">
        <v>208</v>
      </c>
    </row>
    <row x14ac:dyDescent="0.25" r="19" customHeight="1" ht="17.25">
      <c r="A19" s="102">
        <v>18</v>
      </c>
      <c r="B19" s="1" t="s">
        <v>498</v>
      </c>
      <c r="C19" s="102">
        <v>1</v>
      </c>
      <c r="D19" s="61" t="s">
        <v>499</v>
      </c>
      <c r="E19" s="1" t="s">
        <v>90</v>
      </c>
      <c r="F19" s="1" t="s">
        <v>170</v>
      </c>
      <c r="G19" s="1" t="s">
        <v>41</v>
      </c>
      <c r="H19" s="1" t="s">
        <v>500</v>
      </c>
      <c r="I19" s="102">
        <v>1</v>
      </c>
      <c r="J19" s="1" t="s">
        <v>158</v>
      </c>
      <c r="K19" s="1" t="s">
        <v>22</v>
      </c>
      <c r="L19" s="103">
        <v>35011</v>
      </c>
      <c r="M19" s="104">
        <v>21</v>
      </c>
      <c r="N19" s="1" t="s">
        <v>176</v>
      </c>
      <c r="O19" s="1" t="s">
        <v>182</v>
      </c>
      <c r="P19" s="1" t="s">
        <v>365</v>
      </c>
      <c r="Q19" s="1" t="s">
        <v>501</v>
      </c>
      <c r="R19" s="54" t="s">
        <v>502</v>
      </c>
      <c r="S19" s="105">
        <v>842.4</v>
      </c>
      <c r="T19" s="62">
        <v>0</v>
      </c>
      <c r="U19" s="102">
        <v>0</v>
      </c>
      <c r="V19" s="62">
        <v>0</v>
      </c>
      <c r="W19" s="102">
        <v>0</v>
      </c>
      <c r="X19" s="62">
        <v>0</v>
      </c>
      <c r="Y19" s="102">
        <v>0</v>
      </c>
      <c r="Z19" s="62">
        <v>0</v>
      </c>
      <c r="AA19" s="102">
        <v>0</v>
      </c>
      <c r="AB19" s="62">
        <v>0</v>
      </c>
      <c r="AC19" s="106" t="s">
        <v>206</v>
      </c>
      <c r="AD19" s="106" t="s">
        <v>206</v>
      </c>
      <c r="AE19" s="106" t="s">
        <v>206</v>
      </c>
      <c r="AF19" s="106" t="s">
        <v>206</v>
      </c>
      <c r="AG19" s="106" t="s">
        <v>206</v>
      </c>
      <c r="AH19" s="106" t="s">
        <v>206</v>
      </c>
      <c r="AI19" s="1" t="s">
        <v>357</v>
      </c>
      <c r="AJ19" s="1" t="s">
        <v>206</v>
      </c>
      <c r="AK19" s="1" t="s">
        <v>503</v>
      </c>
      <c r="AL19" s="1" t="s">
        <v>197</v>
      </c>
      <c r="AM19" s="106" t="s">
        <v>27</v>
      </c>
      <c r="AN19" s="1" t="s">
        <v>357</v>
      </c>
      <c r="AO19" s="1" t="s">
        <v>208</v>
      </c>
      <c r="AP19" s="1" t="s">
        <v>206</v>
      </c>
      <c r="AQ19" s="1" t="s">
        <v>441</v>
      </c>
      <c r="AR19" s="1" t="s">
        <v>206</v>
      </c>
      <c r="AS19" s="106" t="s">
        <v>206</v>
      </c>
      <c r="AT19" s="1" t="s">
        <v>206</v>
      </c>
      <c r="AU19" s="106" t="s">
        <v>206</v>
      </c>
      <c r="AV19" s="106" t="s">
        <v>206</v>
      </c>
      <c r="AW19" s="106" t="s">
        <v>35</v>
      </c>
      <c r="AX19" s="106" t="s">
        <v>206</v>
      </c>
      <c r="AY19" s="106" t="s">
        <v>206</v>
      </c>
      <c r="AZ19" s="1" t="s">
        <v>206</v>
      </c>
      <c r="BA19" s="106" t="s">
        <v>206</v>
      </c>
      <c r="BB19" s="106" t="s">
        <v>206</v>
      </c>
      <c r="BC19" s="106" t="s">
        <v>206</v>
      </c>
      <c r="BD19" s="106" t="s">
        <v>206</v>
      </c>
      <c r="BE19" s="106" t="s">
        <v>206</v>
      </c>
      <c r="BF19" s="107">
        <f>IF(AZ19="Não","Sim","Não")</f>
      </c>
      <c r="BG19" s="107">
        <f>IF(AZ19="NA","Sim","Não")</f>
      </c>
      <c r="BH19" s="106" t="s">
        <v>206</v>
      </c>
      <c r="BI19" s="1" t="s">
        <v>236</v>
      </c>
      <c r="BJ19" s="106" t="s">
        <v>36</v>
      </c>
      <c r="BK19" s="1" t="s">
        <v>497</v>
      </c>
      <c r="BL19" s="102">
        <v>20</v>
      </c>
      <c r="BM19" s="1" t="s">
        <v>208</v>
      </c>
      <c r="BN19" s="1" t="s">
        <v>208</v>
      </c>
      <c r="BO19" s="1" t="s">
        <v>497</v>
      </c>
      <c r="BP19" s="102">
        <v>20</v>
      </c>
      <c r="BQ19" s="1" t="s">
        <v>206</v>
      </c>
      <c r="BR19" s="1" t="s">
        <v>228</v>
      </c>
      <c r="BS19" s="106" t="s">
        <v>228</v>
      </c>
    </row>
    <row x14ac:dyDescent="0.25" r="20" customHeight="1" ht="17.25">
      <c r="A20" s="102">
        <v>19</v>
      </c>
      <c r="B20" s="1" t="s">
        <v>504</v>
      </c>
      <c r="C20" s="102">
        <v>1</v>
      </c>
      <c r="D20" s="61" t="s">
        <v>505</v>
      </c>
      <c r="E20" s="1" t="s">
        <v>84</v>
      </c>
      <c r="F20" s="1" t="s">
        <v>170</v>
      </c>
      <c r="G20" s="1" t="s">
        <v>55</v>
      </c>
      <c r="H20" s="1" t="s">
        <v>506</v>
      </c>
      <c r="I20" s="102">
        <v>1</v>
      </c>
      <c r="J20" s="1" t="s">
        <v>158</v>
      </c>
      <c r="K20" s="1" t="s">
        <v>22</v>
      </c>
      <c r="L20" s="103">
        <v>27849</v>
      </c>
      <c r="M20" s="104">
        <v>41</v>
      </c>
      <c r="N20" s="1" t="s">
        <v>175</v>
      </c>
      <c r="O20" s="1" t="s">
        <v>24</v>
      </c>
      <c r="P20" s="1" t="s">
        <v>365</v>
      </c>
      <c r="Q20" s="1" t="s">
        <v>507</v>
      </c>
      <c r="R20" s="54" t="s">
        <v>508</v>
      </c>
      <c r="S20" s="105">
        <v>17.6</v>
      </c>
      <c r="T20" s="62">
        <v>0</v>
      </c>
      <c r="U20" s="102">
        <v>0</v>
      </c>
      <c r="V20" s="62">
        <v>0</v>
      </c>
      <c r="W20" s="102">
        <v>0</v>
      </c>
      <c r="X20" s="62">
        <v>0</v>
      </c>
      <c r="Y20" s="102">
        <v>0</v>
      </c>
      <c r="Z20" s="62">
        <v>0</v>
      </c>
      <c r="AA20" s="102">
        <v>0</v>
      </c>
      <c r="AB20" s="62">
        <v>0</v>
      </c>
      <c r="AC20" s="106" t="s">
        <v>206</v>
      </c>
      <c r="AD20" s="106" t="s">
        <v>206</v>
      </c>
      <c r="AE20" s="106" t="s">
        <v>206</v>
      </c>
      <c r="AF20" s="106" t="s">
        <v>206</v>
      </c>
      <c r="AG20" s="106" t="s">
        <v>206</v>
      </c>
      <c r="AH20" s="106" t="s">
        <v>206</v>
      </c>
      <c r="AI20" s="1" t="s">
        <v>357</v>
      </c>
      <c r="AJ20" s="1" t="s">
        <v>206</v>
      </c>
      <c r="AK20" s="1" t="s">
        <v>476</v>
      </c>
      <c r="AL20" s="1" t="s">
        <v>197</v>
      </c>
      <c r="AM20" s="106" t="s">
        <v>27</v>
      </c>
      <c r="AN20" s="1" t="s">
        <v>357</v>
      </c>
      <c r="AO20" s="1" t="s">
        <v>208</v>
      </c>
      <c r="AP20" s="1" t="s">
        <v>206</v>
      </c>
      <c r="AQ20" s="1" t="s">
        <v>441</v>
      </c>
      <c r="AR20" s="1" t="s">
        <v>206</v>
      </c>
      <c r="AS20" s="106" t="s">
        <v>206</v>
      </c>
      <c r="AT20" s="1" t="s">
        <v>206</v>
      </c>
      <c r="AU20" s="106" t="s">
        <v>206</v>
      </c>
      <c r="AV20" s="106" t="s">
        <v>206</v>
      </c>
      <c r="AW20" s="106" t="s">
        <v>35</v>
      </c>
      <c r="AX20" s="106" t="s">
        <v>206</v>
      </c>
      <c r="AY20" s="106" t="s">
        <v>206</v>
      </c>
      <c r="AZ20" s="1" t="s">
        <v>206</v>
      </c>
      <c r="BA20" s="106" t="s">
        <v>206</v>
      </c>
      <c r="BB20" s="106" t="s">
        <v>206</v>
      </c>
      <c r="BC20" s="106" t="s">
        <v>206</v>
      </c>
      <c r="BD20" s="106" t="s">
        <v>206</v>
      </c>
      <c r="BE20" s="106" t="s">
        <v>206</v>
      </c>
      <c r="BF20" s="107">
        <f>IF(AZ20="Não","Sim","Não")</f>
      </c>
      <c r="BG20" s="107">
        <f>IF(AZ20="NA","Sim","Não")</f>
      </c>
      <c r="BH20" s="106" t="s">
        <v>206</v>
      </c>
      <c r="BI20" s="1" t="s">
        <v>236</v>
      </c>
      <c r="BJ20" s="106" t="s">
        <v>36</v>
      </c>
      <c r="BK20" s="1" t="s">
        <v>497</v>
      </c>
      <c r="BL20" s="102">
        <v>20</v>
      </c>
      <c r="BM20" s="1" t="s">
        <v>208</v>
      </c>
      <c r="BN20" s="1" t="s">
        <v>208</v>
      </c>
      <c r="BO20" s="1" t="s">
        <v>497</v>
      </c>
      <c r="BP20" s="102">
        <v>20</v>
      </c>
      <c r="BQ20" s="1" t="s">
        <v>35</v>
      </c>
      <c r="BR20" s="1" t="s">
        <v>208</v>
      </c>
      <c r="BS20" s="106" t="s">
        <v>208</v>
      </c>
    </row>
    <row x14ac:dyDescent="0.25" r="21" customHeight="1" ht="17.25">
      <c r="A21" s="102">
        <v>20</v>
      </c>
      <c r="B21" s="1" t="s">
        <v>509</v>
      </c>
      <c r="C21" s="102">
        <v>1</v>
      </c>
      <c r="D21" s="61">
        <v>42888</v>
      </c>
      <c r="E21" s="1" t="s">
        <v>112</v>
      </c>
      <c r="F21" s="1" t="s">
        <v>170</v>
      </c>
      <c r="G21" s="1" t="s">
        <v>61</v>
      </c>
      <c r="H21" s="1" t="s">
        <v>510</v>
      </c>
      <c r="I21" s="102">
        <v>1</v>
      </c>
      <c r="J21" s="1" t="s">
        <v>158</v>
      </c>
      <c r="K21" s="1" t="s">
        <v>22</v>
      </c>
      <c r="L21" s="103">
        <v>35604</v>
      </c>
      <c r="M21" s="104">
        <v>19</v>
      </c>
      <c r="N21" s="1" t="s">
        <v>177</v>
      </c>
      <c r="O21" s="1" t="s">
        <v>24</v>
      </c>
      <c r="P21" s="1" t="s">
        <v>365</v>
      </c>
      <c r="Q21" s="1" t="s">
        <v>511</v>
      </c>
      <c r="R21" s="54" t="s">
        <v>512</v>
      </c>
      <c r="S21" s="105">
        <v>64.3</v>
      </c>
      <c r="T21" s="62">
        <v>0</v>
      </c>
      <c r="U21" s="102">
        <v>0</v>
      </c>
      <c r="V21" s="62">
        <v>0</v>
      </c>
      <c r="W21" s="102">
        <v>0</v>
      </c>
      <c r="X21" s="62">
        <v>0</v>
      </c>
      <c r="Y21" s="102">
        <v>0</v>
      </c>
      <c r="Z21" s="62">
        <v>0</v>
      </c>
      <c r="AA21" s="102">
        <v>0</v>
      </c>
      <c r="AB21" s="62">
        <v>0</v>
      </c>
      <c r="AC21" s="106" t="s">
        <v>206</v>
      </c>
      <c r="AD21" s="106" t="s">
        <v>206</v>
      </c>
      <c r="AE21" s="106" t="s">
        <v>206</v>
      </c>
      <c r="AF21" s="106" t="s">
        <v>206</v>
      </c>
      <c r="AG21" s="106" t="s">
        <v>206</v>
      </c>
      <c r="AH21" s="106" t="s">
        <v>206</v>
      </c>
      <c r="AI21" s="1" t="s">
        <v>357</v>
      </c>
      <c r="AJ21" s="1" t="s">
        <v>206</v>
      </c>
      <c r="AK21" s="1" t="s">
        <v>513</v>
      </c>
      <c r="AL21" s="1" t="s">
        <v>197</v>
      </c>
      <c r="AM21" s="106" t="s">
        <v>27</v>
      </c>
      <c r="AN21" s="1" t="s">
        <v>357</v>
      </c>
      <c r="AO21" s="1" t="s">
        <v>208</v>
      </c>
      <c r="AP21" s="1" t="s">
        <v>206</v>
      </c>
      <c r="AQ21" s="1" t="s">
        <v>441</v>
      </c>
      <c r="AR21" s="1" t="s">
        <v>206</v>
      </c>
      <c r="AS21" s="106" t="s">
        <v>206</v>
      </c>
      <c r="AT21" s="1" t="s">
        <v>206</v>
      </c>
      <c r="AU21" s="106" t="s">
        <v>206</v>
      </c>
      <c r="AV21" s="106" t="s">
        <v>206</v>
      </c>
      <c r="AW21" s="106" t="s">
        <v>35</v>
      </c>
      <c r="AX21" s="106" t="s">
        <v>206</v>
      </c>
      <c r="AY21" s="106" t="s">
        <v>206</v>
      </c>
      <c r="AZ21" s="1" t="s">
        <v>206</v>
      </c>
      <c r="BA21" s="106" t="s">
        <v>206</v>
      </c>
      <c r="BB21" s="106" t="s">
        <v>206</v>
      </c>
      <c r="BC21" s="106" t="s">
        <v>206</v>
      </c>
      <c r="BD21" s="106" t="s">
        <v>206</v>
      </c>
      <c r="BE21" s="106" t="s">
        <v>206</v>
      </c>
      <c r="BF21" s="107">
        <f>IF(AZ21="Não","Sim","Não")</f>
      </c>
      <c r="BG21" s="107">
        <f>IF(AZ21="NA","Sim","Não")</f>
      </c>
      <c r="BH21" s="106" t="s">
        <v>206</v>
      </c>
      <c r="BI21" s="1" t="s">
        <v>236</v>
      </c>
      <c r="BJ21" s="106" t="s">
        <v>36</v>
      </c>
      <c r="BK21" s="1" t="s">
        <v>497</v>
      </c>
      <c r="BL21" s="102">
        <v>20</v>
      </c>
      <c r="BM21" s="1" t="s">
        <v>208</v>
      </c>
      <c r="BN21" s="1" t="s">
        <v>208</v>
      </c>
      <c r="BO21" s="1" t="s">
        <v>497</v>
      </c>
      <c r="BP21" s="102">
        <v>20</v>
      </c>
      <c r="BQ21" s="1" t="s">
        <v>35</v>
      </c>
      <c r="BR21" s="1" t="s">
        <v>208</v>
      </c>
      <c r="BS21" s="106" t="s">
        <v>208</v>
      </c>
    </row>
    <row x14ac:dyDescent="0.25" r="22" customHeight="1" ht="17.25">
      <c r="A22" s="102">
        <v>21</v>
      </c>
      <c r="B22" s="1" t="s">
        <v>514</v>
      </c>
      <c r="C22" s="102">
        <v>1</v>
      </c>
      <c r="D22" s="61" t="s">
        <v>515</v>
      </c>
      <c r="E22" s="1" t="s">
        <v>97</v>
      </c>
      <c r="F22" s="1" t="s">
        <v>170</v>
      </c>
      <c r="G22" s="1" t="s">
        <v>57</v>
      </c>
      <c r="H22" s="1" t="s">
        <v>516</v>
      </c>
      <c r="I22" s="102">
        <v>1</v>
      </c>
      <c r="J22" s="1" t="s">
        <v>158</v>
      </c>
      <c r="K22" s="1" t="s">
        <v>22</v>
      </c>
      <c r="L22" s="103">
        <v>35651</v>
      </c>
      <c r="M22" s="104">
        <v>20</v>
      </c>
      <c r="N22" s="1" t="s">
        <v>176</v>
      </c>
      <c r="O22" s="1" t="s">
        <v>182</v>
      </c>
      <c r="P22" s="1" t="s">
        <v>517</v>
      </c>
      <c r="Q22" s="1" t="s">
        <v>518</v>
      </c>
      <c r="R22" s="54" t="s">
        <v>519</v>
      </c>
      <c r="S22" s="105">
        <v>66.4</v>
      </c>
      <c r="T22" s="62">
        <v>0</v>
      </c>
      <c r="U22" s="102">
        <v>0</v>
      </c>
      <c r="V22" s="62">
        <v>0</v>
      </c>
      <c r="W22" s="102">
        <v>0</v>
      </c>
      <c r="X22" s="62">
        <v>0</v>
      </c>
      <c r="Y22" s="102">
        <v>0</v>
      </c>
      <c r="Z22" s="62">
        <v>0</v>
      </c>
      <c r="AA22" s="102">
        <v>0</v>
      </c>
      <c r="AB22" s="62">
        <v>0</v>
      </c>
      <c r="AC22" s="106" t="s">
        <v>206</v>
      </c>
      <c r="AD22" s="106" t="s">
        <v>206</v>
      </c>
      <c r="AE22" s="106" t="s">
        <v>206</v>
      </c>
      <c r="AF22" s="106" t="s">
        <v>206</v>
      </c>
      <c r="AG22" s="106" t="s">
        <v>206</v>
      </c>
      <c r="AH22" s="106" t="s">
        <v>206</v>
      </c>
      <c r="AI22" s="1" t="s">
        <v>357</v>
      </c>
      <c r="AJ22" s="1" t="s">
        <v>206</v>
      </c>
      <c r="AK22" s="1" t="s">
        <v>520</v>
      </c>
      <c r="AL22" s="1" t="s">
        <v>197</v>
      </c>
      <c r="AM22" s="106" t="s">
        <v>27</v>
      </c>
      <c r="AN22" s="1" t="s">
        <v>357</v>
      </c>
      <c r="AO22" s="1" t="s">
        <v>208</v>
      </c>
      <c r="AP22" s="1" t="s">
        <v>206</v>
      </c>
      <c r="AQ22" s="1" t="s">
        <v>441</v>
      </c>
      <c r="AR22" s="1" t="s">
        <v>206</v>
      </c>
      <c r="AS22" s="106" t="s">
        <v>206</v>
      </c>
      <c r="AT22" s="1" t="s">
        <v>206</v>
      </c>
      <c r="AU22" s="106" t="s">
        <v>206</v>
      </c>
      <c r="AV22" s="106" t="s">
        <v>206</v>
      </c>
      <c r="AW22" s="106" t="s">
        <v>35</v>
      </c>
      <c r="AX22" s="106" t="s">
        <v>206</v>
      </c>
      <c r="AY22" s="106" t="s">
        <v>206</v>
      </c>
      <c r="AZ22" s="1" t="s">
        <v>206</v>
      </c>
      <c r="BA22" s="106" t="s">
        <v>206</v>
      </c>
      <c r="BB22" s="106" t="s">
        <v>206</v>
      </c>
      <c r="BC22" s="106" t="s">
        <v>206</v>
      </c>
      <c r="BD22" s="106" t="s">
        <v>206</v>
      </c>
      <c r="BE22" s="106" t="s">
        <v>206</v>
      </c>
      <c r="BF22" s="107">
        <f>IF(AZ22="Não","Sim","Não")</f>
      </c>
      <c r="BG22" s="107">
        <f>IF(AZ22="NA","Sim","Não")</f>
      </c>
      <c r="BH22" s="106" t="s">
        <v>206</v>
      </c>
      <c r="BI22" s="1" t="s">
        <v>236</v>
      </c>
      <c r="BJ22" s="106" t="s">
        <v>36</v>
      </c>
      <c r="BK22" s="1" t="s">
        <v>497</v>
      </c>
      <c r="BL22" s="102">
        <v>20</v>
      </c>
      <c r="BM22" s="1" t="s">
        <v>208</v>
      </c>
      <c r="BN22" s="1" t="s">
        <v>208</v>
      </c>
      <c r="BO22" s="1" t="s">
        <v>497</v>
      </c>
      <c r="BP22" s="102">
        <v>20</v>
      </c>
      <c r="BQ22" s="1" t="s">
        <v>206</v>
      </c>
      <c r="BR22" s="1" t="s">
        <v>227</v>
      </c>
      <c r="BS22" s="106" t="s">
        <v>37</v>
      </c>
    </row>
    <row x14ac:dyDescent="0.25" r="23" customHeight="1" ht="17.25">
      <c r="A23" s="102">
        <v>22</v>
      </c>
      <c r="B23" s="1" t="s">
        <v>521</v>
      </c>
      <c r="C23" s="102">
        <v>1</v>
      </c>
      <c r="D23" s="61" t="s">
        <v>522</v>
      </c>
      <c r="E23" s="1" t="s">
        <v>88</v>
      </c>
      <c r="F23" s="1" t="s">
        <v>170</v>
      </c>
      <c r="G23" s="1" t="s">
        <v>40</v>
      </c>
      <c r="H23" s="1" t="s">
        <v>523</v>
      </c>
      <c r="I23" s="102">
        <v>1</v>
      </c>
      <c r="J23" s="1" t="s">
        <v>159</v>
      </c>
      <c r="K23" s="1" t="s">
        <v>22</v>
      </c>
      <c r="L23" s="103">
        <v>24436</v>
      </c>
      <c r="M23" s="104">
        <v>50</v>
      </c>
      <c r="N23" s="1" t="s">
        <v>176</v>
      </c>
      <c r="O23" s="1" t="s">
        <v>182</v>
      </c>
      <c r="P23" s="1" t="s">
        <v>365</v>
      </c>
      <c r="Q23" s="1" t="s">
        <v>524</v>
      </c>
      <c r="R23" s="54" t="s">
        <v>525</v>
      </c>
      <c r="S23" s="105">
        <v>728.2</v>
      </c>
      <c r="T23" s="62">
        <v>0</v>
      </c>
      <c r="U23" s="102">
        <v>0</v>
      </c>
      <c r="V23" s="62">
        <v>0</v>
      </c>
      <c r="W23" s="102">
        <v>0</v>
      </c>
      <c r="X23" s="62">
        <v>0</v>
      </c>
      <c r="Y23" s="102">
        <v>0</v>
      </c>
      <c r="Z23" s="62">
        <v>0</v>
      </c>
      <c r="AA23" s="102">
        <v>0</v>
      </c>
      <c r="AB23" s="62">
        <v>0</v>
      </c>
      <c r="AC23" s="106" t="s">
        <v>206</v>
      </c>
      <c r="AD23" s="106" t="s">
        <v>206</v>
      </c>
      <c r="AE23" s="106" t="s">
        <v>206</v>
      </c>
      <c r="AF23" s="106" t="s">
        <v>206</v>
      </c>
      <c r="AG23" s="106" t="s">
        <v>206</v>
      </c>
      <c r="AH23" s="106" t="s">
        <v>206</v>
      </c>
      <c r="AI23" s="1" t="s">
        <v>357</v>
      </c>
      <c r="AJ23" s="1" t="s">
        <v>526</v>
      </c>
      <c r="AK23" s="1" t="s">
        <v>503</v>
      </c>
      <c r="AL23" s="1" t="s">
        <v>197</v>
      </c>
      <c r="AM23" s="106" t="s">
        <v>27</v>
      </c>
      <c r="AN23" s="1" t="s">
        <v>357</v>
      </c>
      <c r="AO23" s="1" t="s">
        <v>527</v>
      </c>
      <c r="AP23" s="1" t="s">
        <v>206</v>
      </c>
      <c r="AQ23" s="1" t="s">
        <v>441</v>
      </c>
      <c r="AR23" s="1" t="s">
        <v>206</v>
      </c>
      <c r="AS23" s="106" t="s">
        <v>206</v>
      </c>
      <c r="AT23" s="1" t="s">
        <v>206</v>
      </c>
      <c r="AU23" s="106" t="s">
        <v>206</v>
      </c>
      <c r="AV23" s="106" t="s">
        <v>206</v>
      </c>
      <c r="AW23" s="106" t="s">
        <v>35</v>
      </c>
      <c r="AX23" s="106" t="s">
        <v>206</v>
      </c>
      <c r="AY23" s="106" t="s">
        <v>206</v>
      </c>
      <c r="AZ23" s="1" t="s">
        <v>206</v>
      </c>
      <c r="BA23" s="106" t="s">
        <v>206</v>
      </c>
      <c r="BB23" s="106" t="s">
        <v>206</v>
      </c>
      <c r="BC23" s="106" t="s">
        <v>206</v>
      </c>
      <c r="BD23" s="106" t="s">
        <v>206</v>
      </c>
      <c r="BE23" s="106" t="s">
        <v>206</v>
      </c>
      <c r="BF23" s="107">
        <f>IF(AZ23="Não","Sim","Não")</f>
      </c>
      <c r="BG23" s="107">
        <f>IF(AZ23="NA","Sim","Não")</f>
      </c>
      <c r="BH23" s="106" t="s">
        <v>206</v>
      </c>
      <c r="BI23" s="1" t="s">
        <v>236</v>
      </c>
      <c r="BJ23" s="106" t="s">
        <v>36</v>
      </c>
      <c r="BK23" s="1" t="s">
        <v>497</v>
      </c>
      <c r="BL23" s="102">
        <v>20</v>
      </c>
      <c r="BM23" s="1" t="s">
        <v>208</v>
      </c>
      <c r="BN23" s="1" t="s">
        <v>528</v>
      </c>
      <c r="BO23" s="1" t="s">
        <v>529</v>
      </c>
      <c r="BP23" s="102">
        <v>164</v>
      </c>
      <c r="BQ23" s="1" t="s">
        <v>208</v>
      </c>
      <c r="BR23" s="1" t="s">
        <v>227</v>
      </c>
      <c r="BS23" s="106" t="s">
        <v>232</v>
      </c>
    </row>
    <row x14ac:dyDescent="0.25" r="24" customHeight="1" ht="17.25">
      <c r="A24" s="102">
        <v>23</v>
      </c>
      <c r="B24" s="1" t="s">
        <v>530</v>
      </c>
      <c r="C24" s="102">
        <v>1</v>
      </c>
      <c r="D24" s="61" t="s">
        <v>531</v>
      </c>
      <c r="E24" s="1" t="s">
        <v>78</v>
      </c>
      <c r="F24" s="1" t="s">
        <v>22</v>
      </c>
      <c r="G24" s="1" t="s">
        <v>64</v>
      </c>
      <c r="H24" s="1" t="s">
        <v>532</v>
      </c>
      <c r="I24" s="102">
        <v>1</v>
      </c>
      <c r="J24" s="1" t="s">
        <v>158</v>
      </c>
      <c r="K24" s="1" t="s">
        <v>22</v>
      </c>
      <c r="L24" s="103">
        <v>35984</v>
      </c>
      <c r="M24" s="104">
        <v>19</v>
      </c>
      <c r="N24" s="1" t="s">
        <v>175</v>
      </c>
      <c r="O24" s="1" t="s">
        <v>24</v>
      </c>
      <c r="P24" s="1" t="s">
        <v>365</v>
      </c>
      <c r="Q24" s="1" t="s">
        <v>533</v>
      </c>
      <c r="R24" s="54" t="s">
        <v>534</v>
      </c>
      <c r="S24" s="105">
        <v>47.7</v>
      </c>
      <c r="T24" s="62">
        <v>0</v>
      </c>
      <c r="U24" s="102">
        <v>0</v>
      </c>
      <c r="V24" s="62">
        <v>0</v>
      </c>
      <c r="W24" s="102">
        <v>0</v>
      </c>
      <c r="X24" s="62">
        <v>0</v>
      </c>
      <c r="Y24" s="102">
        <v>0</v>
      </c>
      <c r="Z24" s="62">
        <v>0</v>
      </c>
      <c r="AA24" s="102">
        <v>0</v>
      </c>
      <c r="AB24" s="62">
        <v>0</v>
      </c>
      <c r="AC24" s="106" t="s">
        <v>206</v>
      </c>
      <c r="AD24" s="106" t="s">
        <v>206</v>
      </c>
      <c r="AE24" s="106" t="s">
        <v>206</v>
      </c>
      <c r="AF24" s="106" t="s">
        <v>206</v>
      </c>
      <c r="AG24" s="106" t="s">
        <v>206</v>
      </c>
      <c r="AH24" s="106" t="s">
        <v>206</v>
      </c>
      <c r="AI24" s="1" t="s">
        <v>357</v>
      </c>
      <c r="AJ24" s="1" t="s">
        <v>206</v>
      </c>
      <c r="AK24" s="1" t="s">
        <v>535</v>
      </c>
      <c r="AL24" s="1" t="s">
        <v>197</v>
      </c>
      <c r="AM24" s="106" t="s">
        <v>27</v>
      </c>
      <c r="AN24" s="1" t="s">
        <v>357</v>
      </c>
      <c r="AO24" s="1" t="s">
        <v>208</v>
      </c>
      <c r="AP24" s="1" t="s">
        <v>206</v>
      </c>
      <c r="AQ24" s="1" t="s">
        <v>441</v>
      </c>
      <c r="AR24" s="1" t="s">
        <v>206</v>
      </c>
      <c r="AS24" s="106" t="s">
        <v>206</v>
      </c>
      <c r="AT24" s="1" t="s">
        <v>206</v>
      </c>
      <c r="AU24" s="106" t="s">
        <v>206</v>
      </c>
      <c r="AV24" s="106" t="s">
        <v>206</v>
      </c>
      <c r="AW24" s="106" t="s">
        <v>35</v>
      </c>
      <c r="AX24" s="106" t="s">
        <v>206</v>
      </c>
      <c r="AY24" s="106" t="s">
        <v>206</v>
      </c>
      <c r="AZ24" s="1" t="s">
        <v>206</v>
      </c>
      <c r="BA24" s="106" t="s">
        <v>206</v>
      </c>
      <c r="BB24" s="106" t="s">
        <v>206</v>
      </c>
      <c r="BC24" s="106" t="s">
        <v>206</v>
      </c>
      <c r="BD24" s="106" t="s">
        <v>206</v>
      </c>
      <c r="BE24" s="106" t="s">
        <v>206</v>
      </c>
      <c r="BF24" s="107">
        <f>IF(AZ24="Não","Sim","Não")</f>
      </c>
      <c r="BG24" s="107">
        <f>IF(AZ24="NA","Sim","Não")</f>
      </c>
      <c r="BH24" s="106" t="s">
        <v>206</v>
      </c>
      <c r="BI24" s="1" t="s">
        <v>236</v>
      </c>
      <c r="BJ24" s="106" t="s">
        <v>36</v>
      </c>
      <c r="BK24" s="1" t="s">
        <v>497</v>
      </c>
      <c r="BL24" s="102">
        <v>20</v>
      </c>
      <c r="BM24" s="1" t="s">
        <v>208</v>
      </c>
      <c r="BN24" s="1" t="s">
        <v>208</v>
      </c>
      <c r="BO24" s="1" t="s">
        <v>497</v>
      </c>
      <c r="BP24" s="102">
        <v>20</v>
      </c>
      <c r="BQ24" s="1" t="s">
        <v>206</v>
      </c>
      <c r="BR24" s="1" t="s">
        <v>229</v>
      </c>
      <c r="BS24" s="106" t="s">
        <v>229</v>
      </c>
    </row>
    <row x14ac:dyDescent="0.25" r="25" customHeight="1" ht="17.25">
      <c r="A25" s="102">
        <v>24</v>
      </c>
      <c r="B25" s="1" t="s">
        <v>536</v>
      </c>
      <c r="C25" s="102">
        <v>1</v>
      </c>
      <c r="D25" s="61">
        <v>42893</v>
      </c>
      <c r="E25" s="1" t="s">
        <v>105</v>
      </c>
      <c r="F25" s="1" t="s">
        <v>170</v>
      </c>
      <c r="G25" s="1" t="s">
        <v>39</v>
      </c>
      <c r="H25" s="1" t="s">
        <v>537</v>
      </c>
      <c r="I25" s="102">
        <v>1</v>
      </c>
      <c r="J25" s="1" t="s">
        <v>158</v>
      </c>
      <c r="K25" s="1" t="s">
        <v>22</v>
      </c>
      <c r="L25" s="103">
        <v>30297</v>
      </c>
      <c r="M25" s="104">
        <v>34</v>
      </c>
      <c r="N25" s="1" t="s">
        <v>177</v>
      </c>
      <c r="O25" s="1" t="s">
        <v>24</v>
      </c>
      <c r="P25" s="1" t="s">
        <v>365</v>
      </c>
      <c r="Q25" s="1" t="s">
        <v>538</v>
      </c>
      <c r="R25" s="54" t="s">
        <v>539</v>
      </c>
      <c r="S25" s="105">
        <v>86.1</v>
      </c>
      <c r="T25" s="62">
        <v>0</v>
      </c>
      <c r="U25" s="102">
        <v>0</v>
      </c>
      <c r="V25" s="62">
        <v>0</v>
      </c>
      <c r="W25" s="102">
        <v>0</v>
      </c>
      <c r="X25" s="62">
        <v>0</v>
      </c>
      <c r="Y25" s="102">
        <v>0</v>
      </c>
      <c r="Z25" s="62">
        <v>0</v>
      </c>
      <c r="AA25" s="102">
        <v>0</v>
      </c>
      <c r="AB25" s="62">
        <v>0</v>
      </c>
      <c r="AC25" s="106" t="s">
        <v>206</v>
      </c>
      <c r="AD25" s="106" t="s">
        <v>206</v>
      </c>
      <c r="AE25" s="106" t="s">
        <v>206</v>
      </c>
      <c r="AF25" s="106" t="s">
        <v>206</v>
      </c>
      <c r="AG25" s="106" t="s">
        <v>206</v>
      </c>
      <c r="AH25" s="106" t="s">
        <v>206</v>
      </c>
      <c r="AI25" s="1" t="s">
        <v>357</v>
      </c>
      <c r="AJ25" s="1" t="s">
        <v>206</v>
      </c>
      <c r="AK25" s="1" t="s">
        <v>540</v>
      </c>
      <c r="AL25" s="1" t="s">
        <v>197</v>
      </c>
      <c r="AM25" s="106" t="s">
        <v>27</v>
      </c>
      <c r="AN25" s="1" t="s">
        <v>357</v>
      </c>
      <c r="AO25" s="1" t="s">
        <v>208</v>
      </c>
      <c r="AP25" s="1" t="s">
        <v>206</v>
      </c>
      <c r="AQ25" s="1" t="s">
        <v>441</v>
      </c>
      <c r="AR25" s="1" t="s">
        <v>206</v>
      </c>
      <c r="AS25" s="106" t="s">
        <v>206</v>
      </c>
      <c r="AT25" s="1" t="s">
        <v>206</v>
      </c>
      <c r="AU25" s="106" t="s">
        <v>206</v>
      </c>
      <c r="AV25" s="106" t="s">
        <v>206</v>
      </c>
      <c r="AW25" s="106" t="s">
        <v>35</v>
      </c>
      <c r="AX25" s="106" t="s">
        <v>206</v>
      </c>
      <c r="AY25" s="106" t="s">
        <v>206</v>
      </c>
      <c r="AZ25" s="1" t="s">
        <v>206</v>
      </c>
      <c r="BA25" s="106" t="s">
        <v>206</v>
      </c>
      <c r="BB25" s="106" t="s">
        <v>206</v>
      </c>
      <c r="BC25" s="106" t="s">
        <v>206</v>
      </c>
      <c r="BD25" s="106" t="s">
        <v>206</v>
      </c>
      <c r="BE25" s="106" t="s">
        <v>206</v>
      </c>
      <c r="BF25" s="107">
        <f>IF(AZ25="Não","Sim","Não")</f>
      </c>
      <c r="BG25" s="107">
        <f>IF(AZ25="NA","Sim","Não")</f>
      </c>
      <c r="BH25" s="106" t="s">
        <v>206</v>
      </c>
      <c r="BI25" s="1" t="s">
        <v>236</v>
      </c>
      <c r="BJ25" s="106" t="s">
        <v>36</v>
      </c>
      <c r="BK25" s="1" t="s">
        <v>497</v>
      </c>
      <c r="BL25" s="102">
        <v>20</v>
      </c>
      <c r="BM25" s="1" t="s">
        <v>208</v>
      </c>
      <c r="BN25" s="1" t="s">
        <v>208</v>
      </c>
      <c r="BO25" s="1" t="s">
        <v>497</v>
      </c>
      <c r="BP25" s="102">
        <v>20</v>
      </c>
      <c r="BQ25" s="1" t="s">
        <v>206</v>
      </c>
      <c r="BR25" s="1" t="s">
        <v>227</v>
      </c>
      <c r="BS25" s="106" t="s">
        <v>37</v>
      </c>
    </row>
    <row x14ac:dyDescent="0.25" r="26" customHeight="1" ht="17.25">
      <c r="A26" s="102">
        <v>25</v>
      </c>
      <c r="B26" s="1" t="s">
        <v>541</v>
      </c>
      <c r="C26" s="102">
        <v>1</v>
      </c>
      <c r="D26" s="61" t="s">
        <v>542</v>
      </c>
      <c r="E26" s="1" t="s">
        <v>133</v>
      </c>
      <c r="F26" s="1" t="s">
        <v>170</v>
      </c>
      <c r="G26" s="1" t="s">
        <v>64</v>
      </c>
      <c r="H26" s="1" t="s">
        <v>543</v>
      </c>
      <c r="I26" s="102">
        <v>1</v>
      </c>
      <c r="J26" s="1" t="s">
        <v>158</v>
      </c>
      <c r="K26" s="1" t="s">
        <v>22</v>
      </c>
      <c r="L26" s="103">
        <v>29032</v>
      </c>
      <c r="M26" s="104">
        <v>37</v>
      </c>
      <c r="N26" s="1" t="s">
        <v>177</v>
      </c>
      <c r="O26" s="1" t="s">
        <v>24</v>
      </c>
      <c r="P26" s="1" t="s">
        <v>354</v>
      </c>
      <c r="Q26" s="1" t="s">
        <v>366</v>
      </c>
      <c r="R26" s="54" t="s">
        <v>544</v>
      </c>
      <c r="S26" s="105">
        <v>51.7</v>
      </c>
      <c r="T26" s="62">
        <v>0</v>
      </c>
      <c r="U26" s="102">
        <v>0</v>
      </c>
      <c r="V26" s="62">
        <v>0</v>
      </c>
      <c r="W26" s="102">
        <v>0</v>
      </c>
      <c r="X26" s="62">
        <v>0</v>
      </c>
      <c r="Y26" s="102">
        <v>0</v>
      </c>
      <c r="Z26" s="62">
        <v>0</v>
      </c>
      <c r="AA26" s="102">
        <v>0</v>
      </c>
      <c r="AB26" s="62">
        <v>0</v>
      </c>
      <c r="AC26" s="106" t="s">
        <v>206</v>
      </c>
      <c r="AD26" s="106" t="s">
        <v>206</v>
      </c>
      <c r="AE26" s="106" t="s">
        <v>206</v>
      </c>
      <c r="AF26" s="106" t="s">
        <v>206</v>
      </c>
      <c r="AG26" s="106" t="s">
        <v>206</v>
      </c>
      <c r="AH26" s="106" t="s">
        <v>206</v>
      </c>
      <c r="AI26" s="1" t="s">
        <v>357</v>
      </c>
      <c r="AJ26" s="1" t="s">
        <v>206</v>
      </c>
      <c r="AK26" s="1" t="s">
        <v>373</v>
      </c>
      <c r="AL26" s="1" t="s">
        <v>197</v>
      </c>
      <c r="AM26" s="106" t="s">
        <v>27</v>
      </c>
      <c r="AN26" s="1" t="s">
        <v>357</v>
      </c>
      <c r="AO26" s="1" t="s">
        <v>208</v>
      </c>
      <c r="AP26" s="1" t="s">
        <v>206</v>
      </c>
      <c r="AQ26" s="1" t="s">
        <v>441</v>
      </c>
      <c r="AR26" s="1" t="s">
        <v>206</v>
      </c>
      <c r="AS26" s="106" t="s">
        <v>206</v>
      </c>
      <c r="AT26" s="1" t="s">
        <v>206</v>
      </c>
      <c r="AU26" s="106" t="s">
        <v>206</v>
      </c>
      <c r="AV26" s="106" t="s">
        <v>206</v>
      </c>
      <c r="AW26" s="106" t="s">
        <v>35</v>
      </c>
      <c r="AX26" s="106" t="s">
        <v>206</v>
      </c>
      <c r="AY26" s="106" t="s">
        <v>206</v>
      </c>
      <c r="AZ26" s="1" t="s">
        <v>206</v>
      </c>
      <c r="BA26" s="106" t="s">
        <v>206</v>
      </c>
      <c r="BB26" s="106" t="s">
        <v>206</v>
      </c>
      <c r="BC26" s="106" t="s">
        <v>206</v>
      </c>
      <c r="BD26" s="106" t="s">
        <v>206</v>
      </c>
      <c r="BE26" s="106" t="s">
        <v>206</v>
      </c>
      <c r="BF26" s="107">
        <f>IF(AZ26="Não","Sim","Não")</f>
      </c>
      <c r="BG26" s="107">
        <f>IF(AZ26="NA","Sim","Não")</f>
      </c>
      <c r="BH26" s="106" t="s">
        <v>206</v>
      </c>
      <c r="BI26" s="1" t="s">
        <v>236</v>
      </c>
      <c r="BJ26" s="106" t="s">
        <v>36</v>
      </c>
      <c r="BK26" s="1" t="s">
        <v>497</v>
      </c>
      <c r="BL26" s="102">
        <v>20</v>
      </c>
      <c r="BM26" s="1" t="s">
        <v>208</v>
      </c>
      <c r="BN26" s="1" t="s">
        <v>208</v>
      </c>
      <c r="BO26" s="1" t="s">
        <v>497</v>
      </c>
      <c r="BP26" s="102">
        <v>20</v>
      </c>
      <c r="BQ26" s="1" t="s">
        <v>206</v>
      </c>
      <c r="BR26" s="1" t="s">
        <v>229</v>
      </c>
      <c r="BS26" s="106" t="s">
        <v>229</v>
      </c>
    </row>
    <row x14ac:dyDescent="0.25" r="27" customHeight="1" ht="17.25">
      <c r="A27" s="102">
        <v>26</v>
      </c>
      <c r="B27" s="1" t="s">
        <v>545</v>
      </c>
      <c r="C27" s="102">
        <v>1</v>
      </c>
      <c r="D27" s="61">
        <v>42871</v>
      </c>
      <c r="E27" s="1" t="s">
        <v>124</v>
      </c>
      <c r="F27" s="1" t="s">
        <v>170</v>
      </c>
      <c r="G27" s="1" t="s">
        <v>58</v>
      </c>
      <c r="H27" s="1" t="s">
        <v>546</v>
      </c>
      <c r="I27" s="102">
        <v>1</v>
      </c>
      <c r="J27" s="1" t="s">
        <v>158</v>
      </c>
      <c r="K27" s="1" t="s">
        <v>22</v>
      </c>
      <c r="L27" s="103">
        <v>35825</v>
      </c>
      <c r="M27" s="104">
        <v>19</v>
      </c>
      <c r="N27" s="1" t="s">
        <v>176</v>
      </c>
      <c r="O27" s="1" t="s">
        <v>182</v>
      </c>
      <c r="P27" s="1" t="s">
        <v>354</v>
      </c>
      <c r="Q27" s="1" t="s">
        <v>547</v>
      </c>
      <c r="R27" s="54" t="s">
        <v>548</v>
      </c>
      <c r="S27" s="105">
        <v>8.5</v>
      </c>
      <c r="T27" s="62">
        <v>0</v>
      </c>
      <c r="U27" s="102">
        <v>0</v>
      </c>
      <c r="V27" s="62">
        <v>0</v>
      </c>
      <c r="W27" s="102">
        <v>0</v>
      </c>
      <c r="X27" s="62">
        <v>0</v>
      </c>
      <c r="Y27" s="102">
        <v>0</v>
      </c>
      <c r="Z27" s="62">
        <v>0</v>
      </c>
      <c r="AA27" s="102">
        <v>0</v>
      </c>
      <c r="AB27" s="62">
        <v>0</v>
      </c>
      <c r="AC27" s="106" t="s">
        <v>206</v>
      </c>
      <c r="AD27" s="106" t="s">
        <v>206</v>
      </c>
      <c r="AE27" s="106" t="s">
        <v>206</v>
      </c>
      <c r="AF27" s="106" t="s">
        <v>206</v>
      </c>
      <c r="AG27" s="106" t="s">
        <v>206</v>
      </c>
      <c r="AH27" s="106" t="s">
        <v>206</v>
      </c>
      <c r="AI27" s="1" t="s">
        <v>357</v>
      </c>
      <c r="AJ27" s="1" t="s">
        <v>206</v>
      </c>
      <c r="AK27" s="1" t="s">
        <v>549</v>
      </c>
      <c r="AL27" s="1" t="s">
        <v>197</v>
      </c>
      <c r="AM27" s="106" t="s">
        <v>27</v>
      </c>
      <c r="AN27" s="1" t="s">
        <v>357</v>
      </c>
      <c r="AO27" s="1" t="s">
        <v>208</v>
      </c>
      <c r="AP27" s="1" t="s">
        <v>206</v>
      </c>
      <c r="AQ27" s="1" t="s">
        <v>441</v>
      </c>
      <c r="AR27" s="1" t="s">
        <v>206</v>
      </c>
      <c r="AS27" s="106" t="s">
        <v>206</v>
      </c>
      <c r="AT27" s="1" t="s">
        <v>206</v>
      </c>
      <c r="AU27" s="106" t="s">
        <v>206</v>
      </c>
      <c r="AV27" s="106" t="s">
        <v>206</v>
      </c>
      <c r="AW27" s="106" t="s">
        <v>35</v>
      </c>
      <c r="AX27" s="106" t="s">
        <v>206</v>
      </c>
      <c r="AY27" s="106" t="s">
        <v>206</v>
      </c>
      <c r="AZ27" s="1" t="s">
        <v>206</v>
      </c>
      <c r="BA27" s="106" t="s">
        <v>206</v>
      </c>
      <c r="BB27" s="106" t="s">
        <v>206</v>
      </c>
      <c r="BC27" s="106" t="s">
        <v>206</v>
      </c>
      <c r="BD27" s="106" t="s">
        <v>206</v>
      </c>
      <c r="BE27" s="106" t="s">
        <v>206</v>
      </c>
      <c r="BF27" s="107">
        <f>IF(AZ27="Não","Sim","Não")</f>
      </c>
      <c r="BG27" s="107">
        <f>IF(AZ27="NA","Sim","Não")</f>
      </c>
      <c r="BH27" s="106" t="s">
        <v>206</v>
      </c>
      <c r="BI27" s="1" t="s">
        <v>236</v>
      </c>
      <c r="BJ27" s="106" t="s">
        <v>36</v>
      </c>
      <c r="BK27" s="1" t="s">
        <v>497</v>
      </c>
      <c r="BL27" s="102">
        <v>20</v>
      </c>
      <c r="BM27" s="1" t="s">
        <v>208</v>
      </c>
      <c r="BN27" s="1" t="s">
        <v>208</v>
      </c>
      <c r="BO27" s="1" t="s">
        <v>497</v>
      </c>
      <c r="BP27" s="102">
        <v>20</v>
      </c>
      <c r="BQ27" s="1" t="s">
        <v>206</v>
      </c>
      <c r="BR27" s="1" t="s">
        <v>228</v>
      </c>
      <c r="BS27" s="106" t="s">
        <v>228</v>
      </c>
    </row>
    <row x14ac:dyDescent="0.25" r="28" customHeight="1" ht="17.25">
      <c r="A28" s="102">
        <v>27</v>
      </c>
      <c r="B28" s="1" t="s">
        <v>550</v>
      </c>
      <c r="C28" s="102">
        <v>1</v>
      </c>
      <c r="D28" s="61" t="s">
        <v>551</v>
      </c>
      <c r="E28" s="1" t="s">
        <v>141</v>
      </c>
      <c r="F28" s="1" t="s">
        <v>170</v>
      </c>
      <c r="G28" s="1" t="s">
        <v>58</v>
      </c>
      <c r="H28" s="1" t="s">
        <v>552</v>
      </c>
      <c r="I28" s="102">
        <v>1</v>
      </c>
      <c r="J28" s="1" t="s">
        <v>158</v>
      </c>
      <c r="K28" s="1" t="s">
        <v>22</v>
      </c>
      <c r="L28" s="103">
        <v>32978</v>
      </c>
      <c r="M28" s="104">
        <v>27</v>
      </c>
      <c r="N28" s="1" t="s">
        <v>175</v>
      </c>
      <c r="O28" s="1" t="s">
        <v>24</v>
      </c>
      <c r="P28" s="1" t="s">
        <v>354</v>
      </c>
      <c r="Q28" s="1" t="s">
        <v>553</v>
      </c>
      <c r="R28" s="54" t="s">
        <v>554</v>
      </c>
      <c r="S28" s="102">
        <v>40</v>
      </c>
      <c r="T28" s="62">
        <v>0</v>
      </c>
      <c r="U28" s="102">
        <v>0</v>
      </c>
      <c r="V28" s="62">
        <v>0</v>
      </c>
      <c r="W28" s="102">
        <v>0</v>
      </c>
      <c r="X28" s="62">
        <v>0</v>
      </c>
      <c r="Y28" s="102">
        <v>0</v>
      </c>
      <c r="Z28" s="62">
        <v>0</v>
      </c>
      <c r="AA28" s="102">
        <v>0</v>
      </c>
      <c r="AB28" s="62">
        <v>0</v>
      </c>
      <c r="AC28" s="106" t="s">
        <v>206</v>
      </c>
      <c r="AD28" s="106" t="s">
        <v>206</v>
      </c>
      <c r="AE28" s="106" t="s">
        <v>206</v>
      </c>
      <c r="AF28" s="106" t="s">
        <v>206</v>
      </c>
      <c r="AG28" s="106" t="s">
        <v>206</v>
      </c>
      <c r="AH28" s="106" t="s">
        <v>206</v>
      </c>
      <c r="AI28" s="1" t="s">
        <v>357</v>
      </c>
      <c r="AJ28" s="1" t="s">
        <v>206</v>
      </c>
      <c r="AK28" s="1" t="s">
        <v>555</v>
      </c>
      <c r="AL28" s="1" t="s">
        <v>197</v>
      </c>
      <c r="AM28" s="106" t="s">
        <v>27</v>
      </c>
      <c r="AN28" s="1" t="s">
        <v>357</v>
      </c>
      <c r="AO28" s="1" t="s">
        <v>208</v>
      </c>
      <c r="AP28" s="1" t="s">
        <v>206</v>
      </c>
      <c r="AQ28" s="1" t="s">
        <v>441</v>
      </c>
      <c r="AR28" s="1" t="s">
        <v>206</v>
      </c>
      <c r="AS28" s="106" t="s">
        <v>206</v>
      </c>
      <c r="AT28" s="1" t="s">
        <v>206</v>
      </c>
      <c r="AU28" s="106" t="s">
        <v>206</v>
      </c>
      <c r="AV28" s="106" t="s">
        <v>206</v>
      </c>
      <c r="AW28" s="106" t="s">
        <v>35</v>
      </c>
      <c r="AX28" s="106" t="s">
        <v>206</v>
      </c>
      <c r="AY28" s="106" t="s">
        <v>206</v>
      </c>
      <c r="AZ28" s="1" t="s">
        <v>206</v>
      </c>
      <c r="BA28" s="106" t="s">
        <v>206</v>
      </c>
      <c r="BB28" s="106" t="s">
        <v>206</v>
      </c>
      <c r="BC28" s="106" t="s">
        <v>206</v>
      </c>
      <c r="BD28" s="106" t="s">
        <v>206</v>
      </c>
      <c r="BE28" s="106" t="s">
        <v>206</v>
      </c>
      <c r="BF28" s="107">
        <f>IF(AZ28="Não","Sim","Não")</f>
      </c>
      <c r="BG28" s="107">
        <f>IF(AZ28="NA","Sim","Não")</f>
      </c>
      <c r="BH28" s="106" t="s">
        <v>206</v>
      </c>
      <c r="BI28" s="1" t="s">
        <v>236</v>
      </c>
      <c r="BJ28" s="106" t="s">
        <v>36</v>
      </c>
      <c r="BK28" s="1" t="s">
        <v>497</v>
      </c>
      <c r="BL28" s="102">
        <v>20</v>
      </c>
      <c r="BM28" s="1" t="s">
        <v>208</v>
      </c>
      <c r="BN28" s="1" t="s">
        <v>208</v>
      </c>
      <c r="BO28" s="1" t="s">
        <v>497</v>
      </c>
      <c r="BP28" s="102">
        <v>20</v>
      </c>
      <c r="BQ28" s="1" t="s">
        <v>206</v>
      </c>
      <c r="BR28" s="1" t="s">
        <v>229</v>
      </c>
      <c r="BS28" s="106" t="s">
        <v>229</v>
      </c>
    </row>
    <row x14ac:dyDescent="0.25" r="29" customHeight="1" ht="17.25">
      <c r="A29" s="102">
        <v>28</v>
      </c>
      <c r="B29" s="1" t="s">
        <v>556</v>
      </c>
      <c r="C29" s="102">
        <v>1</v>
      </c>
      <c r="D29" s="61" t="s">
        <v>557</v>
      </c>
      <c r="E29" s="1" t="s">
        <v>119</v>
      </c>
      <c r="F29" s="1" t="s">
        <v>170</v>
      </c>
      <c r="G29" s="1" t="s">
        <v>51</v>
      </c>
      <c r="H29" s="1" t="s">
        <v>558</v>
      </c>
      <c r="I29" s="102">
        <v>1</v>
      </c>
      <c r="J29" s="1" t="s">
        <v>158</v>
      </c>
      <c r="K29" s="1" t="s">
        <v>22</v>
      </c>
      <c r="L29" s="103">
        <v>34042</v>
      </c>
      <c r="M29" s="104">
        <v>24</v>
      </c>
      <c r="N29" s="1" t="s">
        <v>176</v>
      </c>
      <c r="O29" s="1" t="s">
        <v>182</v>
      </c>
      <c r="P29" s="1" t="s">
        <v>517</v>
      </c>
      <c r="Q29" s="1" t="s">
        <v>559</v>
      </c>
      <c r="R29" s="54" t="s">
        <v>560</v>
      </c>
      <c r="S29" s="102">
        <v>150</v>
      </c>
      <c r="T29" s="62">
        <v>0</v>
      </c>
      <c r="U29" s="102">
        <v>0</v>
      </c>
      <c r="V29" s="62">
        <v>0</v>
      </c>
      <c r="W29" s="102">
        <v>0</v>
      </c>
      <c r="X29" s="62">
        <v>0</v>
      </c>
      <c r="Y29" s="102">
        <v>0</v>
      </c>
      <c r="Z29" s="62">
        <v>0</v>
      </c>
      <c r="AA29" s="102">
        <v>0</v>
      </c>
      <c r="AB29" s="62">
        <v>0</v>
      </c>
      <c r="AC29" s="106" t="s">
        <v>206</v>
      </c>
      <c r="AD29" s="106" t="s">
        <v>206</v>
      </c>
      <c r="AE29" s="106" t="s">
        <v>206</v>
      </c>
      <c r="AF29" s="106" t="s">
        <v>206</v>
      </c>
      <c r="AG29" s="106" t="s">
        <v>206</v>
      </c>
      <c r="AH29" s="106" t="s">
        <v>206</v>
      </c>
      <c r="AI29" s="1" t="s">
        <v>357</v>
      </c>
      <c r="AJ29" s="1" t="s">
        <v>206</v>
      </c>
      <c r="AK29" s="1" t="s">
        <v>561</v>
      </c>
      <c r="AL29" s="1" t="s">
        <v>197</v>
      </c>
      <c r="AM29" s="106" t="s">
        <v>27</v>
      </c>
      <c r="AN29" s="1" t="s">
        <v>357</v>
      </c>
      <c r="AO29" s="1" t="s">
        <v>208</v>
      </c>
      <c r="AP29" s="1" t="s">
        <v>562</v>
      </c>
      <c r="AQ29" s="1" t="s">
        <v>441</v>
      </c>
      <c r="AR29" s="1" t="s">
        <v>206</v>
      </c>
      <c r="AS29" s="106" t="s">
        <v>206</v>
      </c>
      <c r="AT29" s="1" t="s">
        <v>206</v>
      </c>
      <c r="AU29" s="106" t="s">
        <v>206</v>
      </c>
      <c r="AV29" s="106" t="s">
        <v>206</v>
      </c>
      <c r="AW29" s="106" t="s">
        <v>35</v>
      </c>
      <c r="AX29" s="106" t="s">
        <v>206</v>
      </c>
      <c r="AY29" s="106" t="s">
        <v>206</v>
      </c>
      <c r="AZ29" s="1" t="s">
        <v>206</v>
      </c>
      <c r="BA29" s="106" t="s">
        <v>206</v>
      </c>
      <c r="BB29" s="106" t="s">
        <v>206</v>
      </c>
      <c r="BC29" s="106" t="s">
        <v>206</v>
      </c>
      <c r="BD29" s="106" t="s">
        <v>206</v>
      </c>
      <c r="BE29" s="106" t="s">
        <v>206</v>
      </c>
      <c r="BF29" s="107">
        <f>IF(AZ29="Não","Sim","Não")</f>
      </c>
      <c r="BG29" s="107">
        <f>IF(AZ29="NA","Sim","Não")</f>
      </c>
      <c r="BH29" s="106" t="s">
        <v>206</v>
      </c>
      <c r="BI29" s="1" t="s">
        <v>236</v>
      </c>
      <c r="BJ29" s="106" t="s">
        <v>36</v>
      </c>
      <c r="BK29" s="1" t="s">
        <v>497</v>
      </c>
      <c r="BL29" s="102">
        <v>20</v>
      </c>
      <c r="BM29" s="1" t="s">
        <v>208</v>
      </c>
      <c r="BN29" s="1" t="s">
        <v>208</v>
      </c>
      <c r="BO29" s="1" t="s">
        <v>497</v>
      </c>
      <c r="BP29" s="102">
        <v>20</v>
      </c>
      <c r="BQ29" s="1" t="s">
        <v>206</v>
      </c>
      <c r="BR29" s="1" t="s">
        <v>229</v>
      </c>
      <c r="BS29" s="106" t="s">
        <v>229</v>
      </c>
    </row>
    <row x14ac:dyDescent="0.25" r="30" customHeight="1" ht="17.25">
      <c r="A30" s="102">
        <v>29</v>
      </c>
      <c r="B30" s="1" t="s">
        <v>556</v>
      </c>
      <c r="C30" s="102">
        <v>0</v>
      </c>
      <c r="D30" s="61" t="s">
        <v>557</v>
      </c>
      <c r="E30" s="1" t="s">
        <v>119</v>
      </c>
      <c r="F30" s="1" t="s">
        <v>170</v>
      </c>
      <c r="G30" s="1" t="s">
        <v>51</v>
      </c>
      <c r="H30" s="1" t="s">
        <v>563</v>
      </c>
      <c r="I30" s="102">
        <v>1</v>
      </c>
      <c r="J30" s="1" t="s">
        <v>158</v>
      </c>
      <c r="K30" s="1" t="s">
        <v>22</v>
      </c>
      <c r="L30" s="103">
        <v>32828</v>
      </c>
      <c r="M30" s="104">
        <v>27</v>
      </c>
      <c r="N30" s="1" t="s">
        <v>176</v>
      </c>
      <c r="O30" s="1" t="s">
        <v>182</v>
      </c>
      <c r="P30" s="1" t="s">
        <v>464</v>
      </c>
      <c r="Q30" s="1" t="s">
        <v>559</v>
      </c>
      <c r="R30" s="54" t="s">
        <v>560</v>
      </c>
      <c r="S30" s="102">
        <v>150</v>
      </c>
      <c r="T30" s="62">
        <v>0</v>
      </c>
      <c r="U30" s="102">
        <v>0</v>
      </c>
      <c r="V30" s="62">
        <v>0</v>
      </c>
      <c r="W30" s="102">
        <v>0</v>
      </c>
      <c r="X30" s="62">
        <v>0</v>
      </c>
      <c r="Y30" s="102">
        <v>0</v>
      </c>
      <c r="Z30" s="62">
        <v>0</v>
      </c>
      <c r="AA30" s="102">
        <v>0</v>
      </c>
      <c r="AB30" s="62">
        <v>0</v>
      </c>
      <c r="AC30" s="106" t="s">
        <v>206</v>
      </c>
      <c r="AD30" s="106" t="s">
        <v>206</v>
      </c>
      <c r="AE30" s="106" t="s">
        <v>206</v>
      </c>
      <c r="AF30" s="106" t="s">
        <v>206</v>
      </c>
      <c r="AG30" s="106" t="s">
        <v>206</v>
      </c>
      <c r="AH30" s="106" t="s">
        <v>206</v>
      </c>
      <c r="AI30" s="1" t="s">
        <v>357</v>
      </c>
      <c r="AJ30" s="1" t="s">
        <v>206</v>
      </c>
      <c r="AK30" s="1" t="s">
        <v>561</v>
      </c>
      <c r="AL30" s="1" t="s">
        <v>197</v>
      </c>
      <c r="AM30" s="106" t="s">
        <v>27</v>
      </c>
      <c r="AN30" s="1" t="s">
        <v>357</v>
      </c>
      <c r="AO30" s="1" t="s">
        <v>208</v>
      </c>
      <c r="AP30" s="1" t="s">
        <v>562</v>
      </c>
      <c r="AQ30" s="1" t="s">
        <v>441</v>
      </c>
      <c r="AR30" s="1" t="s">
        <v>206</v>
      </c>
      <c r="AS30" s="106" t="s">
        <v>206</v>
      </c>
      <c r="AT30" s="1" t="s">
        <v>206</v>
      </c>
      <c r="AU30" s="106" t="s">
        <v>206</v>
      </c>
      <c r="AV30" s="106" t="s">
        <v>206</v>
      </c>
      <c r="AW30" s="106" t="s">
        <v>35</v>
      </c>
      <c r="AX30" s="106" t="s">
        <v>206</v>
      </c>
      <c r="AY30" s="106" t="s">
        <v>206</v>
      </c>
      <c r="AZ30" s="1" t="s">
        <v>206</v>
      </c>
      <c r="BA30" s="106" t="s">
        <v>206</v>
      </c>
      <c r="BB30" s="106" t="s">
        <v>206</v>
      </c>
      <c r="BC30" s="106" t="s">
        <v>206</v>
      </c>
      <c r="BD30" s="106" t="s">
        <v>206</v>
      </c>
      <c r="BE30" s="106" t="s">
        <v>206</v>
      </c>
      <c r="BF30" s="107">
        <f>IF(AZ30="Não","Sim","Não")</f>
      </c>
      <c r="BG30" s="107">
        <f>IF(AZ30="NA","Sim","Não")</f>
      </c>
      <c r="BH30" s="106" t="s">
        <v>206</v>
      </c>
      <c r="BI30" s="1" t="s">
        <v>236</v>
      </c>
      <c r="BJ30" s="106" t="s">
        <v>36</v>
      </c>
      <c r="BK30" s="1" t="s">
        <v>497</v>
      </c>
      <c r="BL30" s="102">
        <v>20</v>
      </c>
      <c r="BM30" s="1" t="s">
        <v>208</v>
      </c>
      <c r="BN30" s="1" t="s">
        <v>208</v>
      </c>
      <c r="BO30" s="1" t="s">
        <v>497</v>
      </c>
      <c r="BP30" s="102">
        <v>20</v>
      </c>
      <c r="BQ30" s="1" t="s">
        <v>206</v>
      </c>
      <c r="BR30" s="1" t="s">
        <v>229</v>
      </c>
      <c r="BS30" s="106" t="s">
        <v>229</v>
      </c>
    </row>
    <row x14ac:dyDescent="0.25" r="31" customHeight="1" ht="17.25">
      <c r="A31" s="102">
        <v>30</v>
      </c>
      <c r="B31" s="1" t="s">
        <v>564</v>
      </c>
      <c r="C31" s="102">
        <v>1</v>
      </c>
      <c r="D31" s="61" t="s">
        <v>565</v>
      </c>
      <c r="E31" s="1" t="s">
        <v>87</v>
      </c>
      <c r="F31" s="1" t="s">
        <v>22</v>
      </c>
      <c r="G31" s="1" t="s">
        <v>62</v>
      </c>
      <c r="H31" s="1" t="s">
        <v>566</v>
      </c>
      <c r="I31" s="102">
        <v>1</v>
      </c>
      <c r="J31" s="1" t="s">
        <v>159</v>
      </c>
      <c r="K31" s="1" t="s">
        <v>22</v>
      </c>
      <c r="L31" s="103">
        <v>34245</v>
      </c>
      <c r="M31" s="104">
        <v>23</v>
      </c>
      <c r="N31" s="1" t="s">
        <v>176</v>
      </c>
      <c r="O31" s="1" t="s">
        <v>182</v>
      </c>
      <c r="P31" s="1" t="s">
        <v>464</v>
      </c>
      <c r="Q31" s="1" t="s">
        <v>567</v>
      </c>
      <c r="R31" s="54" t="s">
        <v>568</v>
      </c>
      <c r="S31" s="105">
        <v>1034.7</v>
      </c>
      <c r="T31" s="62">
        <v>0</v>
      </c>
      <c r="U31" s="102">
        <v>0</v>
      </c>
      <c r="V31" s="62">
        <v>0</v>
      </c>
      <c r="W31" s="102">
        <v>0</v>
      </c>
      <c r="X31" s="62">
        <v>0</v>
      </c>
      <c r="Y31" s="102">
        <v>0</v>
      </c>
      <c r="Z31" s="62">
        <v>0</v>
      </c>
      <c r="AA31" s="102">
        <v>0</v>
      </c>
      <c r="AB31" s="62">
        <v>0</v>
      </c>
      <c r="AC31" s="106" t="s">
        <v>206</v>
      </c>
      <c r="AD31" s="106" t="s">
        <v>206</v>
      </c>
      <c r="AE31" s="106" t="s">
        <v>206</v>
      </c>
      <c r="AF31" s="106" t="s">
        <v>206</v>
      </c>
      <c r="AG31" s="106" t="s">
        <v>206</v>
      </c>
      <c r="AH31" s="106" t="s">
        <v>206</v>
      </c>
      <c r="AI31" s="1" t="s">
        <v>371</v>
      </c>
      <c r="AJ31" s="1" t="s">
        <v>206</v>
      </c>
      <c r="AK31" s="1" t="s">
        <v>555</v>
      </c>
      <c r="AL31" s="1" t="s">
        <v>198</v>
      </c>
      <c r="AM31" s="106" t="s">
        <v>27</v>
      </c>
      <c r="AN31" s="1" t="s">
        <v>357</v>
      </c>
      <c r="AO31" s="1" t="s">
        <v>208</v>
      </c>
      <c r="AP31" s="1" t="s">
        <v>206</v>
      </c>
      <c r="AQ31" s="1" t="s">
        <v>441</v>
      </c>
      <c r="AR31" s="1" t="s">
        <v>206</v>
      </c>
      <c r="AS31" s="106" t="s">
        <v>206</v>
      </c>
      <c r="AT31" s="1" t="s">
        <v>206</v>
      </c>
      <c r="AU31" s="106" t="s">
        <v>206</v>
      </c>
      <c r="AV31" s="106" t="s">
        <v>206</v>
      </c>
      <c r="AW31" s="106" t="s">
        <v>35</v>
      </c>
      <c r="AX31" s="106" t="s">
        <v>206</v>
      </c>
      <c r="AY31" s="106" t="s">
        <v>206</v>
      </c>
      <c r="AZ31" s="1" t="s">
        <v>206</v>
      </c>
      <c r="BA31" s="106" t="s">
        <v>206</v>
      </c>
      <c r="BB31" s="106" t="s">
        <v>206</v>
      </c>
      <c r="BC31" s="106" t="s">
        <v>206</v>
      </c>
      <c r="BD31" s="106" t="s">
        <v>206</v>
      </c>
      <c r="BE31" s="106" t="s">
        <v>206</v>
      </c>
      <c r="BF31" s="107">
        <f>IF(AZ31="Não","Sim","Não")</f>
      </c>
      <c r="BG31" s="107">
        <f>IF(AZ31="NA","Sim","Não")</f>
      </c>
      <c r="BH31" s="106" t="s">
        <v>206</v>
      </c>
      <c r="BI31" s="1" t="s">
        <v>236</v>
      </c>
      <c r="BJ31" s="106" t="s">
        <v>36</v>
      </c>
      <c r="BK31" s="1" t="s">
        <v>497</v>
      </c>
      <c r="BL31" s="102">
        <v>20</v>
      </c>
      <c r="BM31" s="1" t="s">
        <v>208</v>
      </c>
      <c r="BN31" s="1" t="s">
        <v>208</v>
      </c>
      <c r="BO31" s="1" t="s">
        <v>497</v>
      </c>
      <c r="BP31" s="102">
        <v>20</v>
      </c>
      <c r="BQ31" s="1" t="s">
        <v>206</v>
      </c>
      <c r="BR31" s="1" t="s">
        <v>229</v>
      </c>
      <c r="BS31" s="106" t="s">
        <v>229</v>
      </c>
    </row>
    <row x14ac:dyDescent="0.25" r="32" customHeight="1" ht="17.25">
      <c r="A32" s="102">
        <v>31</v>
      </c>
      <c r="B32" s="1" t="s">
        <v>564</v>
      </c>
      <c r="C32" s="102">
        <v>0</v>
      </c>
      <c r="D32" s="61" t="s">
        <v>565</v>
      </c>
      <c r="E32" s="1" t="s">
        <v>87</v>
      </c>
      <c r="F32" s="1" t="s">
        <v>22</v>
      </c>
      <c r="G32" s="1" t="s">
        <v>62</v>
      </c>
      <c r="H32" s="1" t="s">
        <v>569</v>
      </c>
      <c r="I32" s="102">
        <v>1</v>
      </c>
      <c r="J32" s="1" t="s">
        <v>159</v>
      </c>
      <c r="K32" s="1" t="s">
        <v>170</v>
      </c>
      <c r="L32" s="103">
        <v>35782</v>
      </c>
      <c r="M32" s="104">
        <v>19</v>
      </c>
      <c r="N32" s="1" t="s">
        <v>175</v>
      </c>
      <c r="O32" s="1" t="s">
        <v>24</v>
      </c>
      <c r="P32" s="1" t="s">
        <v>464</v>
      </c>
      <c r="Q32" s="1" t="s">
        <v>567</v>
      </c>
      <c r="R32" s="54" t="s">
        <v>568</v>
      </c>
      <c r="S32" s="105">
        <v>1034.7</v>
      </c>
      <c r="T32" s="62">
        <v>0</v>
      </c>
      <c r="U32" s="102">
        <v>0</v>
      </c>
      <c r="V32" s="62">
        <v>0</v>
      </c>
      <c r="W32" s="102">
        <v>0</v>
      </c>
      <c r="X32" s="62">
        <v>0</v>
      </c>
      <c r="Y32" s="102">
        <v>0</v>
      </c>
      <c r="Z32" s="62">
        <v>0</v>
      </c>
      <c r="AA32" s="102">
        <v>0</v>
      </c>
      <c r="AB32" s="62">
        <v>0</v>
      </c>
      <c r="AC32" s="106" t="s">
        <v>206</v>
      </c>
      <c r="AD32" s="106" t="s">
        <v>206</v>
      </c>
      <c r="AE32" s="106" t="s">
        <v>206</v>
      </c>
      <c r="AF32" s="106" t="s">
        <v>206</v>
      </c>
      <c r="AG32" s="106" t="s">
        <v>206</v>
      </c>
      <c r="AH32" s="106" t="s">
        <v>206</v>
      </c>
      <c r="AI32" s="1" t="s">
        <v>371</v>
      </c>
      <c r="AJ32" s="1" t="s">
        <v>206</v>
      </c>
      <c r="AK32" s="1" t="s">
        <v>555</v>
      </c>
      <c r="AL32" s="1" t="s">
        <v>198</v>
      </c>
      <c r="AM32" s="106" t="s">
        <v>27</v>
      </c>
      <c r="AN32" s="1" t="s">
        <v>357</v>
      </c>
      <c r="AO32" s="1" t="s">
        <v>208</v>
      </c>
      <c r="AP32" s="1" t="s">
        <v>206</v>
      </c>
      <c r="AQ32" s="1" t="s">
        <v>441</v>
      </c>
      <c r="AR32" s="1" t="s">
        <v>206</v>
      </c>
      <c r="AS32" s="106" t="s">
        <v>206</v>
      </c>
      <c r="AT32" s="1" t="s">
        <v>206</v>
      </c>
      <c r="AU32" s="106" t="s">
        <v>206</v>
      </c>
      <c r="AV32" s="106" t="s">
        <v>206</v>
      </c>
      <c r="AW32" s="106" t="s">
        <v>35</v>
      </c>
      <c r="AX32" s="106" t="s">
        <v>206</v>
      </c>
      <c r="AY32" s="106" t="s">
        <v>206</v>
      </c>
      <c r="AZ32" s="1" t="s">
        <v>206</v>
      </c>
      <c r="BA32" s="106" t="s">
        <v>206</v>
      </c>
      <c r="BB32" s="106" t="s">
        <v>206</v>
      </c>
      <c r="BC32" s="106" t="s">
        <v>206</v>
      </c>
      <c r="BD32" s="106" t="s">
        <v>206</v>
      </c>
      <c r="BE32" s="106" t="s">
        <v>206</v>
      </c>
      <c r="BF32" s="107">
        <f>IF(AZ32="Não","Sim","Não")</f>
      </c>
      <c r="BG32" s="107">
        <f>IF(AZ32="NA","Sim","Não")</f>
      </c>
      <c r="BH32" s="106" t="s">
        <v>206</v>
      </c>
      <c r="BI32" s="1" t="s">
        <v>236</v>
      </c>
      <c r="BJ32" s="106" t="s">
        <v>36</v>
      </c>
      <c r="BK32" s="1" t="s">
        <v>497</v>
      </c>
      <c r="BL32" s="102">
        <v>20</v>
      </c>
      <c r="BM32" s="1" t="s">
        <v>208</v>
      </c>
      <c r="BN32" s="1" t="s">
        <v>208</v>
      </c>
      <c r="BO32" s="1" t="s">
        <v>497</v>
      </c>
      <c r="BP32" s="102">
        <v>20</v>
      </c>
      <c r="BQ32" s="1" t="s">
        <v>206</v>
      </c>
      <c r="BR32" s="1" t="s">
        <v>229</v>
      </c>
      <c r="BS32" s="106" t="s">
        <v>229</v>
      </c>
    </row>
    <row x14ac:dyDescent="0.25" r="33" customHeight="1" ht="17.25">
      <c r="A33" s="102">
        <v>32</v>
      </c>
      <c r="B33" s="1" t="s">
        <v>570</v>
      </c>
      <c r="C33" s="102">
        <v>1</v>
      </c>
      <c r="D33" s="61" t="s">
        <v>571</v>
      </c>
      <c r="E33" s="1" t="s">
        <v>84</v>
      </c>
      <c r="F33" s="1" t="s">
        <v>170</v>
      </c>
      <c r="G33" s="1" t="s">
        <v>55</v>
      </c>
      <c r="H33" s="1" t="s">
        <v>572</v>
      </c>
      <c r="I33" s="102">
        <v>1</v>
      </c>
      <c r="J33" s="1" t="s">
        <v>158</v>
      </c>
      <c r="K33" s="1" t="s">
        <v>22</v>
      </c>
      <c r="L33" s="103">
        <v>34757</v>
      </c>
      <c r="M33" s="104">
        <v>22</v>
      </c>
      <c r="N33" s="1" t="s">
        <v>175</v>
      </c>
      <c r="O33" s="1" t="s">
        <v>24</v>
      </c>
      <c r="P33" s="1" t="s">
        <v>354</v>
      </c>
      <c r="Q33" s="1" t="s">
        <v>573</v>
      </c>
      <c r="R33" s="54" t="s">
        <v>574</v>
      </c>
      <c r="S33" s="105">
        <v>21.1</v>
      </c>
      <c r="T33" s="62">
        <v>0</v>
      </c>
      <c r="U33" s="102">
        <v>0</v>
      </c>
      <c r="V33" s="62">
        <v>0</v>
      </c>
      <c r="W33" s="102">
        <v>0</v>
      </c>
      <c r="X33" s="62">
        <v>0</v>
      </c>
      <c r="Y33" s="102">
        <v>0</v>
      </c>
      <c r="Z33" s="62">
        <v>0</v>
      </c>
      <c r="AA33" s="102">
        <v>0</v>
      </c>
      <c r="AB33" s="62">
        <v>0</v>
      </c>
      <c r="AC33" s="106" t="s">
        <v>206</v>
      </c>
      <c r="AD33" s="106" t="s">
        <v>206</v>
      </c>
      <c r="AE33" s="106" t="s">
        <v>206</v>
      </c>
      <c r="AF33" s="106" t="s">
        <v>206</v>
      </c>
      <c r="AG33" s="106" t="s">
        <v>206</v>
      </c>
      <c r="AH33" s="106" t="s">
        <v>206</v>
      </c>
      <c r="AI33" s="1" t="s">
        <v>357</v>
      </c>
      <c r="AJ33" s="1" t="s">
        <v>206</v>
      </c>
      <c r="AK33" s="1" t="s">
        <v>575</v>
      </c>
      <c r="AL33" s="1" t="s">
        <v>197</v>
      </c>
      <c r="AM33" s="106" t="s">
        <v>27</v>
      </c>
      <c r="AN33" s="1" t="s">
        <v>357</v>
      </c>
      <c r="AO33" s="1" t="s">
        <v>208</v>
      </c>
      <c r="AP33" s="1" t="s">
        <v>206</v>
      </c>
      <c r="AQ33" s="1" t="s">
        <v>441</v>
      </c>
      <c r="AR33" s="1" t="s">
        <v>206</v>
      </c>
      <c r="AS33" s="106" t="s">
        <v>206</v>
      </c>
      <c r="AT33" s="1" t="s">
        <v>206</v>
      </c>
      <c r="AU33" s="106" t="s">
        <v>206</v>
      </c>
      <c r="AV33" s="106" t="s">
        <v>206</v>
      </c>
      <c r="AW33" s="106" t="s">
        <v>35</v>
      </c>
      <c r="AX33" s="106" t="s">
        <v>206</v>
      </c>
      <c r="AY33" s="106" t="s">
        <v>206</v>
      </c>
      <c r="AZ33" s="1" t="s">
        <v>206</v>
      </c>
      <c r="BA33" s="106" t="s">
        <v>206</v>
      </c>
      <c r="BB33" s="106" t="s">
        <v>206</v>
      </c>
      <c r="BC33" s="106" t="s">
        <v>206</v>
      </c>
      <c r="BD33" s="106" t="s">
        <v>206</v>
      </c>
      <c r="BE33" s="106" t="s">
        <v>206</v>
      </c>
      <c r="BF33" s="107">
        <f>IF(AZ33="Não","Sim","Não")</f>
      </c>
      <c r="BG33" s="107">
        <f>IF(AZ33="NA","Sim","Não")</f>
      </c>
      <c r="BH33" s="106" t="s">
        <v>206</v>
      </c>
      <c r="BI33" s="1" t="s">
        <v>236</v>
      </c>
      <c r="BJ33" s="106" t="s">
        <v>36</v>
      </c>
      <c r="BK33" s="1" t="s">
        <v>497</v>
      </c>
      <c r="BL33" s="102">
        <v>20</v>
      </c>
      <c r="BM33" s="1" t="s">
        <v>208</v>
      </c>
      <c r="BN33" s="1" t="s">
        <v>208</v>
      </c>
      <c r="BO33" s="1" t="s">
        <v>497</v>
      </c>
      <c r="BP33" s="102">
        <v>20</v>
      </c>
      <c r="BQ33" s="1" t="s">
        <v>35</v>
      </c>
      <c r="BR33" s="1" t="s">
        <v>208</v>
      </c>
      <c r="BS33" s="106" t="s">
        <v>208</v>
      </c>
    </row>
    <row x14ac:dyDescent="0.25" r="34" customHeight="1" ht="17.25">
      <c r="A34" s="102">
        <v>33</v>
      </c>
      <c r="B34" s="1" t="s">
        <v>576</v>
      </c>
      <c r="C34" s="102">
        <v>1</v>
      </c>
      <c r="D34" s="61" t="s">
        <v>577</v>
      </c>
      <c r="E34" s="1" t="s">
        <v>97</v>
      </c>
      <c r="F34" s="1" t="s">
        <v>170</v>
      </c>
      <c r="G34" s="1" t="s">
        <v>57</v>
      </c>
      <c r="H34" s="1" t="s">
        <v>578</v>
      </c>
      <c r="I34" s="102">
        <v>1</v>
      </c>
      <c r="J34" s="1" t="s">
        <v>161</v>
      </c>
      <c r="K34" s="1" t="s">
        <v>22</v>
      </c>
      <c r="L34" s="103">
        <v>32802</v>
      </c>
      <c r="M34" s="104">
        <v>27</v>
      </c>
      <c r="N34" s="1" t="s">
        <v>177</v>
      </c>
      <c r="O34" s="1" t="s">
        <v>24</v>
      </c>
      <c r="P34" s="1" t="s">
        <v>365</v>
      </c>
      <c r="Q34" s="1" t="s">
        <v>579</v>
      </c>
      <c r="R34" s="54" t="s">
        <v>580</v>
      </c>
      <c r="S34" s="105">
        <v>18.3</v>
      </c>
      <c r="T34" s="62">
        <v>0</v>
      </c>
      <c r="U34" s="102">
        <v>0</v>
      </c>
      <c r="V34" s="62">
        <v>0</v>
      </c>
      <c r="W34" s="102">
        <v>0</v>
      </c>
      <c r="X34" s="62">
        <v>0</v>
      </c>
      <c r="Y34" s="102">
        <v>0</v>
      </c>
      <c r="Z34" s="62">
        <v>0</v>
      </c>
      <c r="AA34" s="102">
        <v>0</v>
      </c>
      <c r="AB34" s="62">
        <v>0</v>
      </c>
      <c r="AC34" s="106" t="s">
        <v>206</v>
      </c>
      <c r="AD34" s="106" t="s">
        <v>206</v>
      </c>
      <c r="AE34" s="106" t="s">
        <v>206</v>
      </c>
      <c r="AF34" s="106" t="s">
        <v>206</v>
      </c>
      <c r="AG34" s="106" t="s">
        <v>206</v>
      </c>
      <c r="AH34" s="106" t="s">
        <v>206</v>
      </c>
      <c r="AI34" s="1" t="s">
        <v>357</v>
      </c>
      <c r="AJ34" s="1" t="s">
        <v>206</v>
      </c>
      <c r="AK34" s="1" t="s">
        <v>581</v>
      </c>
      <c r="AL34" s="1" t="s">
        <v>197</v>
      </c>
      <c r="AM34" s="106" t="s">
        <v>27</v>
      </c>
      <c r="AN34" s="1" t="s">
        <v>357</v>
      </c>
      <c r="AO34" s="1" t="s">
        <v>208</v>
      </c>
      <c r="AP34" s="1" t="s">
        <v>206</v>
      </c>
      <c r="AQ34" s="1" t="s">
        <v>441</v>
      </c>
      <c r="AR34" s="1" t="s">
        <v>206</v>
      </c>
      <c r="AS34" s="106" t="s">
        <v>206</v>
      </c>
      <c r="AT34" s="1" t="s">
        <v>206</v>
      </c>
      <c r="AU34" s="106" t="s">
        <v>206</v>
      </c>
      <c r="AV34" s="106" t="s">
        <v>206</v>
      </c>
      <c r="AW34" s="106" t="s">
        <v>35</v>
      </c>
      <c r="AX34" s="106" t="s">
        <v>206</v>
      </c>
      <c r="AY34" s="106" t="s">
        <v>206</v>
      </c>
      <c r="AZ34" s="1" t="s">
        <v>206</v>
      </c>
      <c r="BA34" s="106" t="s">
        <v>206</v>
      </c>
      <c r="BB34" s="106" t="s">
        <v>206</v>
      </c>
      <c r="BC34" s="106" t="s">
        <v>206</v>
      </c>
      <c r="BD34" s="106" t="s">
        <v>206</v>
      </c>
      <c r="BE34" s="106" t="s">
        <v>206</v>
      </c>
      <c r="BF34" s="107">
        <f>IF(AZ34="Não","Sim","Não")</f>
      </c>
      <c r="BG34" s="107">
        <f>IF(AZ34="NA","Sim","Não")</f>
      </c>
      <c r="BH34" s="106" t="s">
        <v>206</v>
      </c>
      <c r="BI34" s="1" t="s">
        <v>236</v>
      </c>
      <c r="BJ34" s="106" t="s">
        <v>36</v>
      </c>
      <c r="BK34" s="1" t="s">
        <v>497</v>
      </c>
      <c r="BL34" s="102">
        <v>20</v>
      </c>
      <c r="BM34" s="1" t="s">
        <v>208</v>
      </c>
      <c r="BN34" s="1" t="s">
        <v>208</v>
      </c>
      <c r="BO34" s="1" t="s">
        <v>497</v>
      </c>
      <c r="BP34" s="102">
        <v>20</v>
      </c>
      <c r="BQ34" s="1" t="s">
        <v>206</v>
      </c>
      <c r="BR34" s="1" t="s">
        <v>227</v>
      </c>
      <c r="BS34" s="106" t="s">
        <v>37</v>
      </c>
    </row>
    <row x14ac:dyDescent="0.25" r="35" customHeight="1" ht="17.25">
      <c r="A35" s="102">
        <v>34</v>
      </c>
      <c r="B35" s="1" t="s">
        <v>582</v>
      </c>
      <c r="C35" s="102">
        <v>1</v>
      </c>
      <c r="D35" s="61">
        <v>42937</v>
      </c>
      <c r="E35" s="1" t="s">
        <v>110</v>
      </c>
      <c r="F35" s="1" t="s">
        <v>170</v>
      </c>
      <c r="G35" s="1" t="s">
        <v>65</v>
      </c>
      <c r="H35" s="1" t="s">
        <v>583</v>
      </c>
      <c r="I35" s="102">
        <v>1</v>
      </c>
      <c r="J35" s="1" t="s">
        <v>158</v>
      </c>
      <c r="K35" s="1" t="s">
        <v>170</v>
      </c>
      <c r="L35" s="103">
        <v>35074</v>
      </c>
      <c r="M35" s="104">
        <v>21</v>
      </c>
      <c r="N35" s="1" t="s">
        <v>175</v>
      </c>
      <c r="O35" s="1" t="s">
        <v>24</v>
      </c>
      <c r="P35" s="1" t="s">
        <v>178</v>
      </c>
      <c r="Q35" s="1" t="s">
        <v>584</v>
      </c>
      <c r="R35" s="54" t="s">
        <v>585</v>
      </c>
      <c r="S35" s="105">
        <v>106.1</v>
      </c>
      <c r="T35" s="62">
        <v>0</v>
      </c>
      <c r="U35" s="102">
        <v>0</v>
      </c>
      <c r="V35" s="62">
        <v>0</v>
      </c>
      <c r="W35" s="102">
        <v>0</v>
      </c>
      <c r="X35" s="62">
        <v>0</v>
      </c>
      <c r="Y35" s="102">
        <v>0</v>
      </c>
      <c r="Z35" s="62">
        <v>0</v>
      </c>
      <c r="AA35" s="102">
        <v>0</v>
      </c>
      <c r="AB35" s="62">
        <v>0</v>
      </c>
      <c r="AC35" s="106" t="s">
        <v>206</v>
      </c>
      <c r="AD35" s="106" t="s">
        <v>206</v>
      </c>
      <c r="AE35" s="106" t="s">
        <v>206</v>
      </c>
      <c r="AF35" s="106" t="s">
        <v>206</v>
      </c>
      <c r="AG35" s="106" t="s">
        <v>206</v>
      </c>
      <c r="AH35" s="106" t="s">
        <v>206</v>
      </c>
      <c r="AI35" s="1" t="s">
        <v>357</v>
      </c>
      <c r="AJ35" s="1" t="s">
        <v>206</v>
      </c>
      <c r="AK35" s="1" t="s">
        <v>535</v>
      </c>
      <c r="AL35" s="1" t="s">
        <v>197</v>
      </c>
      <c r="AM35" s="106" t="s">
        <v>27</v>
      </c>
      <c r="AN35" s="1" t="s">
        <v>357</v>
      </c>
      <c r="AO35" s="1" t="s">
        <v>208</v>
      </c>
      <c r="AP35" s="1" t="s">
        <v>206</v>
      </c>
      <c r="AQ35" s="1" t="s">
        <v>441</v>
      </c>
      <c r="AR35" s="1" t="s">
        <v>206</v>
      </c>
      <c r="AS35" s="106" t="s">
        <v>206</v>
      </c>
      <c r="AT35" s="1" t="s">
        <v>206</v>
      </c>
      <c r="AU35" s="106" t="s">
        <v>206</v>
      </c>
      <c r="AV35" s="106" t="s">
        <v>206</v>
      </c>
      <c r="AW35" s="106" t="s">
        <v>35</v>
      </c>
      <c r="AX35" s="106" t="s">
        <v>206</v>
      </c>
      <c r="AY35" s="106" t="s">
        <v>206</v>
      </c>
      <c r="AZ35" s="1" t="s">
        <v>206</v>
      </c>
      <c r="BA35" s="106" t="s">
        <v>206</v>
      </c>
      <c r="BB35" s="106" t="s">
        <v>206</v>
      </c>
      <c r="BC35" s="106" t="s">
        <v>206</v>
      </c>
      <c r="BD35" s="106" t="s">
        <v>206</v>
      </c>
      <c r="BE35" s="106" t="s">
        <v>206</v>
      </c>
      <c r="BF35" s="107">
        <f>IF(AZ35="Não","Sim","Não")</f>
      </c>
      <c r="BG35" s="107">
        <f>IF(AZ35="NA","Sim","Não")</f>
      </c>
      <c r="BH35" s="106" t="s">
        <v>206</v>
      </c>
      <c r="BI35" s="1" t="s">
        <v>236</v>
      </c>
      <c r="BJ35" s="106" t="s">
        <v>36</v>
      </c>
      <c r="BK35" s="1" t="s">
        <v>497</v>
      </c>
      <c r="BL35" s="102">
        <v>20</v>
      </c>
      <c r="BM35" s="1" t="s">
        <v>208</v>
      </c>
      <c r="BN35" s="1" t="s">
        <v>208</v>
      </c>
      <c r="BO35" s="1" t="s">
        <v>497</v>
      </c>
      <c r="BP35" s="102">
        <v>20</v>
      </c>
      <c r="BQ35" s="1" t="s">
        <v>35</v>
      </c>
      <c r="BR35" s="1" t="s">
        <v>208</v>
      </c>
      <c r="BS35" s="106" t="s">
        <v>208</v>
      </c>
    </row>
    <row x14ac:dyDescent="0.25" r="36" customHeight="1" ht="17.25">
      <c r="A36" s="102">
        <v>35</v>
      </c>
      <c r="B36" s="1" t="s">
        <v>586</v>
      </c>
      <c r="C36" s="102">
        <v>1</v>
      </c>
      <c r="D36" s="61" t="s">
        <v>449</v>
      </c>
      <c r="E36" s="1" t="s">
        <v>109</v>
      </c>
      <c r="F36" s="1" t="s">
        <v>22</v>
      </c>
      <c r="G36" s="1" t="s">
        <v>69</v>
      </c>
      <c r="H36" s="1" t="s">
        <v>587</v>
      </c>
      <c r="I36" s="102">
        <v>1</v>
      </c>
      <c r="J36" s="1" t="s">
        <v>158</v>
      </c>
      <c r="K36" s="1" t="s">
        <v>22</v>
      </c>
      <c r="L36" s="103">
        <v>34902</v>
      </c>
      <c r="M36" s="104">
        <v>21</v>
      </c>
      <c r="N36" s="1" t="s">
        <v>176</v>
      </c>
      <c r="O36" s="1" t="s">
        <v>182</v>
      </c>
      <c r="P36" s="1" t="s">
        <v>464</v>
      </c>
      <c r="Q36" s="1" t="s">
        <v>507</v>
      </c>
      <c r="R36" s="62">
        <v>0</v>
      </c>
      <c r="S36" s="102">
        <v>0</v>
      </c>
      <c r="T36" s="54" t="s">
        <v>588</v>
      </c>
      <c r="U36" s="105">
        <v>7.3</v>
      </c>
      <c r="V36" s="62">
        <v>0</v>
      </c>
      <c r="W36" s="102">
        <v>0</v>
      </c>
      <c r="X36" s="62">
        <v>0</v>
      </c>
      <c r="Y36" s="102">
        <v>0</v>
      </c>
      <c r="Z36" s="62">
        <v>0</v>
      </c>
      <c r="AA36" s="102">
        <v>0</v>
      </c>
      <c r="AB36" s="62">
        <v>0</v>
      </c>
      <c r="AC36" s="106" t="s">
        <v>206</v>
      </c>
      <c r="AD36" s="106" t="s">
        <v>206</v>
      </c>
      <c r="AE36" s="106" t="s">
        <v>206</v>
      </c>
      <c r="AF36" s="106" t="s">
        <v>206</v>
      </c>
      <c r="AG36" s="106" t="s">
        <v>206</v>
      </c>
      <c r="AH36" s="106" t="s">
        <v>206</v>
      </c>
      <c r="AI36" s="1" t="s">
        <v>357</v>
      </c>
      <c r="AJ36" s="1" t="s">
        <v>206</v>
      </c>
      <c r="AK36" s="1" t="s">
        <v>447</v>
      </c>
      <c r="AL36" s="1" t="s">
        <v>197</v>
      </c>
      <c r="AM36" s="106" t="s">
        <v>27</v>
      </c>
      <c r="AN36" s="1" t="s">
        <v>357</v>
      </c>
      <c r="AO36" s="1" t="s">
        <v>208</v>
      </c>
      <c r="AP36" s="1" t="s">
        <v>206</v>
      </c>
      <c r="AQ36" s="1" t="s">
        <v>441</v>
      </c>
      <c r="AR36" s="1" t="s">
        <v>206</v>
      </c>
      <c r="AS36" s="106" t="s">
        <v>206</v>
      </c>
      <c r="AT36" s="1" t="s">
        <v>206</v>
      </c>
      <c r="AU36" s="106" t="s">
        <v>206</v>
      </c>
      <c r="AV36" s="106" t="s">
        <v>206</v>
      </c>
      <c r="AW36" s="106" t="s">
        <v>35</v>
      </c>
      <c r="AX36" s="106" t="s">
        <v>206</v>
      </c>
      <c r="AY36" s="106" t="s">
        <v>206</v>
      </c>
      <c r="AZ36" s="1" t="s">
        <v>206</v>
      </c>
      <c r="BA36" s="106" t="s">
        <v>206</v>
      </c>
      <c r="BB36" s="106" t="s">
        <v>206</v>
      </c>
      <c r="BC36" s="106" t="s">
        <v>206</v>
      </c>
      <c r="BD36" s="106" t="s">
        <v>206</v>
      </c>
      <c r="BE36" s="106" t="s">
        <v>206</v>
      </c>
      <c r="BF36" s="107">
        <f>IF(AZ36="Não","Sim","Não")</f>
      </c>
      <c r="BG36" s="107">
        <f>IF(AZ36="NA","Sim","Não")</f>
      </c>
      <c r="BH36" s="106" t="s">
        <v>206</v>
      </c>
      <c r="BI36" s="1" t="s">
        <v>236</v>
      </c>
      <c r="BJ36" s="106" t="s">
        <v>36</v>
      </c>
      <c r="BK36" s="1" t="s">
        <v>497</v>
      </c>
      <c r="BL36" s="102">
        <v>20</v>
      </c>
      <c r="BM36" s="1" t="s">
        <v>208</v>
      </c>
      <c r="BN36" s="1" t="s">
        <v>208</v>
      </c>
      <c r="BO36" s="1" t="s">
        <v>497</v>
      </c>
      <c r="BP36" s="102">
        <v>20</v>
      </c>
      <c r="BQ36" s="1" t="s">
        <v>35</v>
      </c>
      <c r="BR36" s="1" t="s">
        <v>208</v>
      </c>
      <c r="BS36" s="106" t="s">
        <v>208</v>
      </c>
    </row>
    <row x14ac:dyDescent="0.25" r="37" customHeight="1" ht="17.25">
      <c r="A37" s="102">
        <v>36</v>
      </c>
      <c r="B37" s="1" t="s">
        <v>589</v>
      </c>
      <c r="C37" s="102">
        <v>1</v>
      </c>
      <c r="D37" s="61" t="s">
        <v>590</v>
      </c>
      <c r="E37" s="1" t="s">
        <v>100</v>
      </c>
      <c r="F37" s="1" t="s">
        <v>22</v>
      </c>
      <c r="G37" s="1" t="s">
        <v>43</v>
      </c>
      <c r="H37" s="1" t="s">
        <v>591</v>
      </c>
      <c r="I37" s="102">
        <v>1</v>
      </c>
      <c r="J37" s="1" t="s">
        <v>158</v>
      </c>
      <c r="K37" s="1" t="s">
        <v>22</v>
      </c>
      <c r="L37" s="103">
        <v>35345</v>
      </c>
      <c r="M37" s="104">
        <v>20</v>
      </c>
      <c r="N37" s="1" t="s">
        <v>175</v>
      </c>
      <c r="O37" s="1" t="s">
        <v>24</v>
      </c>
      <c r="P37" s="1" t="s">
        <v>354</v>
      </c>
      <c r="Q37" s="1" t="s">
        <v>592</v>
      </c>
      <c r="R37" s="62">
        <v>0</v>
      </c>
      <c r="S37" s="102">
        <v>0</v>
      </c>
      <c r="T37" s="54" t="s">
        <v>593</v>
      </c>
      <c r="U37" s="105">
        <v>44.3</v>
      </c>
      <c r="V37" s="62">
        <v>0</v>
      </c>
      <c r="W37" s="102">
        <v>0</v>
      </c>
      <c r="X37" s="62">
        <v>0</v>
      </c>
      <c r="Y37" s="102">
        <v>0</v>
      </c>
      <c r="Z37" s="62">
        <v>0</v>
      </c>
      <c r="AA37" s="102">
        <v>0</v>
      </c>
      <c r="AB37" s="62">
        <v>0</v>
      </c>
      <c r="AC37" s="106" t="s">
        <v>206</v>
      </c>
      <c r="AD37" s="106" t="s">
        <v>206</v>
      </c>
      <c r="AE37" s="106" t="s">
        <v>206</v>
      </c>
      <c r="AF37" s="106" t="s">
        <v>206</v>
      </c>
      <c r="AG37" s="106" t="s">
        <v>206</v>
      </c>
      <c r="AH37" s="106" t="s">
        <v>206</v>
      </c>
      <c r="AI37" s="1" t="s">
        <v>371</v>
      </c>
      <c r="AJ37" s="1" t="s">
        <v>206</v>
      </c>
      <c r="AK37" s="1" t="s">
        <v>594</v>
      </c>
      <c r="AL37" s="1" t="s">
        <v>198</v>
      </c>
      <c r="AM37" s="106" t="s">
        <v>27</v>
      </c>
      <c r="AN37" s="1" t="s">
        <v>357</v>
      </c>
      <c r="AO37" s="1" t="s">
        <v>208</v>
      </c>
      <c r="AP37" s="1" t="s">
        <v>206</v>
      </c>
      <c r="AQ37" s="1" t="s">
        <v>441</v>
      </c>
      <c r="AR37" s="1" t="s">
        <v>206</v>
      </c>
      <c r="AS37" s="106" t="s">
        <v>206</v>
      </c>
      <c r="AT37" s="1" t="s">
        <v>206</v>
      </c>
      <c r="AU37" s="106" t="s">
        <v>206</v>
      </c>
      <c r="AV37" s="106" t="s">
        <v>206</v>
      </c>
      <c r="AW37" s="106" t="s">
        <v>35</v>
      </c>
      <c r="AX37" s="106" t="s">
        <v>206</v>
      </c>
      <c r="AY37" s="106" t="s">
        <v>206</v>
      </c>
      <c r="AZ37" s="1" t="s">
        <v>206</v>
      </c>
      <c r="BA37" s="106" t="s">
        <v>206</v>
      </c>
      <c r="BB37" s="106" t="s">
        <v>206</v>
      </c>
      <c r="BC37" s="106" t="s">
        <v>206</v>
      </c>
      <c r="BD37" s="106" t="s">
        <v>206</v>
      </c>
      <c r="BE37" s="106" t="s">
        <v>206</v>
      </c>
      <c r="BF37" s="107">
        <f>IF(AZ37="Não","Sim","Não")</f>
      </c>
      <c r="BG37" s="107">
        <f>IF(AZ37="NA","Sim","Não")</f>
      </c>
      <c r="BH37" s="106" t="s">
        <v>206</v>
      </c>
      <c r="BI37" s="1" t="s">
        <v>236</v>
      </c>
      <c r="BJ37" s="106" t="s">
        <v>36</v>
      </c>
      <c r="BK37" s="1" t="s">
        <v>497</v>
      </c>
      <c r="BL37" s="102">
        <v>20</v>
      </c>
      <c r="BM37" s="1" t="s">
        <v>208</v>
      </c>
      <c r="BN37" s="1" t="s">
        <v>208</v>
      </c>
      <c r="BO37" s="1" t="s">
        <v>497</v>
      </c>
      <c r="BP37" s="102">
        <v>20</v>
      </c>
      <c r="BQ37" s="1" t="s">
        <v>206</v>
      </c>
      <c r="BR37" s="1" t="s">
        <v>229</v>
      </c>
      <c r="BS37" s="106" t="s">
        <v>229</v>
      </c>
    </row>
    <row x14ac:dyDescent="0.25" r="38" customHeight="1" ht="17.25">
      <c r="A38" s="102">
        <v>37</v>
      </c>
      <c r="B38" s="1" t="s">
        <v>589</v>
      </c>
      <c r="C38" s="102">
        <v>0</v>
      </c>
      <c r="D38" s="61" t="s">
        <v>590</v>
      </c>
      <c r="E38" s="1" t="s">
        <v>100</v>
      </c>
      <c r="F38" s="1" t="s">
        <v>22</v>
      </c>
      <c r="G38" s="1" t="s">
        <v>43</v>
      </c>
      <c r="H38" s="1" t="s">
        <v>595</v>
      </c>
      <c r="I38" s="102">
        <v>1</v>
      </c>
      <c r="J38" s="1" t="s">
        <v>158</v>
      </c>
      <c r="K38" s="1" t="s">
        <v>170</v>
      </c>
      <c r="L38" s="103">
        <v>34211</v>
      </c>
      <c r="M38" s="104">
        <v>23</v>
      </c>
      <c r="N38" s="1" t="s">
        <v>176</v>
      </c>
      <c r="O38" s="1" t="s">
        <v>182</v>
      </c>
      <c r="P38" s="1" t="s">
        <v>464</v>
      </c>
      <c r="Q38" s="1" t="s">
        <v>592</v>
      </c>
      <c r="R38" s="62">
        <v>0</v>
      </c>
      <c r="S38" s="102">
        <v>0</v>
      </c>
      <c r="T38" s="54" t="s">
        <v>593</v>
      </c>
      <c r="U38" s="105">
        <v>44.3</v>
      </c>
      <c r="V38" s="62">
        <v>0</v>
      </c>
      <c r="W38" s="102">
        <v>0</v>
      </c>
      <c r="X38" s="62">
        <v>0</v>
      </c>
      <c r="Y38" s="102">
        <v>0</v>
      </c>
      <c r="Z38" s="62">
        <v>0</v>
      </c>
      <c r="AA38" s="102">
        <v>0</v>
      </c>
      <c r="AB38" s="62">
        <v>0</v>
      </c>
      <c r="AC38" s="106" t="s">
        <v>206</v>
      </c>
      <c r="AD38" s="106" t="s">
        <v>206</v>
      </c>
      <c r="AE38" s="106" t="s">
        <v>206</v>
      </c>
      <c r="AF38" s="106" t="s">
        <v>206</v>
      </c>
      <c r="AG38" s="106" t="s">
        <v>206</v>
      </c>
      <c r="AH38" s="106" t="s">
        <v>206</v>
      </c>
      <c r="AI38" s="1" t="s">
        <v>371</v>
      </c>
      <c r="AJ38" s="1" t="s">
        <v>206</v>
      </c>
      <c r="AK38" s="1" t="s">
        <v>594</v>
      </c>
      <c r="AL38" s="1" t="s">
        <v>198</v>
      </c>
      <c r="AM38" s="106" t="s">
        <v>27</v>
      </c>
      <c r="AN38" s="1" t="s">
        <v>357</v>
      </c>
      <c r="AO38" s="1" t="s">
        <v>208</v>
      </c>
      <c r="AP38" s="1" t="s">
        <v>206</v>
      </c>
      <c r="AQ38" s="1" t="s">
        <v>441</v>
      </c>
      <c r="AR38" s="1" t="s">
        <v>206</v>
      </c>
      <c r="AS38" s="106" t="s">
        <v>206</v>
      </c>
      <c r="AT38" s="1" t="s">
        <v>206</v>
      </c>
      <c r="AU38" s="106" t="s">
        <v>206</v>
      </c>
      <c r="AV38" s="106" t="s">
        <v>206</v>
      </c>
      <c r="AW38" s="106" t="s">
        <v>35</v>
      </c>
      <c r="AX38" s="106" t="s">
        <v>206</v>
      </c>
      <c r="AY38" s="106" t="s">
        <v>206</v>
      </c>
      <c r="AZ38" s="1" t="s">
        <v>206</v>
      </c>
      <c r="BA38" s="106" t="s">
        <v>206</v>
      </c>
      <c r="BB38" s="106" t="s">
        <v>206</v>
      </c>
      <c r="BC38" s="106" t="s">
        <v>206</v>
      </c>
      <c r="BD38" s="106" t="s">
        <v>206</v>
      </c>
      <c r="BE38" s="106" t="s">
        <v>206</v>
      </c>
      <c r="BF38" s="107">
        <f>IF(AZ38="Não","Sim","Não")</f>
      </c>
      <c r="BG38" s="107">
        <f>IF(AZ38="NA","Sim","Não")</f>
      </c>
      <c r="BH38" s="106" t="s">
        <v>206</v>
      </c>
      <c r="BI38" s="1" t="s">
        <v>236</v>
      </c>
      <c r="BJ38" s="106" t="s">
        <v>36</v>
      </c>
      <c r="BK38" s="1" t="s">
        <v>497</v>
      </c>
      <c r="BL38" s="102">
        <v>20</v>
      </c>
      <c r="BM38" s="1" t="s">
        <v>208</v>
      </c>
      <c r="BN38" s="1" t="s">
        <v>208</v>
      </c>
      <c r="BO38" s="1" t="s">
        <v>497</v>
      </c>
      <c r="BP38" s="102">
        <v>20</v>
      </c>
      <c r="BQ38" s="1" t="s">
        <v>206</v>
      </c>
      <c r="BR38" s="1" t="s">
        <v>229</v>
      </c>
      <c r="BS38" s="106" t="s">
        <v>229</v>
      </c>
    </row>
    <row x14ac:dyDescent="0.25" r="39" customHeight="1" ht="17.25">
      <c r="A39" s="102">
        <v>38</v>
      </c>
      <c r="B39" s="1" t="s">
        <v>596</v>
      </c>
      <c r="C39" s="102">
        <v>1</v>
      </c>
      <c r="D39" s="61" t="s">
        <v>597</v>
      </c>
      <c r="E39" s="1" t="s">
        <v>100</v>
      </c>
      <c r="F39" s="1" t="s">
        <v>22</v>
      </c>
      <c r="G39" s="1" t="s">
        <v>43</v>
      </c>
      <c r="H39" s="1" t="s">
        <v>598</v>
      </c>
      <c r="I39" s="102">
        <v>1</v>
      </c>
      <c r="J39" s="1" t="s">
        <v>163</v>
      </c>
      <c r="K39" s="1" t="s">
        <v>22</v>
      </c>
      <c r="L39" s="103">
        <v>32199</v>
      </c>
      <c r="M39" s="104">
        <v>29</v>
      </c>
      <c r="N39" s="1" t="s">
        <v>175</v>
      </c>
      <c r="O39" s="1" t="s">
        <v>24</v>
      </c>
      <c r="P39" s="1" t="s">
        <v>354</v>
      </c>
      <c r="Q39" s="1" t="s">
        <v>599</v>
      </c>
      <c r="R39" s="54" t="s">
        <v>600</v>
      </c>
      <c r="S39" s="105">
        <v>44.6</v>
      </c>
      <c r="T39" s="54" t="s">
        <v>601</v>
      </c>
      <c r="U39" s="105">
        <v>6.2</v>
      </c>
      <c r="V39" s="62">
        <v>0</v>
      </c>
      <c r="W39" s="102">
        <v>0</v>
      </c>
      <c r="X39" s="62">
        <v>0</v>
      </c>
      <c r="Y39" s="102">
        <v>0</v>
      </c>
      <c r="Z39" s="62">
        <v>0</v>
      </c>
      <c r="AA39" s="102">
        <v>0</v>
      </c>
      <c r="AB39" s="62">
        <v>0</v>
      </c>
      <c r="AC39" s="106" t="s">
        <v>206</v>
      </c>
      <c r="AD39" s="106" t="s">
        <v>206</v>
      </c>
      <c r="AE39" s="106" t="s">
        <v>206</v>
      </c>
      <c r="AF39" s="106" t="s">
        <v>206</v>
      </c>
      <c r="AG39" s="106" t="s">
        <v>206</v>
      </c>
      <c r="AH39" s="106" t="s">
        <v>206</v>
      </c>
      <c r="AI39" s="1" t="s">
        <v>357</v>
      </c>
      <c r="AJ39" s="1" t="s">
        <v>206</v>
      </c>
      <c r="AK39" s="1" t="s">
        <v>602</v>
      </c>
      <c r="AL39" s="1" t="s">
        <v>197</v>
      </c>
      <c r="AM39" s="106" t="s">
        <v>27</v>
      </c>
      <c r="AN39" s="1" t="s">
        <v>357</v>
      </c>
      <c r="AO39" s="1" t="s">
        <v>208</v>
      </c>
      <c r="AP39" s="1" t="s">
        <v>603</v>
      </c>
      <c r="AQ39" s="1" t="s">
        <v>604</v>
      </c>
      <c r="AR39" s="1" t="s">
        <v>206</v>
      </c>
      <c r="AS39" s="106" t="s">
        <v>206</v>
      </c>
      <c r="AT39" s="1" t="s">
        <v>28</v>
      </c>
      <c r="AU39" s="106" t="s">
        <v>35</v>
      </c>
      <c r="AV39" s="106" t="s">
        <v>206</v>
      </c>
      <c r="AW39" s="106" t="s">
        <v>206</v>
      </c>
      <c r="AX39" s="106" t="s">
        <v>206</v>
      </c>
      <c r="AY39" s="106" t="s">
        <v>35</v>
      </c>
      <c r="AZ39" s="1" t="s">
        <v>206</v>
      </c>
      <c r="BA39" s="106" t="s">
        <v>206</v>
      </c>
      <c r="BB39" s="106" t="s">
        <v>206</v>
      </c>
      <c r="BC39" s="106" t="s">
        <v>206</v>
      </c>
      <c r="BD39" s="106" t="s">
        <v>206</v>
      </c>
      <c r="BE39" s="106" t="s">
        <v>206</v>
      </c>
      <c r="BF39" s="107">
        <f>IF(AZ39="Não","Sim","Não")</f>
      </c>
      <c r="BG39" s="107">
        <f>IF(AZ39="NA","Sim","Não")</f>
      </c>
      <c r="BH39" s="106" t="s">
        <v>206</v>
      </c>
      <c r="BI39" s="1" t="s">
        <v>236</v>
      </c>
      <c r="BJ39" s="106" t="s">
        <v>36</v>
      </c>
      <c r="BK39" s="1" t="s">
        <v>497</v>
      </c>
      <c r="BL39" s="102">
        <v>20</v>
      </c>
      <c r="BM39" s="1" t="s">
        <v>208</v>
      </c>
      <c r="BN39" s="1" t="s">
        <v>208</v>
      </c>
      <c r="BO39" s="1" t="s">
        <v>497</v>
      </c>
      <c r="BP39" s="102">
        <v>20</v>
      </c>
      <c r="BQ39" s="1" t="s">
        <v>206</v>
      </c>
      <c r="BR39" s="1" t="s">
        <v>229</v>
      </c>
      <c r="BS39" s="106" t="s">
        <v>229</v>
      </c>
    </row>
    <row x14ac:dyDescent="0.25" r="40" customHeight="1" ht="17.25">
      <c r="A40" s="102">
        <v>39</v>
      </c>
      <c r="B40" s="1" t="s">
        <v>605</v>
      </c>
      <c r="C40" s="102">
        <v>1</v>
      </c>
      <c r="D40" s="61" t="s">
        <v>606</v>
      </c>
      <c r="E40" s="1" t="s">
        <v>83</v>
      </c>
      <c r="F40" s="1" t="s">
        <v>22</v>
      </c>
      <c r="G40" s="1" t="s">
        <v>68</v>
      </c>
      <c r="H40" s="1" t="s">
        <v>607</v>
      </c>
      <c r="I40" s="102">
        <v>1</v>
      </c>
      <c r="J40" s="1" t="s">
        <v>158</v>
      </c>
      <c r="K40" s="1" t="s">
        <v>22</v>
      </c>
      <c r="L40" s="103">
        <v>35904</v>
      </c>
      <c r="M40" s="104">
        <v>19</v>
      </c>
      <c r="N40" s="1" t="s">
        <v>176</v>
      </c>
      <c r="O40" s="1" t="s">
        <v>182</v>
      </c>
      <c r="P40" s="1" t="s">
        <v>365</v>
      </c>
      <c r="Q40" s="1" t="s">
        <v>608</v>
      </c>
      <c r="R40" s="54" t="s">
        <v>609</v>
      </c>
      <c r="S40" s="105">
        <v>16.7</v>
      </c>
      <c r="T40" s="54" t="s">
        <v>610</v>
      </c>
      <c r="U40" s="105">
        <v>8.1</v>
      </c>
      <c r="V40" s="62">
        <v>0</v>
      </c>
      <c r="W40" s="102">
        <v>0</v>
      </c>
      <c r="X40" s="62">
        <v>0</v>
      </c>
      <c r="Y40" s="102">
        <v>0</v>
      </c>
      <c r="Z40" s="62">
        <v>0</v>
      </c>
      <c r="AA40" s="102">
        <v>0</v>
      </c>
      <c r="AB40" s="62">
        <v>0</v>
      </c>
      <c r="AC40" s="106" t="s">
        <v>206</v>
      </c>
      <c r="AD40" s="106" t="s">
        <v>206</v>
      </c>
      <c r="AE40" s="106" t="s">
        <v>206</v>
      </c>
      <c r="AF40" s="106" t="s">
        <v>206</v>
      </c>
      <c r="AG40" s="106" t="s">
        <v>206</v>
      </c>
      <c r="AH40" s="106" t="s">
        <v>206</v>
      </c>
      <c r="AI40" s="1" t="s">
        <v>357</v>
      </c>
      <c r="AJ40" s="1" t="s">
        <v>206</v>
      </c>
      <c r="AK40" s="1" t="s">
        <v>611</v>
      </c>
      <c r="AL40" s="1" t="s">
        <v>197</v>
      </c>
      <c r="AM40" s="106" t="s">
        <v>27</v>
      </c>
      <c r="AN40" s="1" t="s">
        <v>357</v>
      </c>
      <c r="AO40" s="1" t="s">
        <v>208</v>
      </c>
      <c r="AP40" s="1" t="s">
        <v>206</v>
      </c>
      <c r="AQ40" s="1" t="s">
        <v>441</v>
      </c>
      <c r="AR40" s="1" t="s">
        <v>206</v>
      </c>
      <c r="AS40" s="106" t="s">
        <v>206</v>
      </c>
      <c r="AT40" s="1" t="s">
        <v>206</v>
      </c>
      <c r="AU40" s="106" t="s">
        <v>206</v>
      </c>
      <c r="AV40" s="106" t="s">
        <v>206</v>
      </c>
      <c r="AW40" s="106" t="s">
        <v>35</v>
      </c>
      <c r="AX40" s="106" t="s">
        <v>206</v>
      </c>
      <c r="AY40" s="106" t="s">
        <v>206</v>
      </c>
      <c r="AZ40" s="1" t="s">
        <v>206</v>
      </c>
      <c r="BA40" s="106" t="s">
        <v>206</v>
      </c>
      <c r="BB40" s="106" t="s">
        <v>206</v>
      </c>
      <c r="BC40" s="106" t="s">
        <v>206</v>
      </c>
      <c r="BD40" s="106" t="s">
        <v>206</v>
      </c>
      <c r="BE40" s="106" t="s">
        <v>206</v>
      </c>
      <c r="BF40" s="107">
        <f>IF(AZ40="Não","Sim","Não")</f>
      </c>
      <c r="BG40" s="107">
        <f>IF(AZ40="NA","Sim","Não")</f>
      </c>
      <c r="BH40" s="106" t="s">
        <v>206</v>
      </c>
      <c r="BI40" s="1" t="s">
        <v>236</v>
      </c>
      <c r="BJ40" s="106" t="s">
        <v>36</v>
      </c>
      <c r="BK40" s="1" t="s">
        <v>497</v>
      </c>
      <c r="BL40" s="102">
        <v>20</v>
      </c>
      <c r="BM40" s="1" t="s">
        <v>208</v>
      </c>
      <c r="BN40" s="1" t="s">
        <v>208</v>
      </c>
      <c r="BO40" s="1" t="s">
        <v>497</v>
      </c>
      <c r="BP40" s="102">
        <v>20</v>
      </c>
      <c r="BQ40" s="1" t="s">
        <v>206</v>
      </c>
      <c r="BR40" s="1" t="s">
        <v>229</v>
      </c>
      <c r="BS40" s="106" t="s">
        <v>229</v>
      </c>
    </row>
    <row x14ac:dyDescent="0.25" r="41" customHeight="1" ht="17.25">
      <c r="A41" s="102">
        <v>40</v>
      </c>
      <c r="B41" s="1" t="s">
        <v>612</v>
      </c>
      <c r="C41" s="102">
        <v>0</v>
      </c>
      <c r="D41" s="61" t="s">
        <v>613</v>
      </c>
      <c r="E41" s="1" t="s">
        <v>97</v>
      </c>
      <c r="F41" s="1" t="s">
        <v>170</v>
      </c>
      <c r="G41" s="1" t="s">
        <v>57</v>
      </c>
      <c r="H41" s="1" t="s">
        <v>614</v>
      </c>
      <c r="I41" s="102">
        <v>1</v>
      </c>
      <c r="J41" s="1" t="s">
        <v>158</v>
      </c>
      <c r="K41" s="1" t="s">
        <v>22</v>
      </c>
      <c r="L41" s="103">
        <v>36055</v>
      </c>
      <c r="M41" s="104">
        <v>19</v>
      </c>
      <c r="N41" s="1" t="s">
        <v>176</v>
      </c>
      <c r="O41" s="1" t="s">
        <v>182</v>
      </c>
      <c r="P41" s="1" t="s">
        <v>615</v>
      </c>
      <c r="Q41" s="1" t="s">
        <v>599</v>
      </c>
      <c r="R41" s="54" t="s">
        <v>616</v>
      </c>
      <c r="S41" s="105">
        <v>6.6</v>
      </c>
      <c r="T41" s="54" t="s">
        <v>617</v>
      </c>
      <c r="U41" s="105">
        <v>95.1</v>
      </c>
      <c r="V41" s="62">
        <v>0</v>
      </c>
      <c r="W41" s="102">
        <v>0</v>
      </c>
      <c r="X41" s="62">
        <v>0</v>
      </c>
      <c r="Y41" s="102">
        <v>0</v>
      </c>
      <c r="Z41" s="62">
        <v>0</v>
      </c>
      <c r="AA41" s="102">
        <v>0</v>
      </c>
      <c r="AB41" s="57" t="s">
        <v>618</v>
      </c>
      <c r="AC41" s="106" t="s">
        <v>206</v>
      </c>
      <c r="AD41" s="106" t="s">
        <v>206</v>
      </c>
      <c r="AE41" s="106" t="s">
        <v>206</v>
      </c>
      <c r="AF41" s="106" t="s">
        <v>206</v>
      </c>
      <c r="AG41" s="106" t="s">
        <v>35</v>
      </c>
      <c r="AH41" s="106" t="s">
        <v>206</v>
      </c>
      <c r="AI41" s="1" t="s">
        <v>371</v>
      </c>
      <c r="AJ41" s="1" t="s">
        <v>206</v>
      </c>
      <c r="AK41" s="1" t="s">
        <v>619</v>
      </c>
      <c r="AL41" s="1" t="s">
        <v>198</v>
      </c>
      <c r="AM41" s="106" t="s">
        <v>27</v>
      </c>
      <c r="AN41" s="1" t="s">
        <v>357</v>
      </c>
      <c r="AO41" s="1" t="s">
        <v>208</v>
      </c>
      <c r="AP41" s="1" t="s">
        <v>620</v>
      </c>
      <c r="AQ41" s="1" t="s">
        <v>492</v>
      </c>
      <c r="AR41" s="1" t="s">
        <v>206</v>
      </c>
      <c r="AS41" s="106" t="s">
        <v>206</v>
      </c>
      <c r="AT41" s="1" t="s">
        <v>212</v>
      </c>
      <c r="AU41" s="106" t="s">
        <v>35</v>
      </c>
      <c r="AV41" s="106" t="s">
        <v>35</v>
      </c>
      <c r="AW41" s="106" t="s">
        <v>206</v>
      </c>
      <c r="AX41" s="106" t="s">
        <v>206</v>
      </c>
      <c r="AY41" s="106" t="s">
        <v>35</v>
      </c>
      <c r="AZ41" s="1" t="s">
        <v>206</v>
      </c>
      <c r="BA41" s="106" t="s">
        <v>206</v>
      </c>
      <c r="BB41" s="106" t="s">
        <v>206</v>
      </c>
      <c r="BC41" s="106" t="s">
        <v>206</v>
      </c>
      <c r="BD41" s="106" t="s">
        <v>206</v>
      </c>
      <c r="BE41" s="106" t="s">
        <v>206</v>
      </c>
      <c r="BF41" s="107">
        <f>IF(AZ41="Não","Sim","Não")</f>
      </c>
      <c r="BG41" s="107">
        <f>IF(AZ41="NA","Sim","Não")</f>
      </c>
      <c r="BH41" s="106" t="s">
        <v>206</v>
      </c>
      <c r="BI41" s="1" t="s">
        <v>236</v>
      </c>
      <c r="BJ41" s="106" t="s">
        <v>36</v>
      </c>
      <c r="BK41" s="1" t="s">
        <v>497</v>
      </c>
      <c r="BL41" s="102">
        <v>20</v>
      </c>
      <c r="BM41" s="1" t="s">
        <v>208</v>
      </c>
      <c r="BN41" s="1" t="s">
        <v>208</v>
      </c>
      <c r="BO41" s="1" t="s">
        <v>497</v>
      </c>
      <c r="BP41" s="102">
        <v>20</v>
      </c>
      <c r="BQ41" s="1" t="s">
        <v>206</v>
      </c>
      <c r="BR41" s="1" t="s">
        <v>229</v>
      </c>
      <c r="BS41" s="106" t="s">
        <v>229</v>
      </c>
    </row>
    <row x14ac:dyDescent="0.25" r="42" customHeight="1" ht="17.25">
      <c r="A42" s="102">
        <v>41</v>
      </c>
      <c r="B42" s="1" t="s">
        <v>612</v>
      </c>
      <c r="C42" s="102">
        <v>1</v>
      </c>
      <c r="D42" s="61" t="s">
        <v>613</v>
      </c>
      <c r="E42" s="1" t="s">
        <v>97</v>
      </c>
      <c r="F42" s="1" t="s">
        <v>170</v>
      </c>
      <c r="G42" s="1" t="s">
        <v>57</v>
      </c>
      <c r="H42" s="1" t="s">
        <v>621</v>
      </c>
      <c r="I42" s="102">
        <v>1</v>
      </c>
      <c r="J42" s="1" t="s">
        <v>158</v>
      </c>
      <c r="K42" s="1" t="s">
        <v>22</v>
      </c>
      <c r="L42" s="103">
        <v>32985</v>
      </c>
      <c r="M42" s="104">
        <v>27</v>
      </c>
      <c r="N42" s="1" t="s">
        <v>175</v>
      </c>
      <c r="O42" s="1" t="s">
        <v>24</v>
      </c>
      <c r="P42" s="1" t="s">
        <v>615</v>
      </c>
      <c r="Q42" s="1" t="s">
        <v>599</v>
      </c>
      <c r="R42" s="54" t="s">
        <v>616</v>
      </c>
      <c r="S42" s="105">
        <v>6.6</v>
      </c>
      <c r="T42" s="54" t="s">
        <v>617</v>
      </c>
      <c r="U42" s="105">
        <v>95.1</v>
      </c>
      <c r="V42" s="62">
        <v>0</v>
      </c>
      <c r="W42" s="102">
        <v>0</v>
      </c>
      <c r="X42" s="62">
        <v>0</v>
      </c>
      <c r="Y42" s="102">
        <v>0</v>
      </c>
      <c r="Z42" s="62">
        <v>0</v>
      </c>
      <c r="AA42" s="102">
        <v>0</v>
      </c>
      <c r="AB42" s="57" t="s">
        <v>618</v>
      </c>
      <c r="AC42" s="106" t="s">
        <v>206</v>
      </c>
      <c r="AD42" s="106" t="s">
        <v>206</v>
      </c>
      <c r="AE42" s="106" t="s">
        <v>206</v>
      </c>
      <c r="AF42" s="106" t="s">
        <v>206</v>
      </c>
      <c r="AG42" s="106" t="s">
        <v>35</v>
      </c>
      <c r="AH42" s="106" t="s">
        <v>206</v>
      </c>
      <c r="AI42" s="1" t="s">
        <v>371</v>
      </c>
      <c r="AJ42" s="1" t="s">
        <v>206</v>
      </c>
      <c r="AK42" s="1" t="s">
        <v>619</v>
      </c>
      <c r="AL42" s="1" t="s">
        <v>198</v>
      </c>
      <c r="AM42" s="106" t="s">
        <v>27</v>
      </c>
      <c r="AN42" s="1" t="s">
        <v>357</v>
      </c>
      <c r="AO42" s="1" t="s">
        <v>208</v>
      </c>
      <c r="AP42" s="1" t="s">
        <v>620</v>
      </c>
      <c r="AQ42" s="1" t="s">
        <v>492</v>
      </c>
      <c r="AR42" s="1" t="s">
        <v>206</v>
      </c>
      <c r="AS42" s="106" t="s">
        <v>206</v>
      </c>
      <c r="AT42" s="1" t="s">
        <v>28</v>
      </c>
      <c r="AU42" s="106" t="s">
        <v>35</v>
      </c>
      <c r="AV42" s="106" t="s">
        <v>206</v>
      </c>
      <c r="AW42" s="106" t="s">
        <v>206</v>
      </c>
      <c r="AX42" s="106" t="s">
        <v>206</v>
      </c>
      <c r="AY42" s="106" t="s">
        <v>35</v>
      </c>
      <c r="AZ42" s="1" t="s">
        <v>206</v>
      </c>
      <c r="BA42" s="106" t="s">
        <v>206</v>
      </c>
      <c r="BB42" s="106" t="s">
        <v>206</v>
      </c>
      <c r="BC42" s="106" t="s">
        <v>206</v>
      </c>
      <c r="BD42" s="106" t="s">
        <v>206</v>
      </c>
      <c r="BE42" s="106" t="s">
        <v>206</v>
      </c>
      <c r="BF42" s="107">
        <f>IF(AZ42="Não","Sim","Não")</f>
      </c>
      <c r="BG42" s="107">
        <f>IF(AZ42="NA","Sim","Não")</f>
      </c>
      <c r="BH42" s="106" t="s">
        <v>206</v>
      </c>
      <c r="BI42" s="1" t="s">
        <v>236</v>
      </c>
      <c r="BJ42" s="106" t="s">
        <v>36</v>
      </c>
      <c r="BK42" s="1" t="s">
        <v>497</v>
      </c>
      <c r="BL42" s="102">
        <v>20</v>
      </c>
      <c r="BM42" s="1" t="s">
        <v>208</v>
      </c>
      <c r="BN42" s="1" t="s">
        <v>208</v>
      </c>
      <c r="BO42" s="1" t="s">
        <v>497</v>
      </c>
      <c r="BP42" s="102">
        <v>20</v>
      </c>
      <c r="BQ42" s="1" t="s">
        <v>206</v>
      </c>
      <c r="BR42" s="1" t="s">
        <v>229</v>
      </c>
      <c r="BS42" s="106" t="s">
        <v>229</v>
      </c>
    </row>
    <row x14ac:dyDescent="0.25" r="43" customHeight="1" ht="17.25">
      <c r="A43" s="102">
        <v>42</v>
      </c>
      <c r="B43" s="1" t="s">
        <v>622</v>
      </c>
      <c r="C43" s="102">
        <v>1</v>
      </c>
      <c r="D43" s="61">
        <v>42909</v>
      </c>
      <c r="E43" s="1" t="s">
        <v>125</v>
      </c>
      <c r="F43" s="1" t="s">
        <v>22</v>
      </c>
      <c r="G43" s="1" t="s">
        <v>63</v>
      </c>
      <c r="H43" s="1" t="s">
        <v>623</v>
      </c>
      <c r="I43" s="102">
        <v>1</v>
      </c>
      <c r="J43" s="1" t="s">
        <v>158</v>
      </c>
      <c r="K43" s="1" t="s">
        <v>22</v>
      </c>
      <c r="L43" s="103">
        <v>34695</v>
      </c>
      <c r="M43" s="104">
        <v>22</v>
      </c>
      <c r="N43" s="1" t="s">
        <v>176</v>
      </c>
      <c r="O43" s="1" t="s">
        <v>182</v>
      </c>
      <c r="P43" s="1" t="s">
        <v>354</v>
      </c>
      <c r="Q43" s="1" t="s">
        <v>624</v>
      </c>
      <c r="R43" s="62">
        <v>0</v>
      </c>
      <c r="S43" s="102">
        <v>0</v>
      </c>
      <c r="T43" s="54" t="s">
        <v>625</v>
      </c>
      <c r="U43" s="105">
        <v>9.2</v>
      </c>
      <c r="V43" s="62">
        <v>0</v>
      </c>
      <c r="W43" s="102">
        <v>0</v>
      </c>
      <c r="X43" s="62">
        <v>0</v>
      </c>
      <c r="Y43" s="102">
        <v>0</v>
      </c>
      <c r="Z43" s="62">
        <v>0</v>
      </c>
      <c r="AA43" s="102">
        <v>0</v>
      </c>
      <c r="AB43" s="62">
        <v>0</v>
      </c>
      <c r="AC43" s="106" t="s">
        <v>206</v>
      </c>
      <c r="AD43" s="106" t="s">
        <v>206</v>
      </c>
      <c r="AE43" s="106" t="s">
        <v>206</v>
      </c>
      <c r="AF43" s="106" t="s">
        <v>206</v>
      </c>
      <c r="AG43" s="106" t="s">
        <v>206</v>
      </c>
      <c r="AH43" s="106" t="s">
        <v>206</v>
      </c>
      <c r="AI43" s="1" t="s">
        <v>357</v>
      </c>
      <c r="AJ43" s="1" t="s">
        <v>206</v>
      </c>
      <c r="AK43" s="1" t="s">
        <v>626</v>
      </c>
      <c r="AL43" s="1" t="s">
        <v>197</v>
      </c>
      <c r="AM43" s="106" t="s">
        <v>27</v>
      </c>
      <c r="AN43" s="1" t="s">
        <v>357</v>
      </c>
      <c r="AO43" s="1" t="s">
        <v>208</v>
      </c>
      <c r="AP43" s="1" t="s">
        <v>206</v>
      </c>
      <c r="AQ43" s="1" t="s">
        <v>441</v>
      </c>
      <c r="AR43" s="1" t="s">
        <v>206</v>
      </c>
      <c r="AS43" s="106" t="s">
        <v>206</v>
      </c>
      <c r="AT43" s="1" t="s">
        <v>206</v>
      </c>
      <c r="AU43" s="106" t="s">
        <v>206</v>
      </c>
      <c r="AV43" s="106" t="s">
        <v>206</v>
      </c>
      <c r="AW43" s="106" t="s">
        <v>35</v>
      </c>
      <c r="AX43" s="106" t="s">
        <v>206</v>
      </c>
      <c r="AY43" s="106" t="s">
        <v>206</v>
      </c>
      <c r="AZ43" s="1" t="s">
        <v>206</v>
      </c>
      <c r="BA43" s="106" t="s">
        <v>206</v>
      </c>
      <c r="BB43" s="106" t="s">
        <v>206</v>
      </c>
      <c r="BC43" s="106" t="s">
        <v>206</v>
      </c>
      <c r="BD43" s="106" t="s">
        <v>206</v>
      </c>
      <c r="BE43" s="106" t="s">
        <v>206</v>
      </c>
      <c r="BF43" s="107">
        <f>IF(AZ43="Não","Sim","Não")</f>
      </c>
      <c r="BG43" s="107">
        <f>IF(AZ43="NA","Sim","Não")</f>
      </c>
      <c r="BH43" s="106" t="s">
        <v>206</v>
      </c>
      <c r="BI43" s="1" t="s">
        <v>236</v>
      </c>
      <c r="BJ43" s="106" t="s">
        <v>36</v>
      </c>
      <c r="BK43" s="1" t="s">
        <v>497</v>
      </c>
      <c r="BL43" s="102">
        <v>20</v>
      </c>
      <c r="BM43" s="1" t="s">
        <v>208</v>
      </c>
      <c r="BN43" s="1" t="s">
        <v>208</v>
      </c>
      <c r="BO43" s="1" t="s">
        <v>497</v>
      </c>
      <c r="BP43" s="102">
        <v>20</v>
      </c>
      <c r="BQ43" s="1" t="s">
        <v>206</v>
      </c>
      <c r="BR43" s="1" t="s">
        <v>227</v>
      </c>
      <c r="BS43" s="106" t="s">
        <v>37</v>
      </c>
    </row>
    <row x14ac:dyDescent="0.25" r="44" customHeight="1" ht="17.25">
      <c r="A44" s="102">
        <v>43</v>
      </c>
      <c r="B44" s="1" t="s">
        <v>627</v>
      </c>
      <c r="C44" s="102">
        <v>1</v>
      </c>
      <c r="D44" s="61" t="s">
        <v>628</v>
      </c>
      <c r="E44" s="1" t="s">
        <v>118</v>
      </c>
      <c r="F44" s="1" t="s">
        <v>170</v>
      </c>
      <c r="G44" s="1" t="s">
        <v>67</v>
      </c>
      <c r="H44" s="1" t="s">
        <v>629</v>
      </c>
      <c r="I44" s="102">
        <v>1</v>
      </c>
      <c r="J44" s="1" t="s">
        <v>158</v>
      </c>
      <c r="K44" s="1" t="s">
        <v>22</v>
      </c>
      <c r="L44" s="103">
        <v>32249</v>
      </c>
      <c r="M44" s="104">
        <v>29</v>
      </c>
      <c r="N44" s="1" t="s">
        <v>177</v>
      </c>
      <c r="O44" s="1" t="s">
        <v>24</v>
      </c>
      <c r="P44" s="1" t="s">
        <v>354</v>
      </c>
      <c r="Q44" s="1" t="s">
        <v>630</v>
      </c>
      <c r="R44" s="54" t="s">
        <v>631</v>
      </c>
      <c r="S44" s="105">
        <v>267.7</v>
      </c>
      <c r="T44" s="54" t="s">
        <v>632</v>
      </c>
      <c r="U44" s="105">
        <v>55.2</v>
      </c>
      <c r="V44" s="62">
        <v>0</v>
      </c>
      <c r="W44" s="102">
        <v>0</v>
      </c>
      <c r="X44" s="62">
        <v>0</v>
      </c>
      <c r="Y44" s="102">
        <v>0</v>
      </c>
      <c r="Z44" s="62">
        <v>0</v>
      </c>
      <c r="AA44" s="102">
        <v>0</v>
      </c>
      <c r="AB44" s="62">
        <v>0</v>
      </c>
      <c r="AC44" s="106" t="s">
        <v>206</v>
      </c>
      <c r="AD44" s="106" t="s">
        <v>206</v>
      </c>
      <c r="AE44" s="106" t="s">
        <v>206</v>
      </c>
      <c r="AF44" s="106" t="s">
        <v>206</v>
      </c>
      <c r="AG44" s="106" t="s">
        <v>206</v>
      </c>
      <c r="AH44" s="106" t="s">
        <v>206</v>
      </c>
      <c r="AI44" s="1" t="s">
        <v>357</v>
      </c>
      <c r="AJ44" s="1" t="s">
        <v>206</v>
      </c>
      <c r="AK44" s="1" t="s">
        <v>430</v>
      </c>
      <c r="AL44" s="1" t="s">
        <v>197</v>
      </c>
      <c r="AM44" s="106" t="s">
        <v>27</v>
      </c>
      <c r="AN44" s="1" t="s">
        <v>357</v>
      </c>
      <c r="AO44" s="1" t="s">
        <v>208</v>
      </c>
      <c r="AP44" s="1" t="s">
        <v>206</v>
      </c>
      <c r="AQ44" s="1" t="s">
        <v>441</v>
      </c>
      <c r="AR44" s="1" t="s">
        <v>206</v>
      </c>
      <c r="AS44" s="106" t="s">
        <v>206</v>
      </c>
      <c r="AT44" s="1" t="s">
        <v>206</v>
      </c>
      <c r="AU44" s="106" t="s">
        <v>206</v>
      </c>
      <c r="AV44" s="106" t="s">
        <v>206</v>
      </c>
      <c r="AW44" s="106" t="s">
        <v>35</v>
      </c>
      <c r="AX44" s="106" t="s">
        <v>206</v>
      </c>
      <c r="AY44" s="106" t="s">
        <v>206</v>
      </c>
      <c r="AZ44" s="1" t="s">
        <v>206</v>
      </c>
      <c r="BA44" s="106" t="s">
        <v>206</v>
      </c>
      <c r="BB44" s="106" t="s">
        <v>206</v>
      </c>
      <c r="BC44" s="106" t="s">
        <v>206</v>
      </c>
      <c r="BD44" s="106" t="s">
        <v>206</v>
      </c>
      <c r="BE44" s="106" t="s">
        <v>206</v>
      </c>
      <c r="BF44" s="107">
        <f>IF(AZ44="Não","Sim","Não")</f>
      </c>
      <c r="BG44" s="107">
        <f>IF(AZ44="NA","Sim","Não")</f>
      </c>
      <c r="BH44" s="106" t="s">
        <v>206</v>
      </c>
      <c r="BI44" s="1" t="s">
        <v>236</v>
      </c>
      <c r="BJ44" s="106" t="s">
        <v>36</v>
      </c>
      <c r="BK44" s="1" t="s">
        <v>497</v>
      </c>
      <c r="BL44" s="102">
        <v>20</v>
      </c>
      <c r="BM44" s="1" t="s">
        <v>208</v>
      </c>
      <c r="BN44" s="1" t="s">
        <v>208</v>
      </c>
      <c r="BO44" s="1" t="s">
        <v>497</v>
      </c>
      <c r="BP44" s="102">
        <v>20</v>
      </c>
      <c r="BQ44" s="1" t="s">
        <v>206</v>
      </c>
      <c r="BR44" s="1" t="s">
        <v>229</v>
      </c>
      <c r="BS44" s="106" t="s">
        <v>229</v>
      </c>
    </row>
    <row x14ac:dyDescent="0.25" r="45" customHeight="1" ht="17.25">
      <c r="A45" s="102">
        <v>44</v>
      </c>
      <c r="B45" s="1" t="s">
        <v>633</v>
      </c>
      <c r="C45" s="102">
        <v>1</v>
      </c>
      <c r="D45" s="61">
        <v>42937</v>
      </c>
      <c r="E45" s="1" t="s">
        <v>125</v>
      </c>
      <c r="F45" s="1" t="s">
        <v>22</v>
      </c>
      <c r="G45" s="1" t="s">
        <v>63</v>
      </c>
      <c r="H45" s="1" t="s">
        <v>634</v>
      </c>
      <c r="I45" s="102">
        <v>1</v>
      </c>
      <c r="J45" s="1" t="s">
        <v>158</v>
      </c>
      <c r="K45" s="1" t="s">
        <v>22</v>
      </c>
      <c r="L45" s="103">
        <v>35959</v>
      </c>
      <c r="M45" s="104">
        <v>19</v>
      </c>
      <c r="N45" s="1" t="s">
        <v>176</v>
      </c>
      <c r="O45" s="1" t="s">
        <v>182</v>
      </c>
      <c r="P45" s="1" t="s">
        <v>354</v>
      </c>
      <c r="Q45" s="1" t="s">
        <v>635</v>
      </c>
      <c r="R45" s="54" t="s">
        <v>636</v>
      </c>
      <c r="S45" s="105">
        <v>12.4</v>
      </c>
      <c r="T45" s="54" t="s">
        <v>637</v>
      </c>
      <c r="U45" s="105">
        <v>4.7</v>
      </c>
      <c r="V45" s="62">
        <v>0</v>
      </c>
      <c r="W45" s="102">
        <v>0</v>
      </c>
      <c r="X45" s="62">
        <v>0</v>
      </c>
      <c r="Y45" s="102">
        <v>0</v>
      </c>
      <c r="Z45" s="62">
        <v>0</v>
      </c>
      <c r="AA45" s="102">
        <v>0</v>
      </c>
      <c r="AB45" s="62">
        <v>0</v>
      </c>
      <c r="AC45" s="106" t="s">
        <v>206</v>
      </c>
      <c r="AD45" s="106" t="s">
        <v>206</v>
      </c>
      <c r="AE45" s="106" t="s">
        <v>206</v>
      </c>
      <c r="AF45" s="106" t="s">
        <v>206</v>
      </c>
      <c r="AG45" s="106" t="s">
        <v>206</v>
      </c>
      <c r="AH45" s="106" t="s">
        <v>206</v>
      </c>
      <c r="AI45" s="1" t="s">
        <v>357</v>
      </c>
      <c r="AJ45" s="1" t="s">
        <v>206</v>
      </c>
      <c r="AK45" s="1" t="s">
        <v>638</v>
      </c>
      <c r="AL45" s="1" t="s">
        <v>197</v>
      </c>
      <c r="AM45" s="106" t="s">
        <v>27</v>
      </c>
      <c r="AN45" s="1" t="s">
        <v>357</v>
      </c>
      <c r="AO45" s="1" t="s">
        <v>208</v>
      </c>
      <c r="AP45" s="1" t="s">
        <v>206</v>
      </c>
      <c r="AQ45" s="1" t="s">
        <v>441</v>
      </c>
      <c r="AR45" s="1" t="s">
        <v>206</v>
      </c>
      <c r="AS45" s="106" t="s">
        <v>206</v>
      </c>
      <c r="AT45" s="1" t="s">
        <v>206</v>
      </c>
      <c r="AU45" s="106" t="s">
        <v>206</v>
      </c>
      <c r="AV45" s="106" t="s">
        <v>206</v>
      </c>
      <c r="AW45" s="106" t="s">
        <v>35</v>
      </c>
      <c r="AX45" s="106" t="s">
        <v>206</v>
      </c>
      <c r="AY45" s="106" t="s">
        <v>206</v>
      </c>
      <c r="AZ45" s="1" t="s">
        <v>206</v>
      </c>
      <c r="BA45" s="106" t="s">
        <v>206</v>
      </c>
      <c r="BB45" s="106" t="s">
        <v>206</v>
      </c>
      <c r="BC45" s="106" t="s">
        <v>206</v>
      </c>
      <c r="BD45" s="106" t="s">
        <v>206</v>
      </c>
      <c r="BE45" s="106" t="s">
        <v>206</v>
      </c>
      <c r="BF45" s="107">
        <f>IF(AZ45="Não","Sim","Não")</f>
      </c>
      <c r="BG45" s="107">
        <f>IF(AZ45="NA","Sim","Não")</f>
      </c>
      <c r="BH45" s="106" t="s">
        <v>206</v>
      </c>
      <c r="BI45" s="1" t="s">
        <v>236</v>
      </c>
      <c r="BJ45" s="106" t="s">
        <v>36</v>
      </c>
      <c r="BK45" s="1" t="s">
        <v>497</v>
      </c>
      <c r="BL45" s="102">
        <v>20</v>
      </c>
      <c r="BM45" s="1" t="s">
        <v>208</v>
      </c>
      <c r="BN45" s="1" t="s">
        <v>208</v>
      </c>
      <c r="BO45" s="1" t="s">
        <v>497</v>
      </c>
      <c r="BP45" s="102">
        <v>20</v>
      </c>
      <c r="BQ45" s="1" t="s">
        <v>206</v>
      </c>
      <c r="BR45" s="1" t="s">
        <v>227</v>
      </c>
      <c r="BS45" s="106" t="s">
        <v>37</v>
      </c>
    </row>
    <row x14ac:dyDescent="0.25" r="46" customHeight="1" ht="17.25">
      <c r="A46" s="102">
        <v>45</v>
      </c>
      <c r="B46" s="1" t="s">
        <v>639</v>
      </c>
      <c r="C46" s="102">
        <v>1</v>
      </c>
      <c r="D46" s="61" t="s">
        <v>640</v>
      </c>
      <c r="E46" s="1" t="s">
        <v>104</v>
      </c>
      <c r="F46" s="1" t="s">
        <v>170</v>
      </c>
      <c r="G46" s="1" t="s">
        <v>69</v>
      </c>
      <c r="H46" s="1" t="s">
        <v>641</v>
      </c>
      <c r="I46" s="102">
        <v>1</v>
      </c>
      <c r="J46" s="1" t="s">
        <v>158</v>
      </c>
      <c r="K46" s="1" t="s">
        <v>22</v>
      </c>
      <c r="L46" s="103">
        <v>32392</v>
      </c>
      <c r="M46" s="104">
        <v>28</v>
      </c>
      <c r="N46" s="1" t="s">
        <v>175</v>
      </c>
      <c r="O46" s="1" t="s">
        <v>24</v>
      </c>
      <c r="P46" s="1" t="s">
        <v>354</v>
      </c>
      <c r="Q46" s="1" t="s">
        <v>642</v>
      </c>
      <c r="R46" s="54" t="s">
        <v>643</v>
      </c>
      <c r="S46" s="105">
        <v>56.1</v>
      </c>
      <c r="T46" s="54" t="s">
        <v>644</v>
      </c>
      <c r="U46" s="105">
        <v>0.7</v>
      </c>
      <c r="V46" s="62">
        <v>0</v>
      </c>
      <c r="W46" s="102">
        <v>0</v>
      </c>
      <c r="X46" s="62">
        <v>0</v>
      </c>
      <c r="Y46" s="102">
        <v>0</v>
      </c>
      <c r="Z46" s="62">
        <v>0</v>
      </c>
      <c r="AA46" s="102">
        <v>0</v>
      </c>
      <c r="AB46" s="62">
        <v>0</v>
      </c>
      <c r="AC46" s="106" t="s">
        <v>206</v>
      </c>
      <c r="AD46" s="106" t="s">
        <v>206</v>
      </c>
      <c r="AE46" s="106" t="s">
        <v>206</v>
      </c>
      <c r="AF46" s="106" t="s">
        <v>206</v>
      </c>
      <c r="AG46" s="106" t="s">
        <v>206</v>
      </c>
      <c r="AH46" s="106" t="s">
        <v>206</v>
      </c>
      <c r="AI46" s="1" t="s">
        <v>357</v>
      </c>
      <c r="AJ46" s="1" t="s">
        <v>206</v>
      </c>
      <c r="AK46" s="1" t="s">
        <v>645</v>
      </c>
      <c r="AL46" s="1" t="s">
        <v>197</v>
      </c>
      <c r="AM46" s="106" t="s">
        <v>27</v>
      </c>
      <c r="AN46" s="1" t="s">
        <v>357</v>
      </c>
      <c r="AO46" s="1" t="s">
        <v>208</v>
      </c>
      <c r="AP46" s="1" t="s">
        <v>206</v>
      </c>
      <c r="AQ46" s="1" t="s">
        <v>441</v>
      </c>
      <c r="AR46" s="1" t="s">
        <v>206</v>
      </c>
      <c r="AS46" s="106" t="s">
        <v>206</v>
      </c>
      <c r="AT46" s="1" t="s">
        <v>206</v>
      </c>
      <c r="AU46" s="106" t="s">
        <v>206</v>
      </c>
      <c r="AV46" s="106" t="s">
        <v>206</v>
      </c>
      <c r="AW46" s="106" t="s">
        <v>35</v>
      </c>
      <c r="AX46" s="106" t="s">
        <v>206</v>
      </c>
      <c r="AY46" s="106" t="s">
        <v>206</v>
      </c>
      <c r="AZ46" s="1" t="s">
        <v>206</v>
      </c>
      <c r="BA46" s="106" t="s">
        <v>206</v>
      </c>
      <c r="BB46" s="106" t="s">
        <v>206</v>
      </c>
      <c r="BC46" s="106" t="s">
        <v>206</v>
      </c>
      <c r="BD46" s="106" t="s">
        <v>206</v>
      </c>
      <c r="BE46" s="106" t="s">
        <v>206</v>
      </c>
      <c r="BF46" s="107">
        <f>IF(AZ46="Não","Sim","Não")</f>
      </c>
      <c r="BG46" s="107">
        <f>IF(AZ46="NA","Sim","Não")</f>
      </c>
      <c r="BH46" s="106" t="s">
        <v>206</v>
      </c>
      <c r="BI46" s="1" t="s">
        <v>236</v>
      </c>
      <c r="BJ46" s="106" t="s">
        <v>36</v>
      </c>
      <c r="BK46" s="1" t="s">
        <v>497</v>
      </c>
      <c r="BL46" s="102">
        <v>20</v>
      </c>
      <c r="BM46" s="1" t="s">
        <v>208</v>
      </c>
      <c r="BN46" s="1" t="s">
        <v>208</v>
      </c>
      <c r="BO46" s="1" t="s">
        <v>497</v>
      </c>
      <c r="BP46" s="102">
        <v>20</v>
      </c>
      <c r="BQ46" s="1" t="s">
        <v>35</v>
      </c>
      <c r="BR46" s="1" t="s">
        <v>208</v>
      </c>
      <c r="BS46" s="106" t="s">
        <v>208</v>
      </c>
    </row>
    <row x14ac:dyDescent="0.25" r="47" customHeight="1" ht="17.25">
      <c r="A47" s="102">
        <v>46</v>
      </c>
      <c r="B47" s="1" t="s">
        <v>646</v>
      </c>
      <c r="C47" s="102">
        <v>1</v>
      </c>
      <c r="D47" s="61" t="s">
        <v>647</v>
      </c>
      <c r="E47" s="1" t="s">
        <v>142</v>
      </c>
      <c r="F47" s="1" t="s">
        <v>22</v>
      </c>
      <c r="G47" s="1" t="s">
        <v>42</v>
      </c>
      <c r="H47" s="1" t="s">
        <v>648</v>
      </c>
      <c r="I47" s="102">
        <v>1</v>
      </c>
      <c r="J47" s="1" t="s">
        <v>158</v>
      </c>
      <c r="K47" s="1" t="s">
        <v>22</v>
      </c>
      <c r="L47" s="103">
        <v>32264</v>
      </c>
      <c r="M47" s="104">
        <v>29</v>
      </c>
      <c r="N47" s="1" t="s">
        <v>175</v>
      </c>
      <c r="O47" s="1" t="s">
        <v>24</v>
      </c>
      <c r="P47" s="1" t="s">
        <v>365</v>
      </c>
      <c r="Q47" s="1" t="s">
        <v>649</v>
      </c>
      <c r="R47" s="54" t="s">
        <v>650</v>
      </c>
      <c r="S47" s="105">
        <v>183.9</v>
      </c>
      <c r="T47" s="54" t="s">
        <v>651</v>
      </c>
      <c r="U47" s="105">
        <v>198.9</v>
      </c>
      <c r="V47" s="62">
        <v>0</v>
      </c>
      <c r="W47" s="102">
        <v>0</v>
      </c>
      <c r="X47" s="62">
        <v>0</v>
      </c>
      <c r="Y47" s="102">
        <v>0</v>
      </c>
      <c r="Z47" s="62">
        <v>0</v>
      </c>
      <c r="AA47" s="102">
        <v>0</v>
      </c>
      <c r="AB47" s="62">
        <v>0</v>
      </c>
      <c r="AC47" s="106" t="s">
        <v>206</v>
      </c>
      <c r="AD47" s="106" t="s">
        <v>206</v>
      </c>
      <c r="AE47" s="106" t="s">
        <v>206</v>
      </c>
      <c r="AF47" s="106" t="s">
        <v>206</v>
      </c>
      <c r="AG47" s="106" t="s">
        <v>206</v>
      </c>
      <c r="AH47" s="106" t="s">
        <v>206</v>
      </c>
      <c r="AI47" s="1" t="s">
        <v>357</v>
      </c>
      <c r="AJ47" s="1" t="s">
        <v>206</v>
      </c>
      <c r="AK47" s="1" t="s">
        <v>652</v>
      </c>
      <c r="AL47" s="1" t="s">
        <v>197</v>
      </c>
      <c r="AM47" s="106" t="s">
        <v>27</v>
      </c>
      <c r="AN47" s="1" t="s">
        <v>357</v>
      </c>
      <c r="AO47" s="1" t="s">
        <v>208</v>
      </c>
      <c r="AP47" s="1" t="s">
        <v>653</v>
      </c>
      <c r="AQ47" s="1" t="s">
        <v>654</v>
      </c>
      <c r="AR47" s="1" t="s">
        <v>206</v>
      </c>
      <c r="AS47" s="106" t="s">
        <v>206</v>
      </c>
      <c r="AT47" s="1" t="s">
        <v>28</v>
      </c>
      <c r="AU47" s="106" t="s">
        <v>35</v>
      </c>
      <c r="AV47" s="106" t="s">
        <v>206</v>
      </c>
      <c r="AW47" s="106" t="s">
        <v>206</v>
      </c>
      <c r="AX47" s="106" t="s">
        <v>206</v>
      </c>
      <c r="AY47" s="106" t="s">
        <v>35</v>
      </c>
      <c r="AZ47" s="1" t="s">
        <v>206</v>
      </c>
      <c r="BA47" s="106" t="s">
        <v>206</v>
      </c>
      <c r="BB47" s="106" t="s">
        <v>206</v>
      </c>
      <c r="BC47" s="106" t="s">
        <v>206</v>
      </c>
      <c r="BD47" s="106" t="s">
        <v>206</v>
      </c>
      <c r="BE47" s="106" t="s">
        <v>206</v>
      </c>
      <c r="BF47" s="107">
        <f>IF(AZ47="Não","Sim","Não")</f>
      </c>
      <c r="BG47" s="107">
        <f>IF(AZ47="NA","Sim","Não")</f>
      </c>
      <c r="BH47" s="106" t="s">
        <v>206</v>
      </c>
      <c r="BI47" s="1" t="s">
        <v>236</v>
      </c>
      <c r="BJ47" s="106" t="s">
        <v>36</v>
      </c>
      <c r="BK47" s="1" t="s">
        <v>497</v>
      </c>
      <c r="BL47" s="102">
        <v>20</v>
      </c>
      <c r="BM47" s="1" t="s">
        <v>208</v>
      </c>
      <c r="BN47" s="1" t="s">
        <v>208</v>
      </c>
      <c r="BO47" s="1" t="s">
        <v>497</v>
      </c>
      <c r="BP47" s="102">
        <v>20</v>
      </c>
      <c r="BQ47" s="1" t="s">
        <v>35</v>
      </c>
      <c r="BR47" s="1" t="s">
        <v>208</v>
      </c>
      <c r="BS47" s="106" t="s">
        <v>208</v>
      </c>
    </row>
    <row x14ac:dyDescent="0.25" r="48" customHeight="1" ht="17.25">
      <c r="A48" s="102">
        <v>47</v>
      </c>
      <c r="B48" s="1" t="s">
        <v>655</v>
      </c>
      <c r="C48" s="102">
        <v>1</v>
      </c>
      <c r="D48" s="61" t="s">
        <v>656</v>
      </c>
      <c r="E48" s="1" t="s">
        <v>105</v>
      </c>
      <c r="F48" s="1" t="s">
        <v>170</v>
      </c>
      <c r="G48" s="1" t="s">
        <v>39</v>
      </c>
      <c r="H48" s="1" t="s">
        <v>657</v>
      </c>
      <c r="I48" s="102">
        <v>1</v>
      </c>
      <c r="J48" s="1" t="s">
        <v>158</v>
      </c>
      <c r="K48" s="1" t="s">
        <v>22</v>
      </c>
      <c r="L48" s="103">
        <v>35006</v>
      </c>
      <c r="M48" s="104">
        <v>21</v>
      </c>
      <c r="N48" s="1" t="s">
        <v>177</v>
      </c>
      <c r="O48" s="1" t="s">
        <v>24</v>
      </c>
      <c r="P48" s="1" t="s">
        <v>354</v>
      </c>
      <c r="Q48" s="1" t="s">
        <v>658</v>
      </c>
      <c r="R48" s="62">
        <v>0</v>
      </c>
      <c r="S48" s="102">
        <v>0</v>
      </c>
      <c r="T48" s="54" t="s">
        <v>659</v>
      </c>
      <c r="U48" s="102">
        <v>165</v>
      </c>
      <c r="V48" s="62">
        <v>0</v>
      </c>
      <c r="W48" s="102">
        <v>0</v>
      </c>
      <c r="X48" s="62">
        <v>0</v>
      </c>
      <c r="Y48" s="102">
        <v>0</v>
      </c>
      <c r="Z48" s="62">
        <v>0</v>
      </c>
      <c r="AA48" s="102">
        <v>0</v>
      </c>
      <c r="AB48" s="62">
        <v>0</v>
      </c>
      <c r="AC48" s="106" t="s">
        <v>206</v>
      </c>
      <c r="AD48" s="106" t="s">
        <v>206</v>
      </c>
      <c r="AE48" s="106" t="s">
        <v>206</v>
      </c>
      <c r="AF48" s="106" t="s">
        <v>206</v>
      </c>
      <c r="AG48" s="106" t="s">
        <v>206</v>
      </c>
      <c r="AH48" s="106" t="s">
        <v>206</v>
      </c>
      <c r="AI48" s="1" t="s">
        <v>357</v>
      </c>
      <c r="AJ48" s="1" t="s">
        <v>404</v>
      </c>
      <c r="AK48" s="1" t="s">
        <v>405</v>
      </c>
      <c r="AL48" s="1" t="s">
        <v>198</v>
      </c>
      <c r="AM48" s="106" t="s">
        <v>27</v>
      </c>
      <c r="AN48" s="1" t="s">
        <v>357</v>
      </c>
      <c r="AO48" s="1" t="s">
        <v>206</v>
      </c>
      <c r="AP48" s="1" t="s">
        <v>206</v>
      </c>
      <c r="AQ48" s="1" t="s">
        <v>441</v>
      </c>
      <c r="AR48" s="1" t="s">
        <v>206</v>
      </c>
      <c r="AS48" s="106" t="s">
        <v>206</v>
      </c>
      <c r="AT48" s="1" t="s">
        <v>206</v>
      </c>
      <c r="AU48" s="106" t="s">
        <v>206</v>
      </c>
      <c r="AV48" s="106" t="s">
        <v>206</v>
      </c>
      <c r="AW48" s="106" t="s">
        <v>35</v>
      </c>
      <c r="AX48" s="106" t="s">
        <v>206</v>
      </c>
      <c r="AY48" s="106" t="s">
        <v>206</v>
      </c>
      <c r="AZ48" s="1" t="s">
        <v>206</v>
      </c>
      <c r="BA48" s="106" t="s">
        <v>206</v>
      </c>
      <c r="BB48" s="106" t="s">
        <v>206</v>
      </c>
      <c r="BC48" s="106" t="s">
        <v>206</v>
      </c>
      <c r="BD48" s="106" t="s">
        <v>206</v>
      </c>
      <c r="BE48" s="106" t="s">
        <v>206</v>
      </c>
      <c r="BF48" s="107">
        <f>IF(AZ48="Não","Sim","Não")</f>
      </c>
      <c r="BG48" s="107">
        <f>IF(AZ48="NA","Sim","Não")</f>
      </c>
      <c r="BH48" s="106" t="s">
        <v>206</v>
      </c>
      <c r="BI48" s="1" t="s">
        <v>236</v>
      </c>
      <c r="BJ48" s="106" t="s">
        <v>36</v>
      </c>
      <c r="BK48" s="1" t="s">
        <v>497</v>
      </c>
      <c r="BL48" s="102">
        <v>20</v>
      </c>
      <c r="BM48" s="1" t="s">
        <v>208</v>
      </c>
      <c r="BN48" s="1" t="s">
        <v>208</v>
      </c>
      <c r="BO48" s="1" t="s">
        <v>497</v>
      </c>
      <c r="BP48" s="102">
        <v>20</v>
      </c>
      <c r="BQ48" s="1" t="s">
        <v>206</v>
      </c>
      <c r="BR48" s="1" t="s">
        <v>227</v>
      </c>
      <c r="BS48" s="106" t="s">
        <v>37</v>
      </c>
    </row>
    <row x14ac:dyDescent="0.25" r="49" customHeight="1" ht="17.25">
      <c r="A49" s="102">
        <v>48</v>
      </c>
      <c r="B49" s="1" t="s">
        <v>655</v>
      </c>
      <c r="C49" s="102">
        <v>0</v>
      </c>
      <c r="D49" s="61" t="s">
        <v>656</v>
      </c>
      <c r="E49" s="1" t="s">
        <v>105</v>
      </c>
      <c r="F49" s="1" t="s">
        <v>170</v>
      </c>
      <c r="G49" s="1" t="s">
        <v>39</v>
      </c>
      <c r="H49" s="1" t="s">
        <v>660</v>
      </c>
      <c r="I49" s="102">
        <v>1</v>
      </c>
      <c r="J49" s="1" t="s">
        <v>158</v>
      </c>
      <c r="K49" s="1" t="s">
        <v>22</v>
      </c>
      <c r="L49" s="103">
        <v>33137</v>
      </c>
      <c r="M49" s="104">
        <v>26</v>
      </c>
      <c r="N49" s="1" t="s">
        <v>176</v>
      </c>
      <c r="O49" s="1" t="s">
        <v>182</v>
      </c>
      <c r="P49" s="1" t="s">
        <v>464</v>
      </c>
      <c r="Q49" s="1" t="s">
        <v>658</v>
      </c>
      <c r="R49" s="62">
        <v>0</v>
      </c>
      <c r="S49" s="102">
        <v>0</v>
      </c>
      <c r="T49" s="54" t="s">
        <v>659</v>
      </c>
      <c r="U49" s="102">
        <v>165</v>
      </c>
      <c r="V49" s="62">
        <v>0</v>
      </c>
      <c r="W49" s="102">
        <v>0</v>
      </c>
      <c r="X49" s="62">
        <v>0</v>
      </c>
      <c r="Y49" s="102">
        <v>0</v>
      </c>
      <c r="Z49" s="62">
        <v>0</v>
      </c>
      <c r="AA49" s="102">
        <v>0</v>
      </c>
      <c r="AB49" s="62">
        <v>0</v>
      </c>
      <c r="AC49" s="106" t="s">
        <v>206</v>
      </c>
      <c r="AD49" s="106" t="s">
        <v>206</v>
      </c>
      <c r="AE49" s="106" t="s">
        <v>206</v>
      </c>
      <c r="AF49" s="106" t="s">
        <v>206</v>
      </c>
      <c r="AG49" s="106" t="s">
        <v>206</v>
      </c>
      <c r="AH49" s="106" t="s">
        <v>206</v>
      </c>
      <c r="AI49" s="1" t="s">
        <v>357</v>
      </c>
      <c r="AJ49" s="1" t="s">
        <v>404</v>
      </c>
      <c r="AK49" s="1" t="s">
        <v>405</v>
      </c>
      <c r="AL49" s="1" t="s">
        <v>197</v>
      </c>
      <c r="AM49" s="106" t="s">
        <v>27</v>
      </c>
      <c r="AN49" s="1" t="s">
        <v>357</v>
      </c>
      <c r="AO49" s="1" t="s">
        <v>404</v>
      </c>
      <c r="AP49" s="1" t="s">
        <v>206</v>
      </c>
      <c r="AQ49" s="1" t="s">
        <v>441</v>
      </c>
      <c r="AR49" s="1" t="s">
        <v>206</v>
      </c>
      <c r="AS49" s="106" t="s">
        <v>206</v>
      </c>
      <c r="AT49" s="1" t="s">
        <v>206</v>
      </c>
      <c r="AU49" s="106" t="s">
        <v>206</v>
      </c>
      <c r="AV49" s="106" t="s">
        <v>206</v>
      </c>
      <c r="AW49" s="106" t="s">
        <v>35</v>
      </c>
      <c r="AX49" s="106" t="s">
        <v>206</v>
      </c>
      <c r="AY49" s="106" t="s">
        <v>206</v>
      </c>
      <c r="AZ49" s="1" t="s">
        <v>206</v>
      </c>
      <c r="BA49" s="106" t="s">
        <v>206</v>
      </c>
      <c r="BB49" s="106" t="s">
        <v>206</v>
      </c>
      <c r="BC49" s="106" t="s">
        <v>206</v>
      </c>
      <c r="BD49" s="106" t="s">
        <v>206</v>
      </c>
      <c r="BE49" s="106" t="s">
        <v>206</v>
      </c>
      <c r="BF49" s="107">
        <f>IF(AZ49="Não","Sim","Não")</f>
      </c>
      <c r="BG49" s="107">
        <f>IF(AZ49="NA","Sim","Não")</f>
      </c>
      <c r="BH49" s="106" t="s">
        <v>206</v>
      </c>
      <c r="BI49" s="1" t="s">
        <v>236</v>
      </c>
      <c r="BJ49" s="106" t="s">
        <v>36</v>
      </c>
      <c r="BK49" s="1" t="s">
        <v>497</v>
      </c>
      <c r="BL49" s="102">
        <v>20</v>
      </c>
      <c r="BM49" s="1" t="s">
        <v>208</v>
      </c>
      <c r="BN49" s="1" t="s">
        <v>661</v>
      </c>
      <c r="BO49" s="1" t="s">
        <v>662</v>
      </c>
      <c r="BP49" s="102">
        <v>44</v>
      </c>
      <c r="BQ49" s="1" t="s">
        <v>206</v>
      </c>
      <c r="BR49" s="1" t="s">
        <v>227</v>
      </c>
      <c r="BS49" s="106" t="s">
        <v>37</v>
      </c>
    </row>
    <row x14ac:dyDescent="0.25" r="50" customHeight="1" ht="17.25">
      <c r="A50" s="102">
        <v>49</v>
      </c>
      <c r="B50" s="1" t="s">
        <v>663</v>
      </c>
      <c r="C50" s="102">
        <v>1</v>
      </c>
      <c r="D50" s="61">
        <v>42942</v>
      </c>
      <c r="E50" s="1" t="s">
        <v>113</v>
      </c>
      <c r="F50" s="1" t="s">
        <v>22</v>
      </c>
      <c r="G50" s="1" t="s">
        <v>65</v>
      </c>
      <c r="H50" s="1" t="s">
        <v>664</v>
      </c>
      <c r="I50" s="102">
        <v>1</v>
      </c>
      <c r="J50" s="1" t="s">
        <v>158</v>
      </c>
      <c r="K50" s="1" t="s">
        <v>170</v>
      </c>
      <c r="L50" s="103">
        <v>31929</v>
      </c>
      <c r="M50" s="104">
        <v>30</v>
      </c>
      <c r="N50" s="1" t="s">
        <v>175</v>
      </c>
      <c r="O50" s="1" t="s">
        <v>24</v>
      </c>
      <c r="P50" s="1" t="s">
        <v>354</v>
      </c>
      <c r="Q50" s="1" t="s">
        <v>665</v>
      </c>
      <c r="R50" s="54" t="s">
        <v>666</v>
      </c>
      <c r="S50" s="105">
        <v>54.3</v>
      </c>
      <c r="T50" s="54" t="s">
        <v>667</v>
      </c>
      <c r="U50" s="105">
        <v>12.2</v>
      </c>
      <c r="V50" s="62">
        <v>0</v>
      </c>
      <c r="W50" s="102">
        <v>0</v>
      </c>
      <c r="X50" s="62">
        <v>0</v>
      </c>
      <c r="Y50" s="102">
        <v>0</v>
      </c>
      <c r="Z50" s="62">
        <v>0</v>
      </c>
      <c r="AA50" s="102">
        <v>0</v>
      </c>
      <c r="AB50" s="62">
        <v>0</v>
      </c>
      <c r="AC50" s="106" t="s">
        <v>206</v>
      </c>
      <c r="AD50" s="106" t="s">
        <v>206</v>
      </c>
      <c r="AE50" s="106" t="s">
        <v>206</v>
      </c>
      <c r="AF50" s="106" t="s">
        <v>206</v>
      </c>
      <c r="AG50" s="106" t="s">
        <v>206</v>
      </c>
      <c r="AH50" s="106" t="s">
        <v>206</v>
      </c>
      <c r="AI50" s="1" t="s">
        <v>357</v>
      </c>
      <c r="AJ50" s="1" t="s">
        <v>206</v>
      </c>
      <c r="AK50" s="1" t="s">
        <v>555</v>
      </c>
      <c r="AL50" s="1" t="s">
        <v>197</v>
      </c>
      <c r="AM50" s="106" t="s">
        <v>27</v>
      </c>
      <c r="AN50" s="1" t="s">
        <v>357</v>
      </c>
      <c r="AO50" s="1" t="s">
        <v>208</v>
      </c>
      <c r="AP50" s="1" t="s">
        <v>206</v>
      </c>
      <c r="AQ50" s="1" t="s">
        <v>441</v>
      </c>
      <c r="AR50" s="1" t="s">
        <v>206</v>
      </c>
      <c r="AS50" s="106" t="s">
        <v>206</v>
      </c>
      <c r="AT50" s="1" t="s">
        <v>206</v>
      </c>
      <c r="AU50" s="106" t="s">
        <v>206</v>
      </c>
      <c r="AV50" s="106" t="s">
        <v>206</v>
      </c>
      <c r="AW50" s="106" t="s">
        <v>35</v>
      </c>
      <c r="AX50" s="106" t="s">
        <v>206</v>
      </c>
      <c r="AY50" s="106" t="s">
        <v>206</v>
      </c>
      <c r="AZ50" s="1" t="s">
        <v>206</v>
      </c>
      <c r="BA50" s="106" t="s">
        <v>206</v>
      </c>
      <c r="BB50" s="106" t="s">
        <v>206</v>
      </c>
      <c r="BC50" s="106" t="s">
        <v>206</v>
      </c>
      <c r="BD50" s="106" t="s">
        <v>206</v>
      </c>
      <c r="BE50" s="106" t="s">
        <v>206</v>
      </c>
      <c r="BF50" s="107">
        <f>IF(AZ50="Não","Sim","Não")</f>
      </c>
      <c r="BG50" s="107">
        <f>IF(AZ50="NA","Sim","Não")</f>
      </c>
      <c r="BH50" s="106" t="s">
        <v>206</v>
      </c>
      <c r="BI50" s="1" t="s">
        <v>236</v>
      </c>
      <c r="BJ50" s="106" t="s">
        <v>36</v>
      </c>
      <c r="BK50" s="1" t="s">
        <v>497</v>
      </c>
      <c r="BL50" s="102">
        <v>20</v>
      </c>
      <c r="BM50" s="1" t="s">
        <v>208</v>
      </c>
      <c r="BN50" s="1" t="s">
        <v>208</v>
      </c>
      <c r="BO50" s="1" t="s">
        <v>497</v>
      </c>
      <c r="BP50" s="102">
        <v>20</v>
      </c>
      <c r="BQ50" s="1" t="s">
        <v>206</v>
      </c>
      <c r="BR50" s="1" t="s">
        <v>227</v>
      </c>
      <c r="BS50" s="106" t="s">
        <v>37</v>
      </c>
    </row>
    <row x14ac:dyDescent="0.25" r="51" customHeight="1" ht="17.25">
      <c r="A51" s="102">
        <v>50</v>
      </c>
      <c r="B51" s="1" t="s">
        <v>668</v>
      </c>
      <c r="C51" s="102">
        <v>1</v>
      </c>
      <c r="D51" s="61" t="s">
        <v>669</v>
      </c>
      <c r="E51" s="1" t="s">
        <v>83</v>
      </c>
      <c r="F51" s="1" t="s">
        <v>22</v>
      </c>
      <c r="G51" s="1" t="s">
        <v>68</v>
      </c>
      <c r="H51" s="1" t="s">
        <v>670</v>
      </c>
      <c r="I51" s="102">
        <v>1</v>
      </c>
      <c r="J51" s="1" t="s">
        <v>159</v>
      </c>
      <c r="K51" s="1" t="s">
        <v>22</v>
      </c>
      <c r="L51" s="103">
        <v>36224</v>
      </c>
      <c r="M51" s="104">
        <v>18</v>
      </c>
      <c r="N51" s="1" t="s">
        <v>175</v>
      </c>
      <c r="O51" s="1" t="s">
        <v>24</v>
      </c>
      <c r="P51" s="1" t="s">
        <v>365</v>
      </c>
      <c r="Q51" s="1" t="s">
        <v>671</v>
      </c>
      <c r="R51" s="54" t="s">
        <v>672</v>
      </c>
      <c r="S51" s="102">
        <v>47</v>
      </c>
      <c r="T51" s="54" t="s">
        <v>673</v>
      </c>
      <c r="U51" s="102">
        <v>22</v>
      </c>
      <c r="V51" s="62">
        <v>0</v>
      </c>
      <c r="W51" s="102">
        <v>0</v>
      </c>
      <c r="X51" s="62">
        <v>0</v>
      </c>
      <c r="Y51" s="102">
        <v>0</v>
      </c>
      <c r="Z51" s="62">
        <v>0</v>
      </c>
      <c r="AA51" s="102">
        <v>0</v>
      </c>
      <c r="AB51" s="62">
        <v>0</v>
      </c>
      <c r="AC51" s="106" t="s">
        <v>206</v>
      </c>
      <c r="AD51" s="106" t="s">
        <v>206</v>
      </c>
      <c r="AE51" s="106" t="s">
        <v>206</v>
      </c>
      <c r="AF51" s="106" t="s">
        <v>206</v>
      </c>
      <c r="AG51" s="106" t="s">
        <v>206</v>
      </c>
      <c r="AH51" s="106" t="s">
        <v>206</v>
      </c>
      <c r="AI51" s="1" t="s">
        <v>357</v>
      </c>
      <c r="AJ51" s="1" t="s">
        <v>674</v>
      </c>
      <c r="AK51" s="1" t="s">
        <v>675</v>
      </c>
      <c r="AL51" s="1" t="s">
        <v>197</v>
      </c>
      <c r="AM51" s="106" t="s">
        <v>27</v>
      </c>
      <c r="AN51" s="1" t="s">
        <v>357</v>
      </c>
      <c r="AO51" s="1" t="s">
        <v>674</v>
      </c>
      <c r="AP51" s="1" t="s">
        <v>206</v>
      </c>
      <c r="AQ51" s="1" t="s">
        <v>441</v>
      </c>
      <c r="AR51" s="1" t="s">
        <v>206</v>
      </c>
      <c r="AS51" s="106" t="s">
        <v>206</v>
      </c>
      <c r="AT51" s="1" t="s">
        <v>206</v>
      </c>
      <c r="AU51" s="106" t="s">
        <v>206</v>
      </c>
      <c r="AV51" s="106" t="s">
        <v>206</v>
      </c>
      <c r="AW51" s="106" t="s">
        <v>35</v>
      </c>
      <c r="AX51" s="106" t="s">
        <v>206</v>
      </c>
      <c r="AY51" s="106" t="s">
        <v>206</v>
      </c>
      <c r="AZ51" s="1" t="s">
        <v>206</v>
      </c>
      <c r="BA51" s="106" t="s">
        <v>206</v>
      </c>
      <c r="BB51" s="106" t="s">
        <v>206</v>
      </c>
      <c r="BC51" s="106" t="s">
        <v>206</v>
      </c>
      <c r="BD51" s="106" t="s">
        <v>206</v>
      </c>
      <c r="BE51" s="106" t="s">
        <v>206</v>
      </c>
      <c r="BF51" s="107">
        <f>IF(AZ51="Não","Sim","Não")</f>
      </c>
      <c r="BG51" s="107">
        <f>IF(AZ51="NA","Sim","Não")</f>
      </c>
      <c r="BH51" s="106" t="s">
        <v>206</v>
      </c>
      <c r="BI51" s="1" t="s">
        <v>236</v>
      </c>
      <c r="BJ51" s="106" t="s">
        <v>36</v>
      </c>
      <c r="BK51" s="1" t="s">
        <v>497</v>
      </c>
      <c r="BL51" s="102">
        <v>20</v>
      </c>
      <c r="BM51" s="1" t="s">
        <v>208</v>
      </c>
      <c r="BN51" s="1" t="s">
        <v>676</v>
      </c>
      <c r="BO51" s="1" t="s">
        <v>677</v>
      </c>
      <c r="BP51" s="102">
        <v>32</v>
      </c>
      <c r="BQ51" s="1" t="s">
        <v>35</v>
      </c>
      <c r="BR51" s="1" t="s">
        <v>208</v>
      </c>
      <c r="BS51" s="106" t="s">
        <v>208</v>
      </c>
    </row>
    <row x14ac:dyDescent="0.25" r="52" customHeight="1" ht="17.25">
      <c r="A52" s="102">
        <v>51</v>
      </c>
      <c r="B52" s="1" t="s">
        <v>678</v>
      </c>
      <c r="C52" s="102">
        <v>1</v>
      </c>
      <c r="D52" s="61" t="s">
        <v>679</v>
      </c>
      <c r="E52" s="1" t="s">
        <v>151</v>
      </c>
      <c r="F52" s="1" t="s">
        <v>22</v>
      </c>
      <c r="G52" s="1" t="s">
        <v>69</v>
      </c>
      <c r="H52" s="1" t="s">
        <v>680</v>
      </c>
      <c r="I52" s="102">
        <v>1</v>
      </c>
      <c r="J52" s="1" t="s">
        <v>159</v>
      </c>
      <c r="K52" s="1" t="s">
        <v>22</v>
      </c>
      <c r="L52" s="103">
        <v>35398</v>
      </c>
      <c r="M52" s="104">
        <v>20</v>
      </c>
      <c r="N52" s="1" t="s">
        <v>177</v>
      </c>
      <c r="O52" s="1" t="s">
        <v>24</v>
      </c>
      <c r="P52" s="1" t="s">
        <v>365</v>
      </c>
      <c r="Q52" s="1" t="s">
        <v>681</v>
      </c>
      <c r="R52" s="54" t="s">
        <v>682</v>
      </c>
      <c r="S52" s="105">
        <v>19.3</v>
      </c>
      <c r="T52" s="54" t="s">
        <v>683</v>
      </c>
      <c r="U52" s="105">
        <v>45.4</v>
      </c>
      <c r="V52" s="62">
        <v>0</v>
      </c>
      <c r="W52" s="102">
        <v>0</v>
      </c>
      <c r="X52" s="62">
        <v>0</v>
      </c>
      <c r="Y52" s="102">
        <v>0</v>
      </c>
      <c r="Z52" s="62">
        <v>0</v>
      </c>
      <c r="AA52" s="102">
        <v>0</v>
      </c>
      <c r="AB52" s="62">
        <v>0</v>
      </c>
      <c r="AC52" s="106" t="s">
        <v>206</v>
      </c>
      <c r="AD52" s="106" t="s">
        <v>206</v>
      </c>
      <c r="AE52" s="106" t="s">
        <v>206</v>
      </c>
      <c r="AF52" s="106" t="s">
        <v>206</v>
      </c>
      <c r="AG52" s="106" t="s">
        <v>206</v>
      </c>
      <c r="AH52" s="106" t="s">
        <v>206</v>
      </c>
      <c r="AI52" s="1" t="s">
        <v>357</v>
      </c>
      <c r="AJ52" s="1" t="s">
        <v>206</v>
      </c>
      <c r="AK52" s="1" t="s">
        <v>684</v>
      </c>
      <c r="AL52" s="1" t="s">
        <v>197</v>
      </c>
      <c r="AM52" s="106" t="s">
        <v>27</v>
      </c>
      <c r="AN52" s="1" t="s">
        <v>357</v>
      </c>
      <c r="AO52" s="1" t="s">
        <v>208</v>
      </c>
      <c r="AP52" s="1" t="s">
        <v>206</v>
      </c>
      <c r="AQ52" s="1" t="s">
        <v>441</v>
      </c>
      <c r="AR52" s="1" t="s">
        <v>206</v>
      </c>
      <c r="AS52" s="106" t="s">
        <v>206</v>
      </c>
      <c r="AT52" s="1" t="s">
        <v>206</v>
      </c>
      <c r="AU52" s="106" t="s">
        <v>206</v>
      </c>
      <c r="AV52" s="106" t="s">
        <v>206</v>
      </c>
      <c r="AW52" s="106" t="s">
        <v>35</v>
      </c>
      <c r="AX52" s="106" t="s">
        <v>206</v>
      </c>
      <c r="AY52" s="106" t="s">
        <v>206</v>
      </c>
      <c r="AZ52" s="1" t="s">
        <v>206</v>
      </c>
      <c r="BA52" s="106" t="s">
        <v>206</v>
      </c>
      <c r="BB52" s="106" t="s">
        <v>206</v>
      </c>
      <c r="BC52" s="106" t="s">
        <v>206</v>
      </c>
      <c r="BD52" s="106" t="s">
        <v>206</v>
      </c>
      <c r="BE52" s="106" t="s">
        <v>206</v>
      </c>
      <c r="BF52" s="107">
        <f>IF(AZ52="Não","Sim","Não")</f>
      </c>
      <c r="BG52" s="107">
        <f>IF(AZ52="NA","Sim","Não")</f>
      </c>
      <c r="BH52" s="106" t="s">
        <v>206</v>
      </c>
      <c r="BI52" s="1" t="s">
        <v>236</v>
      </c>
      <c r="BJ52" s="106" t="s">
        <v>36</v>
      </c>
      <c r="BK52" s="1" t="s">
        <v>497</v>
      </c>
      <c r="BL52" s="102">
        <v>20</v>
      </c>
      <c r="BM52" s="1" t="s">
        <v>208</v>
      </c>
      <c r="BN52" s="1" t="s">
        <v>208</v>
      </c>
      <c r="BO52" s="1" t="s">
        <v>497</v>
      </c>
      <c r="BP52" s="102">
        <v>20</v>
      </c>
      <c r="BQ52" s="1" t="s">
        <v>35</v>
      </c>
      <c r="BR52" s="1" t="s">
        <v>208</v>
      </c>
      <c r="BS52" s="106" t="s">
        <v>208</v>
      </c>
    </row>
    <row x14ac:dyDescent="0.25" r="53" customHeight="1" ht="17.25">
      <c r="A53" s="102">
        <v>52</v>
      </c>
      <c r="B53" s="1" t="s">
        <v>685</v>
      </c>
      <c r="C53" s="102">
        <v>1</v>
      </c>
      <c r="D53" s="61" t="s">
        <v>686</v>
      </c>
      <c r="E53" s="1" t="s">
        <v>109</v>
      </c>
      <c r="F53" s="1" t="s">
        <v>22</v>
      </c>
      <c r="G53" s="1" t="s">
        <v>69</v>
      </c>
      <c r="H53" s="1" t="s">
        <v>687</v>
      </c>
      <c r="I53" s="102">
        <v>1</v>
      </c>
      <c r="J53" s="1" t="s">
        <v>158</v>
      </c>
      <c r="K53" s="1" t="s">
        <v>22</v>
      </c>
      <c r="L53" s="103">
        <v>34564</v>
      </c>
      <c r="M53" s="104">
        <v>22</v>
      </c>
      <c r="N53" s="1" t="s">
        <v>175</v>
      </c>
      <c r="O53" s="1" t="s">
        <v>24</v>
      </c>
      <c r="P53" s="1" t="s">
        <v>517</v>
      </c>
      <c r="Q53" s="1" t="s">
        <v>511</v>
      </c>
      <c r="R53" s="62">
        <v>0</v>
      </c>
      <c r="S53" s="102">
        <v>0</v>
      </c>
      <c r="T53" s="54" t="s">
        <v>688</v>
      </c>
      <c r="U53" s="105">
        <v>23.2</v>
      </c>
      <c r="V53" s="62">
        <v>0</v>
      </c>
      <c r="W53" s="102">
        <v>0</v>
      </c>
      <c r="X53" s="62">
        <v>0</v>
      </c>
      <c r="Y53" s="102">
        <v>0</v>
      </c>
      <c r="Z53" s="62">
        <v>0</v>
      </c>
      <c r="AA53" s="102">
        <v>0</v>
      </c>
      <c r="AB53" s="62">
        <v>0</v>
      </c>
      <c r="AC53" s="106" t="s">
        <v>206</v>
      </c>
      <c r="AD53" s="106" t="s">
        <v>206</v>
      </c>
      <c r="AE53" s="106" t="s">
        <v>206</v>
      </c>
      <c r="AF53" s="106" t="s">
        <v>206</v>
      </c>
      <c r="AG53" s="106" t="s">
        <v>206</v>
      </c>
      <c r="AH53" s="106" t="s">
        <v>206</v>
      </c>
      <c r="AI53" s="1" t="s">
        <v>357</v>
      </c>
      <c r="AJ53" s="1" t="s">
        <v>206</v>
      </c>
      <c r="AK53" s="1" t="s">
        <v>689</v>
      </c>
      <c r="AL53" s="1" t="s">
        <v>197</v>
      </c>
      <c r="AM53" s="106" t="s">
        <v>27</v>
      </c>
      <c r="AN53" s="1" t="s">
        <v>357</v>
      </c>
      <c r="AO53" s="1" t="s">
        <v>208</v>
      </c>
      <c r="AP53" s="1" t="s">
        <v>206</v>
      </c>
      <c r="AQ53" s="1" t="s">
        <v>441</v>
      </c>
      <c r="AR53" s="1" t="s">
        <v>206</v>
      </c>
      <c r="AS53" s="106" t="s">
        <v>206</v>
      </c>
      <c r="AT53" s="1" t="s">
        <v>206</v>
      </c>
      <c r="AU53" s="106" t="s">
        <v>206</v>
      </c>
      <c r="AV53" s="106" t="s">
        <v>206</v>
      </c>
      <c r="AW53" s="106" t="s">
        <v>35</v>
      </c>
      <c r="AX53" s="106" t="s">
        <v>206</v>
      </c>
      <c r="AY53" s="106" t="s">
        <v>206</v>
      </c>
      <c r="AZ53" s="1" t="s">
        <v>206</v>
      </c>
      <c r="BA53" s="106" t="s">
        <v>206</v>
      </c>
      <c r="BB53" s="106" t="s">
        <v>206</v>
      </c>
      <c r="BC53" s="106" t="s">
        <v>206</v>
      </c>
      <c r="BD53" s="106" t="s">
        <v>206</v>
      </c>
      <c r="BE53" s="106" t="s">
        <v>206</v>
      </c>
      <c r="BF53" s="107">
        <f>IF(AZ53="Não","Sim","Não")</f>
      </c>
      <c r="BG53" s="107">
        <f>IF(AZ53="NA","Sim","Não")</f>
      </c>
      <c r="BH53" s="106" t="s">
        <v>206</v>
      </c>
      <c r="BI53" s="1" t="s">
        <v>236</v>
      </c>
      <c r="BJ53" s="106" t="s">
        <v>36</v>
      </c>
      <c r="BK53" s="1" t="s">
        <v>497</v>
      </c>
      <c r="BL53" s="102">
        <v>20</v>
      </c>
      <c r="BM53" s="1" t="s">
        <v>208</v>
      </c>
      <c r="BN53" s="1" t="s">
        <v>208</v>
      </c>
      <c r="BO53" s="1" t="s">
        <v>497</v>
      </c>
      <c r="BP53" s="102">
        <v>20</v>
      </c>
      <c r="BQ53" s="1" t="s">
        <v>35</v>
      </c>
      <c r="BR53" s="1" t="s">
        <v>208</v>
      </c>
      <c r="BS53" s="106" t="s">
        <v>208</v>
      </c>
    </row>
    <row x14ac:dyDescent="0.25" r="54" customHeight="1" ht="17.25">
      <c r="A54" s="102">
        <v>53</v>
      </c>
      <c r="B54" s="1" t="s">
        <v>690</v>
      </c>
      <c r="C54" s="102">
        <v>1</v>
      </c>
      <c r="D54" s="61">
        <v>42772</v>
      </c>
      <c r="E54" s="1" t="s">
        <v>110</v>
      </c>
      <c r="F54" s="1" t="s">
        <v>170</v>
      </c>
      <c r="G54" s="1" t="s">
        <v>65</v>
      </c>
      <c r="H54" s="1" t="s">
        <v>691</v>
      </c>
      <c r="I54" s="102">
        <v>1</v>
      </c>
      <c r="J54" s="1" t="s">
        <v>158</v>
      </c>
      <c r="K54" s="1" t="s">
        <v>22</v>
      </c>
      <c r="L54" s="103">
        <v>35169</v>
      </c>
      <c r="M54" s="104">
        <v>20</v>
      </c>
      <c r="N54" s="1" t="s">
        <v>175</v>
      </c>
      <c r="O54" s="1" t="s">
        <v>24</v>
      </c>
      <c r="P54" s="1" t="s">
        <v>365</v>
      </c>
      <c r="Q54" s="1" t="s">
        <v>579</v>
      </c>
      <c r="R54" s="54" t="s">
        <v>692</v>
      </c>
      <c r="S54" s="102">
        <v>8</v>
      </c>
      <c r="T54" s="54" t="s">
        <v>693</v>
      </c>
      <c r="U54" s="105">
        <v>8.2</v>
      </c>
      <c r="V54" s="62">
        <v>0</v>
      </c>
      <c r="W54" s="102">
        <v>0</v>
      </c>
      <c r="X54" s="62">
        <v>0</v>
      </c>
      <c r="Y54" s="102">
        <v>0</v>
      </c>
      <c r="Z54" s="62">
        <v>0</v>
      </c>
      <c r="AA54" s="102">
        <v>0</v>
      </c>
      <c r="AB54" s="62">
        <v>0</v>
      </c>
      <c r="AC54" s="106" t="s">
        <v>206</v>
      </c>
      <c r="AD54" s="106" t="s">
        <v>206</v>
      </c>
      <c r="AE54" s="106" t="s">
        <v>206</v>
      </c>
      <c r="AF54" s="106" t="s">
        <v>206</v>
      </c>
      <c r="AG54" s="106" t="s">
        <v>206</v>
      </c>
      <c r="AH54" s="106" t="s">
        <v>206</v>
      </c>
      <c r="AI54" s="1" t="s">
        <v>357</v>
      </c>
      <c r="AJ54" s="1" t="s">
        <v>206</v>
      </c>
      <c r="AK54" s="1" t="s">
        <v>694</v>
      </c>
      <c r="AL54" s="1" t="s">
        <v>197</v>
      </c>
      <c r="AM54" s="106" t="s">
        <v>27</v>
      </c>
      <c r="AN54" s="1" t="s">
        <v>357</v>
      </c>
      <c r="AO54" s="1" t="s">
        <v>208</v>
      </c>
      <c r="AP54" s="1" t="s">
        <v>206</v>
      </c>
      <c r="AQ54" s="1" t="s">
        <v>441</v>
      </c>
      <c r="AR54" s="1" t="s">
        <v>206</v>
      </c>
      <c r="AS54" s="106" t="s">
        <v>206</v>
      </c>
      <c r="AT54" s="1" t="s">
        <v>206</v>
      </c>
      <c r="AU54" s="106" t="s">
        <v>206</v>
      </c>
      <c r="AV54" s="106" t="s">
        <v>206</v>
      </c>
      <c r="AW54" s="106" t="s">
        <v>35</v>
      </c>
      <c r="AX54" s="106" t="s">
        <v>206</v>
      </c>
      <c r="AY54" s="106" t="s">
        <v>206</v>
      </c>
      <c r="AZ54" s="1" t="s">
        <v>206</v>
      </c>
      <c r="BA54" s="106" t="s">
        <v>206</v>
      </c>
      <c r="BB54" s="106" t="s">
        <v>206</v>
      </c>
      <c r="BC54" s="106" t="s">
        <v>206</v>
      </c>
      <c r="BD54" s="106" t="s">
        <v>206</v>
      </c>
      <c r="BE54" s="106" t="s">
        <v>206</v>
      </c>
      <c r="BF54" s="107">
        <f>IF(AZ54="Não","Sim","Não")</f>
      </c>
      <c r="BG54" s="107">
        <f>IF(AZ54="NA","Sim","Não")</f>
      </c>
      <c r="BH54" s="106" t="s">
        <v>206</v>
      </c>
      <c r="BI54" s="1" t="s">
        <v>236</v>
      </c>
      <c r="BJ54" s="106" t="s">
        <v>36</v>
      </c>
      <c r="BK54" s="1" t="s">
        <v>497</v>
      </c>
      <c r="BL54" s="102">
        <v>20</v>
      </c>
      <c r="BM54" s="1" t="s">
        <v>208</v>
      </c>
      <c r="BN54" s="1" t="s">
        <v>208</v>
      </c>
      <c r="BO54" s="1" t="s">
        <v>497</v>
      </c>
      <c r="BP54" s="102">
        <v>20</v>
      </c>
      <c r="BQ54" s="1" t="s">
        <v>206</v>
      </c>
      <c r="BR54" s="1" t="s">
        <v>227</v>
      </c>
      <c r="BS54" s="106" t="s">
        <v>37</v>
      </c>
    </row>
    <row x14ac:dyDescent="0.25" r="55" customHeight="1" ht="17.25">
      <c r="A55" s="102">
        <v>54</v>
      </c>
      <c r="B55" s="1" t="s">
        <v>695</v>
      </c>
      <c r="C55" s="102">
        <v>1</v>
      </c>
      <c r="D55" s="61" t="s">
        <v>696</v>
      </c>
      <c r="E55" s="1" t="s">
        <v>93</v>
      </c>
      <c r="F55" s="1" t="s">
        <v>22</v>
      </c>
      <c r="G55" s="1" t="s">
        <v>49</v>
      </c>
      <c r="H55" s="1" t="s">
        <v>697</v>
      </c>
      <c r="I55" s="102">
        <v>1</v>
      </c>
      <c r="J55" s="1" t="s">
        <v>158</v>
      </c>
      <c r="K55" s="1" t="s">
        <v>22</v>
      </c>
      <c r="L55" s="103">
        <v>33304</v>
      </c>
      <c r="M55" s="104">
        <v>26</v>
      </c>
      <c r="N55" s="1" t="s">
        <v>175</v>
      </c>
      <c r="O55" s="1" t="s">
        <v>24</v>
      </c>
      <c r="P55" s="1" t="s">
        <v>365</v>
      </c>
      <c r="Q55" s="1" t="s">
        <v>698</v>
      </c>
      <c r="R55" s="54" t="s">
        <v>699</v>
      </c>
      <c r="S55" s="105">
        <v>51.4</v>
      </c>
      <c r="T55" s="54" t="s">
        <v>700</v>
      </c>
      <c r="U55" s="102">
        <v>22</v>
      </c>
      <c r="V55" s="62">
        <v>0</v>
      </c>
      <c r="W55" s="102">
        <v>0</v>
      </c>
      <c r="X55" s="62">
        <v>0</v>
      </c>
      <c r="Y55" s="102">
        <v>0</v>
      </c>
      <c r="Z55" s="62">
        <v>0</v>
      </c>
      <c r="AA55" s="102">
        <v>0</v>
      </c>
      <c r="AB55" s="62">
        <v>0</v>
      </c>
      <c r="AC55" s="106" t="s">
        <v>206</v>
      </c>
      <c r="AD55" s="106" t="s">
        <v>206</v>
      </c>
      <c r="AE55" s="106" t="s">
        <v>206</v>
      </c>
      <c r="AF55" s="106" t="s">
        <v>206</v>
      </c>
      <c r="AG55" s="106" t="s">
        <v>206</v>
      </c>
      <c r="AH55" s="106" t="s">
        <v>206</v>
      </c>
      <c r="AI55" s="1" t="s">
        <v>357</v>
      </c>
      <c r="AJ55" s="1" t="s">
        <v>206</v>
      </c>
      <c r="AK55" s="1" t="s">
        <v>701</v>
      </c>
      <c r="AL55" s="1" t="s">
        <v>197</v>
      </c>
      <c r="AM55" s="106" t="s">
        <v>27</v>
      </c>
      <c r="AN55" s="1" t="s">
        <v>357</v>
      </c>
      <c r="AO55" s="1" t="s">
        <v>208</v>
      </c>
      <c r="AP55" s="1" t="s">
        <v>206</v>
      </c>
      <c r="AQ55" s="1" t="s">
        <v>441</v>
      </c>
      <c r="AR55" s="1" t="s">
        <v>206</v>
      </c>
      <c r="AS55" s="106" t="s">
        <v>206</v>
      </c>
      <c r="AT55" s="1" t="s">
        <v>206</v>
      </c>
      <c r="AU55" s="106" t="s">
        <v>206</v>
      </c>
      <c r="AV55" s="106" t="s">
        <v>206</v>
      </c>
      <c r="AW55" s="106" t="s">
        <v>35</v>
      </c>
      <c r="AX55" s="106" t="s">
        <v>206</v>
      </c>
      <c r="AY55" s="106" t="s">
        <v>206</v>
      </c>
      <c r="AZ55" s="1" t="s">
        <v>206</v>
      </c>
      <c r="BA55" s="106" t="s">
        <v>206</v>
      </c>
      <c r="BB55" s="106" t="s">
        <v>206</v>
      </c>
      <c r="BC55" s="106" t="s">
        <v>206</v>
      </c>
      <c r="BD55" s="106" t="s">
        <v>206</v>
      </c>
      <c r="BE55" s="106" t="s">
        <v>206</v>
      </c>
      <c r="BF55" s="107">
        <f>IF(AZ55="Não","Sim","Não")</f>
      </c>
      <c r="BG55" s="107">
        <f>IF(AZ55="NA","Sim","Não")</f>
      </c>
      <c r="BH55" s="106" t="s">
        <v>206</v>
      </c>
      <c r="BI55" s="1" t="s">
        <v>236</v>
      </c>
      <c r="BJ55" s="106" t="s">
        <v>36</v>
      </c>
      <c r="BK55" s="1" t="s">
        <v>497</v>
      </c>
      <c r="BL55" s="102">
        <v>20</v>
      </c>
      <c r="BM55" s="1" t="s">
        <v>208</v>
      </c>
      <c r="BN55" s="1" t="s">
        <v>208</v>
      </c>
      <c r="BO55" s="1" t="s">
        <v>497</v>
      </c>
      <c r="BP55" s="102">
        <v>20</v>
      </c>
      <c r="BQ55" s="1" t="s">
        <v>206</v>
      </c>
      <c r="BR55" s="1" t="s">
        <v>229</v>
      </c>
      <c r="BS55" s="106" t="s">
        <v>229</v>
      </c>
    </row>
    <row x14ac:dyDescent="0.25" r="56" customHeight="1" ht="17.25">
      <c r="A56" s="102">
        <v>55</v>
      </c>
      <c r="B56" s="1" t="s">
        <v>695</v>
      </c>
      <c r="C56" s="102">
        <v>0</v>
      </c>
      <c r="D56" s="61" t="s">
        <v>696</v>
      </c>
      <c r="E56" s="1" t="s">
        <v>93</v>
      </c>
      <c r="F56" s="1" t="s">
        <v>22</v>
      </c>
      <c r="G56" s="1" t="s">
        <v>49</v>
      </c>
      <c r="H56" s="1" t="s">
        <v>702</v>
      </c>
      <c r="I56" s="102">
        <v>1</v>
      </c>
      <c r="J56" s="1" t="s">
        <v>158</v>
      </c>
      <c r="K56" s="1" t="s">
        <v>22</v>
      </c>
      <c r="L56" s="103">
        <v>33968</v>
      </c>
      <c r="M56" s="104">
        <v>24</v>
      </c>
      <c r="N56" s="1" t="s">
        <v>175</v>
      </c>
      <c r="O56" s="1" t="s">
        <v>24</v>
      </c>
      <c r="P56" s="1" t="s">
        <v>365</v>
      </c>
      <c r="Q56" s="1" t="s">
        <v>698</v>
      </c>
      <c r="R56" s="54" t="s">
        <v>699</v>
      </c>
      <c r="S56" s="105">
        <v>51.4</v>
      </c>
      <c r="T56" s="54" t="s">
        <v>700</v>
      </c>
      <c r="U56" s="102">
        <v>22</v>
      </c>
      <c r="V56" s="62">
        <v>0</v>
      </c>
      <c r="W56" s="102">
        <v>0</v>
      </c>
      <c r="X56" s="62">
        <v>0</v>
      </c>
      <c r="Y56" s="102">
        <v>0</v>
      </c>
      <c r="Z56" s="62">
        <v>0</v>
      </c>
      <c r="AA56" s="102">
        <v>0</v>
      </c>
      <c r="AB56" s="62">
        <v>0</v>
      </c>
      <c r="AC56" s="106" t="s">
        <v>206</v>
      </c>
      <c r="AD56" s="106" t="s">
        <v>206</v>
      </c>
      <c r="AE56" s="106" t="s">
        <v>206</v>
      </c>
      <c r="AF56" s="106" t="s">
        <v>206</v>
      </c>
      <c r="AG56" s="106" t="s">
        <v>206</v>
      </c>
      <c r="AH56" s="106" t="s">
        <v>206</v>
      </c>
      <c r="AI56" s="1" t="s">
        <v>357</v>
      </c>
      <c r="AJ56" s="1" t="s">
        <v>206</v>
      </c>
      <c r="AK56" s="1" t="s">
        <v>701</v>
      </c>
      <c r="AL56" s="1" t="s">
        <v>197</v>
      </c>
      <c r="AM56" s="106" t="s">
        <v>27</v>
      </c>
      <c r="AN56" s="1" t="s">
        <v>357</v>
      </c>
      <c r="AO56" s="1" t="s">
        <v>208</v>
      </c>
      <c r="AP56" s="1" t="s">
        <v>206</v>
      </c>
      <c r="AQ56" s="1" t="s">
        <v>441</v>
      </c>
      <c r="AR56" s="1" t="s">
        <v>206</v>
      </c>
      <c r="AS56" s="106" t="s">
        <v>206</v>
      </c>
      <c r="AT56" s="1" t="s">
        <v>206</v>
      </c>
      <c r="AU56" s="106" t="s">
        <v>206</v>
      </c>
      <c r="AV56" s="106" t="s">
        <v>206</v>
      </c>
      <c r="AW56" s="106" t="s">
        <v>35</v>
      </c>
      <c r="AX56" s="106" t="s">
        <v>206</v>
      </c>
      <c r="AY56" s="106" t="s">
        <v>206</v>
      </c>
      <c r="AZ56" s="1" t="s">
        <v>206</v>
      </c>
      <c r="BA56" s="106" t="s">
        <v>206</v>
      </c>
      <c r="BB56" s="106" t="s">
        <v>206</v>
      </c>
      <c r="BC56" s="106" t="s">
        <v>206</v>
      </c>
      <c r="BD56" s="106" t="s">
        <v>206</v>
      </c>
      <c r="BE56" s="106" t="s">
        <v>206</v>
      </c>
      <c r="BF56" s="107">
        <f>IF(AZ56="Não","Sim","Não")</f>
      </c>
      <c r="BG56" s="107">
        <f>IF(AZ56="NA","Sim","Não")</f>
      </c>
      <c r="BH56" s="106" t="s">
        <v>206</v>
      </c>
      <c r="BI56" s="1" t="s">
        <v>236</v>
      </c>
      <c r="BJ56" s="106" t="s">
        <v>36</v>
      </c>
      <c r="BK56" s="1" t="s">
        <v>497</v>
      </c>
      <c r="BL56" s="102">
        <v>20</v>
      </c>
      <c r="BM56" s="1" t="s">
        <v>208</v>
      </c>
      <c r="BN56" s="1" t="s">
        <v>208</v>
      </c>
      <c r="BO56" s="1" t="s">
        <v>497</v>
      </c>
      <c r="BP56" s="102">
        <v>20</v>
      </c>
      <c r="BQ56" s="1" t="s">
        <v>206</v>
      </c>
      <c r="BR56" s="1" t="s">
        <v>229</v>
      </c>
      <c r="BS56" s="106" t="s">
        <v>229</v>
      </c>
    </row>
    <row x14ac:dyDescent="0.25" r="57" customHeight="1" ht="17.25">
      <c r="A57" s="102">
        <v>56</v>
      </c>
      <c r="B57" s="1" t="s">
        <v>703</v>
      </c>
      <c r="C57" s="102">
        <v>1</v>
      </c>
      <c r="D57" s="61" t="s">
        <v>704</v>
      </c>
      <c r="E57" s="1" t="s">
        <v>90</v>
      </c>
      <c r="F57" s="1" t="s">
        <v>170</v>
      </c>
      <c r="G57" s="1" t="s">
        <v>41</v>
      </c>
      <c r="H57" s="1" t="s">
        <v>705</v>
      </c>
      <c r="I57" s="102">
        <v>1</v>
      </c>
      <c r="J57" s="1" t="s">
        <v>158</v>
      </c>
      <c r="K57" s="1" t="s">
        <v>22</v>
      </c>
      <c r="L57" s="103">
        <v>35233</v>
      </c>
      <c r="M57" s="104">
        <v>21</v>
      </c>
      <c r="N57" s="1" t="s">
        <v>175</v>
      </c>
      <c r="O57" s="1" t="s">
        <v>24</v>
      </c>
      <c r="P57" s="1" t="s">
        <v>517</v>
      </c>
      <c r="Q57" s="1" t="s">
        <v>706</v>
      </c>
      <c r="R57" s="62">
        <v>0</v>
      </c>
      <c r="S57" s="102">
        <v>0</v>
      </c>
      <c r="T57" s="54" t="s">
        <v>707</v>
      </c>
      <c r="U57" s="105">
        <v>21.1</v>
      </c>
      <c r="V57" s="62">
        <v>0</v>
      </c>
      <c r="W57" s="102">
        <v>0</v>
      </c>
      <c r="X57" s="62">
        <v>0</v>
      </c>
      <c r="Y57" s="102">
        <v>0</v>
      </c>
      <c r="Z57" s="62">
        <v>0</v>
      </c>
      <c r="AA57" s="102">
        <v>0</v>
      </c>
      <c r="AB57" s="62">
        <v>0</v>
      </c>
      <c r="AC57" s="106" t="s">
        <v>206</v>
      </c>
      <c r="AD57" s="106" t="s">
        <v>206</v>
      </c>
      <c r="AE57" s="106" t="s">
        <v>206</v>
      </c>
      <c r="AF57" s="106" t="s">
        <v>206</v>
      </c>
      <c r="AG57" s="106" t="s">
        <v>206</v>
      </c>
      <c r="AH57" s="106" t="s">
        <v>206</v>
      </c>
      <c r="AI57" s="1" t="s">
        <v>357</v>
      </c>
      <c r="AJ57" s="1" t="s">
        <v>206</v>
      </c>
      <c r="AK57" s="1" t="s">
        <v>358</v>
      </c>
      <c r="AL57" s="1" t="s">
        <v>197</v>
      </c>
      <c r="AM57" s="106" t="s">
        <v>27</v>
      </c>
      <c r="AN57" s="1" t="s">
        <v>357</v>
      </c>
      <c r="AO57" s="1" t="s">
        <v>208</v>
      </c>
      <c r="AP57" s="1" t="s">
        <v>206</v>
      </c>
      <c r="AQ57" s="1" t="s">
        <v>441</v>
      </c>
      <c r="AR57" s="1" t="s">
        <v>206</v>
      </c>
      <c r="AS57" s="106" t="s">
        <v>206</v>
      </c>
      <c r="AT57" s="1" t="s">
        <v>206</v>
      </c>
      <c r="AU57" s="106" t="s">
        <v>206</v>
      </c>
      <c r="AV57" s="106" t="s">
        <v>206</v>
      </c>
      <c r="AW57" s="106" t="s">
        <v>35</v>
      </c>
      <c r="AX57" s="106" t="s">
        <v>206</v>
      </c>
      <c r="AY57" s="106" t="s">
        <v>206</v>
      </c>
      <c r="AZ57" s="1" t="s">
        <v>206</v>
      </c>
      <c r="BA57" s="106" t="s">
        <v>206</v>
      </c>
      <c r="BB57" s="106" t="s">
        <v>206</v>
      </c>
      <c r="BC57" s="106" t="s">
        <v>206</v>
      </c>
      <c r="BD57" s="106" t="s">
        <v>206</v>
      </c>
      <c r="BE57" s="106" t="s">
        <v>206</v>
      </c>
      <c r="BF57" s="107">
        <f>IF(AZ57="Não","Sim","Não")</f>
      </c>
      <c r="BG57" s="107">
        <f>IF(AZ57="NA","Sim","Não")</f>
      </c>
      <c r="BH57" s="106" t="s">
        <v>206</v>
      </c>
      <c r="BI57" s="1" t="s">
        <v>236</v>
      </c>
      <c r="BJ57" s="106" t="s">
        <v>36</v>
      </c>
      <c r="BK57" s="1" t="s">
        <v>497</v>
      </c>
      <c r="BL57" s="102">
        <v>20</v>
      </c>
      <c r="BM57" s="1" t="s">
        <v>208</v>
      </c>
      <c r="BN57" s="1" t="s">
        <v>208</v>
      </c>
      <c r="BO57" s="1" t="s">
        <v>497</v>
      </c>
      <c r="BP57" s="102">
        <v>20</v>
      </c>
      <c r="BQ57" s="1" t="s">
        <v>206</v>
      </c>
      <c r="BR57" s="1" t="s">
        <v>227</v>
      </c>
      <c r="BS57" s="106" t="s">
        <v>37</v>
      </c>
    </row>
    <row x14ac:dyDescent="0.25" r="58" customHeight="1" ht="17.25">
      <c r="A58" s="102">
        <v>57</v>
      </c>
      <c r="B58" s="1" t="s">
        <v>708</v>
      </c>
      <c r="C58" s="102">
        <v>1</v>
      </c>
      <c r="D58" s="61" t="s">
        <v>709</v>
      </c>
      <c r="E58" s="1" t="s">
        <v>81</v>
      </c>
      <c r="F58" s="1" t="s">
        <v>22</v>
      </c>
      <c r="G58" s="1" t="s">
        <v>44</v>
      </c>
      <c r="H58" s="1" t="s">
        <v>710</v>
      </c>
      <c r="I58" s="102">
        <v>1</v>
      </c>
      <c r="J58" s="1" t="s">
        <v>158</v>
      </c>
      <c r="K58" s="1" t="s">
        <v>22</v>
      </c>
      <c r="L58" s="103">
        <v>34163</v>
      </c>
      <c r="M58" s="104">
        <v>23</v>
      </c>
      <c r="N58" s="1" t="s">
        <v>175</v>
      </c>
      <c r="O58" s="1" t="s">
        <v>24</v>
      </c>
      <c r="P58" s="1" t="s">
        <v>464</v>
      </c>
      <c r="Q58" s="1" t="s">
        <v>445</v>
      </c>
      <c r="R58" s="62">
        <v>0</v>
      </c>
      <c r="S58" s="102">
        <v>0</v>
      </c>
      <c r="T58" s="54" t="s">
        <v>711</v>
      </c>
      <c r="U58" s="105">
        <v>7.1</v>
      </c>
      <c r="V58" s="62">
        <v>0</v>
      </c>
      <c r="W58" s="102">
        <v>0</v>
      </c>
      <c r="X58" s="62">
        <v>0</v>
      </c>
      <c r="Y58" s="102">
        <v>0</v>
      </c>
      <c r="Z58" s="62">
        <v>0</v>
      </c>
      <c r="AA58" s="102">
        <v>0</v>
      </c>
      <c r="AB58" s="62">
        <v>0</v>
      </c>
      <c r="AC58" s="106" t="s">
        <v>206</v>
      </c>
      <c r="AD58" s="106" t="s">
        <v>206</v>
      </c>
      <c r="AE58" s="106" t="s">
        <v>206</v>
      </c>
      <c r="AF58" s="106" t="s">
        <v>206</v>
      </c>
      <c r="AG58" s="106" t="s">
        <v>206</v>
      </c>
      <c r="AH58" s="106" t="s">
        <v>206</v>
      </c>
      <c r="AI58" s="1" t="s">
        <v>357</v>
      </c>
      <c r="AJ58" s="1" t="s">
        <v>206</v>
      </c>
      <c r="AK58" s="1" t="s">
        <v>430</v>
      </c>
      <c r="AL58" s="1" t="s">
        <v>197</v>
      </c>
      <c r="AM58" s="106" t="s">
        <v>27</v>
      </c>
      <c r="AN58" s="1" t="s">
        <v>357</v>
      </c>
      <c r="AO58" s="1" t="s">
        <v>208</v>
      </c>
      <c r="AP58" s="1" t="s">
        <v>206</v>
      </c>
      <c r="AQ58" s="1" t="s">
        <v>441</v>
      </c>
      <c r="AR58" s="1" t="s">
        <v>206</v>
      </c>
      <c r="AS58" s="106" t="s">
        <v>206</v>
      </c>
      <c r="AT58" s="1" t="s">
        <v>206</v>
      </c>
      <c r="AU58" s="106" t="s">
        <v>206</v>
      </c>
      <c r="AV58" s="106" t="s">
        <v>206</v>
      </c>
      <c r="AW58" s="106" t="s">
        <v>35</v>
      </c>
      <c r="AX58" s="106" t="s">
        <v>206</v>
      </c>
      <c r="AY58" s="106" t="s">
        <v>206</v>
      </c>
      <c r="AZ58" s="1" t="s">
        <v>206</v>
      </c>
      <c r="BA58" s="106" t="s">
        <v>206</v>
      </c>
      <c r="BB58" s="106" t="s">
        <v>206</v>
      </c>
      <c r="BC58" s="106" t="s">
        <v>206</v>
      </c>
      <c r="BD58" s="106" t="s">
        <v>206</v>
      </c>
      <c r="BE58" s="106" t="s">
        <v>206</v>
      </c>
      <c r="BF58" s="107">
        <f>IF(AZ58="Não","Sim","Não")</f>
      </c>
      <c r="BG58" s="107">
        <f>IF(AZ58="NA","Sim","Não")</f>
      </c>
      <c r="BH58" s="106" t="s">
        <v>206</v>
      </c>
      <c r="BI58" s="1" t="s">
        <v>236</v>
      </c>
      <c r="BJ58" s="106" t="s">
        <v>36</v>
      </c>
      <c r="BK58" s="1" t="s">
        <v>497</v>
      </c>
      <c r="BL58" s="102">
        <v>20</v>
      </c>
      <c r="BM58" s="1" t="s">
        <v>208</v>
      </c>
      <c r="BN58" s="1" t="s">
        <v>208</v>
      </c>
      <c r="BO58" s="1" t="s">
        <v>497</v>
      </c>
      <c r="BP58" s="102">
        <v>20</v>
      </c>
      <c r="BQ58" s="1" t="s">
        <v>35</v>
      </c>
      <c r="BR58" s="1" t="s">
        <v>208</v>
      </c>
      <c r="BS58" s="106" t="s">
        <v>208</v>
      </c>
    </row>
    <row x14ac:dyDescent="0.25" r="59" customHeight="1" ht="17.25">
      <c r="A59" s="102">
        <v>58</v>
      </c>
      <c r="B59" s="1" t="s">
        <v>708</v>
      </c>
      <c r="C59" s="102">
        <v>0</v>
      </c>
      <c r="D59" s="61" t="s">
        <v>709</v>
      </c>
      <c r="E59" s="1" t="s">
        <v>81</v>
      </c>
      <c r="F59" s="1" t="s">
        <v>22</v>
      </c>
      <c r="G59" s="1" t="s">
        <v>44</v>
      </c>
      <c r="H59" s="1" t="s">
        <v>712</v>
      </c>
      <c r="I59" s="102">
        <v>1</v>
      </c>
      <c r="J59" s="1" t="s">
        <v>158</v>
      </c>
      <c r="K59" s="1" t="s">
        <v>170</v>
      </c>
      <c r="L59" s="103">
        <v>35297</v>
      </c>
      <c r="M59" s="104">
        <v>20</v>
      </c>
      <c r="N59" s="1" t="s">
        <v>175</v>
      </c>
      <c r="O59" s="1" t="s">
        <v>24</v>
      </c>
      <c r="P59" s="1" t="s">
        <v>464</v>
      </c>
      <c r="Q59" s="1" t="s">
        <v>366</v>
      </c>
      <c r="R59" s="62">
        <v>0</v>
      </c>
      <c r="S59" s="102">
        <v>0</v>
      </c>
      <c r="T59" s="54" t="s">
        <v>711</v>
      </c>
      <c r="U59" s="105">
        <v>7.1</v>
      </c>
      <c r="V59" s="62">
        <v>0</v>
      </c>
      <c r="W59" s="102">
        <v>0</v>
      </c>
      <c r="X59" s="62">
        <v>0</v>
      </c>
      <c r="Y59" s="102">
        <v>0</v>
      </c>
      <c r="Z59" s="62">
        <v>0</v>
      </c>
      <c r="AA59" s="102">
        <v>0</v>
      </c>
      <c r="AB59" s="62">
        <v>0</v>
      </c>
      <c r="AC59" s="106" t="s">
        <v>206</v>
      </c>
      <c r="AD59" s="106" t="s">
        <v>206</v>
      </c>
      <c r="AE59" s="106" t="s">
        <v>206</v>
      </c>
      <c r="AF59" s="106" t="s">
        <v>206</v>
      </c>
      <c r="AG59" s="106" t="s">
        <v>206</v>
      </c>
      <c r="AH59" s="106" t="s">
        <v>206</v>
      </c>
      <c r="AI59" s="1" t="s">
        <v>357</v>
      </c>
      <c r="AJ59" s="1" t="s">
        <v>206</v>
      </c>
      <c r="AK59" s="1" t="s">
        <v>594</v>
      </c>
      <c r="AL59" s="1" t="s">
        <v>197</v>
      </c>
      <c r="AM59" s="106" t="s">
        <v>27</v>
      </c>
      <c r="AN59" s="1" t="s">
        <v>357</v>
      </c>
      <c r="AO59" s="1" t="s">
        <v>208</v>
      </c>
      <c r="AP59" s="1" t="s">
        <v>206</v>
      </c>
      <c r="AQ59" s="1" t="s">
        <v>441</v>
      </c>
      <c r="AR59" s="1" t="s">
        <v>206</v>
      </c>
      <c r="AS59" s="106" t="s">
        <v>206</v>
      </c>
      <c r="AT59" s="1" t="s">
        <v>206</v>
      </c>
      <c r="AU59" s="106" t="s">
        <v>206</v>
      </c>
      <c r="AV59" s="106" t="s">
        <v>206</v>
      </c>
      <c r="AW59" s="106" t="s">
        <v>35</v>
      </c>
      <c r="AX59" s="106" t="s">
        <v>206</v>
      </c>
      <c r="AY59" s="106" t="s">
        <v>206</v>
      </c>
      <c r="AZ59" s="1" t="s">
        <v>206</v>
      </c>
      <c r="BA59" s="106" t="s">
        <v>206</v>
      </c>
      <c r="BB59" s="106" t="s">
        <v>206</v>
      </c>
      <c r="BC59" s="106" t="s">
        <v>206</v>
      </c>
      <c r="BD59" s="106" t="s">
        <v>206</v>
      </c>
      <c r="BE59" s="106" t="s">
        <v>206</v>
      </c>
      <c r="BF59" s="107">
        <f>IF(AZ59="Não","Sim","Não")</f>
      </c>
      <c r="BG59" s="107">
        <f>IF(AZ59="NA","Sim","Não")</f>
      </c>
      <c r="BH59" s="106" t="s">
        <v>206</v>
      </c>
      <c r="BI59" s="1" t="s">
        <v>236</v>
      </c>
      <c r="BJ59" s="106" t="s">
        <v>36</v>
      </c>
      <c r="BK59" s="1" t="s">
        <v>497</v>
      </c>
      <c r="BL59" s="102">
        <v>20</v>
      </c>
      <c r="BM59" s="1" t="s">
        <v>208</v>
      </c>
      <c r="BN59" s="1" t="s">
        <v>208</v>
      </c>
      <c r="BO59" s="1" t="s">
        <v>497</v>
      </c>
      <c r="BP59" s="102">
        <v>20</v>
      </c>
      <c r="BQ59" s="1" t="s">
        <v>35</v>
      </c>
      <c r="BR59" s="1" t="s">
        <v>208</v>
      </c>
      <c r="BS59" s="106" t="s">
        <v>208</v>
      </c>
    </row>
    <row x14ac:dyDescent="0.25" r="60" customHeight="1" ht="17.25">
      <c r="A60" s="102">
        <v>59</v>
      </c>
      <c r="B60" s="1" t="s">
        <v>713</v>
      </c>
      <c r="C60" s="102">
        <v>1</v>
      </c>
      <c r="D60" s="61" t="s">
        <v>714</v>
      </c>
      <c r="E60" s="1" t="s">
        <v>121</v>
      </c>
      <c r="F60" s="1" t="s">
        <v>170</v>
      </c>
      <c r="G60" s="1" t="s">
        <v>66</v>
      </c>
      <c r="H60" s="1" t="s">
        <v>715</v>
      </c>
      <c r="I60" s="102">
        <v>1</v>
      </c>
      <c r="J60" s="1" t="s">
        <v>159</v>
      </c>
      <c r="K60" s="1" t="s">
        <v>22</v>
      </c>
      <c r="L60" s="103">
        <v>34027</v>
      </c>
      <c r="M60" s="104">
        <v>24</v>
      </c>
      <c r="N60" s="1" t="s">
        <v>176</v>
      </c>
      <c r="O60" s="1" t="s">
        <v>182</v>
      </c>
      <c r="P60" s="1" t="s">
        <v>365</v>
      </c>
      <c r="Q60" s="1" t="s">
        <v>716</v>
      </c>
      <c r="R60" s="54" t="s">
        <v>717</v>
      </c>
      <c r="S60" s="105">
        <v>66.1</v>
      </c>
      <c r="T60" s="54" t="s">
        <v>718</v>
      </c>
      <c r="U60" s="105">
        <v>25.1</v>
      </c>
      <c r="V60" s="62">
        <v>0</v>
      </c>
      <c r="W60" s="102">
        <v>0</v>
      </c>
      <c r="X60" s="62">
        <v>0</v>
      </c>
      <c r="Y60" s="102">
        <v>0</v>
      </c>
      <c r="Z60" s="62">
        <v>0</v>
      </c>
      <c r="AA60" s="102">
        <v>0</v>
      </c>
      <c r="AB60" s="62">
        <v>0</v>
      </c>
      <c r="AC60" s="106" t="s">
        <v>206</v>
      </c>
      <c r="AD60" s="106" t="s">
        <v>206</v>
      </c>
      <c r="AE60" s="106" t="s">
        <v>206</v>
      </c>
      <c r="AF60" s="106" t="s">
        <v>206</v>
      </c>
      <c r="AG60" s="106" t="s">
        <v>206</v>
      </c>
      <c r="AH60" s="106" t="s">
        <v>206</v>
      </c>
      <c r="AI60" s="1" t="s">
        <v>357</v>
      </c>
      <c r="AJ60" s="1" t="s">
        <v>206</v>
      </c>
      <c r="AK60" s="1" t="s">
        <v>719</v>
      </c>
      <c r="AL60" s="1" t="s">
        <v>197</v>
      </c>
      <c r="AM60" s="106" t="s">
        <v>27</v>
      </c>
      <c r="AN60" s="1" t="s">
        <v>357</v>
      </c>
      <c r="AO60" s="1" t="s">
        <v>208</v>
      </c>
      <c r="AP60" s="1" t="s">
        <v>620</v>
      </c>
      <c r="AQ60" s="1" t="s">
        <v>492</v>
      </c>
      <c r="AR60" s="1" t="s">
        <v>206</v>
      </c>
      <c r="AS60" s="106" t="s">
        <v>206</v>
      </c>
      <c r="AT60" s="1" t="s">
        <v>28</v>
      </c>
      <c r="AU60" s="106" t="s">
        <v>35</v>
      </c>
      <c r="AV60" s="106" t="s">
        <v>206</v>
      </c>
      <c r="AW60" s="106" t="s">
        <v>206</v>
      </c>
      <c r="AX60" s="106" t="s">
        <v>206</v>
      </c>
      <c r="AY60" s="106" t="s">
        <v>35</v>
      </c>
      <c r="AZ60" s="1" t="s">
        <v>206</v>
      </c>
      <c r="BA60" s="106" t="s">
        <v>206</v>
      </c>
      <c r="BB60" s="106" t="s">
        <v>206</v>
      </c>
      <c r="BC60" s="106" t="s">
        <v>206</v>
      </c>
      <c r="BD60" s="106" t="s">
        <v>206</v>
      </c>
      <c r="BE60" s="106" t="s">
        <v>206</v>
      </c>
      <c r="BF60" s="107">
        <f>IF(AZ60="Não","Sim","Não")</f>
      </c>
      <c r="BG60" s="107">
        <f>IF(AZ60="NA","Sim","Não")</f>
      </c>
      <c r="BH60" s="106" t="s">
        <v>206</v>
      </c>
      <c r="BI60" s="1" t="s">
        <v>236</v>
      </c>
      <c r="BJ60" s="106" t="s">
        <v>36</v>
      </c>
      <c r="BK60" s="1" t="s">
        <v>497</v>
      </c>
      <c r="BL60" s="102">
        <v>20</v>
      </c>
      <c r="BM60" s="1" t="s">
        <v>208</v>
      </c>
      <c r="BN60" s="1" t="s">
        <v>208</v>
      </c>
      <c r="BO60" s="1" t="s">
        <v>497</v>
      </c>
      <c r="BP60" s="102">
        <v>20</v>
      </c>
      <c r="BQ60" s="1" t="s">
        <v>35</v>
      </c>
      <c r="BR60" s="1" t="s">
        <v>208</v>
      </c>
      <c r="BS60" s="106" t="s">
        <v>208</v>
      </c>
    </row>
    <row x14ac:dyDescent="0.25" r="61" customHeight="1" ht="17.25">
      <c r="A61" s="102">
        <v>60</v>
      </c>
      <c r="B61" s="1" t="s">
        <v>720</v>
      </c>
      <c r="C61" s="102">
        <v>1</v>
      </c>
      <c r="D61" s="61" t="s">
        <v>721</v>
      </c>
      <c r="E61" s="1" t="s">
        <v>141</v>
      </c>
      <c r="F61" s="1" t="s">
        <v>170</v>
      </c>
      <c r="G61" s="1" t="s">
        <v>46</v>
      </c>
      <c r="H61" s="1" t="s">
        <v>722</v>
      </c>
      <c r="I61" s="102">
        <v>1</v>
      </c>
      <c r="J61" s="1" t="s">
        <v>158</v>
      </c>
      <c r="K61" s="1" t="s">
        <v>22</v>
      </c>
      <c r="L61" s="103">
        <v>32935</v>
      </c>
      <c r="M61" s="104">
        <v>27</v>
      </c>
      <c r="N61" s="1" t="s">
        <v>176</v>
      </c>
      <c r="O61" s="1" t="s">
        <v>182</v>
      </c>
      <c r="P61" s="1" t="s">
        <v>365</v>
      </c>
      <c r="Q61" s="1" t="s">
        <v>723</v>
      </c>
      <c r="R61" s="54" t="s">
        <v>724</v>
      </c>
      <c r="S61" s="102">
        <v>32</v>
      </c>
      <c r="T61" s="54" t="s">
        <v>725</v>
      </c>
      <c r="U61" s="105">
        <v>11.5</v>
      </c>
      <c r="V61" s="62">
        <v>0</v>
      </c>
      <c r="W61" s="102">
        <v>0</v>
      </c>
      <c r="X61" s="62">
        <v>0</v>
      </c>
      <c r="Y61" s="102">
        <v>0</v>
      </c>
      <c r="Z61" s="62">
        <v>0</v>
      </c>
      <c r="AA61" s="102">
        <v>0</v>
      </c>
      <c r="AB61" s="62">
        <v>0</v>
      </c>
      <c r="AC61" s="106" t="s">
        <v>206</v>
      </c>
      <c r="AD61" s="106" t="s">
        <v>206</v>
      </c>
      <c r="AE61" s="106" t="s">
        <v>206</v>
      </c>
      <c r="AF61" s="106" t="s">
        <v>206</v>
      </c>
      <c r="AG61" s="106" t="s">
        <v>206</v>
      </c>
      <c r="AH61" s="106" t="s">
        <v>206</v>
      </c>
      <c r="AI61" s="1" t="s">
        <v>357</v>
      </c>
      <c r="AJ61" s="1" t="s">
        <v>206</v>
      </c>
      <c r="AK61" s="1" t="s">
        <v>726</v>
      </c>
      <c r="AL61" s="1" t="s">
        <v>197</v>
      </c>
      <c r="AM61" s="106" t="s">
        <v>27</v>
      </c>
      <c r="AN61" s="1" t="s">
        <v>357</v>
      </c>
      <c r="AO61" s="1" t="s">
        <v>208</v>
      </c>
      <c r="AP61" s="1" t="s">
        <v>206</v>
      </c>
      <c r="AQ61" s="1" t="s">
        <v>441</v>
      </c>
      <c r="AR61" s="1" t="s">
        <v>206</v>
      </c>
      <c r="AS61" s="106" t="s">
        <v>206</v>
      </c>
      <c r="AT61" s="1" t="s">
        <v>206</v>
      </c>
      <c r="AU61" s="106" t="s">
        <v>206</v>
      </c>
      <c r="AV61" s="106" t="s">
        <v>206</v>
      </c>
      <c r="AW61" s="106" t="s">
        <v>35</v>
      </c>
      <c r="AX61" s="106" t="s">
        <v>206</v>
      </c>
      <c r="AY61" s="106" t="s">
        <v>206</v>
      </c>
      <c r="AZ61" s="1" t="s">
        <v>206</v>
      </c>
      <c r="BA61" s="106" t="s">
        <v>206</v>
      </c>
      <c r="BB61" s="106" t="s">
        <v>206</v>
      </c>
      <c r="BC61" s="106" t="s">
        <v>206</v>
      </c>
      <c r="BD61" s="106" t="s">
        <v>206</v>
      </c>
      <c r="BE61" s="106" t="s">
        <v>206</v>
      </c>
      <c r="BF61" s="107">
        <f>IF(AZ61="Não","Sim","Não")</f>
      </c>
      <c r="BG61" s="107">
        <f>IF(AZ61="NA","Sim","Não")</f>
      </c>
      <c r="BH61" s="106" t="s">
        <v>206</v>
      </c>
      <c r="BI61" s="1" t="s">
        <v>236</v>
      </c>
      <c r="BJ61" s="106" t="s">
        <v>36</v>
      </c>
      <c r="BK61" s="1" t="s">
        <v>497</v>
      </c>
      <c r="BL61" s="102">
        <v>20</v>
      </c>
      <c r="BM61" s="1" t="s">
        <v>208</v>
      </c>
      <c r="BN61" s="1" t="s">
        <v>208</v>
      </c>
      <c r="BO61" s="1" t="s">
        <v>497</v>
      </c>
      <c r="BP61" s="102">
        <v>20</v>
      </c>
      <c r="BQ61" s="1" t="s">
        <v>206</v>
      </c>
      <c r="BR61" s="1" t="s">
        <v>228</v>
      </c>
      <c r="BS61" s="106" t="s">
        <v>228</v>
      </c>
    </row>
    <row x14ac:dyDescent="0.25" r="62" customHeight="1" ht="17.25">
      <c r="A62" s="102">
        <v>61</v>
      </c>
      <c r="B62" s="1" t="s">
        <v>727</v>
      </c>
      <c r="C62" s="102">
        <v>1</v>
      </c>
      <c r="D62" s="61" t="s">
        <v>728</v>
      </c>
      <c r="E62" s="1" t="s">
        <v>88</v>
      </c>
      <c r="F62" s="1" t="s">
        <v>170</v>
      </c>
      <c r="G62" s="1" t="s">
        <v>40</v>
      </c>
      <c r="H62" s="1" t="s">
        <v>729</v>
      </c>
      <c r="I62" s="102">
        <v>1</v>
      </c>
      <c r="J62" s="1" t="s">
        <v>158</v>
      </c>
      <c r="K62" s="1" t="s">
        <v>22</v>
      </c>
      <c r="L62" s="103">
        <v>35015</v>
      </c>
      <c r="M62" s="104">
        <v>21</v>
      </c>
      <c r="N62" s="1" t="s">
        <v>175</v>
      </c>
      <c r="O62" s="1" t="s">
        <v>24</v>
      </c>
      <c r="P62" s="1" t="s">
        <v>615</v>
      </c>
      <c r="Q62" s="1" t="s">
        <v>730</v>
      </c>
      <c r="R62" s="62">
        <v>0</v>
      </c>
      <c r="S62" s="102">
        <v>0</v>
      </c>
      <c r="T62" s="54" t="s">
        <v>731</v>
      </c>
      <c r="U62" s="105">
        <v>19.4</v>
      </c>
      <c r="V62" s="62">
        <v>0</v>
      </c>
      <c r="W62" s="102">
        <v>0</v>
      </c>
      <c r="X62" s="62">
        <v>0</v>
      </c>
      <c r="Y62" s="102">
        <v>0</v>
      </c>
      <c r="Z62" s="62">
        <v>0</v>
      </c>
      <c r="AA62" s="102">
        <v>0</v>
      </c>
      <c r="AB62" s="62">
        <v>0</v>
      </c>
      <c r="AC62" s="106" t="s">
        <v>206</v>
      </c>
      <c r="AD62" s="106" t="s">
        <v>206</v>
      </c>
      <c r="AE62" s="106" t="s">
        <v>206</v>
      </c>
      <c r="AF62" s="106" t="s">
        <v>206</v>
      </c>
      <c r="AG62" s="106" t="s">
        <v>206</v>
      </c>
      <c r="AH62" s="106" t="s">
        <v>206</v>
      </c>
      <c r="AI62" s="1" t="s">
        <v>357</v>
      </c>
      <c r="AJ62" s="1" t="s">
        <v>206</v>
      </c>
      <c r="AK62" s="1" t="s">
        <v>732</v>
      </c>
      <c r="AL62" s="1" t="s">
        <v>197</v>
      </c>
      <c r="AM62" s="106" t="s">
        <v>27</v>
      </c>
      <c r="AN62" s="1" t="s">
        <v>357</v>
      </c>
      <c r="AO62" s="1" t="s">
        <v>208</v>
      </c>
      <c r="AP62" s="1" t="s">
        <v>206</v>
      </c>
      <c r="AQ62" s="1" t="s">
        <v>441</v>
      </c>
      <c r="AR62" s="1" t="s">
        <v>206</v>
      </c>
      <c r="AS62" s="106" t="s">
        <v>206</v>
      </c>
      <c r="AT62" s="1" t="s">
        <v>206</v>
      </c>
      <c r="AU62" s="106" t="s">
        <v>206</v>
      </c>
      <c r="AV62" s="106" t="s">
        <v>206</v>
      </c>
      <c r="AW62" s="106" t="s">
        <v>35</v>
      </c>
      <c r="AX62" s="106" t="s">
        <v>206</v>
      </c>
      <c r="AY62" s="106" t="s">
        <v>206</v>
      </c>
      <c r="AZ62" s="1" t="s">
        <v>206</v>
      </c>
      <c r="BA62" s="106" t="s">
        <v>206</v>
      </c>
      <c r="BB62" s="106" t="s">
        <v>206</v>
      </c>
      <c r="BC62" s="106" t="s">
        <v>206</v>
      </c>
      <c r="BD62" s="106" t="s">
        <v>206</v>
      </c>
      <c r="BE62" s="106" t="s">
        <v>206</v>
      </c>
      <c r="BF62" s="107">
        <f>IF(AZ62="Não","Sim","Não")</f>
      </c>
      <c r="BG62" s="107">
        <f>IF(AZ62="NA","Sim","Não")</f>
      </c>
      <c r="BH62" s="106" t="s">
        <v>206</v>
      </c>
      <c r="BI62" s="1" t="s">
        <v>236</v>
      </c>
      <c r="BJ62" s="106" t="s">
        <v>36</v>
      </c>
      <c r="BK62" s="1" t="s">
        <v>497</v>
      </c>
      <c r="BL62" s="102">
        <v>20</v>
      </c>
      <c r="BM62" s="1" t="s">
        <v>208</v>
      </c>
      <c r="BN62" s="1" t="s">
        <v>208</v>
      </c>
      <c r="BO62" s="1" t="s">
        <v>497</v>
      </c>
      <c r="BP62" s="102">
        <v>20</v>
      </c>
      <c r="BQ62" s="1" t="s">
        <v>206</v>
      </c>
      <c r="BR62" s="1" t="s">
        <v>228</v>
      </c>
      <c r="BS62" s="106" t="s">
        <v>228</v>
      </c>
    </row>
    <row x14ac:dyDescent="0.25" r="63" customHeight="1" ht="17.25">
      <c r="A63" s="102">
        <v>62</v>
      </c>
      <c r="B63" s="1" t="s">
        <v>733</v>
      </c>
      <c r="C63" s="102">
        <v>1</v>
      </c>
      <c r="D63" s="61" t="s">
        <v>734</v>
      </c>
      <c r="E63" s="1" t="s">
        <v>123</v>
      </c>
      <c r="F63" s="1" t="s">
        <v>170</v>
      </c>
      <c r="G63" s="1" t="s">
        <v>58</v>
      </c>
      <c r="H63" s="1" t="s">
        <v>735</v>
      </c>
      <c r="I63" s="102">
        <v>1</v>
      </c>
      <c r="J63" s="1" t="s">
        <v>158</v>
      </c>
      <c r="K63" s="1" t="s">
        <v>22</v>
      </c>
      <c r="L63" s="103">
        <v>27582</v>
      </c>
      <c r="M63" s="104">
        <v>42</v>
      </c>
      <c r="N63" s="1" t="s">
        <v>176</v>
      </c>
      <c r="O63" s="1" t="s">
        <v>182</v>
      </c>
      <c r="P63" s="1" t="s">
        <v>615</v>
      </c>
      <c r="Q63" s="1" t="s">
        <v>736</v>
      </c>
      <c r="R63" s="54" t="s">
        <v>737</v>
      </c>
      <c r="S63" s="105">
        <v>42.8</v>
      </c>
      <c r="T63" s="54" t="s">
        <v>738</v>
      </c>
      <c r="U63" s="105">
        <v>72.4</v>
      </c>
      <c r="V63" s="62">
        <v>0</v>
      </c>
      <c r="W63" s="102">
        <v>0</v>
      </c>
      <c r="X63" s="62">
        <v>0</v>
      </c>
      <c r="Y63" s="102">
        <v>0</v>
      </c>
      <c r="Z63" s="62">
        <v>0</v>
      </c>
      <c r="AA63" s="102">
        <v>0</v>
      </c>
      <c r="AB63" s="62">
        <v>0</v>
      </c>
      <c r="AC63" s="106" t="s">
        <v>206</v>
      </c>
      <c r="AD63" s="106" t="s">
        <v>206</v>
      </c>
      <c r="AE63" s="106" t="s">
        <v>206</v>
      </c>
      <c r="AF63" s="106" t="s">
        <v>206</v>
      </c>
      <c r="AG63" s="106" t="s">
        <v>206</v>
      </c>
      <c r="AH63" s="106" t="s">
        <v>206</v>
      </c>
      <c r="AI63" s="1" t="s">
        <v>357</v>
      </c>
      <c r="AJ63" s="1" t="s">
        <v>206</v>
      </c>
      <c r="AK63" s="1" t="s">
        <v>430</v>
      </c>
      <c r="AL63" s="1" t="s">
        <v>197</v>
      </c>
      <c r="AM63" s="106" t="s">
        <v>27</v>
      </c>
      <c r="AN63" s="1" t="s">
        <v>357</v>
      </c>
      <c r="AO63" s="1" t="s">
        <v>208</v>
      </c>
      <c r="AP63" s="1" t="s">
        <v>206</v>
      </c>
      <c r="AQ63" s="1" t="s">
        <v>441</v>
      </c>
      <c r="AR63" s="1" t="s">
        <v>206</v>
      </c>
      <c r="AS63" s="106" t="s">
        <v>206</v>
      </c>
      <c r="AT63" s="1" t="s">
        <v>206</v>
      </c>
      <c r="AU63" s="106" t="s">
        <v>206</v>
      </c>
      <c r="AV63" s="106" t="s">
        <v>206</v>
      </c>
      <c r="AW63" s="106" t="s">
        <v>35</v>
      </c>
      <c r="AX63" s="106" t="s">
        <v>206</v>
      </c>
      <c r="AY63" s="106" t="s">
        <v>206</v>
      </c>
      <c r="AZ63" s="1" t="s">
        <v>206</v>
      </c>
      <c r="BA63" s="106" t="s">
        <v>206</v>
      </c>
      <c r="BB63" s="106" t="s">
        <v>206</v>
      </c>
      <c r="BC63" s="106" t="s">
        <v>206</v>
      </c>
      <c r="BD63" s="106" t="s">
        <v>206</v>
      </c>
      <c r="BE63" s="106" t="s">
        <v>206</v>
      </c>
      <c r="BF63" s="107">
        <f>IF(AZ63="Não","Sim","Não")</f>
      </c>
      <c r="BG63" s="107">
        <f>IF(AZ63="NA","Sim","Não")</f>
      </c>
      <c r="BH63" s="106" t="s">
        <v>206</v>
      </c>
      <c r="BI63" s="1" t="s">
        <v>236</v>
      </c>
      <c r="BJ63" s="106" t="s">
        <v>36</v>
      </c>
      <c r="BK63" s="1" t="s">
        <v>497</v>
      </c>
      <c r="BL63" s="102">
        <v>20</v>
      </c>
      <c r="BM63" s="1" t="s">
        <v>208</v>
      </c>
      <c r="BN63" s="1" t="s">
        <v>208</v>
      </c>
      <c r="BO63" s="1" t="s">
        <v>497</v>
      </c>
      <c r="BP63" s="102">
        <v>20</v>
      </c>
      <c r="BQ63" s="1" t="s">
        <v>206</v>
      </c>
      <c r="BR63" s="1" t="s">
        <v>227</v>
      </c>
      <c r="BS63" s="106" t="s">
        <v>37</v>
      </c>
    </row>
    <row x14ac:dyDescent="0.25" r="64" customHeight="1" ht="17.25">
      <c r="A64" s="102">
        <v>63</v>
      </c>
      <c r="B64" s="1" t="s">
        <v>739</v>
      </c>
      <c r="C64" s="102">
        <v>1</v>
      </c>
      <c r="D64" s="61" t="s">
        <v>740</v>
      </c>
      <c r="E64" s="1" t="s">
        <v>134</v>
      </c>
      <c r="F64" s="1" t="s">
        <v>22</v>
      </c>
      <c r="G64" s="1" t="s">
        <v>67</v>
      </c>
      <c r="H64" s="1" t="s">
        <v>741</v>
      </c>
      <c r="I64" s="102">
        <v>1</v>
      </c>
      <c r="J64" s="1" t="s">
        <v>158</v>
      </c>
      <c r="K64" s="1" t="s">
        <v>22</v>
      </c>
      <c r="L64" s="103">
        <v>34180</v>
      </c>
      <c r="M64" s="104">
        <v>24</v>
      </c>
      <c r="N64" s="1" t="s">
        <v>175</v>
      </c>
      <c r="O64" s="1" t="s">
        <v>24</v>
      </c>
      <c r="P64" s="1" t="s">
        <v>517</v>
      </c>
      <c r="Q64" s="1" t="s">
        <v>742</v>
      </c>
      <c r="R64" s="62">
        <v>0</v>
      </c>
      <c r="S64" s="102">
        <v>0</v>
      </c>
      <c r="T64" s="54" t="s">
        <v>743</v>
      </c>
      <c r="U64" s="102">
        <v>39</v>
      </c>
      <c r="V64" s="62">
        <v>0</v>
      </c>
      <c r="W64" s="102">
        <v>0</v>
      </c>
      <c r="X64" s="62">
        <v>0</v>
      </c>
      <c r="Y64" s="102">
        <v>0</v>
      </c>
      <c r="Z64" s="62">
        <v>0</v>
      </c>
      <c r="AA64" s="102">
        <v>0</v>
      </c>
      <c r="AB64" s="62">
        <v>0</v>
      </c>
      <c r="AC64" s="106" t="s">
        <v>206</v>
      </c>
      <c r="AD64" s="106" t="s">
        <v>206</v>
      </c>
      <c r="AE64" s="106" t="s">
        <v>206</v>
      </c>
      <c r="AF64" s="106" t="s">
        <v>206</v>
      </c>
      <c r="AG64" s="106" t="s">
        <v>206</v>
      </c>
      <c r="AH64" s="106" t="s">
        <v>206</v>
      </c>
      <c r="AI64" s="1" t="s">
        <v>357</v>
      </c>
      <c r="AJ64" s="1" t="s">
        <v>206</v>
      </c>
      <c r="AK64" s="1" t="s">
        <v>555</v>
      </c>
      <c r="AL64" s="1" t="s">
        <v>197</v>
      </c>
      <c r="AM64" s="106" t="s">
        <v>27</v>
      </c>
      <c r="AN64" s="1" t="s">
        <v>357</v>
      </c>
      <c r="AO64" s="1" t="s">
        <v>208</v>
      </c>
      <c r="AP64" s="1" t="s">
        <v>206</v>
      </c>
      <c r="AQ64" s="1" t="s">
        <v>441</v>
      </c>
      <c r="AR64" s="1" t="s">
        <v>206</v>
      </c>
      <c r="AS64" s="106" t="s">
        <v>206</v>
      </c>
      <c r="AT64" s="1" t="s">
        <v>206</v>
      </c>
      <c r="AU64" s="106" t="s">
        <v>206</v>
      </c>
      <c r="AV64" s="106" t="s">
        <v>206</v>
      </c>
      <c r="AW64" s="106" t="s">
        <v>35</v>
      </c>
      <c r="AX64" s="106" t="s">
        <v>206</v>
      </c>
      <c r="AY64" s="106" t="s">
        <v>206</v>
      </c>
      <c r="AZ64" s="1" t="s">
        <v>206</v>
      </c>
      <c r="BA64" s="106" t="s">
        <v>206</v>
      </c>
      <c r="BB64" s="106" t="s">
        <v>206</v>
      </c>
      <c r="BC64" s="106" t="s">
        <v>206</v>
      </c>
      <c r="BD64" s="106" t="s">
        <v>206</v>
      </c>
      <c r="BE64" s="106" t="s">
        <v>206</v>
      </c>
      <c r="BF64" s="107">
        <f>IF(AZ64="Não","Sim","Não")</f>
      </c>
      <c r="BG64" s="107">
        <f>IF(AZ64="NA","Sim","Não")</f>
      </c>
      <c r="BH64" s="106" t="s">
        <v>206</v>
      </c>
      <c r="BI64" s="1" t="s">
        <v>236</v>
      </c>
      <c r="BJ64" s="106" t="s">
        <v>36</v>
      </c>
      <c r="BK64" s="1" t="s">
        <v>497</v>
      </c>
      <c r="BL64" s="102">
        <v>20</v>
      </c>
      <c r="BM64" s="1" t="s">
        <v>208</v>
      </c>
      <c r="BN64" s="1" t="s">
        <v>208</v>
      </c>
      <c r="BO64" s="1" t="s">
        <v>497</v>
      </c>
      <c r="BP64" s="102">
        <v>20</v>
      </c>
      <c r="BQ64" s="1" t="s">
        <v>35</v>
      </c>
      <c r="BR64" s="1" t="s">
        <v>208</v>
      </c>
      <c r="BS64" s="106" t="s">
        <v>208</v>
      </c>
    </row>
    <row x14ac:dyDescent="0.25" r="65" customHeight="1" ht="17.25">
      <c r="A65" s="102">
        <v>64</v>
      </c>
      <c r="B65" s="1" t="s">
        <v>744</v>
      </c>
      <c r="C65" s="102">
        <v>1</v>
      </c>
      <c r="D65" s="61" t="s">
        <v>745</v>
      </c>
      <c r="E65" s="1" t="s">
        <v>93</v>
      </c>
      <c r="F65" s="1" t="s">
        <v>22</v>
      </c>
      <c r="G65" s="1" t="s">
        <v>49</v>
      </c>
      <c r="H65" s="1" t="s">
        <v>746</v>
      </c>
      <c r="I65" s="102">
        <v>1</v>
      </c>
      <c r="J65" s="1" t="s">
        <v>159</v>
      </c>
      <c r="K65" s="1" t="s">
        <v>22</v>
      </c>
      <c r="L65" s="103">
        <v>30599</v>
      </c>
      <c r="M65" s="104">
        <v>33</v>
      </c>
      <c r="N65" s="1" t="s">
        <v>176</v>
      </c>
      <c r="O65" s="1" t="s">
        <v>182</v>
      </c>
      <c r="P65" s="1" t="s">
        <v>178</v>
      </c>
      <c r="Q65" s="1" t="s">
        <v>747</v>
      </c>
      <c r="R65" s="62">
        <v>0</v>
      </c>
      <c r="S65" s="102">
        <v>0</v>
      </c>
      <c r="T65" s="54" t="s">
        <v>748</v>
      </c>
      <c r="U65" s="105">
        <v>261.5</v>
      </c>
      <c r="V65" s="62">
        <v>0</v>
      </c>
      <c r="W65" s="102">
        <v>0</v>
      </c>
      <c r="X65" s="62">
        <v>0</v>
      </c>
      <c r="Y65" s="102">
        <v>0</v>
      </c>
      <c r="Z65" s="62">
        <v>0</v>
      </c>
      <c r="AA65" s="102">
        <v>0</v>
      </c>
      <c r="AB65" s="62">
        <v>0</v>
      </c>
      <c r="AC65" s="106" t="s">
        <v>206</v>
      </c>
      <c r="AD65" s="106" t="s">
        <v>206</v>
      </c>
      <c r="AE65" s="106" t="s">
        <v>206</v>
      </c>
      <c r="AF65" s="106" t="s">
        <v>206</v>
      </c>
      <c r="AG65" s="106" t="s">
        <v>206</v>
      </c>
      <c r="AH65" s="106" t="s">
        <v>206</v>
      </c>
      <c r="AI65" s="1" t="s">
        <v>357</v>
      </c>
      <c r="AJ65" s="1" t="s">
        <v>206</v>
      </c>
      <c r="AK65" s="1" t="s">
        <v>749</v>
      </c>
      <c r="AL65" s="1" t="s">
        <v>197</v>
      </c>
      <c r="AM65" s="106" t="s">
        <v>27</v>
      </c>
      <c r="AN65" s="1" t="s">
        <v>357</v>
      </c>
      <c r="AO65" s="1" t="s">
        <v>208</v>
      </c>
      <c r="AP65" s="1" t="s">
        <v>206</v>
      </c>
      <c r="AQ65" s="1" t="s">
        <v>441</v>
      </c>
      <c r="AR65" s="1" t="s">
        <v>206</v>
      </c>
      <c r="AS65" s="106" t="s">
        <v>206</v>
      </c>
      <c r="AT65" s="1" t="s">
        <v>206</v>
      </c>
      <c r="AU65" s="106" t="s">
        <v>206</v>
      </c>
      <c r="AV65" s="106" t="s">
        <v>206</v>
      </c>
      <c r="AW65" s="106" t="s">
        <v>35</v>
      </c>
      <c r="AX65" s="106" t="s">
        <v>206</v>
      </c>
      <c r="AY65" s="106" t="s">
        <v>206</v>
      </c>
      <c r="AZ65" s="1" t="s">
        <v>206</v>
      </c>
      <c r="BA65" s="106" t="s">
        <v>206</v>
      </c>
      <c r="BB65" s="106" t="s">
        <v>206</v>
      </c>
      <c r="BC65" s="106" t="s">
        <v>206</v>
      </c>
      <c r="BD65" s="106" t="s">
        <v>206</v>
      </c>
      <c r="BE65" s="106" t="s">
        <v>206</v>
      </c>
      <c r="BF65" s="107">
        <f>IF(AZ65="Não","Sim","Não")</f>
      </c>
      <c r="BG65" s="107">
        <f>IF(AZ65="NA","Sim","Não")</f>
      </c>
      <c r="BH65" s="106" t="s">
        <v>206</v>
      </c>
      <c r="BI65" s="1" t="s">
        <v>236</v>
      </c>
      <c r="BJ65" s="106" t="s">
        <v>36</v>
      </c>
      <c r="BK65" s="1" t="s">
        <v>497</v>
      </c>
      <c r="BL65" s="102">
        <v>20</v>
      </c>
      <c r="BM65" s="1" t="s">
        <v>208</v>
      </c>
      <c r="BN65" s="1" t="s">
        <v>208</v>
      </c>
      <c r="BO65" s="1" t="s">
        <v>497</v>
      </c>
      <c r="BP65" s="102">
        <v>20</v>
      </c>
      <c r="BQ65" s="1" t="s">
        <v>206</v>
      </c>
      <c r="BR65" s="1" t="s">
        <v>228</v>
      </c>
      <c r="BS65" s="106" t="s">
        <v>228</v>
      </c>
    </row>
    <row x14ac:dyDescent="0.25" r="66" customHeight="1" ht="17.25">
      <c r="A66" s="102">
        <v>65</v>
      </c>
      <c r="B66" s="1" t="s">
        <v>750</v>
      </c>
      <c r="C66" s="102">
        <v>1</v>
      </c>
      <c r="D66" s="61" t="s">
        <v>751</v>
      </c>
      <c r="E66" s="1" t="s">
        <v>118</v>
      </c>
      <c r="F66" s="1" t="s">
        <v>170</v>
      </c>
      <c r="G66" s="1" t="s">
        <v>67</v>
      </c>
      <c r="H66" s="1" t="s">
        <v>752</v>
      </c>
      <c r="I66" s="102">
        <v>1</v>
      </c>
      <c r="J66" s="1" t="s">
        <v>158</v>
      </c>
      <c r="K66" s="1" t="s">
        <v>22</v>
      </c>
      <c r="L66" s="103">
        <v>35834</v>
      </c>
      <c r="M66" s="104">
        <v>19</v>
      </c>
      <c r="N66" s="1" t="s">
        <v>175</v>
      </c>
      <c r="O66" s="1" t="s">
        <v>24</v>
      </c>
      <c r="P66" s="1" t="s">
        <v>365</v>
      </c>
      <c r="Q66" s="1" t="s">
        <v>753</v>
      </c>
      <c r="R66" s="54" t="s">
        <v>754</v>
      </c>
      <c r="S66" s="105">
        <v>118.9</v>
      </c>
      <c r="T66" s="54" t="s">
        <v>755</v>
      </c>
      <c r="U66" s="105">
        <v>24.7</v>
      </c>
      <c r="V66" s="62">
        <v>0</v>
      </c>
      <c r="W66" s="102">
        <v>0</v>
      </c>
      <c r="X66" s="62">
        <v>0</v>
      </c>
      <c r="Y66" s="102">
        <v>0</v>
      </c>
      <c r="Z66" s="62">
        <v>0</v>
      </c>
      <c r="AA66" s="102">
        <v>0</v>
      </c>
      <c r="AB66" s="57" t="s">
        <v>756</v>
      </c>
      <c r="AC66" s="106" t="s">
        <v>206</v>
      </c>
      <c r="AD66" s="106" t="s">
        <v>206</v>
      </c>
      <c r="AE66" s="106" t="s">
        <v>35</v>
      </c>
      <c r="AF66" s="106" t="s">
        <v>206</v>
      </c>
      <c r="AG66" s="106" t="s">
        <v>206</v>
      </c>
      <c r="AH66" s="106" t="s">
        <v>206</v>
      </c>
      <c r="AI66" s="1" t="s">
        <v>357</v>
      </c>
      <c r="AJ66" s="1" t="s">
        <v>206</v>
      </c>
      <c r="AK66" s="1" t="s">
        <v>757</v>
      </c>
      <c r="AL66" s="1" t="s">
        <v>197</v>
      </c>
      <c r="AM66" s="106" t="s">
        <v>27</v>
      </c>
      <c r="AN66" s="1" t="s">
        <v>357</v>
      </c>
      <c r="AO66" s="1" t="s">
        <v>208</v>
      </c>
      <c r="AP66" s="1" t="s">
        <v>206</v>
      </c>
      <c r="AQ66" s="1" t="s">
        <v>441</v>
      </c>
      <c r="AR66" s="1" t="s">
        <v>206</v>
      </c>
      <c r="AS66" s="106" t="s">
        <v>206</v>
      </c>
      <c r="AT66" s="1" t="s">
        <v>206</v>
      </c>
      <c r="AU66" s="106" t="s">
        <v>206</v>
      </c>
      <c r="AV66" s="106" t="s">
        <v>206</v>
      </c>
      <c r="AW66" s="106" t="s">
        <v>35</v>
      </c>
      <c r="AX66" s="106" t="s">
        <v>206</v>
      </c>
      <c r="AY66" s="106" t="s">
        <v>206</v>
      </c>
      <c r="AZ66" s="1" t="s">
        <v>206</v>
      </c>
      <c r="BA66" s="106" t="s">
        <v>206</v>
      </c>
      <c r="BB66" s="106" t="s">
        <v>206</v>
      </c>
      <c r="BC66" s="106" t="s">
        <v>206</v>
      </c>
      <c r="BD66" s="106" t="s">
        <v>206</v>
      </c>
      <c r="BE66" s="106" t="s">
        <v>206</v>
      </c>
      <c r="BF66" s="107">
        <f>IF(AZ66="Não","Sim","Não")</f>
      </c>
      <c r="BG66" s="107">
        <f>IF(AZ66="NA","Sim","Não")</f>
      </c>
      <c r="BH66" s="106" t="s">
        <v>206</v>
      </c>
      <c r="BI66" s="1" t="s">
        <v>236</v>
      </c>
      <c r="BJ66" s="106" t="s">
        <v>36</v>
      </c>
      <c r="BK66" s="1" t="s">
        <v>497</v>
      </c>
      <c r="BL66" s="102">
        <v>20</v>
      </c>
      <c r="BM66" s="1" t="s">
        <v>208</v>
      </c>
      <c r="BN66" s="1" t="s">
        <v>208</v>
      </c>
      <c r="BO66" s="1" t="s">
        <v>497</v>
      </c>
      <c r="BP66" s="102">
        <v>20</v>
      </c>
      <c r="BQ66" s="1" t="s">
        <v>206</v>
      </c>
      <c r="BR66" s="1" t="s">
        <v>229</v>
      </c>
      <c r="BS66" s="106" t="s">
        <v>229</v>
      </c>
    </row>
    <row x14ac:dyDescent="0.25" r="67" customHeight="1" ht="17.25">
      <c r="A67" s="102">
        <v>66</v>
      </c>
      <c r="B67" s="1" t="s">
        <v>758</v>
      </c>
      <c r="C67" s="102">
        <v>1</v>
      </c>
      <c r="D67" s="61" t="s">
        <v>759</v>
      </c>
      <c r="E67" s="1" t="s">
        <v>92</v>
      </c>
      <c r="F67" s="1" t="s">
        <v>22</v>
      </c>
      <c r="G67" s="1" t="s">
        <v>57</v>
      </c>
      <c r="H67" s="1" t="s">
        <v>760</v>
      </c>
      <c r="I67" s="102">
        <v>1</v>
      </c>
      <c r="J67" s="1" t="s">
        <v>158</v>
      </c>
      <c r="K67" s="1" t="s">
        <v>22</v>
      </c>
      <c r="L67" s="103">
        <v>34845</v>
      </c>
      <c r="M67" s="104">
        <v>21</v>
      </c>
      <c r="N67" s="1" t="s">
        <v>175</v>
      </c>
      <c r="O67" s="1" t="s">
        <v>24</v>
      </c>
      <c r="P67" s="1" t="s">
        <v>365</v>
      </c>
      <c r="Q67" s="1" t="s">
        <v>761</v>
      </c>
      <c r="R67" s="62">
        <v>0</v>
      </c>
      <c r="S67" s="102">
        <v>0</v>
      </c>
      <c r="T67" s="54" t="s">
        <v>762</v>
      </c>
      <c r="U67" s="105">
        <v>43.4</v>
      </c>
      <c r="V67" s="62">
        <v>0</v>
      </c>
      <c r="W67" s="102">
        <v>0</v>
      </c>
      <c r="X67" s="62">
        <v>0</v>
      </c>
      <c r="Y67" s="102">
        <v>0</v>
      </c>
      <c r="Z67" s="62">
        <v>0</v>
      </c>
      <c r="AA67" s="102">
        <v>0</v>
      </c>
      <c r="AB67" s="62">
        <v>0</v>
      </c>
      <c r="AC67" s="106" t="s">
        <v>206</v>
      </c>
      <c r="AD67" s="106" t="s">
        <v>206</v>
      </c>
      <c r="AE67" s="106" t="s">
        <v>206</v>
      </c>
      <c r="AF67" s="106" t="s">
        <v>206</v>
      </c>
      <c r="AG67" s="106" t="s">
        <v>206</v>
      </c>
      <c r="AH67" s="106" t="s">
        <v>206</v>
      </c>
      <c r="AI67" s="1" t="s">
        <v>357</v>
      </c>
      <c r="AJ67" s="1" t="s">
        <v>206</v>
      </c>
      <c r="AK67" s="1" t="s">
        <v>430</v>
      </c>
      <c r="AL67" s="1" t="s">
        <v>197</v>
      </c>
      <c r="AM67" s="106" t="s">
        <v>27</v>
      </c>
      <c r="AN67" s="1" t="s">
        <v>357</v>
      </c>
      <c r="AO67" s="1" t="s">
        <v>208</v>
      </c>
      <c r="AP67" s="1" t="s">
        <v>206</v>
      </c>
      <c r="AQ67" s="1" t="s">
        <v>441</v>
      </c>
      <c r="AR67" s="1" t="s">
        <v>206</v>
      </c>
      <c r="AS67" s="106" t="s">
        <v>206</v>
      </c>
      <c r="AT67" s="1" t="s">
        <v>206</v>
      </c>
      <c r="AU67" s="106" t="s">
        <v>206</v>
      </c>
      <c r="AV67" s="106" t="s">
        <v>206</v>
      </c>
      <c r="AW67" s="106" t="s">
        <v>35</v>
      </c>
      <c r="AX67" s="106" t="s">
        <v>206</v>
      </c>
      <c r="AY67" s="106" t="s">
        <v>206</v>
      </c>
      <c r="AZ67" s="1" t="s">
        <v>206</v>
      </c>
      <c r="BA67" s="106" t="s">
        <v>206</v>
      </c>
      <c r="BB67" s="106" t="s">
        <v>206</v>
      </c>
      <c r="BC67" s="106" t="s">
        <v>206</v>
      </c>
      <c r="BD67" s="106" t="s">
        <v>206</v>
      </c>
      <c r="BE67" s="106" t="s">
        <v>206</v>
      </c>
      <c r="BF67" s="107">
        <f>IF(AZ67="Não","Sim","Não")</f>
      </c>
      <c r="BG67" s="107">
        <f>IF(AZ67="NA","Sim","Não")</f>
      </c>
      <c r="BH67" s="106" t="s">
        <v>206</v>
      </c>
      <c r="BI67" s="1" t="s">
        <v>236</v>
      </c>
      <c r="BJ67" s="106" t="s">
        <v>36</v>
      </c>
      <c r="BK67" s="1" t="s">
        <v>497</v>
      </c>
      <c r="BL67" s="102">
        <v>20</v>
      </c>
      <c r="BM67" s="1" t="s">
        <v>208</v>
      </c>
      <c r="BN67" s="1" t="s">
        <v>208</v>
      </c>
      <c r="BO67" s="1" t="s">
        <v>497</v>
      </c>
      <c r="BP67" s="102">
        <v>20</v>
      </c>
      <c r="BQ67" s="1" t="s">
        <v>35</v>
      </c>
      <c r="BR67" s="1" t="s">
        <v>208</v>
      </c>
      <c r="BS67" s="106" t="s">
        <v>208</v>
      </c>
    </row>
    <row x14ac:dyDescent="0.25" r="68" customHeight="1" ht="17.25">
      <c r="A68" s="102">
        <v>67</v>
      </c>
      <c r="B68" s="1" t="s">
        <v>763</v>
      </c>
      <c r="C68" s="102">
        <v>1</v>
      </c>
      <c r="D68" s="61" t="s">
        <v>764</v>
      </c>
      <c r="E68" s="1" t="s">
        <v>105</v>
      </c>
      <c r="F68" s="1" t="s">
        <v>170</v>
      </c>
      <c r="G68" s="1" t="s">
        <v>39</v>
      </c>
      <c r="H68" s="1" t="s">
        <v>765</v>
      </c>
      <c r="I68" s="102">
        <v>1</v>
      </c>
      <c r="J68" s="1" t="s">
        <v>158</v>
      </c>
      <c r="K68" s="1" t="s">
        <v>22</v>
      </c>
      <c r="L68" s="103">
        <v>34820</v>
      </c>
      <c r="M68" s="104">
        <v>22</v>
      </c>
      <c r="N68" s="1" t="s">
        <v>175</v>
      </c>
      <c r="O68" s="1" t="s">
        <v>24</v>
      </c>
      <c r="P68" s="1" t="s">
        <v>365</v>
      </c>
      <c r="Q68" s="1" t="s">
        <v>766</v>
      </c>
      <c r="R68" s="54" t="s">
        <v>767</v>
      </c>
      <c r="S68" s="105">
        <v>132.7</v>
      </c>
      <c r="T68" s="54" t="s">
        <v>768</v>
      </c>
      <c r="U68" s="105">
        <v>49.7</v>
      </c>
      <c r="V68" s="62">
        <v>0</v>
      </c>
      <c r="W68" s="102">
        <v>0</v>
      </c>
      <c r="X68" s="62">
        <v>0</v>
      </c>
      <c r="Y68" s="102">
        <v>0</v>
      </c>
      <c r="Z68" s="62">
        <v>0</v>
      </c>
      <c r="AA68" s="102">
        <v>0</v>
      </c>
      <c r="AB68" s="57" t="s">
        <v>769</v>
      </c>
      <c r="AC68" s="106" t="s">
        <v>206</v>
      </c>
      <c r="AD68" s="106" t="s">
        <v>206</v>
      </c>
      <c r="AE68" s="106" t="s">
        <v>206</v>
      </c>
      <c r="AF68" s="106" t="s">
        <v>206</v>
      </c>
      <c r="AG68" s="106" t="s">
        <v>35</v>
      </c>
      <c r="AH68" s="106" t="s">
        <v>206</v>
      </c>
      <c r="AI68" s="1" t="s">
        <v>357</v>
      </c>
      <c r="AJ68" s="1" t="s">
        <v>206</v>
      </c>
      <c r="AK68" s="1" t="s">
        <v>770</v>
      </c>
      <c r="AL68" s="1" t="s">
        <v>197</v>
      </c>
      <c r="AM68" s="106" t="s">
        <v>27</v>
      </c>
      <c r="AN68" s="1" t="s">
        <v>357</v>
      </c>
      <c r="AO68" s="1" t="s">
        <v>208</v>
      </c>
      <c r="AP68" s="1" t="s">
        <v>206</v>
      </c>
      <c r="AQ68" s="1" t="s">
        <v>441</v>
      </c>
      <c r="AR68" s="1" t="s">
        <v>206</v>
      </c>
      <c r="AS68" s="106" t="s">
        <v>206</v>
      </c>
      <c r="AT68" s="1" t="s">
        <v>206</v>
      </c>
      <c r="AU68" s="106" t="s">
        <v>206</v>
      </c>
      <c r="AV68" s="106" t="s">
        <v>206</v>
      </c>
      <c r="AW68" s="106" t="s">
        <v>35</v>
      </c>
      <c r="AX68" s="106" t="s">
        <v>206</v>
      </c>
      <c r="AY68" s="106" t="s">
        <v>206</v>
      </c>
      <c r="AZ68" s="1" t="s">
        <v>206</v>
      </c>
      <c r="BA68" s="106" t="s">
        <v>206</v>
      </c>
      <c r="BB68" s="106" t="s">
        <v>206</v>
      </c>
      <c r="BC68" s="106" t="s">
        <v>206</v>
      </c>
      <c r="BD68" s="106" t="s">
        <v>206</v>
      </c>
      <c r="BE68" s="106" t="s">
        <v>206</v>
      </c>
      <c r="BF68" s="107">
        <f>IF(AZ68="Não","Sim","Não")</f>
      </c>
      <c r="BG68" s="107">
        <f>IF(AZ68="NA","Sim","Não")</f>
      </c>
      <c r="BH68" s="106" t="s">
        <v>206</v>
      </c>
      <c r="BI68" s="1" t="s">
        <v>236</v>
      </c>
      <c r="BJ68" s="106" t="s">
        <v>36</v>
      </c>
      <c r="BK68" s="1" t="s">
        <v>497</v>
      </c>
      <c r="BL68" s="102">
        <v>20</v>
      </c>
      <c r="BM68" s="1" t="s">
        <v>208</v>
      </c>
      <c r="BN68" s="1" t="s">
        <v>208</v>
      </c>
      <c r="BO68" s="1" t="s">
        <v>497</v>
      </c>
      <c r="BP68" s="102">
        <v>20</v>
      </c>
      <c r="BQ68" s="1" t="s">
        <v>206</v>
      </c>
      <c r="BR68" s="1" t="s">
        <v>227</v>
      </c>
      <c r="BS68" s="106" t="s">
        <v>37</v>
      </c>
    </row>
    <row x14ac:dyDescent="0.25" r="69" customHeight="1" ht="17.25">
      <c r="A69" s="102">
        <v>68</v>
      </c>
      <c r="B69" s="1" t="s">
        <v>771</v>
      </c>
      <c r="C69" s="102">
        <v>1</v>
      </c>
      <c r="D69" s="61" t="s">
        <v>764</v>
      </c>
      <c r="E69" s="1" t="s">
        <v>106</v>
      </c>
      <c r="F69" s="1" t="s">
        <v>22</v>
      </c>
      <c r="G69" s="1" t="s">
        <v>55</v>
      </c>
      <c r="H69" s="1" t="s">
        <v>772</v>
      </c>
      <c r="I69" s="102">
        <v>1</v>
      </c>
      <c r="J69" s="1" t="s">
        <v>158</v>
      </c>
      <c r="K69" s="1" t="s">
        <v>22</v>
      </c>
      <c r="L69" s="103">
        <v>34849</v>
      </c>
      <c r="M69" s="104">
        <v>22</v>
      </c>
      <c r="N69" s="1" t="s">
        <v>175</v>
      </c>
      <c r="O69" s="1" t="s">
        <v>24</v>
      </c>
      <c r="P69" s="1" t="s">
        <v>464</v>
      </c>
      <c r="Q69" s="1" t="s">
        <v>773</v>
      </c>
      <c r="R69" s="54" t="s">
        <v>774</v>
      </c>
      <c r="S69" s="105">
        <v>12.5</v>
      </c>
      <c r="T69" s="54" t="s">
        <v>775</v>
      </c>
      <c r="U69" s="102">
        <v>5</v>
      </c>
      <c r="V69" s="62">
        <v>0</v>
      </c>
      <c r="W69" s="102">
        <v>0</v>
      </c>
      <c r="X69" s="62">
        <v>0</v>
      </c>
      <c r="Y69" s="102">
        <v>0</v>
      </c>
      <c r="Z69" s="62">
        <v>0</v>
      </c>
      <c r="AA69" s="102">
        <v>0</v>
      </c>
      <c r="AB69" s="62">
        <v>0</v>
      </c>
      <c r="AC69" s="106" t="s">
        <v>206</v>
      </c>
      <c r="AD69" s="106" t="s">
        <v>206</v>
      </c>
      <c r="AE69" s="106" t="s">
        <v>206</v>
      </c>
      <c r="AF69" s="106" t="s">
        <v>206</v>
      </c>
      <c r="AG69" s="106" t="s">
        <v>206</v>
      </c>
      <c r="AH69" s="106" t="s">
        <v>206</v>
      </c>
      <c r="AI69" s="1" t="s">
        <v>357</v>
      </c>
      <c r="AJ69" s="1" t="s">
        <v>206</v>
      </c>
      <c r="AK69" s="1" t="s">
        <v>776</v>
      </c>
      <c r="AL69" s="1" t="s">
        <v>197</v>
      </c>
      <c r="AM69" s="106" t="s">
        <v>27</v>
      </c>
      <c r="AN69" s="1" t="s">
        <v>357</v>
      </c>
      <c r="AO69" s="1" t="s">
        <v>208</v>
      </c>
      <c r="AP69" s="1" t="s">
        <v>206</v>
      </c>
      <c r="AQ69" s="1" t="s">
        <v>441</v>
      </c>
      <c r="AR69" s="1" t="s">
        <v>206</v>
      </c>
      <c r="AS69" s="106" t="s">
        <v>206</v>
      </c>
      <c r="AT69" s="1" t="s">
        <v>206</v>
      </c>
      <c r="AU69" s="106" t="s">
        <v>206</v>
      </c>
      <c r="AV69" s="106" t="s">
        <v>206</v>
      </c>
      <c r="AW69" s="106" t="s">
        <v>35</v>
      </c>
      <c r="AX69" s="106" t="s">
        <v>206</v>
      </c>
      <c r="AY69" s="106" t="s">
        <v>206</v>
      </c>
      <c r="AZ69" s="1" t="s">
        <v>206</v>
      </c>
      <c r="BA69" s="106" t="s">
        <v>206</v>
      </c>
      <c r="BB69" s="106" t="s">
        <v>206</v>
      </c>
      <c r="BC69" s="106" t="s">
        <v>206</v>
      </c>
      <c r="BD69" s="106" t="s">
        <v>206</v>
      </c>
      <c r="BE69" s="106" t="s">
        <v>206</v>
      </c>
      <c r="BF69" s="107">
        <f>IF(AZ69="Não","Sim","Não")</f>
      </c>
      <c r="BG69" s="107">
        <f>IF(AZ69="NA","Sim","Não")</f>
      </c>
      <c r="BH69" s="106" t="s">
        <v>206</v>
      </c>
      <c r="BI69" s="1" t="s">
        <v>236</v>
      </c>
      <c r="BJ69" s="106" t="s">
        <v>36</v>
      </c>
      <c r="BK69" s="1" t="s">
        <v>497</v>
      </c>
      <c r="BL69" s="102">
        <v>20</v>
      </c>
      <c r="BM69" s="1" t="s">
        <v>208</v>
      </c>
      <c r="BN69" s="1" t="s">
        <v>208</v>
      </c>
      <c r="BO69" s="1" t="s">
        <v>497</v>
      </c>
      <c r="BP69" s="102">
        <v>20</v>
      </c>
      <c r="BQ69" s="1" t="s">
        <v>206</v>
      </c>
      <c r="BR69" s="1" t="s">
        <v>229</v>
      </c>
      <c r="BS69" s="106" t="s">
        <v>229</v>
      </c>
    </row>
    <row x14ac:dyDescent="0.25" r="70" customHeight="1" ht="17.25">
      <c r="A70" s="102">
        <v>69</v>
      </c>
      <c r="B70" s="1" t="s">
        <v>777</v>
      </c>
      <c r="C70" s="102">
        <v>1</v>
      </c>
      <c r="D70" s="61">
        <v>43040</v>
      </c>
      <c r="E70" s="1" t="s">
        <v>98</v>
      </c>
      <c r="F70" s="1" t="s">
        <v>170</v>
      </c>
      <c r="G70" s="1" t="s">
        <v>63</v>
      </c>
      <c r="H70" s="1" t="s">
        <v>778</v>
      </c>
      <c r="I70" s="102">
        <v>1</v>
      </c>
      <c r="J70" s="1" t="s">
        <v>158</v>
      </c>
      <c r="K70" s="1" t="s">
        <v>22</v>
      </c>
      <c r="L70" s="103">
        <v>35107</v>
      </c>
      <c r="M70" s="104">
        <v>21</v>
      </c>
      <c r="N70" s="1" t="s">
        <v>177</v>
      </c>
      <c r="O70" s="1" t="s">
        <v>24</v>
      </c>
      <c r="P70" s="1" t="s">
        <v>354</v>
      </c>
      <c r="Q70" s="1" t="s">
        <v>779</v>
      </c>
      <c r="R70" s="54" t="s">
        <v>780</v>
      </c>
      <c r="S70" s="105">
        <v>29.2</v>
      </c>
      <c r="T70" s="54" t="s">
        <v>781</v>
      </c>
      <c r="U70" s="105">
        <v>3.1</v>
      </c>
      <c r="V70" s="62">
        <v>0</v>
      </c>
      <c r="W70" s="102">
        <v>0</v>
      </c>
      <c r="X70" s="62">
        <v>0</v>
      </c>
      <c r="Y70" s="102">
        <v>0</v>
      </c>
      <c r="Z70" s="62">
        <v>0</v>
      </c>
      <c r="AA70" s="102">
        <v>0</v>
      </c>
      <c r="AB70" s="57" t="s">
        <v>782</v>
      </c>
      <c r="AC70" s="106" t="s">
        <v>206</v>
      </c>
      <c r="AD70" s="106" t="s">
        <v>206</v>
      </c>
      <c r="AE70" s="106" t="s">
        <v>206</v>
      </c>
      <c r="AF70" s="106" t="s">
        <v>206</v>
      </c>
      <c r="AG70" s="106" t="s">
        <v>35</v>
      </c>
      <c r="AH70" s="106" t="s">
        <v>206</v>
      </c>
      <c r="AI70" s="1" t="s">
        <v>357</v>
      </c>
      <c r="AJ70" s="1" t="s">
        <v>206</v>
      </c>
      <c r="AK70" s="1" t="s">
        <v>783</v>
      </c>
      <c r="AL70" s="1" t="s">
        <v>197</v>
      </c>
      <c r="AM70" s="106" t="s">
        <v>27</v>
      </c>
      <c r="AN70" s="1" t="s">
        <v>357</v>
      </c>
      <c r="AO70" s="1" t="s">
        <v>208</v>
      </c>
      <c r="AP70" s="1" t="s">
        <v>206</v>
      </c>
      <c r="AQ70" s="1" t="s">
        <v>441</v>
      </c>
      <c r="AR70" s="1" t="s">
        <v>206</v>
      </c>
      <c r="AS70" s="106" t="s">
        <v>206</v>
      </c>
      <c r="AT70" s="1" t="s">
        <v>206</v>
      </c>
      <c r="AU70" s="106" t="s">
        <v>206</v>
      </c>
      <c r="AV70" s="106" t="s">
        <v>206</v>
      </c>
      <c r="AW70" s="106" t="s">
        <v>35</v>
      </c>
      <c r="AX70" s="106" t="s">
        <v>206</v>
      </c>
      <c r="AY70" s="106" t="s">
        <v>206</v>
      </c>
      <c r="AZ70" s="1" t="s">
        <v>206</v>
      </c>
      <c r="BA70" s="106" t="s">
        <v>206</v>
      </c>
      <c r="BB70" s="106" t="s">
        <v>206</v>
      </c>
      <c r="BC70" s="106" t="s">
        <v>206</v>
      </c>
      <c r="BD70" s="106" t="s">
        <v>206</v>
      </c>
      <c r="BE70" s="106" t="s">
        <v>206</v>
      </c>
      <c r="BF70" s="107">
        <f>IF(AZ70="Não","Sim","Não")</f>
      </c>
      <c r="BG70" s="107">
        <f>IF(AZ70="NA","Sim","Não")</f>
      </c>
      <c r="BH70" s="106" t="s">
        <v>206</v>
      </c>
      <c r="BI70" s="1" t="s">
        <v>236</v>
      </c>
      <c r="BJ70" s="106" t="s">
        <v>36</v>
      </c>
      <c r="BK70" s="1" t="s">
        <v>497</v>
      </c>
      <c r="BL70" s="102">
        <v>20</v>
      </c>
      <c r="BM70" s="1" t="s">
        <v>208</v>
      </c>
      <c r="BN70" s="1" t="s">
        <v>208</v>
      </c>
      <c r="BO70" s="1" t="s">
        <v>497</v>
      </c>
      <c r="BP70" s="102">
        <v>20</v>
      </c>
      <c r="BQ70" s="1" t="s">
        <v>206</v>
      </c>
      <c r="BR70" s="1" t="s">
        <v>228</v>
      </c>
      <c r="BS70" s="106" t="s">
        <v>228</v>
      </c>
    </row>
    <row x14ac:dyDescent="0.25" r="71" customHeight="1" ht="17.25">
      <c r="A71" s="102">
        <v>70</v>
      </c>
      <c r="B71" s="1" t="s">
        <v>784</v>
      </c>
      <c r="C71" s="102">
        <v>0</v>
      </c>
      <c r="D71" s="61" t="s">
        <v>352</v>
      </c>
      <c r="E71" s="1" t="s">
        <v>76</v>
      </c>
      <c r="F71" s="1" t="s">
        <v>22</v>
      </c>
      <c r="G71" s="1" t="s">
        <v>60</v>
      </c>
      <c r="H71" s="1" t="s">
        <v>785</v>
      </c>
      <c r="I71" s="102">
        <v>1</v>
      </c>
      <c r="J71" s="1" t="s">
        <v>158</v>
      </c>
      <c r="K71" s="1" t="s">
        <v>22</v>
      </c>
      <c r="L71" s="103">
        <v>36181</v>
      </c>
      <c r="M71" s="104">
        <v>18</v>
      </c>
      <c r="N71" s="1" t="s">
        <v>176</v>
      </c>
      <c r="O71" s="1" t="s">
        <v>182</v>
      </c>
      <c r="P71" s="1" t="s">
        <v>365</v>
      </c>
      <c r="Q71" s="1" t="s">
        <v>786</v>
      </c>
      <c r="R71" s="62">
        <v>0</v>
      </c>
      <c r="S71" s="102">
        <v>0</v>
      </c>
      <c r="T71" s="54" t="s">
        <v>787</v>
      </c>
      <c r="U71" s="105">
        <v>30.3</v>
      </c>
      <c r="V71" s="62">
        <v>0</v>
      </c>
      <c r="W71" s="102">
        <v>0</v>
      </c>
      <c r="X71" s="62">
        <v>0</v>
      </c>
      <c r="Y71" s="102">
        <v>0</v>
      </c>
      <c r="Z71" s="62">
        <v>0</v>
      </c>
      <c r="AA71" s="102">
        <v>0</v>
      </c>
      <c r="AB71" s="62">
        <v>0</v>
      </c>
      <c r="AC71" s="106" t="s">
        <v>206</v>
      </c>
      <c r="AD71" s="106" t="s">
        <v>206</v>
      </c>
      <c r="AE71" s="106" t="s">
        <v>206</v>
      </c>
      <c r="AF71" s="106" t="s">
        <v>206</v>
      </c>
      <c r="AG71" s="106" t="s">
        <v>206</v>
      </c>
      <c r="AH71" s="106" t="s">
        <v>206</v>
      </c>
      <c r="AI71" s="1" t="s">
        <v>371</v>
      </c>
      <c r="AJ71" s="1" t="s">
        <v>206</v>
      </c>
      <c r="AK71" s="1" t="s">
        <v>770</v>
      </c>
      <c r="AL71" s="1" t="s">
        <v>198</v>
      </c>
      <c r="AM71" s="106" t="s">
        <v>27</v>
      </c>
      <c r="AN71" s="1" t="s">
        <v>357</v>
      </c>
      <c r="AO71" s="1" t="s">
        <v>208</v>
      </c>
      <c r="AP71" s="1" t="s">
        <v>206</v>
      </c>
      <c r="AQ71" s="1" t="s">
        <v>441</v>
      </c>
      <c r="AR71" s="1" t="s">
        <v>206</v>
      </c>
      <c r="AS71" s="106" t="s">
        <v>206</v>
      </c>
      <c r="AT71" s="1" t="s">
        <v>206</v>
      </c>
      <c r="AU71" s="106" t="s">
        <v>206</v>
      </c>
      <c r="AV71" s="106" t="s">
        <v>206</v>
      </c>
      <c r="AW71" s="106" t="s">
        <v>35</v>
      </c>
      <c r="AX71" s="106" t="s">
        <v>206</v>
      </c>
      <c r="AY71" s="106" t="s">
        <v>206</v>
      </c>
      <c r="AZ71" s="1" t="s">
        <v>206</v>
      </c>
      <c r="BA71" s="106" t="s">
        <v>206</v>
      </c>
      <c r="BB71" s="106" t="s">
        <v>206</v>
      </c>
      <c r="BC71" s="106" t="s">
        <v>206</v>
      </c>
      <c r="BD71" s="106" t="s">
        <v>206</v>
      </c>
      <c r="BE71" s="106" t="s">
        <v>206</v>
      </c>
      <c r="BF71" s="107">
        <f>IF(AZ71="Não","Sim","Não")</f>
      </c>
      <c r="BG71" s="107">
        <f>IF(AZ71="NA","Sim","Não")</f>
      </c>
      <c r="BH71" s="106" t="s">
        <v>206</v>
      </c>
      <c r="BI71" s="1" t="s">
        <v>236</v>
      </c>
      <c r="BJ71" s="106" t="s">
        <v>36</v>
      </c>
      <c r="BK71" s="1" t="s">
        <v>497</v>
      </c>
      <c r="BL71" s="102">
        <v>20</v>
      </c>
      <c r="BM71" s="1" t="s">
        <v>208</v>
      </c>
      <c r="BN71" s="1" t="s">
        <v>208</v>
      </c>
      <c r="BO71" s="1" t="s">
        <v>497</v>
      </c>
      <c r="BP71" s="102">
        <v>20</v>
      </c>
      <c r="BQ71" s="1" t="s">
        <v>206</v>
      </c>
      <c r="BR71" s="1" t="s">
        <v>227</v>
      </c>
      <c r="BS71" s="106" t="s">
        <v>37</v>
      </c>
    </row>
    <row x14ac:dyDescent="0.25" r="72" customHeight="1" ht="17.25">
      <c r="A72" s="102">
        <v>71</v>
      </c>
      <c r="B72" s="1" t="s">
        <v>784</v>
      </c>
      <c r="C72" s="102">
        <v>1</v>
      </c>
      <c r="D72" s="61" t="s">
        <v>352</v>
      </c>
      <c r="E72" s="1" t="s">
        <v>76</v>
      </c>
      <c r="F72" s="1" t="s">
        <v>22</v>
      </c>
      <c r="G72" s="1" t="s">
        <v>60</v>
      </c>
      <c r="H72" s="1" t="s">
        <v>788</v>
      </c>
      <c r="I72" s="102">
        <v>1</v>
      </c>
      <c r="J72" s="1" t="s">
        <v>158</v>
      </c>
      <c r="K72" s="1" t="s">
        <v>22</v>
      </c>
      <c r="L72" s="103">
        <v>35594</v>
      </c>
      <c r="M72" s="104">
        <v>20</v>
      </c>
      <c r="N72" s="1" t="s">
        <v>176</v>
      </c>
      <c r="O72" s="1" t="s">
        <v>182</v>
      </c>
      <c r="P72" s="1" t="s">
        <v>365</v>
      </c>
      <c r="Q72" s="1" t="s">
        <v>786</v>
      </c>
      <c r="R72" s="62">
        <v>0</v>
      </c>
      <c r="S72" s="102">
        <v>0</v>
      </c>
      <c r="T72" s="54" t="s">
        <v>787</v>
      </c>
      <c r="U72" s="105">
        <v>30.3</v>
      </c>
      <c r="V72" s="62">
        <v>0</v>
      </c>
      <c r="W72" s="102">
        <v>0</v>
      </c>
      <c r="X72" s="62">
        <v>0</v>
      </c>
      <c r="Y72" s="102">
        <v>0</v>
      </c>
      <c r="Z72" s="62">
        <v>0</v>
      </c>
      <c r="AA72" s="102">
        <v>0</v>
      </c>
      <c r="AB72" s="62">
        <v>0</v>
      </c>
      <c r="AC72" s="106" t="s">
        <v>206</v>
      </c>
      <c r="AD72" s="106" t="s">
        <v>206</v>
      </c>
      <c r="AE72" s="106" t="s">
        <v>206</v>
      </c>
      <c r="AF72" s="106" t="s">
        <v>206</v>
      </c>
      <c r="AG72" s="106" t="s">
        <v>206</v>
      </c>
      <c r="AH72" s="106" t="s">
        <v>206</v>
      </c>
      <c r="AI72" s="1" t="s">
        <v>371</v>
      </c>
      <c r="AJ72" s="1" t="s">
        <v>206</v>
      </c>
      <c r="AK72" s="1" t="s">
        <v>770</v>
      </c>
      <c r="AL72" s="1" t="s">
        <v>198</v>
      </c>
      <c r="AM72" s="106" t="s">
        <v>27</v>
      </c>
      <c r="AN72" s="1" t="s">
        <v>357</v>
      </c>
      <c r="AO72" s="1" t="s">
        <v>208</v>
      </c>
      <c r="AP72" s="1" t="s">
        <v>206</v>
      </c>
      <c r="AQ72" s="1" t="s">
        <v>441</v>
      </c>
      <c r="AR72" s="1" t="s">
        <v>206</v>
      </c>
      <c r="AS72" s="106" t="s">
        <v>206</v>
      </c>
      <c r="AT72" s="1" t="s">
        <v>206</v>
      </c>
      <c r="AU72" s="106" t="s">
        <v>206</v>
      </c>
      <c r="AV72" s="106" t="s">
        <v>206</v>
      </c>
      <c r="AW72" s="106" t="s">
        <v>35</v>
      </c>
      <c r="AX72" s="106" t="s">
        <v>206</v>
      </c>
      <c r="AY72" s="106" t="s">
        <v>206</v>
      </c>
      <c r="AZ72" s="1" t="s">
        <v>206</v>
      </c>
      <c r="BA72" s="106" t="s">
        <v>206</v>
      </c>
      <c r="BB72" s="106" t="s">
        <v>206</v>
      </c>
      <c r="BC72" s="106" t="s">
        <v>206</v>
      </c>
      <c r="BD72" s="106" t="s">
        <v>206</v>
      </c>
      <c r="BE72" s="106" t="s">
        <v>206</v>
      </c>
      <c r="BF72" s="107">
        <f>IF(AZ72="Não","Sim","Não")</f>
      </c>
      <c r="BG72" s="107">
        <f>IF(AZ72="NA","Sim","Não")</f>
      </c>
      <c r="BH72" s="106" t="s">
        <v>206</v>
      </c>
      <c r="BI72" s="1" t="s">
        <v>236</v>
      </c>
      <c r="BJ72" s="106" t="s">
        <v>36</v>
      </c>
      <c r="BK72" s="1" t="s">
        <v>497</v>
      </c>
      <c r="BL72" s="102">
        <v>20</v>
      </c>
      <c r="BM72" s="1" t="s">
        <v>208</v>
      </c>
      <c r="BN72" s="1" t="s">
        <v>208</v>
      </c>
      <c r="BO72" s="1" t="s">
        <v>497</v>
      </c>
      <c r="BP72" s="102">
        <v>20</v>
      </c>
      <c r="BQ72" s="1" t="s">
        <v>206</v>
      </c>
      <c r="BR72" s="1" t="s">
        <v>227</v>
      </c>
      <c r="BS72" s="106" t="s">
        <v>37</v>
      </c>
    </row>
    <row x14ac:dyDescent="0.25" r="73" customHeight="1" ht="17.25">
      <c r="A73" s="102">
        <v>72</v>
      </c>
      <c r="B73" s="1" t="s">
        <v>789</v>
      </c>
      <c r="C73" s="102">
        <v>1</v>
      </c>
      <c r="D73" s="61" t="s">
        <v>790</v>
      </c>
      <c r="E73" s="1" t="s">
        <v>130</v>
      </c>
      <c r="F73" s="1" t="s">
        <v>170</v>
      </c>
      <c r="G73" s="1" t="s">
        <v>50</v>
      </c>
      <c r="H73" s="1" t="s">
        <v>791</v>
      </c>
      <c r="I73" s="102">
        <v>1</v>
      </c>
      <c r="J73" s="1" t="s">
        <v>158</v>
      </c>
      <c r="K73" s="1" t="s">
        <v>22</v>
      </c>
      <c r="L73" s="103">
        <v>35969</v>
      </c>
      <c r="M73" s="104">
        <v>18</v>
      </c>
      <c r="N73" s="1" t="s">
        <v>175</v>
      </c>
      <c r="O73" s="1" t="s">
        <v>24</v>
      </c>
      <c r="P73" s="1" t="s">
        <v>365</v>
      </c>
      <c r="Q73" s="1" t="s">
        <v>792</v>
      </c>
      <c r="R73" s="62">
        <v>0</v>
      </c>
      <c r="S73" s="102">
        <v>0</v>
      </c>
      <c r="T73" s="54" t="s">
        <v>793</v>
      </c>
      <c r="U73" s="105">
        <v>68.5</v>
      </c>
      <c r="V73" s="54" t="s">
        <v>794</v>
      </c>
      <c r="W73" s="105">
        <v>0.05</v>
      </c>
      <c r="X73" s="62">
        <v>0</v>
      </c>
      <c r="Y73" s="102">
        <v>0</v>
      </c>
      <c r="Z73" s="62">
        <v>0</v>
      </c>
      <c r="AA73" s="102">
        <v>0</v>
      </c>
      <c r="AB73" s="62">
        <v>0</v>
      </c>
      <c r="AC73" s="106" t="s">
        <v>206</v>
      </c>
      <c r="AD73" s="106" t="s">
        <v>206</v>
      </c>
      <c r="AE73" s="106" t="s">
        <v>206</v>
      </c>
      <c r="AF73" s="106" t="s">
        <v>206</v>
      </c>
      <c r="AG73" s="106" t="s">
        <v>206</v>
      </c>
      <c r="AH73" s="106" t="s">
        <v>206</v>
      </c>
      <c r="AI73" s="1" t="s">
        <v>357</v>
      </c>
      <c r="AJ73" s="1" t="s">
        <v>206</v>
      </c>
      <c r="AK73" s="1" t="s">
        <v>455</v>
      </c>
      <c r="AL73" s="1" t="s">
        <v>197</v>
      </c>
      <c r="AM73" s="106" t="s">
        <v>27</v>
      </c>
      <c r="AN73" s="1" t="s">
        <v>357</v>
      </c>
      <c r="AO73" s="1" t="s">
        <v>208</v>
      </c>
      <c r="AP73" s="1" t="s">
        <v>206</v>
      </c>
      <c r="AQ73" s="1" t="s">
        <v>441</v>
      </c>
      <c r="AR73" s="1" t="s">
        <v>206</v>
      </c>
      <c r="AS73" s="106" t="s">
        <v>206</v>
      </c>
      <c r="AT73" s="1" t="s">
        <v>206</v>
      </c>
      <c r="AU73" s="106" t="s">
        <v>206</v>
      </c>
      <c r="AV73" s="106" t="s">
        <v>206</v>
      </c>
      <c r="AW73" s="106" t="s">
        <v>35</v>
      </c>
      <c r="AX73" s="106" t="s">
        <v>206</v>
      </c>
      <c r="AY73" s="106" t="s">
        <v>206</v>
      </c>
      <c r="AZ73" s="1" t="s">
        <v>206</v>
      </c>
      <c r="BA73" s="106" t="s">
        <v>206</v>
      </c>
      <c r="BB73" s="106" t="s">
        <v>206</v>
      </c>
      <c r="BC73" s="106" t="s">
        <v>206</v>
      </c>
      <c r="BD73" s="106" t="s">
        <v>206</v>
      </c>
      <c r="BE73" s="106" t="s">
        <v>206</v>
      </c>
      <c r="BF73" s="107">
        <f>IF(AZ73="Não","Sim","Não")</f>
      </c>
      <c r="BG73" s="107">
        <f>IF(AZ73="NA","Sim","Não")</f>
      </c>
      <c r="BH73" s="106" t="s">
        <v>206</v>
      </c>
      <c r="BI73" s="1" t="s">
        <v>236</v>
      </c>
      <c r="BJ73" s="106" t="s">
        <v>36</v>
      </c>
      <c r="BK73" s="1" t="s">
        <v>497</v>
      </c>
      <c r="BL73" s="102">
        <v>20</v>
      </c>
      <c r="BM73" s="1" t="s">
        <v>208</v>
      </c>
      <c r="BN73" s="1" t="s">
        <v>208</v>
      </c>
      <c r="BO73" s="1" t="s">
        <v>497</v>
      </c>
      <c r="BP73" s="102">
        <v>20</v>
      </c>
      <c r="BQ73" s="1" t="s">
        <v>35</v>
      </c>
      <c r="BR73" s="1" t="s">
        <v>208</v>
      </c>
      <c r="BS73" s="106" t="s">
        <v>208</v>
      </c>
    </row>
    <row x14ac:dyDescent="0.25" r="74" customHeight="1" ht="17.25">
      <c r="A74" s="102">
        <v>73</v>
      </c>
      <c r="B74" s="1" t="s">
        <v>795</v>
      </c>
      <c r="C74" s="102">
        <v>1</v>
      </c>
      <c r="D74" s="61" t="s">
        <v>796</v>
      </c>
      <c r="E74" s="1" t="s">
        <v>108</v>
      </c>
      <c r="F74" s="1" t="s">
        <v>170</v>
      </c>
      <c r="G74" s="1" t="s">
        <v>46</v>
      </c>
      <c r="H74" s="1" t="s">
        <v>797</v>
      </c>
      <c r="I74" s="102">
        <v>1</v>
      </c>
      <c r="J74" s="1" t="s">
        <v>158</v>
      </c>
      <c r="K74" s="1" t="s">
        <v>22</v>
      </c>
      <c r="L74" s="103">
        <v>35473</v>
      </c>
      <c r="M74" s="104">
        <v>19</v>
      </c>
      <c r="N74" s="1" t="s">
        <v>175</v>
      </c>
      <c r="O74" s="1" t="s">
        <v>24</v>
      </c>
      <c r="P74" s="1" t="s">
        <v>365</v>
      </c>
      <c r="Q74" s="1" t="s">
        <v>366</v>
      </c>
      <c r="R74" s="62">
        <v>0</v>
      </c>
      <c r="S74" s="102">
        <v>0</v>
      </c>
      <c r="T74" s="62">
        <v>0</v>
      </c>
      <c r="U74" s="102">
        <v>0</v>
      </c>
      <c r="V74" s="54" t="s">
        <v>798</v>
      </c>
      <c r="W74" s="105">
        <v>11.4</v>
      </c>
      <c r="X74" s="62">
        <v>0</v>
      </c>
      <c r="Y74" s="102">
        <v>0</v>
      </c>
      <c r="Z74" s="62">
        <v>0</v>
      </c>
      <c r="AA74" s="102">
        <v>0</v>
      </c>
      <c r="AB74" s="62">
        <v>0</v>
      </c>
      <c r="AC74" s="106" t="s">
        <v>206</v>
      </c>
      <c r="AD74" s="106" t="s">
        <v>206</v>
      </c>
      <c r="AE74" s="106" t="s">
        <v>206</v>
      </c>
      <c r="AF74" s="106" t="s">
        <v>206</v>
      </c>
      <c r="AG74" s="106" t="s">
        <v>206</v>
      </c>
      <c r="AH74" s="106" t="s">
        <v>206</v>
      </c>
      <c r="AI74" s="1" t="s">
        <v>357</v>
      </c>
      <c r="AJ74" s="1" t="s">
        <v>206</v>
      </c>
      <c r="AK74" s="1" t="s">
        <v>373</v>
      </c>
      <c r="AL74" s="1" t="s">
        <v>197</v>
      </c>
      <c r="AM74" s="106" t="s">
        <v>27</v>
      </c>
      <c r="AN74" s="1" t="s">
        <v>357</v>
      </c>
      <c r="AO74" s="1" t="s">
        <v>208</v>
      </c>
      <c r="AP74" s="1" t="s">
        <v>206</v>
      </c>
      <c r="AQ74" s="1" t="s">
        <v>441</v>
      </c>
      <c r="AR74" s="1" t="s">
        <v>206</v>
      </c>
      <c r="AS74" s="106" t="s">
        <v>206</v>
      </c>
      <c r="AT74" s="1" t="s">
        <v>206</v>
      </c>
      <c r="AU74" s="106" t="s">
        <v>206</v>
      </c>
      <c r="AV74" s="106" t="s">
        <v>206</v>
      </c>
      <c r="AW74" s="106" t="s">
        <v>35</v>
      </c>
      <c r="AX74" s="106" t="s">
        <v>206</v>
      </c>
      <c r="AY74" s="106" t="s">
        <v>206</v>
      </c>
      <c r="AZ74" s="1" t="s">
        <v>206</v>
      </c>
      <c r="BA74" s="106" t="s">
        <v>206</v>
      </c>
      <c r="BB74" s="106" t="s">
        <v>206</v>
      </c>
      <c r="BC74" s="106" t="s">
        <v>206</v>
      </c>
      <c r="BD74" s="106" t="s">
        <v>206</v>
      </c>
      <c r="BE74" s="106" t="s">
        <v>206</v>
      </c>
      <c r="BF74" s="107">
        <f>IF(AZ74="Não","Sim","Não")</f>
      </c>
      <c r="BG74" s="107">
        <f>IF(AZ74="NA","Sim","Não")</f>
      </c>
      <c r="BH74" s="106" t="s">
        <v>206</v>
      </c>
      <c r="BI74" s="1" t="s">
        <v>236</v>
      </c>
      <c r="BJ74" s="106" t="s">
        <v>36</v>
      </c>
      <c r="BK74" s="1" t="s">
        <v>497</v>
      </c>
      <c r="BL74" s="102">
        <v>20</v>
      </c>
      <c r="BM74" s="1" t="s">
        <v>208</v>
      </c>
      <c r="BN74" s="1" t="s">
        <v>208</v>
      </c>
      <c r="BO74" s="1" t="s">
        <v>497</v>
      </c>
      <c r="BP74" s="102">
        <v>20</v>
      </c>
      <c r="BQ74" s="1" t="s">
        <v>206</v>
      </c>
      <c r="BR74" s="1" t="s">
        <v>229</v>
      </c>
      <c r="BS74" s="106" t="s">
        <v>229</v>
      </c>
    </row>
    <row x14ac:dyDescent="0.25" r="75" customHeight="1" ht="17.25">
      <c r="A75" s="102">
        <v>74</v>
      </c>
      <c r="B75" s="1" t="s">
        <v>799</v>
      </c>
      <c r="C75" s="102">
        <v>1</v>
      </c>
      <c r="D75" s="61">
        <v>42921</v>
      </c>
      <c r="E75" s="1" t="s">
        <v>98</v>
      </c>
      <c r="F75" s="1" t="s">
        <v>170</v>
      </c>
      <c r="G75" s="1" t="s">
        <v>63</v>
      </c>
      <c r="H75" s="1" t="s">
        <v>800</v>
      </c>
      <c r="I75" s="102">
        <v>1</v>
      </c>
      <c r="J75" s="1" t="s">
        <v>158</v>
      </c>
      <c r="K75" s="1" t="s">
        <v>22</v>
      </c>
      <c r="L75" s="103">
        <v>35026</v>
      </c>
      <c r="M75" s="104">
        <v>21</v>
      </c>
      <c r="N75" s="1" t="s">
        <v>176</v>
      </c>
      <c r="O75" s="1" t="s">
        <v>182</v>
      </c>
      <c r="P75" s="1" t="s">
        <v>517</v>
      </c>
      <c r="Q75" s="1" t="s">
        <v>801</v>
      </c>
      <c r="R75" s="54" t="s">
        <v>802</v>
      </c>
      <c r="S75" s="105">
        <v>147.5</v>
      </c>
      <c r="T75" s="62">
        <v>0</v>
      </c>
      <c r="U75" s="102">
        <v>0</v>
      </c>
      <c r="V75" s="54" t="s">
        <v>803</v>
      </c>
      <c r="W75" s="105">
        <v>1.8</v>
      </c>
      <c r="X75" s="62">
        <v>0</v>
      </c>
      <c r="Y75" s="102">
        <v>0</v>
      </c>
      <c r="Z75" s="62">
        <v>0</v>
      </c>
      <c r="AA75" s="102">
        <v>0</v>
      </c>
      <c r="AB75" s="62">
        <v>0</v>
      </c>
      <c r="AC75" s="106" t="s">
        <v>206</v>
      </c>
      <c r="AD75" s="106" t="s">
        <v>206</v>
      </c>
      <c r="AE75" s="106" t="s">
        <v>206</v>
      </c>
      <c r="AF75" s="106" t="s">
        <v>206</v>
      </c>
      <c r="AG75" s="106" t="s">
        <v>206</v>
      </c>
      <c r="AH75" s="106" t="s">
        <v>206</v>
      </c>
      <c r="AI75" s="1" t="s">
        <v>357</v>
      </c>
      <c r="AJ75" s="1" t="s">
        <v>206</v>
      </c>
      <c r="AK75" s="1" t="s">
        <v>804</v>
      </c>
      <c r="AL75" s="1" t="s">
        <v>197</v>
      </c>
      <c r="AM75" s="106" t="s">
        <v>27</v>
      </c>
      <c r="AN75" s="1" t="s">
        <v>357</v>
      </c>
      <c r="AO75" s="1" t="s">
        <v>208</v>
      </c>
      <c r="AP75" s="1" t="s">
        <v>206</v>
      </c>
      <c r="AQ75" s="1" t="s">
        <v>441</v>
      </c>
      <c r="AR75" s="1" t="s">
        <v>206</v>
      </c>
      <c r="AS75" s="106" t="s">
        <v>206</v>
      </c>
      <c r="AT75" s="1" t="s">
        <v>206</v>
      </c>
      <c r="AU75" s="106" t="s">
        <v>206</v>
      </c>
      <c r="AV75" s="106" t="s">
        <v>206</v>
      </c>
      <c r="AW75" s="106" t="s">
        <v>35</v>
      </c>
      <c r="AX75" s="106" t="s">
        <v>206</v>
      </c>
      <c r="AY75" s="106" t="s">
        <v>206</v>
      </c>
      <c r="AZ75" s="1" t="s">
        <v>206</v>
      </c>
      <c r="BA75" s="106" t="s">
        <v>206</v>
      </c>
      <c r="BB75" s="106" t="s">
        <v>206</v>
      </c>
      <c r="BC75" s="106" t="s">
        <v>206</v>
      </c>
      <c r="BD75" s="106" t="s">
        <v>206</v>
      </c>
      <c r="BE75" s="106" t="s">
        <v>206</v>
      </c>
      <c r="BF75" s="107">
        <f>IF(AZ75="Não","Sim","Não")</f>
      </c>
      <c r="BG75" s="107">
        <f>IF(AZ75="NA","Sim","Não")</f>
      </c>
      <c r="BH75" s="106" t="s">
        <v>206</v>
      </c>
      <c r="BI75" s="1" t="s">
        <v>236</v>
      </c>
      <c r="BJ75" s="106" t="s">
        <v>36</v>
      </c>
      <c r="BK75" s="1" t="s">
        <v>497</v>
      </c>
      <c r="BL75" s="102">
        <v>20</v>
      </c>
      <c r="BM75" s="1" t="s">
        <v>208</v>
      </c>
      <c r="BN75" s="1" t="s">
        <v>208</v>
      </c>
      <c r="BO75" s="1" t="s">
        <v>497</v>
      </c>
      <c r="BP75" s="102">
        <v>20</v>
      </c>
      <c r="BQ75" s="1" t="s">
        <v>35</v>
      </c>
      <c r="BR75" s="1" t="s">
        <v>208</v>
      </c>
      <c r="BS75" s="106" t="s">
        <v>208</v>
      </c>
    </row>
    <row x14ac:dyDescent="0.25" r="76" customHeight="1" ht="17.25">
      <c r="A76" s="102">
        <v>75</v>
      </c>
      <c r="B76" s="1" t="s">
        <v>805</v>
      </c>
      <c r="C76" s="102">
        <v>1</v>
      </c>
      <c r="D76" s="61" t="s">
        <v>806</v>
      </c>
      <c r="E76" s="1" t="s">
        <v>86</v>
      </c>
      <c r="F76" s="1" t="s">
        <v>22</v>
      </c>
      <c r="G76" s="1" t="s">
        <v>50</v>
      </c>
      <c r="H76" s="1" t="s">
        <v>807</v>
      </c>
      <c r="I76" s="102">
        <v>1</v>
      </c>
      <c r="J76" s="1" t="s">
        <v>158</v>
      </c>
      <c r="K76" s="1" t="s">
        <v>22</v>
      </c>
      <c r="L76" s="103">
        <v>32855</v>
      </c>
      <c r="M76" s="104">
        <v>27</v>
      </c>
      <c r="N76" s="1" t="s">
        <v>176</v>
      </c>
      <c r="O76" s="1" t="s">
        <v>182</v>
      </c>
      <c r="P76" s="1" t="s">
        <v>464</v>
      </c>
      <c r="Q76" s="1" t="s">
        <v>366</v>
      </c>
      <c r="R76" s="62">
        <v>0</v>
      </c>
      <c r="S76" s="102">
        <v>0</v>
      </c>
      <c r="T76" s="62">
        <v>0</v>
      </c>
      <c r="U76" s="102">
        <v>0</v>
      </c>
      <c r="V76" s="54" t="s">
        <v>808</v>
      </c>
      <c r="W76" s="105">
        <v>2.1</v>
      </c>
      <c r="X76" s="62">
        <v>0</v>
      </c>
      <c r="Y76" s="102">
        <v>0</v>
      </c>
      <c r="Z76" s="62">
        <v>0</v>
      </c>
      <c r="AA76" s="102">
        <v>0</v>
      </c>
      <c r="AB76" s="62">
        <v>0</v>
      </c>
      <c r="AC76" s="106" t="s">
        <v>206</v>
      </c>
      <c r="AD76" s="106" t="s">
        <v>206</v>
      </c>
      <c r="AE76" s="106" t="s">
        <v>206</v>
      </c>
      <c r="AF76" s="106" t="s">
        <v>206</v>
      </c>
      <c r="AG76" s="106" t="s">
        <v>206</v>
      </c>
      <c r="AH76" s="106" t="s">
        <v>206</v>
      </c>
      <c r="AI76" s="1" t="s">
        <v>357</v>
      </c>
      <c r="AJ76" s="1" t="s">
        <v>206</v>
      </c>
      <c r="AK76" s="1" t="s">
        <v>776</v>
      </c>
      <c r="AL76" s="1" t="s">
        <v>197</v>
      </c>
      <c r="AM76" s="106" t="s">
        <v>27</v>
      </c>
      <c r="AN76" s="1" t="s">
        <v>357</v>
      </c>
      <c r="AO76" s="1" t="s">
        <v>208</v>
      </c>
      <c r="AP76" s="1" t="s">
        <v>206</v>
      </c>
      <c r="AQ76" s="1" t="s">
        <v>441</v>
      </c>
      <c r="AR76" s="1" t="s">
        <v>206</v>
      </c>
      <c r="AS76" s="106" t="s">
        <v>206</v>
      </c>
      <c r="AT76" s="1" t="s">
        <v>206</v>
      </c>
      <c r="AU76" s="106" t="s">
        <v>206</v>
      </c>
      <c r="AV76" s="106" t="s">
        <v>206</v>
      </c>
      <c r="AW76" s="106" t="s">
        <v>35</v>
      </c>
      <c r="AX76" s="106" t="s">
        <v>206</v>
      </c>
      <c r="AY76" s="106" t="s">
        <v>206</v>
      </c>
      <c r="AZ76" s="1" t="s">
        <v>206</v>
      </c>
      <c r="BA76" s="106" t="s">
        <v>206</v>
      </c>
      <c r="BB76" s="106" t="s">
        <v>206</v>
      </c>
      <c r="BC76" s="106" t="s">
        <v>206</v>
      </c>
      <c r="BD76" s="106" t="s">
        <v>206</v>
      </c>
      <c r="BE76" s="106" t="s">
        <v>206</v>
      </c>
      <c r="BF76" s="107">
        <f>IF(AZ76="Não","Sim","Não")</f>
      </c>
      <c r="BG76" s="107">
        <f>IF(AZ76="NA","Sim","Não")</f>
      </c>
      <c r="BH76" s="106" t="s">
        <v>206</v>
      </c>
      <c r="BI76" s="1" t="s">
        <v>236</v>
      </c>
      <c r="BJ76" s="106" t="s">
        <v>36</v>
      </c>
      <c r="BK76" s="1" t="s">
        <v>497</v>
      </c>
      <c r="BL76" s="102">
        <v>20</v>
      </c>
      <c r="BM76" s="1" t="s">
        <v>208</v>
      </c>
      <c r="BN76" s="1" t="s">
        <v>208</v>
      </c>
      <c r="BO76" s="1" t="s">
        <v>497</v>
      </c>
      <c r="BP76" s="102">
        <v>20</v>
      </c>
      <c r="BQ76" s="1" t="s">
        <v>35</v>
      </c>
      <c r="BR76" s="1" t="s">
        <v>208</v>
      </c>
      <c r="BS76" s="106" t="s">
        <v>208</v>
      </c>
    </row>
    <row x14ac:dyDescent="0.25" r="77" customHeight="1" ht="17.25">
      <c r="A77" s="102">
        <v>76</v>
      </c>
      <c r="B77" s="1" t="s">
        <v>809</v>
      </c>
      <c r="C77" s="102">
        <v>1</v>
      </c>
      <c r="D77" s="61" t="s">
        <v>363</v>
      </c>
      <c r="E77" s="1" t="s">
        <v>85</v>
      </c>
      <c r="F77" s="1" t="s">
        <v>22</v>
      </c>
      <c r="G77" s="1" t="s">
        <v>45</v>
      </c>
      <c r="H77" s="1" t="s">
        <v>810</v>
      </c>
      <c r="I77" s="102">
        <v>1</v>
      </c>
      <c r="J77" s="1" t="s">
        <v>158</v>
      </c>
      <c r="K77" s="1" t="s">
        <v>22</v>
      </c>
      <c r="L77" s="103">
        <v>35528</v>
      </c>
      <c r="M77" s="104">
        <v>19</v>
      </c>
      <c r="N77" s="1" t="s">
        <v>177</v>
      </c>
      <c r="O77" s="1" t="s">
        <v>24</v>
      </c>
      <c r="P77" s="1" t="s">
        <v>354</v>
      </c>
      <c r="Q77" s="1" t="s">
        <v>547</v>
      </c>
      <c r="R77" s="54" t="s">
        <v>811</v>
      </c>
      <c r="S77" s="102">
        <v>42</v>
      </c>
      <c r="T77" s="54" t="s">
        <v>812</v>
      </c>
      <c r="U77" s="102">
        <v>22</v>
      </c>
      <c r="V77" s="54" t="s">
        <v>813</v>
      </c>
      <c r="W77" s="105">
        <v>2.5</v>
      </c>
      <c r="X77" s="62">
        <v>0</v>
      </c>
      <c r="Y77" s="102">
        <v>0</v>
      </c>
      <c r="Z77" s="62">
        <v>0</v>
      </c>
      <c r="AA77" s="102">
        <v>0</v>
      </c>
      <c r="AB77" s="57" t="s">
        <v>814</v>
      </c>
      <c r="AC77" s="106" t="s">
        <v>206</v>
      </c>
      <c r="AD77" s="106" t="s">
        <v>206</v>
      </c>
      <c r="AE77" s="106" t="s">
        <v>206</v>
      </c>
      <c r="AF77" s="106" t="s">
        <v>206</v>
      </c>
      <c r="AG77" s="106" t="s">
        <v>35</v>
      </c>
      <c r="AH77" s="106" t="s">
        <v>206</v>
      </c>
      <c r="AI77" s="1" t="s">
        <v>357</v>
      </c>
      <c r="AJ77" s="1" t="s">
        <v>206</v>
      </c>
      <c r="AK77" s="1" t="s">
        <v>815</v>
      </c>
      <c r="AL77" s="1" t="s">
        <v>197</v>
      </c>
      <c r="AM77" s="106" t="s">
        <v>27</v>
      </c>
      <c r="AN77" s="1" t="s">
        <v>357</v>
      </c>
      <c r="AO77" s="1" t="s">
        <v>208</v>
      </c>
      <c r="AP77" s="1" t="s">
        <v>206</v>
      </c>
      <c r="AQ77" s="1" t="s">
        <v>441</v>
      </c>
      <c r="AR77" s="1" t="s">
        <v>206</v>
      </c>
      <c r="AS77" s="106" t="s">
        <v>206</v>
      </c>
      <c r="AT77" s="1" t="s">
        <v>206</v>
      </c>
      <c r="AU77" s="106" t="s">
        <v>206</v>
      </c>
      <c r="AV77" s="106" t="s">
        <v>206</v>
      </c>
      <c r="AW77" s="106" t="s">
        <v>35</v>
      </c>
      <c r="AX77" s="106" t="s">
        <v>206</v>
      </c>
      <c r="AY77" s="106" t="s">
        <v>206</v>
      </c>
      <c r="AZ77" s="1" t="s">
        <v>206</v>
      </c>
      <c r="BA77" s="106" t="s">
        <v>206</v>
      </c>
      <c r="BB77" s="106" t="s">
        <v>206</v>
      </c>
      <c r="BC77" s="106" t="s">
        <v>206</v>
      </c>
      <c r="BD77" s="106" t="s">
        <v>206</v>
      </c>
      <c r="BE77" s="106" t="s">
        <v>206</v>
      </c>
      <c r="BF77" s="107">
        <f>IF(AZ77="Não","Sim","Não")</f>
      </c>
      <c r="BG77" s="107">
        <f>IF(AZ77="NA","Sim","Não")</f>
      </c>
      <c r="BH77" s="106" t="s">
        <v>206</v>
      </c>
      <c r="BI77" s="1" t="s">
        <v>236</v>
      </c>
      <c r="BJ77" s="106" t="s">
        <v>36</v>
      </c>
      <c r="BK77" s="1" t="s">
        <v>497</v>
      </c>
      <c r="BL77" s="102">
        <v>20</v>
      </c>
      <c r="BM77" s="1" t="s">
        <v>208</v>
      </c>
      <c r="BN77" s="1" t="s">
        <v>208</v>
      </c>
      <c r="BO77" s="1" t="s">
        <v>497</v>
      </c>
      <c r="BP77" s="102">
        <v>20</v>
      </c>
      <c r="BQ77" s="1" t="s">
        <v>35</v>
      </c>
      <c r="BR77" s="1" t="s">
        <v>208</v>
      </c>
      <c r="BS77" s="106" t="s">
        <v>208</v>
      </c>
    </row>
    <row x14ac:dyDescent="0.25" r="78" customHeight="1" ht="17.25">
      <c r="A78" s="102">
        <v>77</v>
      </c>
      <c r="B78" s="1" t="s">
        <v>816</v>
      </c>
      <c r="C78" s="102">
        <v>1</v>
      </c>
      <c r="D78" s="61" t="s">
        <v>817</v>
      </c>
      <c r="E78" s="1" t="s">
        <v>96</v>
      </c>
      <c r="F78" s="1" t="s">
        <v>170</v>
      </c>
      <c r="G78" s="1" t="s">
        <v>67</v>
      </c>
      <c r="H78" s="1" t="s">
        <v>818</v>
      </c>
      <c r="I78" s="102">
        <v>1</v>
      </c>
      <c r="J78" s="1" t="s">
        <v>158</v>
      </c>
      <c r="K78" s="1" t="s">
        <v>170</v>
      </c>
      <c r="L78" s="103">
        <v>35613</v>
      </c>
      <c r="M78" s="104">
        <v>20</v>
      </c>
      <c r="N78" s="1" t="s">
        <v>175</v>
      </c>
      <c r="O78" s="1" t="s">
        <v>24</v>
      </c>
      <c r="P78" s="1" t="s">
        <v>464</v>
      </c>
      <c r="Q78" s="1" t="s">
        <v>819</v>
      </c>
      <c r="R78" s="54" t="s">
        <v>820</v>
      </c>
      <c r="S78" s="105">
        <v>4.4</v>
      </c>
      <c r="T78" s="54" t="s">
        <v>821</v>
      </c>
      <c r="U78" s="105">
        <v>1.5</v>
      </c>
      <c r="V78" s="54" t="s">
        <v>822</v>
      </c>
      <c r="W78" s="102">
        <v>3</v>
      </c>
      <c r="X78" s="62">
        <v>0</v>
      </c>
      <c r="Y78" s="102">
        <v>0</v>
      </c>
      <c r="Z78" s="62">
        <v>0</v>
      </c>
      <c r="AA78" s="102">
        <v>0</v>
      </c>
      <c r="AB78" s="62">
        <v>0</v>
      </c>
      <c r="AC78" s="106" t="s">
        <v>206</v>
      </c>
      <c r="AD78" s="106" t="s">
        <v>206</v>
      </c>
      <c r="AE78" s="106" t="s">
        <v>206</v>
      </c>
      <c r="AF78" s="106" t="s">
        <v>206</v>
      </c>
      <c r="AG78" s="106" t="s">
        <v>206</v>
      </c>
      <c r="AH78" s="106" t="s">
        <v>206</v>
      </c>
      <c r="AI78" s="1" t="s">
        <v>371</v>
      </c>
      <c r="AJ78" s="1" t="s">
        <v>206</v>
      </c>
      <c r="AK78" s="1" t="s">
        <v>823</v>
      </c>
      <c r="AL78" s="1" t="s">
        <v>198</v>
      </c>
      <c r="AM78" s="106" t="s">
        <v>27</v>
      </c>
      <c r="AN78" s="1" t="s">
        <v>357</v>
      </c>
      <c r="AO78" s="1" t="s">
        <v>208</v>
      </c>
      <c r="AP78" s="1" t="s">
        <v>206</v>
      </c>
      <c r="AQ78" s="1" t="s">
        <v>441</v>
      </c>
      <c r="AR78" s="1" t="s">
        <v>206</v>
      </c>
      <c r="AS78" s="106" t="s">
        <v>206</v>
      </c>
      <c r="AT78" s="1" t="s">
        <v>206</v>
      </c>
      <c r="AU78" s="106" t="s">
        <v>206</v>
      </c>
      <c r="AV78" s="106" t="s">
        <v>206</v>
      </c>
      <c r="AW78" s="106" t="s">
        <v>35</v>
      </c>
      <c r="AX78" s="106" t="s">
        <v>206</v>
      </c>
      <c r="AY78" s="106" t="s">
        <v>206</v>
      </c>
      <c r="AZ78" s="1" t="s">
        <v>206</v>
      </c>
      <c r="BA78" s="106" t="s">
        <v>206</v>
      </c>
      <c r="BB78" s="106" t="s">
        <v>206</v>
      </c>
      <c r="BC78" s="106" t="s">
        <v>206</v>
      </c>
      <c r="BD78" s="106" t="s">
        <v>206</v>
      </c>
      <c r="BE78" s="106" t="s">
        <v>206</v>
      </c>
      <c r="BF78" s="107">
        <f>IF(AZ78="Não","Sim","Não")</f>
      </c>
      <c r="BG78" s="107">
        <f>IF(AZ78="NA","Sim","Não")</f>
      </c>
      <c r="BH78" s="106" t="s">
        <v>206</v>
      </c>
      <c r="BI78" s="1" t="s">
        <v>236</v>
      </c>
      <c r="BJ78" s="106" t="s">
        <v>36</v>
      </c>
      <c r="BK78" s="1" t="s">
        <v>497</v>
      </c>
      <c r="BL78" s="102">
        <v>20</v>
      </c>
      <c r="BM78" s="1" t="s">
        <v>208</v>
      </c>
      <c r="BN78" s="1" t="s">
        <v>208</v>
      </c>
      <c r="BO78" s="1" t="s">
        <v>497</v>
      </c>
      <c r="BP78" s="102">
        <v>20</v>
      </c>
      <c r="BQ78" s="1" t="s">
        <v>35</v>
      </c>
      <c r="BR78" s="1" t="s">
        <v>208</v>
      </c>
      <c r="BS78" s="106" t="s">
        <v>208</v>
      </c>
    </row>
    <row x14ac:dyDescent="0.25" r="79" customHeight="1" ht="17.25">
      <c r="A79" s="102">
        <v>78</v>
      </c>
      <c r="B79" s="1" t="s">
        <v>824</v>
      </c>
      <c r="C79" s="102">
        <v>1</v>
      </c>
      <c r="D79" s="61" t="s">
        <v>825</v>
      </c>
      <c r="E79" s="1" t="s">
        <v>129</v>
      </c>
      <c r="F79" s="1" t="s">
        <v>170</v>
      </c>
      <c r="G79" s="1" t="s">
        <v>39</v>
      </c>
      <c r="H79" s="1" t="s">
        <v>826</v>
      </c>
      <c r="I79" s="102">
        <v>1</v>
      </c>
      <c r="J79" s="1" t="s">
        <v>158</v>
      </c>
      <c r="K79" s="1" t="s">
        <v>22</v>
      </c>
      <c r="L79" s="103">
        <v>36287</v>
      </c>
      <c r="M79" s="104">
        <v>18</v>
      </c>
      <c r="N79" s="1" t="s">
        <v>176</v>
      </c>
      <c r="O79" s="1" t="s">
        <v>182</v>
      </c>
      <c r="P79" s="1" t="s">
        <v>365</v>
      </c>
      <c r="Q79" s="1" t="s">
        <v>827</v>
      </c>
      <c r="R79" s="54" t="s">
        <v>828</v>
      </c>
      <c r="S79" s="105">
        <v>67.5</v>
      </c>
      <c r="T79" s="54" t="s">
        <v>829</v>
      </c>
      <c r="U79" s="105">
        <v>18.3</v>
      </c>
      <c r="V79" s="54" t="s">
        <v>830</v>
      </c>
      <c r="W79" s="105">
        <v>2.4</v>
      </c>
      <c r="X79" s="62">
        <v>0</v>
      </c>
      <c r="Y79" s="102">
        <v>0</v>
      </c>
      <c r="Z79" s="62">
        <v>0</v>
      </c>
      <c r="AA79" s="102">
        <v>0</v>
      </c>
      <c r="AB79" s="62">
        <v>0</v>
      </c>
      <c r="AC79" s="106" t="s">
        <v>206</v>
      </c>
      <c r="AD79" s="106" t="s">
        <v>206</v>
      </c>
      <c r="AE79" s="106" t="s">
        <v>206</v>
      </c>
      <c r="AF79" s="106" t="s">
        <v>206</v>
      </c>
      <c r="AG79" s="106" t="s">
        <v>206</v>
      </c>
      <c r="AH79" s="106" t="s">
        <v>206</v>
      </c>
      <c r="AI79" s="1" t="s">
        <v>357</v>
      </c>
      <c r="AJ79" s="1" t="s">
        <v>831</v>
      </c>
      <c r="AK79" s="1" t="s">
        <v>373</v>
      </c>
      <c r="AL79" s="1" t="s">
        <v>469</v>
      </c>
      <c r="AM79" s="106" t="s">
        <v>27</v>
      </c>
      <c r="AN79" s="1" t="s">
        <v>357</v>
      </c>
      <c r="AO79" s="1" t="s">
        <v>206</v>
      </c>
      <c r="AP79" s="1" t="s">
        <v>832</v>
      </c>
      <c r="AQ79" s="1" t="s">
        <v>386</v>
      </c>
      <c r="AR79" s="1" t="s">
        <v>206</v>
      </c>
      <c r="AS79" s="106" t="s">
        <v>206</v>
      </c>
      <c r="AT79" s="1" t="s">
        <v>29</v>
      </c>
      <c r="AU79" s="106" t="s">
        <v>206</v>
      </c>
      <c r="AV79" s="106" t="s">
        <v>35</v>
      </c>
      <c r="AW79" s="106" t="s">
        <v>206</v>
      </c>
      <c r="AX79" s="106" t="s">
        <v>206</v>
      </c>
      <c r="AY79" s="106" t="s">
        <v>35</v>
      </c>
      <c r="AZ79" s="1" t="s">
        <v>206</v>
      </c>
      <c r="BA79" s="106" t="s">
        <v>206</v>
      </c>
      <c r="BB79" s="106" t="s">
        <v>206</v>
      </c>
      <c r="BC79" s="106" t="s">
        <v>206</v>
      </c>
      <c r="BD79" s="106" t="s">
        <v>206</v>
      </c>
      <c r="BE79" s="106" t="s">
        <v>206</v>
      </c>
      <c r="BF79" s="107">
        <f>IF(AZ79="Não","Sim","Não")</f>
      </c>
      <c r="BG79" s="107">
        <f>IF(AZ79="NA","Sim","Não")</f>
      </c>
      <c r="BH79" s="106" t="s">
        <v>206</v>
      </c>
      <c r="BI79" s="1" t="s">
        <v>236</v>
      </c>
      <c r="BJ79" s="106" t="s">
        <v>36</v>
      </c>
      <c r="BK79" s="1" t="s">
        <v>497</v>
      </c>
      <c r="BL79" s="102">
        <v>20</v>
      </c>
      <c r="BM79" s="1" t="s">
        <v>208</v>
      </c>
      <c r="BN79" s="1" t="s">
        <v>208</v>
      </c>
      <c r="BO79" s="1" t="s">
        <v>497</v>
      </c>
      <c r="BP79" s="102">
        <v>20</v>
      </c>
      <c r="BQ79" s="1" t="s">
        <v>206</v>
      </c>
      <c r="BR79" s="1" t="s">
        <v>228</v>
      </c>
      <c r="BS79" s="106" t="s">
        <v>228</v>
      </c>
    </row>
    <row x14ac:dyDescent="0.25" r="80" customHeight="1" ht="17.25">
      <c r="A80" s="102">
        <v>79</v>
      </c>
      <c r="B80" s="1" t="s">
        <v>833</v>
      </c>
      <c r="C80" s="102">
        <v>1</v>
      </c>
      <c r="D80" s="61" t="s">
        <v>515</v>
      </c>
      <c r="E80" s="1" t="s">
        <v>109</v>
      </c>
      <c r="F80" s="1" t="s">
        <v>22</v>
      </c>
      <c r="G80" s="1" t="s">
        <v>69</v>
      </c>
      <c r="H80" s="1" t="s">
        <v>834</v>
      </c>
      <c r="I80" s="102">
        <v>1</v>
      </c>
      <c r="J80" s="1" t="s">
        <v>158</v>
      </c>
      <c r="K80" s="1" t="s">
        <v>22</v>
      </c>
      <c r="L80" s="103">
        <v>32975</v>
      </c>
      <c r="M80" s="104">
        <v>27</v>
      </c>
      <c r="N80" s="1" t="s">
        <v>177</v>
      </c>
      <c r="O80" s="1" t="s">
        <v>24</v>
      </c>
      <c r="P80" s="1" t="s">
        <v>365</v>
      </c>
      <c r="Q80" s="1" t="s">
        <v>716</v>
      </c>
      <c r="R80" s="54" t="s">
        <v>835</v>
      </c>
      <c r="S80" s="102">
        <v>32</v>
      </c>
      <c r="T80" s="54" t="s">
        <v>836</v>
      </c>
      <c r="U80" s="105">
        <v>30.3</v>
      </c>
      <c r="V80" s="54" t="s">
        <v>837</v>
      </c>
      <c r="W80" s="105">
        <v>3.7</v>
      </c>
      <c r="X80" s="62">
        <v>0</v>
      </c>
      <c r="Y80" s="102">
        <v>0</v>
      </c>
      <c r="Z80" s="62">
        <v>0</v>
      </c>
      <c r="AA80" s="102">
        <v>0</v>
      </c>
      <c r="AB80" s="62">
        <v>0</v>
      </c>
      <c r="AC80" s="106" t="s">
        <v>206</v>
      </c>
      <c r="AD80" s="106" t="s">
        <v>206</v>
      </c>
      <c r="AE80" s="106" t="s">
        <v>206</v>
      </c>
      <c r="AF80" s="106" t="s">
        <v>206</v>
      </c>
      <c r="AG80" s="106" t="s">
        <v>206</v>
      </c>
      <c r="AH80" s="106" t="s">
        <v>206</v>
      </c>
      <c r="AI80" s="1" t="s">
        <v>357</v>
      </c>
      <c r="AJ80" s="1" t="s">
        <v>206</v>
      </c>
      <c r="AK80" s="1" t="s">
        <v>838</v>
      </c>
      <c r="AL80" s="1" t="s">
        <v>197</v>
      </c>
      <c r="AM80" s="106" t="s">
        <v>27</v>
      </c>
      <c r="AN80" s="1" t="s">
        <v>357</v>
      </c>
      <c r="AO80" s="1" t="s">
        <v>208</v>
      </c>
      <c r="AP80" s="1" t="s">
        <v>206</v>
      </c>
      <c r="AQ80" s="1" t="s">
        <v>441</v>
      </c>
      <c r="AR80" s="1" t="s">
        <v>206</v>
      </c>
      <c r="AS80" s="106" t="s">
        <v>206</v>
      </c>
      <c r="AT80" s="1" t="s">
        <v>206</v>
      </c>
      <c r="AU80" s="106" t="s">
        <v>206</v>
      </c>
      <c r="AV80" s="106" t="s">
        <v>206</v>
      </c>
      <c r="AW80" s="106" t="s">
        <v>35</v>
      </c>
      <c r="AX80" s="106" t="s">
        <v>206</v>
      </c>
      <c r="AY80" s="106" t="s">
        <v>206</v>
      </c>
      <c r="AZ80" s="1" t="s">
        <v>206</v>
      </c>
      <c r="BA80" s="106" t="s">
        <v>206</v>
      </c>
      <c r="BB80" s="106" t="s">
        <v>206</v>
      </c>
      <c r="BC80" s="106" t="s">
        <v>206</v>
      </c>
      <c r="BD80" s="106" t="s">
        <v>206</v>
      </c>
      <c r="BE80" s="106" t="s">
        <v>206</v>
      </c>
      <c r="BF80" s="107">
        <f>IF(AZ80="Não","Sim","Não")</f>
      </c>
      <c r="BG80" s="107">
        <f>IF(AZ80="NA","Sim","Não")</f>
      </c>
      <c r="BH80" s="106" t="s">
        <v>206</v>
      </c>
      <c r="BI80" s="1" t="s">
        <v>236</v>
      </c>
      <c r="BJ80" s="106" t="s">
        <v>36</v>
      </c>
      <c r="BK80" s="1" t="s">
        <v>497</v>
      </c>
      <c r="BL80" s="102">
        <v>20</v>
      </c>
      <c r="BM80" s="1" t="s">
        <v>208</v>
      </c>
      <c r="BN80" s="1" t="s">
        <v>208</v>
      </c>
      <c r="BO80" s="1" t="s">
        <v>497</v>
      </c>
      <c r="BP80" s="102">
        <v>20</v>
      </c>
      <c r="BQ80" s="1" t="s">
        <v>35</v>
      </c>
      <c r="BR80" s="1" t="s">
        <v>208</v>
      </c>
      <c r="BS80" s="106" t="s">
        <v>208</v>
      </c>
    </row>
    <row x14ac:dyDescent="0.25" r="81" customHeight="1" ht="17.25">
      <c r="A81" s="102">
        <v>80</v>
      </c>
      <c r="B81" s="1" t="s">
        <v>839</v>
      </c>
      <c r="C81" s="102">
        <v>1</v>
      </c>
      <c r="D81" s="61" t="s">
        <v>840</v>
      </c>
      <c r="E81" s="1" t="s">
        <v>82</v>
      </c>
      <c r="F81" s="1" t="s">
        <v>22</v>
      </c>
      <c r="G81" s="1" t="s">
        <v>59</v>
      </c>
      <c r="H81" s="1" t="s">
        <v>841</v>
      </c>
      <c r="I81" s="102">
        <v>1</v>
      </c>
      <c r="J81" s="1" t="s">
        <v>158</v>
      </c>
      <c r="K81" s="1" t="s">
        <v>22</v>
      </c>
      <c r="L81" s="103">
        <v>27854</v>
      </c>
      <c r="M81" s="104">
        <v>41</v>
      </c>
      <c r="N81" s="1" t="s">
        <v>175</v>
      </c>
      <c r="O81" s="1" t="s">
        <v>24</v>
      </c>
      <c r="P81" s="1" t="s">
        <v>354</v>
      </c>
      <c r="Q81" s="1" t="s">
        <v>842</v>
      </c>
      <c r="R81" s="54" t="s">
        <v>843</v>
      </c>
      <c r="S81" s="105">
        <v>58.4</v>
      </c>
      <c r="T81" s="54" t="s">
        <v>844</v>
      </c>
      <c r="U81" s="102">
        <v>3</v>
      </c>
      <c r="V81" s="54" t="s">
        <v>845</v>
      </c>
      <c r="W81" s="102">
        <v>11</v>
      </c>
      <c r="X81" s="62">
        <v>0</v>
      </c>
      <c r="Y81" s="102">
        <v>0</v>
      </c>
      <c r="Z81" s="62">
        <v>0</v>
      </c>
      <c r="AA81" s="102">
        <v>0</v>
      </c>
      <c r="AB81" s="62">
        <v>0</v>
      </c>
      <c r="AC81" s="106" t="s">
        <v>206</v>
      </c>
      <c r="AD81" s="106" t="s">
        <v>206</v>
      </c>
      <c r="AE81" s="106" t="s">
        <v>206</v>
      </c>
      <c r="AF81" s="106" t="s">
        <v>206</v>
      </c>
      <c r="AG81" s="106" t="s">
        <v>206</v>
      </c>
      <c r="AH81" s="106" t="s">
        <v>206</v>
      </c>
      <c r="AI81" s="1" t="s">
        <v>357</v>
      </c>
      <c r="AJ81" s="1" t="s">
        <v>206</v>
      </c>
      <c r="AK81" s="1" t="s">
        <v>846</v>
      </c>
      <c r="AL81" s="1" t="s">
        <v>197</v>
      </c>
      <c r="AM81" s="106" t="s">
        <v>27</v>
      </c>
      <c r="AN81" s="1" t="s">
        <v>357</v>
      </c>
      <c r="AO81" s="1" t="s">
        <v>208</v>
      </c>
      <c r="AP81" s="1" t="s">
        <v>847</v>
      </c>
      <c r="AQ81" s="1" t="s">
        <v>386</v>
      </c>
      <c r="AR81" s="1" t="s">
        <v>206</v>
      </c>
      <c r="AS81" s="106" t="s">
        <v>206</v>
      </c>
      <c r="AT81" s="1" t="s">
        <v>28</v>
      </c>
      <c r="AU81" s="106" t="s">
        <v>35</v>
      </c>
      <c r="AV81" s="106" t="s">
        <v>206</v>
      </c>
      <c r="AW81" s="106" t="s">
        <v>206</v>
      </c>
      <c r="AX81" s="106" t="s">
        <v>206</v>
      </c>
      <c r="AY81" s="106" t="s">
        <v>35</v>
      </c>
      <c r="AZ81" s="1" t="s">
        <v>206</v>
      </c>
      <c r="BA81" s="106" t="s">
        <v>206</v>
      </c>
      <c r="BB81" s="106" t="s">
        <v>206</v>
      </c>
      <c r="BC81" s="106" t="s">
        <v>206</v>
      </c>
      <c r="BD81" s="106" t="s">
        <v>206</v>
      </c>
      <c r="BE81" s="106" t="s">
        <v>206</v>
      </c>
      <c r="BF81" s="107">
        <f>IF(AZ81="Não","Sim","Não")</f>
      </c>
      <c r="BG81" s="107">
        <f>IF(AZ81="NA","Sim","Não")</f>
      </c>
      <c r="BH81" s="106" t="s">
        <v>206</v>
      </c>
      <c r="BI81" s="1" t="s">
        <v>236</v>
      </c>
      <c r="BJ81" s="106" t="s">
        <v>36</v>
      </c>
      <c r="BK81" s="1" t="s">
        <v>497</v>
      </c>
      <c r="BL81" s="102">
        <v>20</v>
      </c>
      <c r="BM81" s="1" t="s">
        <v>208</v>
      </c>
      <c r="BN81" s="1" t="s">
        <v>208</v>
      </c>
      <c r="BO81" s="1" t="s">
        <v>497</v>
      </c>
      <c r="BP81" s="102">
        <v>20</v>
      </c>
      <c r="BQ81" s="1" t="s">
        <v>206</v>
      </c>
      <c r="BR81" s="1" t="s">
        <v>229</v>
      </c>
      <c r="BS81" s="106" t="s">
        <v>229</v>
      </c>
    </row>
    <row x14ac:dyDescent="0.25" r="82" customHeight="1" ht="17.25">
      <c r="A82" s="102">
        <v>81</v>
      </c>
      <c r="B82" s="1" t="s">
        <v>848</v>
      </c>
      <c r="C82" s="102">
        <v>1</v>
      </c>
      <c r="D82" s="61">
        <v>42879</v>
      </c>
      <c r="E82" s="1" t="s">
        <v>110</v>
      </c>
      <c r="F82" s="1" t="s">
        <v>170</v>
      </c>
      <c r="G82" s="1" t="s">
        <v>65</v>
      </c>
      <c r="H82" s="1" t="s">
        <v>849</v>
      </c>
      <c r="I82" s="102">
        <v>1</v>
      </c>
      <c r="J82" s="1" t="s">
        <v>158</v>
      </c>
      <c r="K82" s="1" t="s">
        <v>22</v>
      </c>
      <c r="L82" s="103">
        <v>34646</v>
      </c>
      <c r="M82" s="104">
        <v>22</v>
      </c>
      <c r="N82" s="1" t="s">
        <v>175</v>
      </c>
      <c r="O82" s="1" t="s">
        <v>24</v>
      </c>
      <c r="P82" s="1" t="s">
        <v>354</v>
      </c>
      <c r="Q82" s="1" t="s">
        <v>547</v>
      </c>
      <c r="R82" s="54" t="s">
        <v>850</v>
      </c>
      <c r="S82" s="105">
        <v>17.3</v>
      </c>
      <c r="T82" s="54" t="s">
        <v>851</v>
      </c>
      <c r="U82" s="105">
        <v>24.3</v>
      </c>
      <c r="V82" s="54" t="s">
        <v>852</v>
      </c>
      <c r="W82" s="105">
        <v>2.5</v>
      </c>
      <c r="X82" s="62">
        <v>0</v>
      </c>
      <c r="Y82" s="102">
        <v>0</v>
      </c>
      <c r="Z82" s="62">
        <v>0</v>
      </c>
      <c r="AA82" s="102">
        <v>0</v>
      </c>
      <c r="AB82" s="62">
        <v>0</v>
      </c>
      <c r="AC82" s="106" t="s">
        <v>206</v>
      </c>
      <c r="AD82" s="106" t="s">
        <v>206</v>
      </c>
      <c r="AE82" s="106" t="s">
        <v>206</v>
      </c>
      <c r="AF82" s="106" t="s">
        <v>206</v>
      </c>
      <c r="AG82" s="106" t="s">
        <v>206</v>
      </c>
      <c r="AH82" s="106" t="s">
        <v>206</v>
      </c>
      <c r="AI82" s="1" t="s">
        <v>357</v>
      </c>
      <c r="AJ82" s="1" t="s">
        <v>206</v>
      </c>
      <c r="AK82" s="1" t="s">
        <v>853</v>
      </c>
      <c r="AL82" s="1" t="s">
        <v>197</v>
      </c>
      <c r="AM82" s="106" t="s">
        <v>27</v>
      </c>
      <c r="AN82" s="1" t="s">
        <v>357</v>
      </c>
      <c r="AO82" s="1" t="s">
        <v>208</v>
      </c>
      <c r="AP82" s="1" t="s">
        <v>206</v>
      </c>
      <c r="AQ82" s="1" t="s">
        <v>441</v>
      </c>
      <c r="AR82" s="1" t="s">
        <v>206</v>
      </c>
      <c r="AS82" s="106" t="s">
        <v>206</v>
      </c>
      <c r="AT82" s="1" t="s">
        <v>206</v>
      </c>
      <c r="AU82" s="106" t="s">
        <v>206</v>
      </c>
      <c r="AV82" s="106" t="s">
        <v>206</v>
      </c>
      <c r="AW82" s="106" t="s">
        <v>35</v>
      </c>
      <c r="AX82" s="106" t="s">
        <v>206</v>
      </c>
      <c r="AY82" s="106" t="s">
        <v>206</v>
      </c>
      <c r="AZ82" s="1" t="s">
        <v>206</v>
      </c>
      <c r="BA82" s="106" t="s">
        <v>206</v>
      </c>
      <c r="BB82" s="106" t="s">
        <v>206</v>
      </c>
      <c r="BC82" s="106" t="s">
        <v>206</v>
      </c>
      <c r="BD82" s="106" t="s">
        <v>206</v>
      </c>
      <c r="BE82" s="106" t="s">
        <v>206</v>
      </c>
      <c r="BF82" s="107">
        <f>IF(AZ82="Não","Sim","Não")</f>
      </c>
      <c r="BG82" s="107">
        <f>IF(AZ82="NA","Sim","Não")</f>
      </c>
      <c r="BH82" s="106" t="s">
        <v>206</v>
      </c>
      <c r="BI82" s="1" t="s">
        <v>236</v>
      </c>
      <c r="BJ82" s="106" t="s">
        <v>36</v>
      </c>
      <c r="BK82" s="1" t="s">
        <v>497</v>
      </c>
      <c r="BL82" s="102">
        <v>20</v>
      </c>
      <c r="BM82" s="1" t="s">
        <v>208</v>
      </c>
      <c r="BN82" s="1" t="s">
        <v>208</v>
      </c>
      <c r="BO82" s="1" t="s">
        <v>497</v>
      </c>
      <c r="BP82" s="102">
        <v>20</v>
      </c>
      <c r="BQ82" s="1" t="s">
        <v>206</v>
      </c>
      <c r="BR82" s="1" t="s">
        <v>227</v>
      </c>
      <c r="BS82" s="106" t="s">
        <v>37</v>
      </c>
    </row>
    <row x14ac:dyDescent="0.25" r="83" customHeight="1" ht="17.25">
      <c r="A83" s="102">
        <v>82</v>
      </c>
      <c r="B83" s="1" t="s">
        <v>854</v>
      </c>
      <c r="C83" s="102">
        <v>1</v>
      </c>
      <c r="D83" s="61">
        <v>43033</v>
      </c>
      <c r="E83" s="1" t="s">
        <v>98</v>
      </c>
      <c r="F83" s="1" t="s">
        <v>170</v>
      </c>
      <c r="G83" s="1" t="s">
        <v>63</v>
      </c>
      <c r="H83" s="1" t="s">
        <v>855</v>
      </c>
      <c r="I83" s="102">
        <v>1</v>
      </c>
      <c r="J83" s="1" t="s">
        <v>158</v>
      </c>
      <c r="K83" s="1" t="s">
        <v>170</v>
      </c>
      <c r="L83" s="103">
        <v>34319</v>
      </c>
      <c r="M83" s="104">
        <v>23</v>
      </c>
      <c r="N83" s="1" t="s">
        <v>177</v>
      </c>
      <c r="O83" s="1" t="s">
        <v>24</v>
      </c>
      <c r="P83" s="1" t="s">
        <v>365</v>
      </c>
      <c r="Q83" s="1" t="s">
        <v>856</v>
      </c>
      <c r="R83" s="54" t="s">
        <v>857</v>
      </c>
      <c r="S83" s="105">
        <v>28.2</v>
      </c>
      <c r="T83" s="62">
        <v>0</v>
      </c>
      <c r="U83" s="102">
        <v>0</v>
      </c>
      <c r="V83" s="54" t="s">
        <v>858</v>
      </c>
      <c r="W83" s="105">
        <v>6.2</v>
      </c>
      <c r="X83" s="62">
        <v>0</v>
      </c>
      <c r="Y83" s="102">
        <v>0</v>
      </c>
      <c r="Z83" s="62">
        <v>0</v>
      </c>
      <c r="AA83" s="102">
        <v>0</v>
      </c>
      <c r="AB83" s="62">
        <v>0</v>
      </c>
      <c r="AC83" s="106" t="s">
        <v>206</v>
      </c>
      <c r="AD83" s="106" t="s">
        <v>206</v>
      </c>
      <c r="AE83" s="106" t="s">
        <v>206</v>
      </c>
      <c r="AF83" s="106" t="s">
        <v>206</v>
      </c>
      <c r="AG83" s="106" t="s">
        <v>206</v>
      </c>
      <c r="AH83" s="106" t="s">
        <v>206</v>
      </c>
      <c r="AI83" s="1" t="s">
        <v>357</v>
      </c>
      <c r="AJ83" s="1" t="s">
        <v>206</v>
      </c>
      <c r="AK83" s="1" t="s">
        <v>859</v>
      </c>
      <c r="AL83" s="1" t="s">
        <v>197</v>
      </c>
      <c r="AM83" s="106" t="s">
        <v>27</v>
      </c>
      <c r="AN83" s="1" t="s">
        <v>357</v>
      </c>
      <c r="AO83" s="1" t="s">
        <v>208</v>
      </c>
      <c r="AP83" s="1" t="s">
        <v>206</v>
      </c>
      <c r="AQ83" s="1" t="s">
        <v>441</v>
      </c>
      <c r="AR83" s="1" t="s">
        <v>206</v>
      </c>
      <c r="AS83" s="106" t="s">
        <v>206</v>
      </c>
      <c r="AT83" s="1" t="s">
        <v>206</v>
      </c>
      <c r="AU83" s="106" t="s">
        <v>206</v>
      </c>
      <c r="AV83" s="106" t="s">
        <v>206</v>
      </c>
      <c r="AW83" s="106" t="s">
        <v>35</v>
      </c>
      <c r="AX83" s="106" t="s">
        <v>206</v>
      </c>
      <c r="AY83" s="106" t="s">
        <v>206</v>
      </c>
      <c r="AZ83" s="1" t="s">
        <v>206</v>
      </c>
      <c r="BA83" s="106" t="s">
        <v>206</v>
      </c>
      <c r="BB83" s="106" t="s">
        <v>206</v>
      </c>
      <c r="BC83" s="106" t="s">
        <v>206</v>
      </c>
      <c r="BD83" s="106" t="s">
        <v>206</v>
      </c>
      <c r="BE83" s="106" t="s">
        <v>206</v>
      </c>
      <c r="BF83" s="107">
        <f>IF(AZ83="Não","Sim","Não")</f>
      </c>
      <c r="BG83" s="107">
        <f>IF(AZ83="NA","Sim","Não")</f>
      </c>
      <c r="BH83" s="106" t="s">
        <v>206</v>
      </c>
      <c r="BI83" s="1" t="s">
        <v>236</v>
      </c>
      <c r="BJ83" s="106" t="s">
        <v>36</v>
      </c>
      <c r="BK83" s="1" t="s">
        <v>497</v>
      </c>
      <c r="BL83" s="102">
        <v>20</v>
      </c>
      <c r="BM83" s="1" t="s">
        <v>208</v>
      </c>
      <c r="BN83" s="1" t="s">
        <v>208</v>
      </c>
      <c r="BO83" s="1" t="s">
        <v>497</v>
      </c>
      <c r="BP83" s="102">
        <v>20</v>
      </c>
      <c r="BQ83" s="1" t="s">
        <v>35</v>
      </c>
      <c r="BR83" s="1" t="s">
        <v>208</v>
      </c>
      <c r="BS83" s="106" t="s">
        <v>208</v>
      </c>
    </row>
    <row x14ac:dyDescent="0.25" r="84" customHeight="1" ht="17.25">
      <c r="A84" s="102">
        <v>83</v>
      </c>
      <c r="B84" s="1" t="s">
        <v>860</v>
      </c>
      <c r="C84" s="102">
        <v>1</v>
      </c>
      <c r="D84" s="61" t="s">
        <v>861</v>
      </c>
      <c r="E84" s="1" t="s">
        <v>104</v>
      </c>
      <c r="F84" s="1" t="s">
        <v>170</v>
      </c>
      <c r="G84" s="1" t="s">
        <v>69</v>
      </c>
      <c r="H84" s="1" t="s">
        <v>862</v>
      </c>
      <c r="I84" s="102">
        <v>1</v>
      </c>
      <c r="J84" s="1" t="s">
        <v>158</v>
      </c>
      <c r="K84" s="1" t="s">
        <v>22</v>
      </c>
      <c r="L84" s="103">
        <v>31841</v>
      </c>
      <c r="M84" s="104">
        <v>30</v>
      </c>
      <c r="N84" s="1" t="s">
        <v>176</v>
      </c>
      <c r="O84" s="1" t="s">
        <v>182</v>
      </c>
      <c r="P84" s="1" t="s">
        <v>365</v>
      </c>
      <c r="Q84" s="1" t="s">
        <v>863</v>
      </c>
      <c r="R84" s="54" t="s">
        <v>864</v>
      </c>
      <c r="S84" s="105">
        <v>23.5</v>
      </c>
      <c r="T84" s="54" t="s">
        <v>865</v>
      </c>
      <c r="U84" s="105">
        <v>17.8</v>
      </c>
      <c r="V84" s="54" t="s">
        <v>866</v>
      </c>
      <c r="W84" s="102">
        <v>7</v>
      </c>
      <c r="X84" s="62">
        <v>0</v>
      </c>
      <c r="Y84" s="102">
        <v>0</v>
      </c>
      <c r="Z84" s="62">
        <v>0</v>
      </c>
      <c r="AA84" s="102">
        <v>0</v>
      </c>
      <c r="AB84" s="62">
        <v>0</v>
      </c>
      <c r="AC84" s="106" t="s">
        <v>206</v>
      </c>
      <c r="AD84" s="106" t="s">
        <v>206</v>
      </c>
      <c r="AE84" s="106" t="s">
        <v>206</v>
      </c>
      <c r="AF84" s="106" t="s">
        <v>206</v>
      </c>
      <c r="AG84" s="106" t="s">
        <v>206</v>
      </c>
      <c r="AH84" s="106" t="s">
        <v>206</v>
      </c>
      <c r="AI84" s="1" t="s">
        <v>357</v>
      </c>
      <c r="AJ84" s="1" t="s">
        <v>206</v>
      </c>
      <c r="AK84" s="1" t="s">
        <v>867</v>
      </c>
      <c r="AL84" s="1" t="s">
        <v>197</v>
      </c>
      <c r="AM84" s="106" t="s">
        <v>27</v>
      </c>
      <c r="AN84" s="1" t="s">
        <v>357</v>
      </c>
      <c r="AO84" s="1" t="s">
        <v>208</v>
      </c>
      <c r="AP84" s="1" t="s">
        <v>206</v>
      </c>
      <c r="AQ84" s="1" t="s">
        <v>441</v>
      </c>
      <c r="AR84" s="1" t="s">
        <v>206</v>
      </c>
      <c r="AS84" s="106" t="s">
        <v>206</v>
      </c>
      <c r="AT84" s="1" t="s">
        <v>206</v>
      </c>
      <c r="AU84" s="106" t="s">
        <v>206</v>
      </c>
      <c r="AV84" s="106" t="s">
        <v>206</v>
      </c>
      <c r="AW84" s="106" t="s">
        <v>35</v>
      </c>
      <c r="AX84" s="106" t="s">
        <v>206</v>
      </c>
      <c r="AY84" s="106" t="s">
        <v>206</v>
      </c>
      <c r="AZ84" s="1" t="s">
        <v>206</v>
      </c>
      <c r="BA84" s="106" t="s">
        <v>206</v>
      </c>
      <c r="BB84" s="106" t="s">
        <v>206</v>
      </c>
      <c r="BC84" s="106" t="s">
        <v>206</v>
      </c>
      <c r="BD84" s="106" t="s">
        <v>206</v>
      </c>
      <c r="BE84" s="106" t="s">
        <v>206</v>
      </c>
      <c r="BF84" s="107">
        <f>IF(AZ84="Não","Sim","Não")</f>
      </c>
      <c r="BG84" s="107">
        <f>IF(AZ84="NA","Sim","Não")</f>
      </c>
      <c r="BH84" s="106" t="s">
        <v>206</v>
      </c>
      <c r="BI84" s="1" t="s">
        <v>236</v>
      </c>
      <c r="BJ84" s="106" t="s">
        <v>36</v>
      </c>
      <c r="BK84" s="1" t="s">
        <v>497</v>
      </c>
      <c r="BL84" s="102">
        <v>20</v>
      </c>
      <c r="BM84" s="1" t="s">
        <v>208</v>
      </c>
      <c r="BN84" s="1" t="s">
        <v>208</v>
      </c>
      <c r="BO84" s="1" t="s">
        <v>497</v>
      </c>
      <c r="BP84" s="102">
        <v>20</v>
      </c>
      <c r="BQ84" s="1" t="s">
        <v>35</v>
      </c>
      <c r="BR84" s="1" t="s">
        <v>208</v>
      </c>
      <c r="BS84" s="106" t="s">
        <v>208</v>
      </c>
    </row>
    <row x14ac:dyDescent="0.25" r="85" customHeight="1" ht="17.25">
      <c r="A85" s="102">
        <v>84</v>
      </c>
      <c r="B85" s="1" t="s">
        <v>868</v>
      </c>
      <c r="C85" s="102">
        <v>1</v>
      </c>
      <c r="D85" s="61" t="s">
        <v>628</v>
      </c>
      <c r="E85" s="1" t="s">
        <v>87</v>
      </c>
      <c r="F85" s="1" t="s">
        <v>22</v>
      </c>
      <c r="G85" s="1" t="s">
        <v>62</v>
      </c>
      <c r="H85" s="1" t="s">
        <v>869</v>
      </c>
      <c r="I85" s="102">
        <v>1</v>
      </c>
      <c r="J85" s="1" t="s">
        <v>163</v>
      </c>
      <c r="K85" s="1" t="s">
        <v>22</v>
      </c>
      <c r="L85" s="103">
        <v>32919</v>
      </c>
      <c r="M85" s="104">
        <v>27</v>
      </c>
      <c r="N85" s="1" t="s">
        <v>175</v>
      </c>
      <c r="O85" s="1" t="s">
        <v>24</v>
      </c>
      <c r="P85" s="1" t="s">
        <v>365</v>
      </c>
      <c r="Q85" s="1" t="s">
        <v>870</v>
      </c>
      <c r="R85" s="54" t="s">
        <v>871</v>
      </c>
      <c r="S85" s="102">
        <v>52</v>
      </c>
      <c r="T85" s="54" t="s">
        <v>872</v>
      </c>
      <c r="U85" s="105">
        <v>22.2</v>
      </c>
      <c r="V85" s="54" t="s">
        <v>873</v>
      </c>
      <c r="W85" s="102">
        <v>10</v>
      </c>
      <c r="X85" s="62">
        <v>0</v>
      </c>
      <c r="Y85" s="102">
        <v>0</v>
      </c>
      <c r="Z85" s="62">
        <v>0</v>
      </c>
      <c r="AA85" s="102">
        <v>0</v>
      </c>
      <c r="AB85" s="57" t="s">
        <v>874</v>
      </c>
      <c r="AC85" s="106" t="s">
        <v>206</v>
      </c>
      <c r="AD85" s="106" t="s">
        <v>206</v>
      </c>
      <c r="AE85" s="106" t="s">
        <v>35</v>
      </c>
      <c r="AF85" s="106" t="s">
        <v>206</v>
      </c>
      <c r="AG85" s="106" t="s">
        <v>206</v>
      </c>
      <c r="AH85" s="106" t="s">
        <v>206</v>
      </c>
      <c r="AI85" s="1" t="s">
        <v>357</v>
      </c>
      <c r="AJ85" s="1" t="s">
        <v>206</v>
      </c>
      <c r="AK85" s="1" t="s">
        <v>535</v>
      </c>
      <c r="AL85" s="1" t="s">
        <v>197</v>
      </c>
      <c r="AM85" s="106" t="s">
        <v>27</v>
      </c>
      <c r="AN85" s="1" t="s">
        <v>357</v>
      </c>
      <c r="AO85" s="1" t="s">
        <v>208</v>
      </c>
      <c r="AP85" s="1" t="s">
        <v>206</v>
      </c>
      <c r="AQ85" s="1" t="s">
        <v>441</v>
      </c>
      <c r="AR85" s="1" t="s">
        <v>206</v>
      </c>
      <c r="AS85" s="106" t="s">
        <v>206</v>
      </c>
      <c r="AT85" s="1" t="s">
        <v>206</v>
      </c>
      <c r="AU85" s="106" t="s">
        <v>206</v>
      </c>
      <c r="AV85" s="106" t="s">
        <v>206</v>
      </c>
      <c r="AW85" s="106" t="s">
        <v>35</v>
      </c>
      <c r="AX85" s="106" t="s">
        <v>206</v>
      </c>
      <c r="AY85" s="106" t="s">
        <v>206</v>
      </c>
      <c r="AZ85" s="1" t="s">
        <v>206</v>
      </c>
      <c r="BA85" s="106" t="s">
        <v>206</v>
      </c>
      <c r="BB85" s="106" t="s">
        <v>206</v>
      </c>
      <c r="BC85" s="106" t="s">
        <v>206</v>
      </c>
      <c r="BD85" s="106" t="s">
        <v>206</v>
      </c>
      <c r="BE85" s="106" t="s">
        <v>206</v>
      </c>
      <c r="BF85" s="107">
        <f>IF(AZ85="Não","Sim","Não")</f>
      </c>
      <c r="BG85" s="107">
        <f>IF(AZ85="NA","Sim","Não")</f>
      </c>
      <c r="BH85" s="106" t="s">
        <v>206</v>
      </c>
      <c r="BI85" s="1" t="s">
        <v>236</v>
      </c>
      <c r="BJ85" s="106" t="s">
        <v>36</v>
      </c>
      <c r="BK85" s="1" t="s">
        <v>497</v>
      </c>
      <c r="BL85" s="102">
        <v>20</v>
      </c>
      <c r="BM85" s="1" t="s">
        <v>208</v>
      </c>
      <c r="BN85" s="1" t="s">
        <v>208</v>
      </c>
      <c r="BO85" s="1" t="s">
        <v>497</v>
      </c>
      <c r="BP85" s="102">
        <v>20</v>
      </c>
      <c r="BQ85" s="1" t="s">
        <v>206</v>
      </c>
      <c r="BR85" s="1" t="s">
        <v>229</v>
      </c>
      <c r="BS85" s="106" t="s">
        <v>229</v>
      </c>
    </row>
    <row x14ac:dyDescent="0.25" r="86" customHeight="1" ht="17.25">
      <c r="A86" s="102">
        <v>85</v>
      </c>
      <c r="B86" s="1" t="s">
        <v>875</v>
      </c>
      <c r="C86" s="102">
        <v>1</v>
      </c>
      <c r="D86" s="61" t="s">
        <v>876</v>
      </c>
      <c r="E86" s="1" t="s">
        <v>102</v>
      </c>
      <c r="F86" s="1" t="s">
        <v>22</v>
      </c>
      <c r="G86" s="1" t="s">
        <v>56</v>
      </c>
      <c r="H86" s="1" t="s">
        <v>877</v>
      </c>
      <c r="I86" s="102">
        <v>1</v>
      </c>
      <c r="J86" s="1" t="s">
        <v>158</v>
      </c>
      <c r="K86" s="1" t="s">
        <v>22</v>
      </c>
      <c r="L86" s="103">
        <v>34226</v>
      </c>
      <c r="M86" s="104">
        <v>24</v>
      </c>
      <c r="N86" s="1" t="s">
        <v>175</v>
      </c>
      <c r="O86" s="1" t="s">
        <v>24</v>
      </c>
      <c r="P86" s="1" t="s">
        <v>464</v>
      </c>
      <c r="Q86" s="1" t="s">
        <v>878</v>
      </c>
      <c r="R86" s="54" t="s">
        <v>879</v>
      </c>
      <c r="S86" s="105">
        <v>17.9</v>
      </c>
      <c r="T86" s="54" t="s">
        <v>880</v>
      </c>
      <c r="U86" s="105">
        <v>16.6</v>
      </c>
      <c r="V86" s="54" t="s">
        <v>881</v>
      </c>
      <c r="W86" s="105">
        <v>3.95</v>
      </c>
      <c r="X86" s="62">
        <v>0</v>
      </c>
      <c r="Y86" s="102">
        <v>0</v>
      </c>
      <c r="Z86" s="62">
        <v>0</v>
      </c>
      <c r="AA86" s="102">
        <v>0</v>
      </c>
      <c r="AB86" s="62">
        <v>0</v>
      </c>
      <c r="AC86" s="106" t="s">
        <v>206</v>
      </c>
      <c r="AD86" s="106" t="s">
        <v>206</v>
      </c>
      <c r="AE86" s="106" t="s">
        <v>206</v>
      </c>
      <c r="AF86" s="106" t="s">
        <v>206</v>
      </c>
      <c r="AG86" s="106" t="s">
        <v>206</v>
      </c>
      <c r="AH86" s="106" t="s">
        <v>206</v>
      </c>
      <c r="AI86" s="1" t="s">
        <v>357</v>
      </c>
      <c r="AJ86" s="1" t="s">
        <v>206</v>
      </c>
      <c r="AK86" s="1" t="s">
        <v>882</v>
      </c>
      <c r="AL86" s="1" t="s">
        <v>197</v>
      </c>
      <c r="AM86" s="106" t="s">
        <v>27</v>
      </c>
      <c r="AN86" s="1" t="s">
        <v>357</v>
      </c>
      <c r="AO86" s="1" t="s">
        <v>208</v>
      </c>
      <c r="AP86" s="1" t="s">
        <v>206</v>
      </c>
      <c r="AQ86" s="1" t="s">
        <v>441</v>
      </c>
      <c r="AR86" s="1" t="s">
        <v>206</v>
      </c>
      <c r="AS86" s="106" t="s">
        <v>206</v>
      </c>
      <c r="AT86" s="1" t="s">
        <v>206</v>
      </c>
      <c r="AU86" s="106" t="s">
        <v>206</v>
      </c>
      <c r="AV86" s="106" t="s">
        <v>206</v>
      </c>
      <c r="AW86" s="106" t="s">
        <v>35</v>
      </c>
      <c r="AX86" s="106" t="s">
        <v>206</v>
      </c>
      <c r="AY86" s="106" t="s">
        <v>206</v>
      </c>
      <c r="AZ86" s="1" t="s">
        <v>206</v>
      </c>
      <c r="BA86" s="106" t="s">
        <v>206</v>
      </c>
      <c r="BB86" s="106" t="s">
        <v>206</v>
      </c>
      <c r="BC86" s="106" t="s">
        <v>206</v>
      </c>
      <c r="BD86" s="106" t="s">
        <v>206</v>
      </c>
      <c r="BE86" s="106" t="s">
        <v>206</v>
      </c>
      <c r="BF86" s="107">
        <f>IF(AZ86="Não","Sim","Não")</f>
      </c>
      <c r="BG86" s="107">
        <f>IF(AZ86="NA","Sim","Não")</f>
      </c>
      <c r="BH86" s="106" t="s">
        <v>206</v>
      </c>
      <c r="BI86" s="1" t="s">
        <v>236</v>
      </c>
      <c r="BJ86" s="106" t="s">
        <v>36</v>
      </c>
      <c r="BK86" s="1" t="s">
        <v>497</v>
      </c>
      <c r="BL86" s="102">
        <v>20</v>
      </c>
      <c r="BM86" s="1" t="s">
        <v>208</v>
      </c>
      <c r="BN86" s="1" t="s">
        <v>208</v>
      </c>
      <c r="BO86" s="1" t="s">
        <v>497</v>
      </c>
      <c r="BP86" s="102">
        <v>20</v>
      </c>
      <c r="BQ86" s="1" t="s">
        <v>35</v>
      </c>
      <c r="BR86" s="1" t="s">
        <v>208</v>
      </c>
      <c r="BS86" s="106" t="s">
        <v>208</v>
      </c>
    </row>
    <row x14ac:dyDescent="0.25" r="87" customHeight="1" ht="17.25">
      <c r="A87" s="102">
        <v>86</v>
      </c>
      <c r="B87" s="1" t="s">
        <v>883</v>
      </c>
      <c r="C87" s="102">
        <v>1</v>
      </c>
      <c r="D87" s="61" t="s">
        <v>704</v>
      </c>
      <c r="E87" s="1" t="s">
        <v>148</v>
      </c>
      <c r="F87" s="1" t="s">
        <v>170</v>
      </c>
      <c r="G87" s="1" t="s">
        <v>39</v>
      </c>
      <c r="H87" s="1" t="s">
        <v>884</v>
      </c>
      <c r="I87" s="102">
        <v>1</v>
      </c>
      <c r="J87" s="1" t="s">
        <v>158</v>
      </c>
      <c r="K87" s="1" t="s">
        <v>22</v>
      </c>
      <c r="L87" s="103">
        <v>35867</v>
      </c>
      <c r="M87" s="104">
        <v>19</v>
      </c>
      <c r="N87" s="1" t="s">
        <v>175</v>
      </c>
      <c r="O87" s="1" t="s">
        <v>24</v>
      </c>
      <c r="P87" s="1" t="s">
        <v>365</v>
      </c>
      <c r="Q87" s="1" t="s">
        <v>885</v>
      </c>
      <c r="R87" s="54" t="s">
        <v>886</v>
      </c>
      <c r="S87" s="105">
        <v>109.1</v>
      </c>
      <c r="T87" s="54" t="s">
        <v>887</v>
      </c>
      <c r="U87" s="105">
        <v>48.1</v>
      </c>
      <c r="V87" s="54" t="s">
        <v>888</v>
      </c>
      <c r="W87" s="105">
        <v>4.8</v>
      </c>
      <c r="X87" s="62">
        <v>0</v>
      </c>
      <c r="Y87" s="102">
        <v>0</v>
      </c>
      <c r="Z87" s="62">
        <v>0</v>
      </c>
      <c r="AA87" s="102">
        <v>0</v>
      </c>
      <c r="AB87" s="62">
        <v>0</v>
      </c>
      <c r="AC87" s="106" t="s">
        <v>206</v>
      </c>
      <c r="AD87" s="106" t="s">
        <v>206</v>
      </c>
      <c r="AE87" s="106" t="s">
        <v>206</v>
      </c>
      <c r="AF87" s="106" t="s">
        <v>206</v>
      </c>
      <c r="AG87" s="106" t="s">
        <v>206</v>
      </c>
      <c r="AH87" s="106" t="s">
        <v>206</v>
      </c>
      <c r="AI87" s="1" t="s">
        <v>357</v>
      </c>
      <c r="AJ87" s="1" t="s">
        <v>206</v>
      </c>
      <c r="AK87" s="1" t="s">
        <v>889</v>
      </c>
      <c r="AL87" s="1" t="s">
        <v>197</v>
      </c>
      <c r="AM87" s="106" t="s">
        <v>27</v>
      </c>
      <c r="AN87" s="1" t="s">
        <v>357</v>
      </c>
      <c r="AO87" s="1" t="s">
        <v>208</v>
      </c>
      <c r="AP87" s="1" t="s">
        <v>206</v>
      </c>
      <c r="AQ87" s="1" t="s">
        <v>441</v>
      </c>
      <c r="AR87" s="1" t="s">
        <v>206</v>
      </c>
      <c r="AS87" s="106" t="s">
        <v>206</v>
      </c>
      <c r="AT87" s="1" t="s">
        <v>206</v>
      </c>
      <c r="AU87" s="106" t="s">
        <v>206</v>
      </c>
      <c r="AV87" s="106" t="s">
        <v>206</v>
      </c>
      <c r="AW87" s="106" t="s">
        <v>35</v>
      </c>
      <c r="AX87" s="106" t="s">
        <v>206</v>
      </c>
      <c r="AY87" s="106" t="s">
        <v>206</v>
      </c>
      <c r="AZ87" s="1" t="s">
        <v>206</v>
      </c>
      <c r="BA87" s="106" t="s">
        <v>206</v>
      </c>
      <c r="BB87" s="106" t="s">
        <v>206</v>
      </c>
      <c r="BC87" s="106" t="s">
        <v>206</v>
      </c>
      <c r="BD87" s="106" t="s">
        <v>206</v>
      </c>
      <c r="BE87" s="106" t="s">
        <v>206</v>
      </c>
      <c r="BF87" s="107">
        <f>IF(AZ87="Não","Sim","Não")</f>
      </c>
      <c r="BG87" s="107">
        <f>IF(AZ87="NA","Sim","Não")</f>
      </c>
      <c r="BH87" s="106" t="s">
        <v>206</v>
      </c>
      <c r="BI87" s="1" t="s">
        <v>236</v>
      </c>
      <c r="BJ87" s="106" t="s">
        <v>36</v>
      </c>
      <c r="BK87" s="1" t="s">
        <v>497</v>
      </c>
      <c r="BL87" s="102">
        <v>20</v>
      </c>
      <c r="BM87" s="1" t="s">
        <v>208</v>
      </c>
      <c r="BN87" s="1" t="s">
        <v>208</v>
      </c>
      <c r="BO87" s="1" t="s">
        <v>497</v>
      </c>
      <c r="BP87" s="102">
        <v>20</v>
      </c>
      <c r="BQ87" s="1" t="s">
        <v>206</v>
      </c>
      <c r="BR87" s="1" t="s">
        <v>227</v>
      </c>
      <c r="BS87" s="106" t="s">
        <v>37</v>
      </c>
    </row>
    <row x14ac:dyDescent="0.25" r="88" customHeight="1" ht="17.25">
      <c r="A88" s="102">
        <v>87</v>
      </c>
      <c r="B88" s="1" t="s">
        <v>890</v>
      </c>
      <c r="C88" s="102">
        <v>1</v>
      </c>
      <c r="D88" s="61" t="s">
        <v>891</v>
      </c>
      <c r="E88" s="1" t="s">
        <v>130</v>
      </c>
      <c r="F88" s="1" t="s">
        <v>170</v>
      </c>
      <c r="G88" s="1" t="s">
        <v>50</v>
      </c>
      <c r="H88" s="1" t="s">
        <v>892</v>
      </c>
      <c r="I88" s="102">
        <v>1</v>
      </c>
      <c r="J88" s="1" t="s">
        <v>158</v>
      </c>
      <c r="K88" s="1" t="s">
        <v>22</v>
      </c>
      <c r="L88" s="103">
        <v>34568</v>
      </c>
      <c r="M88" s="104">
        <v>22</v>
      </c>
      <c r="N88" s="1" t="s">
        <v>175</v>
      </c>
      <c r="O88" s="1" t="s">
        <v>24</v>
      </c>
      <c r="P88" s="1" t="s">
        <v>354</v>
      </c>
      <c r="Q88" s="1" t="s">
        <v>366</v>
      </c>
      <c r="R88" s="54" t="s">
        <v>893</v>
      </c>
      <c r="S88" s="105">
        <v>13.5</v>
      </c>
      <c r="T88" s="62">
        <v>0</v>
      </c>
      <c r="U88" s="102">
        <v>0</v>
      </c>
      <c r="V88" s="54" t="s">
        <v>894</v>
      </c>
      <c r="W88" s="105">
        <v>5.7</v>
      </c>
      <c r="X88" s="62">
        <v>0</v>
      </c>
      <c r="Y88" s="102">
        <v>0</v>
      </c>
      <c r="Z88" s="62">
        <v>0</v>
      </c>
      <c r="AA88" s="102">
        <v>0</v>
      </c>
      <c r="AB88" s="62">
        <v>0</v>
      </c>
      <c r="AC88" s="106" t="s">
        <v>206</v>
      </c>
      <c r="AD88" s="106" t="s">
        <v>206</v>
      </c>
      <c r="AE88" s="106" t="s">
        <v>206</v>
      </c>
      <c r="AF88" s="106" t="s">
        <v>206</v>
      </c>
      <c r="AG88" s="106" t="s">
        <v>206</v>
      </c>
      <c r="AH88" s="106" t="s">
        <v>206</v>
      </c>
      <c r="AI88" s="1" t="s">
        <v>357</v>
      </c>
      <c r="AJ88" s="1" t="s">
        <v>206</v>
      </c>
      <c r="AK88" s="1" t="s">
        <v>853</v>
      </c>
      <c r="AL88" s="1" t="s">
        <v>197</v>
      </c>
      <c r="AM88" s="106" t="s">
        <v>27</v>
      </c>
      <c r="AN88" s="1" t="s">
        <v>357</v>
      </c>
      <c r="AO88" s="1" t="s">
        <v>208</v>
      </c>
      <c r="AP88" s="1" t="s">
        <v>206</v>
      </c>
      <c r="AQ88" s="1" t="s">
        <v>441</v>
      </c>
      <c r="AR88" s="1" t="s">
        <v>206</v>
      </c>
      <c r="AS88" s="106" t="s">
        <v>206</v>
      </c>
      <c r="AT88" s="1" t="s">
        <v>206</v>
      </c>
      <c r="AU88" s="106" t="s">
        <v>206</v>
      </c>
      <c r="AV88" s="106" t="s">
        <v>206</v>
      </c>
      <c r="AW88" s="106" t="s">
        <v>35</v>
      </c>
      <c r="AX88" s="106" t="s">
        <v>206</v>
      </c>
      <c r="AY88" s="106" t="s">
        <v>206</v>
      </c>
      <c r="AZ88" s="1" t="s">
        <v>206</v>
      </c>
      <c r="BA88" s="106" t="s">
        <v>206</v>
      </c>
      <c r="BB88" s="106" t="s">
        <v>206</v>
      </c>
      <c r="BC88" s="106" t="s">
        <v>206</v>
      </c>
      <c r="BD88" s="106" t="s">
        <v>206</v>
      </c>
      <c r="BE88" s="106" t="s">
        <v>206</v>
      </c>
      <c r="BF88" s="107">
        <f>IF(AZ88="Não","Sim","Não")</f>
      </c>
      <c r="BG88" s="107">
        <f>IF(AZ88="NA","Sim","Não")</f>
      </c>
      <c r="BH88" s="106" t="s">
        <v>206</v>
      </c>
      <c r="BI88" s="1" t="s">
        <v>236</v>
      </c>
      <c r="BJ88" s="106" t="s">
        <v>36</v>
      </c>
      <c r="BK88" s="1" t="s">
        <v>497</v>
      </c>
      <c r="BL88" s="102">
        <v>20</v>
      </c>
      <c r="BM88" s="1" t="s">
        <v>208</v>
      </c>
      <c r="BN88" s="1" t="s">
        <v>208</v>
      </c>
      <c r="BO88" s="1" t="s">
        <v>497</v>
      </c>
      <c r="BP88" s="102">
        <v>20</v>
      </c>
      <c r="BQ88" s="1" t="s">
        <v>35</v>
      </c>
      <c r="BR88" s="1" t="s">
        <v>208</v>
      </c>
      <c r="BS88" s="106" t="s">
        <v>208</v>
      </c>
    </row>
    <row x14ac:dyDescent="0.25" r="89" customHeight="1" ht="17.25">
      <c r="A89" s="102">
        <v>88</v>
      </c>
      <c r="B89" s="1" t="s">
        <v>895</v>
      </c>
      <c r="C89" s="102">
        <v>1</v>
      </c>
      <c r="D89" s="61" t="s">
        <v>896</v>
      </c>
      <c r="E89" s="1" t="s">
        <v>126</v>
      </c>
      <c r="F89" s="1" t="s">
        <v>170</v>
      </c>
      <c r="G89" s="1" t="s">
        <v>48</v>
      </c>
      <c r="H89" s="1" t="s">
        <v>897</v>
      </c>
      <c r="I89" s="102">
        <v>1</v>
      </c>
      <c r="J89" s="1" t="s">
        <v>158</v>
      </c>
      <c r="K89" s="1" t="s">
        <v>22</v>
      </c>
      <c r="L89" s="103">
        <v>32784</v>
      </c>
      <c r="M89" s="104">
        <v>27</v>
      </c>
      <c r="N89" s="1" t="s">
        <v>176</v>
      </c>
      <c r="O89" s="1" t="s">
        <v>182</v>
      </c>
      <c r="P89" s="1" t="s">
        <v>517</v>
      </c>
      <c r="Q89" s="1" t="s">
        <v>507</v>
      </c>
      <c r="R89" s="62">
        <v>0</v>
      </c>
      <c r="S89" s="102">
        <v>0</v>
      </c>
      <c r="T89" s="54" t="s">
        <v>898</v>
      </c>
      <c r="U89" s="105">
        <v>5.5</v>
      </c>
      <c r="V89" s="54" t="s">
        <v>899</v>
      </c>
      <c r="W89" s="105">
        <v>13.6</v>
      </c>
      <c r="X89" s="62">
        <v>0</v>
      </c>
      <c r="Y89" s="102">
        <v>0</v>
      </c>
      <c r="Z89" s="62">
        <v>0</v>
      </c>
      <c r="AA89" s="102">
        <v>0</v>
      </c>
      <c r="AB89" s="62">
        <v>0</v>
      </c>
      <c r="AC89" s="106" t="s">
        <v>206</v>
      </c>
      <c r="AD89" s="106" t="s">
        <v>206</v>
      </c>
      <c r="AE89" s="106" t="s">
        <v>206</v>
      </c>
      <c r="AF89" s="106" t="s">
        <v>206</v>
      </c>
      <c r="AG89" s="106" t="s">
        <v>206</v>
      </c>
      <c r="AH89" s="106" t="s">
        <v>206</v>
      </c>
      <c r="AI89" s="1" t="s">
        <v>357</v>
      </c>
      <c r="AJ89" s="1" t="s">
        <v>206</v>
      </c>
      <c r="AK89" s="1" t="s">
        <v>520</v>
      </c>
      <c r="AL89" s="1" t="s">
        <v>197</v>
      </c>
      <c r="AM89" s="106" t="s">
        <v>27</v>
      </c>
      <c r="AN89" s="1" t="s">
        <v>357</v>
      </c>
      <c r="AO89" s="1" t="s">
        <v>208</v>
      </c>
      <c r="AP89" s="1" t="s">
        <v>206</v>
      </c>
      <c r="AQ89" s="1" t="s">
        <v>441</v>
      </c>
      <c r="AR89" s="1" t="s">
        <v>206</v>
      </c>
      <c r="AS89" s="106" t="s">
        <v>206</v>
      </c>
      <c r="AT89" s="1" t="s">
        <v>206</v>
      </c>
      <c r="AU89" s="106" t="s">
        <v>206</v>
      </c>
      <c r="AV89" s="106" t="s">
        <v>206</v>
      </c>
      <c r="AW89" s="106" t="s">
        <v>35</v>
      </c>
      <c r="AX89" s="106" t="s">
        <v>206</v>
      </c>
      <c r="AY89" s="106" t="s">
        <v>206</v>
      </c>
      <c r="AZ89" s="1" t="s">
        <v>206</v>
      </c>
      <c r="BA89" s="106" t="s">
        <v>206</v>
      </c>
      <c r="BB89" s="106" t="s">
        <v>206</v>
      </c>
      <c r="BC89" s="106" t="s">
        <v>206</v>
      </c>
      <c r="BD89" s="106" t="s">
        <v>206</v>
      </c>
      <c r="BE89" s="106" t="s">
        <v>206</v>
      </c>
      <c r="BF89" s="107">
        <f>IF(AZ89="Não","Sim","Não")</f>
      </c>
      <c r="BG89" s="107">
        <f>IF(AZ89="NA","Sim","Não")</f>
      </c>
      <c r="BH89" s="106" t="s">
        <v>206</v>
      </c>
      <c r="BI89" s="1" t="s">
        <v>236</v>
      </c>
      <c r="BJ89" s="106" t="s">
        <v>36</v>
      </c>
      <c r="BK89" s="1" t="s">
        <v>497</v>
      </c>
      <c r="BL89" s="102">
        <v>20</v>
      </c>
      <c r="BM89" s="1" t="s">
        <v>208</v>
      </c>
      <c r="BN89" s="1" t="s">
        <v>208</v>
      </c>
      <c r="BO89" s="1" t="s">
        <v>497</v>
      </c>
      <c r="BP89" s="102">
        <v>20</v>
      </c>
      <c r="BQ89" s="1" t="s">
        <v>206</v>
      </c>
      <c r="BR89" s="1" t="s">
        <v>227</v>
      </c>
      <c r="BS89" s="106" t="s">
        <v>37</v>
      </c>
    </row>
    <row x14ac:dyDescent="0.25" r="90" customHeight="1" ht="17.25">
      <c r="A90" s="102">
        <v>89</v>
      </c>
      <c r="B90" s="1" t="s">
        <v>900</v>
      </c>
      <c r="C90" s="102">
        <v>1</v>
      </c>
      <c r="D90" s="61" t="s">
        <v>901</v>
      </c>
      <c r="E90" s="1" t="s">
        <v>118</v>
      </c>
      <c r="F90" s="1" t="s">
        <v>170</v>
      </c>
      <c r="G90" s="1" t="s">
        <v>67</v>
      </c>
      <c r="H90" s="1" t="s">
        <v>902</v>
      </c>
      <c r="I90" s="102">
        <v>1</v>
      </c>
      <c r="J90" s="1" t="s">
        <v>158</v>
      </c>
      <c r="K90" s="1" t="s">
        <v>22</v>
      </c>
      <c r="L90" s="103">
        <v>35730</v>
      </c>
      <c r="M90" s="104">
        <v>19</v>
      </c>
      <c r="N90" s="1" t="s">
        <v>176</v>
      </c>
      <c r="O90" s="1" t="s">
        <v>182</v>
      </c>
      <c r="P90" s="1" t="s">
        <v>517</v>
      </c>
      <c r="Q90" s="1" t="s">
        <v>903</v>
      </c>
      <c r="R90" s="62">
        <v>0</v>
      </c>
      <c r="S90" s="102">
        <v>0</v>
      </c>
      <c r="T90" s="62">
        <v>0</v>
      </c>
      <c r="U90" s="102">
        <v>0</v>
      </c>
      <c r="V90" s="54" t="s">
        <v>904</v>
      </c>
      <c r="W90" s="105">
        <v>17.1</v>
      </c>
      <c r="X90" s="62">
        <v>0</v>
      </c>
      <c r="Y90" s="102">
        <v>0</v>
      </c>
      <c r="Z90" s="62">
        <v>0</v>
      </c>
      <c r="AA90" s="102">
        <v>0</v>
      </c>
      <c r="AB90" s="62">
        <v>0</v>
      </c>
      <c r="AC90" s="106" t="s">
        <v>206</v>
      </c>
      <c r="AD90" s="106" t="s">
        <v>206</v>
      </c>
      <c r="AE90" s="106" t="s">
        <v>206</v>
      </c>
      <c r="AF90" s="106" t="s">
        <v>206</v>
      </c>
      <c r="AG90" s="106" t="s">
        <v>206</v>
      </c>
      <c r="AH90" s="106" t="s">
        <v>206</v>
      </c>
      <c r="AI90" s="1" t="s">
        <v>357</v>
      </c>
      <c r="AJ90" s="1" t="s">
        <v>206</v>
      </c>
      <c r="AK90" s="1" t="s">
        <v>430</v>
      </c>
      <c r="AL90" s="1" t="s">
        <v>197</v>
      </c>
      <c r="AM90" s="106" t="s">
        <v>27</v>
      </c>
      <c r="AN90" s="1" t="s">
        <v>357</v>
      </c>
      <c r="AO90" s="1" t="s">
        <v>208</v>
      </c>
      <c r="AP90" s="1" t="s">
        <v>206</v>
      </c>
      <c r="AQ90" s="1" t="s">
        <v>441</v>
      </c>
      <c r="AR90" s="1" t="s">
        <v>206</v>
      </c>
      <c r="AS90" s="106" t="s">
        <v>206</v>
      </c>
      <c r="AT90" s="1" t="s">
        <v>206</v>
      </c>
      <c r="AU90" s="106" t="s">
        <v>206</v>
      </c>
      <c r="AV90" s="106" t="s">
        <v>206</v>
      </c>
      <c r="AW90" s="106" t="s">
        <v>35</v>
      </c>
      <c r="AX90" s="106" t="s">
        <v>206</v>
      </c>
      <c r="AY90" s="106" t="s">
        <v>206</v>
      </c>
      <c r="AZ90" s="1" t="s">
        <v>206</v>
      </c>
      <c r="BA90" s="106" t="s">
        <v>206</v>
      </c>
      <c r="BB90" s="106" t="s">
        <v>206</v>
      </c>
      <c r="BC90" s="106" t="s">
        <v>206</v>
      </c>
      <c r="BD90" s="106" t="s">
        <v>206</v>
      </c>
      <c r="BE90" s="106" t="s">
        <v>206</v>
      </c>
      <c r="BF90" s="107">
        <f>IF(AZ90="Não","Sim","Não")</f>
      </c>
      <c r="BG90" s="107">
        <f>IF(AZ90="NA","Sim","Não")</f>
      </c>
      <c r="BH90" s="106" t="s">
        <v>206</v>
      </c>
      <c r="BI90" s="1" t="s">
        <v>236</v>
      </c>
      <c r="BJ90" s="106" t="s">
        <v>36</v>
      </c>
      <c r="BK90" s="1" t="s">
        <v>497</v>
      </c>
      <c r="BL90" s="102">
        <v>20</v>
      </c>
      <c r="BM90" s="1" t="s">
        <v>208</v>
      </c>
      <c r="BN90" s="1" t="s">
        <v>208</v>
      </c>
      <c r="BO90" s="1" t="s">
        <v>497</v>
      </c>
      <c r="BP90" s="102">
        <v>20</v>
      </c>
      <c r="BQ90" s="1" t="s">
        <v>206</v>
      </c>
      <c r="BR90" s="1" t="s">
        <v>229</v>
      </c>
      <c r="BS90" s="106" t="s">
        <v>229</v>
      </c>
    </row>
    <row x14ac:dyDescent="0.25" r="91" customHeight="1" ht="17.25">
      <c r="A91" s="102">
        <v>90</v>
      </c>
      <c r="B91" s="1" t="s">
        <v>905</v>
      </c>
      <c r="C91" s="102">
        <v>1</v>
      </c>
      <c r="D91" s="61" t="s">
        <v>906</v>
      </c>
      <c r="E91" s="1" t="s">
        <v>124</v>
      </c>
      <c r="F91" s="1" t="s">
        <v>170</v>
      </c>
      <c r="G91" s="1" t="s">
        <v>58</v>
      </c>
      <c r="H91" s="1" t="s">
        <v>907</v>
      </c>
      <c r="I91" s="102">
        <v>1</v>
      </c>
      <c r="J91" s="1" t="s">
        <v>158</v>
      </c>
      <c r="K91" s="1" t="s">
        <v>22</v>
      </c>
      <c r="L91" s="103">
        <v>34854</v>
      </c>
      <c r="M91" s="104">
        <v>21</v>
      </c>
      <c r="N91" s="1" t="s">
        <v>175</v>
      </c>
      <c r="O91" s="1" t="s">
        <v>24</v>
      </c>
      <c r="P91" s="1" t="s">
        <v>178</v>
      </c>
      <c r="Q91" s="1" t="s">
        <v>908</v>
      </c>
      <c r="R91" s="54" t="s">
        <v>909</v>
      </c>
      <c r="S91" s="105">
        <v>549.1</v>
      </c>
      <c r="T91" s="54" t="s">
        <v>910</v>
      </c>
      <c r="U91" s="102">
        <v>110</v>
      </c>
      <c r="V91" s="54" t="s">
        <v>911</v>
      </c>
      <c r="W91" s="102">
        <v>317</v>
      </c>
      <c r="X91" s="62">
        <v>0</v>
      </c>
      <c r="Y91" s="102">
        <v>0</v>
      </c>
      <c r="Z91" s="62">
        <v>0</v>
      </c>
      <c r="AA91" s="102">
        <v>0</v>
      </c>
      <c r="AB91" s="57" t="s">
        <v>912</v>
      </c>
      <c r="AC91" s="106" t="s">
        <v>206</v>
      </c>
      <c r="AD91" s="106" t="s">
        <v>206</v>
      </c>
      <c r="AE91" s="106" t="s">
        <v>206</v>
      </c>
      <c r="AF91" s="106" t="s">
        <v>206</v>
      </c>
      <c r="AG91" s="106" t="s">
        <v>35</v>
      </c>
      <c r="AH91" s="106" t="s">
        <v>206</v>
      </c>
      <c r="AI91" s="1" t="s">
        <v>371</v>
      </c>
      <c r="AJ91" s="1" t="s">
        <v>206</v>
      </c>
      <c r="AK91" s="1" t="s">
        <v>549</v>
      </c>
      <c r="AL91" s="1" t="s">
        <v>198</v>
      </c>
      <c r="AM91" s="106" t="s">
        <v>27</v>
      </c>
      <c r="AN91" s="1" t="s">
        <v>357</v>
      </c>
      <c r="AO91" s="1" t="s">
        <v>208</v>
      </c>
      <c r="AP91" s="1" t="s">
        <v>206</v>
      </c>
      <c r="AQ91" s="1" t="s">
        <v>441</v>
      </c>
      <c r="AR91" s="1" t="s">
        <v>206</v>
      </c>
      <c r="AS91" s="106" t="s">
        <v>206</v>
      </c>
      <c r="AT91" s="1" t="s">
        <v>206</v>
      </c>
      <c r="AU91" s="106" t="s">
        <v>206</v>
      </c>
      <c r="AV91" s="106" t="s">
        <v>206</v>
      </c>
      <c r="AW91" s="106" t="s">
        <v>35</v>
      </c>
      <c r="AX91" s="106" t="s">
        <v>206</v>
      </c>
      <c r="AY91" s="106" t="s">
        <v>206</v>
      </c>
      <c r="AZ91" s="1" t="s">
        <v>206</v>
      </c>
      <c r="BA91" s="106" t="s">
        <v>206</v>
      </c>
      <c r="BB91" s="106" t="s">
        <v>206</v>
      </c>
      <c r="BC91" s="106" t="s">
        <v>206</v>
      </c>
      <c r="BD91" s="106" t="s">
        <v>206</v>
      </c>
      <c r="BE91" s="106" t="s">
        <v>206</v>
      </c>
      <c r="BF91" s="107">
        <f>IF(AZ91="Não","Sim","Não")</f>
      </c>
      <c r="BG91" s="107">
        <f>IF(AZ91="NA","Sim","Não")</f>
      </c>
      <c r="BH91" s="106" t="s">
        <v>206</v>
      </c>
      <c r="BI91" s="1" t="s">
        <v>236</v>
      </c>
      <c r="BJ91" s="106" t="s">
        <v>36</v>
      </c>
      <c r="BK91" s="1" t="s">
        <v>497</v>
      </c>
      <c r="BL91" s="102">
        <v>20</v>
      </c>
      <c r="BM91" s="1" t="s">
        <v>208</v>
      </c>
      <c r="BN91" s="1" t="s">
        <v>208</v>
      </c>
      <c r="BO91" s="1" t="s">
        <v>497</v>
      </c>
      <c r="BP91" s="102">
        <v>20</v>
      </c>
      <c r="BQ91" s="1" t="s">
        <v>206</v>
      </c>
      <c r="BR91" s="1" t="s">
        <v>227</v>
      </c>
      <c r="BS91" s="106" t="s">
        <v>37</v>
      </c>
    </row>
    <row x14ac:dyDescent="0.25" r="92" customHeight="1" ht="17.25">
      <c r="A92" s="102">
        <v>91</v>
      </c>
      <c r="B92" s="1" t="s">
        <v>905</v>
      </c>
      <c r="C92" s="102">
        <v>0</v>
      </c>
      <c r="D92" s="61" t="s">
        <v>906</v>
      </c>
      <c r="E92" s="1" t="s">
        <v>124</v>
      </c>
      <c r="F92" s="1" t="s">
        <v>170</v>
      </c>
      <c r="G92" s="1" t="s">
        <v>58</v>
      </c>
      <c r="H92" s="1" t="s">
        <v>913</v>
      </c>
      <c r="I92" s="102">
        <v>1</v>
      </c>
      <c r="J92" s="1" t="s">
        <v>158</v>
      </c>
      <c r="K92" s="1" t="s">
        <v>22</v>
      </c>
      <c r="L92" s="103">
        <v>33541</v>
      </c>
      <c r="M92" s="104">
        <v>25</v>
      </c>
      <c r="N92" s="1" t="s">
        <v>175</v>
      </c>
      <c r="O92" s="1" t="s">
        <v>24</v>
      </c>
      <c r="P92" s="1" t="s">
        <v>517</v>
      </c>
      <c r="Q92" s="1" t="s">
        <v>908</v>
      </c>
      <c r="R92" s="54" t="s">
        <v>909</v>
      </c>
      <c r="S92" s="105">
        <v>549.1</v>
      </c>
      <c r="T92" s="54" t="s">
        <v>910</v>
      </c>
      <c r="U92" s="102">
        <v>110</v>
      </c>
      <c r="V92" s="54" t="s">
        <v>911</v>
      </c>
      <c r="W92" s="102">
        <v>317</v>
      </c>
      <c r="X92" s="62">
        <v>0</v>
      </c>
      <c r="Y92" s="102">
        <v>0</v>
      </c>
      <c r="Z92" s="62">
        <v>0</v>
      </c>
      <c r="AA92" s="102">
        <v>0</v>
      </c>
      <c r="AB92" s="57" t="s">
        <v>912</v>
      </c>
      <c r="AC92" s="106" t="s">
        <v>206</v>
      </c>
      <c r="AD92" s="106" t="s">
        <v>206</v>
      </c>
      <c r="AE92" s="106" t="s">
        <v>206</v>
      </c>
      <c r="AF92" s="106" t="s">
        <v>206</v>
      </c>
      <c r="AG92" s="106" t="s">
        <v>35</v>
      </c>
      <c r="AH92" s="106" t="s">
        <v>206</v>
      </c>
      <c r="AI92" s="1" t="s">
        <v>371</v>
      </c>
      <c r="AJ92" s="1" t="s">
        <v>206</v>
      </c>
      <c r="AK92" s="1" t="s">
        <v>549</v>
      </c>
      <c r="AL92" s="1" t="s">
        <v>198</v>
      </c>
      <c r="AM92" s="106" t="s">
        <v>27</v>
      </c>
      <c r="AN92" s="1" t="s">
        <v>357</v>
      </c>
      <c r="AO92" s="1" t="s">
        <v>208</v>
      </c>
      <c r="AP92" s="1" t="s">
        <v>206</v>
      </c>
      <c r="AQ92" s="1" t="s">
        <v>441</v>
      </c>
      <c r="AR92" s="1" t="s">
        <v>206</v>
      </c>
      <c r="AS92" s="106" t="s">
        <v>206</v>
      </c>
      <c r="AT92" s="1" t="s">
        <v>206</v>
      </c>
      <c r="AU92" s="106" t="s">
        <v>206</v>
      </c>
      <c r="AV92" s="106" t="s">
        <v>206</v>
      </c>
      <c r="AW92" s="106" t="s">
        <v>35</v>
      </c>
      <c r="AX92" s="106" t="s">
        <v>206</v>
      </c>
      <c r="AY92" s="106" t="s">
        <v>206</v>
      </c>
      <c r="AZ92" s="1" t="s">
        <v>206</v>
      </c>
      <c r="BA92" s="106" t="s">
        <v>206</v>
      </c>
      <c r="BB92" s="106" t="s">
        <v>206</v>
      </c>
      <c r="BC92" s="106" t="s">
        <v>206</v>
      </c>
      <c r="BD92" s="106" t="s">
        <v>206</v>
      </c>
      <c r="BE92" s="106" t="s">
        <v>206</v>
      </c>
      <c r="BF92" s="107">
        <f>IF(AZ92="Não","Sim","Não")</f>
      </c>
      <c r="BG92" s="107">
        <f>IF(AZ92="NA","Sim","Não")</f>
      </c>
      <c r="BH92" s="106" t="s">
        <v>206</v>
      </c>
      <c r="BI92" s="1" t="s">
        <v>236</v>
      </c>
      <c r="BJ92" s="106" t="s">
        <v>36</v>
      </c>
      <c r="BK92" s="1" t="s">
        <v>497</v>
      </c>
      <c r="BL92" s="102">
        <v>20</v>
      </c>
      <c r="BM92" s="1" t="s">
        <v>208</v>
      </c>
      <c r="BN92" s="1" t="s">
        <v>208</v>
      </c>
      <c r="BO92" s="1" t="s">
        <v>497</v>
      </c>
      <c r="BP92" s="102">
        <v>20</v>
      </c>
      <c r="BQ92" s="1" t="s">
        <v>206</v>
      </c>
      <c r="BR92" s="1" t="s">
        <v>227</v>
      </c>
      <c r="BS92" s="106" t="s">
        <v>37</v>
      </c>
    </row>
    <row x14ac:dyDescent="0.25" r="93" customHeight="1" ht="17.25">
      <c r="A93" s="102">
        <v>92</v>
      </c>
      <c r="B93" s="1" t="s">
        <v>914</v>
      </c>
      <c r="C93" s="102">
        <v>1</v>
      </c>
      <c r="D93" s="61">
        <v>42976</v>
      </c>
      <c r="E93" s="1" t="s">
        <v>110</v>
      </c>
      <c r="F93" s="1" t="s">
        <v>170</v>
      </c>
      <c r="G93" s="1" t="s">
        <v>65</v>
      </c>
      <c r="H93" s="1" t="s">
        <v>915</v>
      </c>
      <c r="I93" s="102">
        <v>1</v>
      </c>
      <c r="J93" s="1" t="s">
        <v>158</v>
      </c>
      <c r="K93" s="1" t="s">
        <v>22</v>
      </c>
      <c r="L93" s="103">
        <v>31657</v>
      </c>
      <c r="M93" s="104">
        <v>31</v>
      </c>
      <c r="N93" s="1" t="s">
        <v>175</v>
      </c>
      <c r="O93" s="1" t="s">
        <v>24</v>
      </c>
      <c r="P93" s="1" t="s">
        <v>365</v>
      </c>
      <c r="Q93" s="1" t="s">
        <v>518</v>
      </c>
      <c r="R93" s="54" t="s">
        <v>916</v>
      </c>
      <c r="S93" s="102">
        <v>40</v>
      </c>
      <c r="T93" s="54" t="s">
        <v>917</v>
      </c>
      <c r="U93" s="102">
        <v>8</v>
      </c>
      <c r="V93" s="54" t="s">
        <v>918</v>
      </c>
      <c r="W93" s="102">
        <v>6</v>
      </c>
      <c r="X93" s="62">
        <v>0</v>
      </c>
      <c r="Y93" s="102">
        <v>0</v>
      </c>
      <c r="Z93" s="62">
        <v>0</v>
      </c>
      <c r="AA93" s="102">
        <v>0</v>
      </c>
      <c r="AB93" s="62">
        <v>0</v>
      </c>
      <c r="AC93" s="106" t="s">
        <v>206</v>
      </c>
      <c r="AD93" s="106" t="s">
        <v>206</v>
      </c>
      <c r="AE93" s="106" t="s">
        <v>206</v>
      </c>
      <c r="AF93" s="106" t="s">
        <v>206</v>
      </c>
      <c r="AG93" s="106" t="s">
        <v>206</v>
      </c>
      <c r="AH93" s="106" t="s">
        <v>206</v>
      </c>
      <c r="AI93" s="1" t="s">
        <v>357</v>
      </c>
      <c r="AJ93" s="1" t="s">
        <v>206</v>
      </c>
      <c r="AK93" s="1" t="s">
        <v>919</v>
      </c>
      <c r="AL93" s="1" t="s">
        <v>197</v>
      </c>
      <c r="AM93" s="106" t="s">
        <v>27</v>
      </c>
      <c r="AN93" s="1" t="s">
        <v>357</v>
      </c>
      <c r="AO93" s="1" t="s">
        <v>208</v>
      </c>
      <c r="AP93" s="1" t="s">
        <v>206</v>
      </c>
      <c r="AQ93" s="1" t="s">
        <v>441</v>
      </c>
      <c r="AR93" s="1" t="s">
        <v>206</v>
      </c>
      <c r="AS93" s="106" t="s">
        <v>206</v>
      </c>
      <c r="AT93" s="1" t="s">
        <v>206</v>
      </c>
      <c r="AU93" s="106" t="s">
        <v>206</v>
      </c>
      <c r="AV93" s="106" t="s">
        <v>206</v>
      </c>
      <c r="AW93" s="106" t="s">
        <v>35</v>
      </c>
      <c r="AX93" s="106" t="s">
        <v>206</v>
      </c>
      <c r="AY93" s="106" t="s">
        <v>206</v>
      </c>
      <c r="AZ93" s="1" t="s">
        <v>206</v>
      </c>
      <c r="BA93" s="106" t="s">
        <v>206</v>
      </c>
      <c r="BB93" s="106" t="s">
        <v>206</v>
      </c>
      <c r="BC93" s="106" t="s">
        <v>206</v>
      </c>
      <c r="BD93" s="106" t="s">
        <v>206</v>
      </c>
      <c r="BE93" s="106" t="s">
        <v>206</v>
      </c>
      <c r="BF93" s="107">
        <f>IF(AZ93="Não","Sim","Não")</f>
      </c>
      <c r="BG93" s="107">
        <f>IF(AZ93="NA","Sim","Não")</f>
      </c>
      <c r="BH93" s="106" t="s">
        <v>206</v>
      </c>
      <c r="BI93" s="1" t="s">
        <v>236</v>
      </c>
      <c r="BJ93" s="106" t="s">
        <v>36</v>
      </c>
      <c r="BK93" s="1" t="s">
        <v>497</v>
      </c>
      <c r="BL93" s="102">
        <v>20</v>
      </c>
      <c r="BM93" s="1" t="s">
        <v>208</v>
      </c>
      <c r="BN93" s="1" t="s">
        <v>208</v>
      </c>
      <c r="BO93" s="1" t="s">
        <v>497</v>
      </c>
      <c r="BP93" s="102">
        <v>20</v>
      </c>
      <c r="BQ93" s="1" t="s">
        <v>206</v>
      </c>
      <c r="BR93" s="1" t="s">
        <v>227</v>
      </c>
      <c r="BS93" s="106" t="s">
        <v>37</v>
      </c>
    </row>
    <row x14ac:dyDescent="0.25" r="94" customHeight="1" ht="17.25">
      <c r="A94" s="102">
        <v>93</v>
      </c>
      <c r="B94" s="1" t="s">
        <v>920</v>
      </c>
      <c r="C94" s="102">
        <v>1</v>
      </c>
      <c r="D94" s="61" t="s">
        <v>921</v>
      </c>
      <c r="E94" s="1" t="s">
        <v>99</v>
      </c>
      <c r="F94" s="1" t="s">
        <v>170</v>
      </c>
      <c r="G94" s="1" t="s">
        <v>54</v>
      </c>
      <c r="H94" s="1" t="s">
        <v>922</v>
      </c>
      <c r="I94" s="102">
        <v>1</v>
      </c>
      <c r="J94" s="1" t="s">
        <v>158</v>
      </c>
      <c r="K94" s="1" t="s">
        <v>22</v>
      </c>
      <c r="L94" s="103">
        <v>35339</v>
      </c>
      <c r="M94" s="104">
        <v>20</v>
      </c>
      <c r="N94" s="1" t="s">
        <v>178</v>
      </c>
      <c r="O94" s="1" t="s">
        <v>24</v>
      </c>
      <c r="P94" s="1" t="s">
        <v>365</v>
      </c>
      <c r="Q94" s="1" t="s">
        <v>923</v>
      </c>
      <c r="R94" s="62">
        <v>0</v>
      </c>
      <c r="S94" s="102">
        <v>0</v>
      </c>
      <c r="T94" s="54" t="s">
        <v>924</v>
      </c>
      <c r="U94" s="105">
        <v>3.1</v>
      </c>
      <c r="V94" s="54" t="s">
        <v>925</v>
      </c>
      <c r="W94" s="105">
        <v>9.9</v>
      </c>
      <c r="X94" s="62">
        <v>0</v>
      </c>
      <c r="Y94" s="102">
        <v>0</v>
      </c>
      <c r="Z94" s="62">
        <v>0</v>
      </c>
      <c r="AA94" s="102">
        <v>0</v>
      </c>
      <c r="AB94" s="62">
        <v>0</v>
      </c>
      <c r="AC94" s="106" t="s">
        <v>206</v>
      </c>
      <c r="AD94" s="106" t="s">
        <v>206</v>
      </c>
      <c r="AE94" s="106" t="s">
        <v>206</v>
      </c>
      <c r="AF94" s="106" t="s">
        <v>206</v>
      </c>
      <c r="AG94" s="106" t="s">
        <v>206</v>
      </c>
      <c r="AH94" s="106" t="s">
        <v>206</v>
      </c>
      <c r="AI94" s="1" t="s">
        <v>357</v>
      </c>
      <c r="AJ94" s="1" t="s">
        <v>206</v>
      </c>
      <c r="AK94" s="1" t="s">
        <v>926</v>
      </c>
      <c r="AL94" s="1" t="s">
        <v>197</v>
      </c>
      <c r="AM94" s="106" t="s">
        <v>27</v>
      </c>
      <c r="AN94" s="1" t="s">
        <v>357</v>
      </c>
      <c r="AO94" s="1" t="s">
        <v>208</v>
      </c>
      <c r="AP94" s="1" t="s">
        <v>206</v>
      </c>
      <c r="AQ94" s="1" t="s">
        <v>441</v>
      </c>
      <c r="AR94" s="1" t="s">
        <v>206</v>
      </c>
      <c r="AS94" s="106" t="s">
        <v>206</v>
      </c>
      <c r="AT94" s="1" t="s">
        <v>206</v>
      </c>
      <c r="AU94" s="106" t="s">
        <v>206</v>
      </c>
      <c r="AV94" s="106" t="s">
        <v>206</v>
      </c>
      <c r="AW94" s="106" t="s">
        <v>35</v>
      </c>
      <c r="AX94" s="106" t="s">
        <v>206</v>
      </c>
      <c r="AY94" s="106" t="s">
        <v>206</v>
      </c>
      <c r="AZ94" s="1" t="s">
        <v>206</v>
      </c>
      <c r="BA94" s="106" t="s">
        <v>206</v>
      </c>
      <c r="BB94" s="106" t="s">
        <v>206</v>
      </c>
      <c r="BC94" s="106" t="s">
        <v>206</v>
      </c>
      <c r="BD94" s="106" t="s">
        <v>206</v>
      </c>
      <c r="BE94" s="106" t="s">
        <v>206</v>
      </c>
      <c r="BF94" s="107">
        <f>IF(AZ94="Não","Sim","Não")</f>
      </c>
      <c r="BG94" s="107">
        <f>IF(AZ94="NA","Sim","Não")</f>
      </c>
      <c r="BH94" s="106" t="s">
        <v>206</v>
      </c>
      <c r="BI94" s="1" t="s">
        <v>236</v>
      </c>
      <c r="BJ94" s="106" t="s">
        <v>36</v>
      </c>
      <c r="BK94" s="1" t="s">
        <v>497</v>
      </c>
      <c r="BL94" s="102">
        <v>20</v>
      </c>
      <c r="BM94" s="1" t="s">
        <v>208</v>
      </c>
      <c r="BN94" s="1" t="s">
        <v>208</v>
      </c>
      <c r="BO94" s="1" t="s">
        <v>497</v>
      </c>
      <c r="BP94" s="102">
        <v>20</v>
      </c>
      <c r="BQ94" s="1" t="s">
        <v>35</v>
      </c>
      <c r="BR94" s="1" t="s">
        <v>208</v>
      </c>
      <c r="BS94" s="106" t="s">
        <v>208</v>
      </c>
    </row>
    <row x14ac:dyDescent="0.25" r="95" customHeight="1" ht="17.25">
      <c r="A95" s="102">
        <v>94</v>
      </c>
      <c r="B95" s="1" t="s">
        <v>927</v>
      </c>
      <c r="C95" s="102">
        <v>1</v>
      </c>
      <c r="D95" s="61" t="s">
        <v>928</v>
      </c>
      <c r="E95" s="1" t="s">
        <v>129</v>
      </c>
      <c r="F95" s="1" t="s">
        <v>170</v>
      </c>
      <c r="G95" s="1" t="s">
        <v>39</v>
      </c>
      <c r="H95" s="1" t="s">
        <v>929</v>
      </c>
      <c r="I95" s="102">
        <v>1</v>
      </c>
      <c r="J95" s="1" t="s">
        <v>158</v>
      </c>
      <c r="K95" s="1" t="s">
        <v>22</v>
      </c>
      <c r="L95" s="103">
        <v>34963</v>
      </c>
      <c r="M95" s="104">
        <v>21</v>
      </c>
      <c r="N95" s="1" t="s">
        <v>176</v>
      </c>
      <c r="O95" s="1" t="s">
        <v>182</v>
      </c>
      <c r="P95" s="1" t="s">
        <v>464</v>
      </c>
      <c r="Q95" s="1" t="s">
        <v>930</v>
      </c>
      <c r="R95" s="54" t="s">
        <v>931</v>
      </c>
      <c r="S95" s="105">
        <v>66.1</v>
      </c>
      <c r="T95" s="54" t="s">
        <v>932</v>
      </c>
      <c r="U95" s="105">
        <v>33.5</v>
      </c>
      <c r="V95" s="54" t="s">
        <v>933</v>
      </c>
      <c r="W95" s="105">
        <v>6.4</v>
      </c>
      <c r="X95" s="62">
        <v>0</v>
      </c>
      <c r="Y95" s="102">
        <v>0</v>
      </c>
      <c r="Z95" s="62">
        <v>0</v>
      </c>
      <c r="AA95" s="102">
        <v>0</v>
      </c>
      <c r="AB95" s="62">
        <v>0</v>
      </c>
      <c r="AC95" s="106" t="s">
        <v>206</v>
      </c>
      <c r="AD95" s="106" t="s">
        <v>206</v>
      </c>
      <c r="AE95" s="106" t="s">
        <v>206</v>
      </c>
      <c r="AF95" s="106" t="s">
        <v>206</v>
      </c>
      <c r="AG95" s="106" t="s">
        <v>206</v>
      </c>
      <c r="AH95" s="106" t="s">
        <v>206</v>
      </c>
      <c r="AI95" s="1" t="s">
        <v>357</v>
      </c>
      <c r="AJ95" s="1" t="s">
        <v>206</v>
      </c>
      <c r="AK95" s="1" t="s">
        <v>934</v>
      </c>
      <c r="AL95" s="1" t="s">
        <v>197</v>
      </c>
      <c r="AM95" s="106" t="s">
        <v>27</v>
      </c>
      <c r="AN95" s="1" t="s">
        <v>357</v>
      </c>
      <c r="AO95" s="1" t="s">
        <v>208</v>
      </c>
      <c r="AP95" s="1" t="s">
        <v>935</v>
      </c>
      <c r="AQ95" s="1" t="s">
        <v>386</v>
      </c>
      <c r="AR95" s="1" t="s">
        <v>206</v>
      </c>
      <c r="AS95" s="106" t="s">
        <v>206</v>
      </c>
      <c r="AT95" s="1" t="s">
        <v>28</v>
      </c>
      <c r="AU95" s="106" t="s">
        <v>35</v>
      </c>
      <c r="AV95" s="106" t="s">
        <v>206</v>
      </c>
      <c r="AW95" s="106" t="s">
        <v>206</v>
      </c>
      <c r="AX95" s="106" t="s">
        <v>206</v>
      </c>
      <c r="AY95" s="106" t="s">
        <v>35</v>
      </c>
      <c r="AZ95" s="1" t="s">
        <v>206</v>
      </c>
      <c r="BA95" s="106" t="s">
        <v>206</v>
      </c>
      <c r="BB95" s="106" t="s">
        <v>206</v>
      </c>
      <c r="BC95" s="106" t="s">
        <v>206</v>
      </c>
      <c r="BD95" s="106" t="s">
        <v>206</v>
      </c>
      <c r="BE95" s="106" t="s">
        <v>206</v>
      </c>
      <c r="BF95" s="107">
        <f>IF(AZ95="Não","Sim","Não")</f>
      </c>
      <c r="BG95" s="107">
        <f>IF(AZ95="NA","Sim","Não")</f>
      </c>
      <c r="BH95" s="106" t="s">
        <v>206</v>
      </c>
      <c r="BI95" s="1" t="s">
        <v>236</v>
      </c>
      <c r="BJ95" s="106" t="s">
        <v>36</v>
      </c>
      <c r="BK95" s="1" t="s">
        <v>497</v>
      </c>
      <c r="BL95" s="102">
        <v>20</v>
      </c>
      <c r="BM95" s="1" t="s">
        <v>208</v>
      </c>
      <c r="BN95" s="1" t="s">
        <v>208</v>
      </c>
      <c r="BO95" s="1" t="s">
        <v>497</v>
      </c>
      <c r="BP95" s="102">
        <v>20</v>
      </c>
      <c r="BQ95" s="1" t="s">
        <v>206</v>
      </c>
      <c r="BR95" s="1" t="s">
        <v>229</v>
      </c>
      <c r="BS95" s="106" t="s">
        <v>229</v>
      </c>
    </row>
    <row x14ac:dyDescent="0.25" r="96" customHeight="1" ht="17.25">
      <c r="A96" s="102">
        <v>95</v>
      </c>
      <c r="B96" s="1" t="s">
        <v>936</v>
      </c>
      <c r="C96" s="102">
        <v>1</v>
      </c>
      <c r="D96" s="61" t="s">
        <v>352</v>
      </c>
      <c r="E96" s="1" t="s">
        <v>122</v>
      </c>
      <c r="F96" s="1" t="s">
        <v>22</v>
      </c>
      <c r="G96" s="1" t="s">
        <v>68</v>
      </c>
      <c r="H96" s="1" t="s">
        <v>937</v>
      </c>
      <c r="I96" s="102">
        <v>1</v>
      </c>
      <c r="J96" s="1" t="s">
        <v>158</v>
      </c>
      <c r="K96" s="1" t="s">
        <v>22</v>
      </c>
      <c r="L96" s="103">
        <v>33401</v>
      </c>
      <c r="M96" s="104">
        <v>26</v>
      </c>
      <c r="N96" s="1" t="s">
        <v>177</v>
      </c>
      <c r="O96" s="1" t="s">
        <v>24</v>
      </c>
      <c r="P96" s="1" t="s">
        <v>365</v>
      </c>
      <c r="Q96" s="1" t="s">
        <v>366</v>
      </c>
      <c r="R96" s="54" t="s">
        <v>938</v>
      </c>
      <c r="S96" s="105">
        <v>12.2</v>
      </c>
      <c r="T96" s="54" t="s">
        <v>939</v>
      </c>
      <c r="U96" s="105">
        <v>5.8</v>
      </c>
      <c r="V96" s="54" t="s">
        <v>940</v>
      </c>
      <c r="W96" s="105">
        <v>4.2</v>
      </c>
      <c r="X96" s="62">
        <v>0</v>
      </c>
      <c r="Y96" s="102">
        <v>0</v>
      </c>
      <c r="Z96" s="62">
        <v>0</v>
      </c>
      <c r="AA96" s="102">
        <v>0</v>
      </c>
      <c r="AB96" s="62">
        <v>0</v>
      </c>
      <c r="AC96" s="106" t="s">
        <v>206</v>
      </c>
      <c r="AD96" s="106" t="s">
        <v>206</v>
      </c>
      <c r="AE96" s="106" t="s">
        <v>206</v>
      </c>
      <c r="AF96" s="106" t="s">
        <v>206</v>
      </c>
      <c r="AG96" s="106" t="s">
        <v>206</v>
      </c>
      <c r="AH96" s="106" t="s">
        <v>206</v>
      </c>
      <c r="AI96" s="1" t="s">
        <v>357</v>
      </c>
      <c r="AJ96" s="1" t="s">
        <v>206</v>
      </c>
      <c r="AK96" s="1" t="s">
        <v>555</v>
      </c>
      <c r="AL96" s="1" t="s">
        <v>197</v>
      </c>
      <c r="AM96" s="106" t="s">
        <v>27</v>
      </c>
      <c r="AN96" s="1" t="s">
        <v>357</v>
      </c>
      <c r="AO96" s="1" t="s">
        <v>208</v>
      </c>
      <c r="AP96" s="1" t="s">
        <v>206</v>
      </c>
      <c r="AQ96" s="1" t="s">
        <v>441</v>
      </c>
      <c r="AR96" s="1" t="s">
        <v>206</v>
      </c>
      <c r="AS96" s="106" t="s">
        <v>206</v>
      </c>
      <c r="AT96" s="1" t="s">
        <v>206</v>
      </c>
      <c r="AU96" s="106" t="s">
        <v>206</v>
      </c>
      <c r="AV96" s="106" t="s">
        <v>206</v>
      </c>
      <c r="AW96" s="106" t="s">
        <v>35</v>
      </c>
      <c r="AX96" s="106" t="s">
        <v>206</v>
      </c>
      <c r="AY96" s="106" t="s">
        <v>206</v>
      </c>
      <c r="AZ96" s="1" t="s">
        <v>206</v>
      </c>
      <c r="BA96" s="106" t="s">
        <v>206</v>
      </c>
      <c r="BB96" s="106" t="s">
        <v>206</v>
      </c>
      <c r="BC96" s="106" t="s">
        <v>206</v>
      </c>
      <c r="BD96" s="106" t="s">
        <v>206</v>
      </c>
      <c r="BE96" s="106" t="s">
        <v>206</v>
      </c>
      <c r="BF96" s="107">
        <f>IF(AZ96="Não","Sim","Não")</f>
      </c>
      <c r="BG96" s="107">
        <f>IF(AZ96="NA","Sim","Não")</f>
      </c>
      <c r="BH96" s="106" t="s">
        <v>206</v>
      </c>
      <c r="BI96" s="1" t="s">
        <v>236</v>
      </c>
      <c r="BJ96" s="106" t="s">
        <v>36</v>
      </c>
      <c r="BK96" s="1" t="s">
        <v>497</v>
      </c>
      <c r="BL96" s="102">
        <v>20</v>
      </c>
      <c r="BM96" s="1" t="s">
        <v>208</v>
      </c>
      <c r="BN96" s="1" t="s">
        <v>208</v>
      </c>
      <c r="BO96" s="1" t="s">
        <v>497</v>
      </c>
      <c r="BP96" s="102">
        <v>20</v>
      </c>
      <c r="BQ96" s="1" t="s">
        <v>206</v>
      </c>
      <c r="BR96" s="1" t="s">
        <v>227</v>
      </c>
      <c r="BS96" s="106" t="s">
        <v>37</v>
      </c>
    </row>
    <row x14ac:dyDescent="0.25" r="97" customHeight="1" ht="17.25">
      <c r="A97" s="102">
        <v>96</v>
      </c>
      <c r="B97" s="1" t="s">
        <v>941</v>
      </c>
      <c r="C97" s="102">
        <v>1</v>
      </c>
      <c r="D97" s="61">
        <v>42976</v>
      </c>
      <c r="E97" s="1" t="s">
        <v>98</v>
      </c>
      <c r="F97" s="1" t="s">
        <v>170</v>
      </c>
      <c r="G97" s="1" t="s">
        <v>63</v>
      </c>
      <c r="H97" s="1" t="s">
        <v>942</v>
      </c>
      <c r="I97" s="102">
        <v>1</v>
      </c>
      <c r="J97" s="1" t="s">
        <v>158</v>
      </c>
      <c r="K97" s="1" t="s">
        <v>22</v>
      </c>
      <c r="L97" s="103">
        <v>34081</v>
      </c>
      <c r="M97" s="104">
        <v>24</v>
      </c>
      <c r="N97" s="1" t="s">
        <v>175</v>
      </c>
      <c r="O97" s="1" t="s">
        <v>24</v>
      </c>
      <c r="P97" s="1" t="s">
        <v>365</v>
      </c>
      <c r="Q97" s="1" t="s">
        <v>366</v>
      </c>
      <c r="R97" s="54" t="s">
        <v>943</v>
      </c>
      <c r="S97" s="102">
        <v>12</v>
      </c>
      <c r="T97" s="54" t="s">
        <v>944</v>
      </c>
      <c r="U97" s="105">
        <v>47.8</v>
      </c>
      <c r="V97" s="54" t="s">
        <v>945</v>
      </c>
      <c r="W97" s="105">
        <v>4.1</v>
      </c>
      <c r="X97" s="62">
        <v>0</v>
      </c>
      <c r="Y97" s="102">
        <v>0</v>
      </c>
      <c r="Z97" s="62">
        <v>0</v>
      </c>
      <c r="AA97" s="102">
        <v>0</v>
      </c>
      <c r="AB97" s="62">
        <v>0</v>
      </c>
      <c r="AC97" s="106" t="s">
        <v>206</v>
      </c>
      <c r="AD97" s="106" t="s">
        <v>206</v>
      </c>
      <c r="AE97" s="106" t="s">
        <v>206</v>
      </c>
      <c r="AF97" s="106" t="s">
        <v>206</v>
      </c>
      <c r="AG97" s="106" t="s">
        <v>206</v>
      </c>
      <c r="AH97" s="106" t="s">
        <v>206</v>
      </c>
      <c r="AI97" s="1" t="s">
        <v>357</v>
      </c>
      <c r="AJ97" s="1" t="s">
        <v>206</v>
      </c>
      <c r="AK97" s="1" t="s">
        <v>946</v>
      </c>
      <c r="AL97" s="1" t="s">
        <v>197</v>
      </c>
      <c r="AM97" s="106" t="s">
        <v>27</v>
      </c>
      <c r="AN97" s="1" t="s">
        <v>357</v>
      </c>
      <c r="AO97" s="1" t="s">
        <v>208</v>
      </c>
      <c r="AP97" s="1" t="s">
        <v>206</v>
      </c>
      <c r="AQ97" s="1" t="s">
        <v>441</v>
      </c>
      <c r="AR97" s="1" t="s">
        <v>206</v>
      </c>
      <c r="AS97" s="106" t="s">
        <v>206</v>
      </c>
      <c r="AT97" s="1" t="s">
        <v>206</v>
      </c>
      <c r="AU97" s="106" t="s">
        <v>206</v>
      </c>
      <c r="AV97" s="106" t="s">
        <v>206</v>
      </c>
      <c r="AW97" s="106" t="s">
        <v>35</v>
      </c>
      <c r="AX97" s="106" t="s">
        <v>206</v>
      </c>
      <c r="AY97" s="106" t="s">
        <v>206</v>
      </c>
      <c r="AZ97" s="1" t="s">
        <v>206</v>
      </c>
      <c r="BA97" s="106" t="s">
        <v>206</v>
      </c>
      <c r="BB97" s="106" t="s">
        <v>206</v>
      </c>
      <c r="BC97" s="106" t="s">
        <v>206</v>
      </c>
      <c r="BD97" s="106" t="s">
        <v>206</v>
      </c>
      <c r="BE97" s="106" t="s">
        <v>206</v>
      </c>
      <c r="BF97" s="107">
        <f>IF(AZ97="Não","Sim","Não")</f>
      </c>
      <c r="BG97" s="107">
        <f>IF(AZ97="NA","Sim","Não")</f>
      </c>
      <c r="BH97" s="106" t="s">
        <v>206</v>
      </c>
      <c r="BI97" s="1" t="s">
        <v>236</v>
      </c>
      <c r="BJ97" s="106" t="s">
        <v>36</v>
      </c>
      <c r="BK97" s="1" t="s">
        <v>497</v>
      </c>
      <c r="BL97" s="102">
        <v>20</v>
      </c>
      <c r="BM97" s="1" t="s">
        <v>208</v>
      </c>
      <c r="BN97" s="1" t="s">
        <v>208</v>
      </c>
      <c r="BO97" s="1" t="s">
        <v>497</v>
      </c>
      <c r="BP97" s="102">
        <v>20</v>
      </c>
      <c r="BQ97" s="1" t="s">
        <v>206</v>
      </c>
      <c r="BR97" s="1" t="s">
        <v>227</v>
      </c>
      <c r="BS97" s="106" t="s">
        <v>37</v>
      </c>
    </row>
    <row x14ac:dyDescent="0.25" r="98" customHeight="1" ht="17.25">
      <c r="A98" s="102">
        <v>97</v>
      </c>
      <c r="B98" s="1" t="s">
        <v>947</v>
      </c>
      <c r="C98" s="102">
        <v>1</v>
      </c>
      <c r="D98" s="61" t="s">
        <v>948</v>
      </c>
      <c r="E98" s="1" t="s">
        <v>104</v>
      </c>
      <c r="F98" s="1" t="s">
        <v>170</v>
      </c>
      <c r="G98" s="1" t="s">
        <v>69</v>
      </c>
      <c r="H98" s="1" t="s">
        <v>949</v>
      </c>
      <c r="I98" s="102">
        <v>1</v>
      </c>
      <c r="J98" s="1" t="s">
        <v>158</v>
      </c>
      <c r="K98" s="1" t="s">
        <v>22</v>
      </c>
      <c r="L98" s="103">
        <v>34570</v>
      </c>
      <c r="M98" s="104">
        <v>23</v>
      </c>
      <c r="N98" s="1" t="s">
        <v>175</v>
      </c>
      <c r="O98" s="1" t="s">
        <v>24</v>
      </c>
      <c r="P98" s="1" t="s">
        <v>365</v>
      </c>
      <c r="Q98" s="1" t="s">
        <v>547</v>
      </c>
      <c r="R98" s="54" t="s">
        <v>950</v>
      </c>
      <c r="S98" s="105">
        <v>29.2</v>
      </c>
      <c r="T98" s="54" t="s">
        <v>951</v>
      </c>
      <c r="U98" s="105">
        <v>17.8</v>
      </c>
      <c r="V98" s="54" t="s">
        <v>952</v>
      </c>
      <c r="W98" s="102">
        <v>1</v>
      </c>
      <c r="X98" s="62">
        <v>0</v>
      </c>
      <c r="Y98" s="102">
        <v>0</v>
      </c>
      <c r="Z98" s="62">
        <v>0</v>
      </c>
      <c r="AA98" s="102">
        <v>0</v>
      </c>
      <c r="AB98" s="62">
        <v>0</v>
      </c>
      <c r="AC98" s="106" t="s">
        <v>206</v>
      </c>
      <c r="AD98" s="106" t="s">
        <v>206</v>
      </c>
      <c r="AE98" s="106" t="s">
        <v>206</v>
      </c>
      <c r="AF98" s="106" t="s">
        <v>206</v>
      </c>
      <c r="AG98" s="106" t="s">
        <v>206</v>
      </c>
      <c r="AH98" s="106" t="s">
        <v>206</v>
      </c>
      <c r="AI98" s="1" t="s">
        <v>357</v>
      </c>
      <c r="AJ98" s="1" t="s">
        <v>206</v>
      </c>
      <c r="AK98" s="1" t="s">
        <v>953</v>
      </c>
      <c r="AL98" s="1" t="s">
        <v>197</v>
      </c>
      <c r="AM98" s="106" t="s">
        <v>27</v>
      </c>
      <c r="AN98" s="1" t="s">
        <v>357</v>
      </c>
      <c r="AO98" s="1" t="s">
        <v>208</v>
      </c>
      <c r="AP98" s="1" t="s">
        <v>206</v>
      </c>
      <c r="AQ98" s="1" t="s">
        <v>441</v>
      </c>
      <c r="AR98" s="1" t="s">
        <v>206</v>
      </c>
      <c r="AS98" s="106" t="s">
        <v>206</v>
      </c>
      <c r="AT98" s="1" t="s">
        <v>206</v>
      </c>
      <c r="AU98" s="106" t="s">
        <v>206</v>
      </c>
      <c r="AV98" s="106" t="s">
        <v>206</v>
      </c>
      <c r="AW98" s="106" t="s">
        <v>35</v>
      </c>
      <c r="AX98" s="106" t="s">
        <v>206</v>
      </c>
      <c r="AY98" s="106" t="s">
        <v>206</v>
      </c>
      <c r="AZ98" s="1" t="s">
        <v>206</v>
      </c>
      <c r="BA98" s="106" t="s">
        <v>206</v>
      </c>
      <c r="BB98" s="106" t="s">
        <v>206</v>
      </c>
      <c r="BC98" s="106" t="s">
        <v>206</v>
      </c>
      <c r="BD98" s="106" t="s">
        <v>206</v>
      </c>
      <c r="BE98" s="106" t="s">
        <v>206</v>
      </c>
      <c r="BF98" s="107">
        <f>IF(AZ98="Não","Sim","Não")</f>
      </c>
      <c r="BG98" s="107">
        <f>IF(AZ98="NA","Sim","Não")</f>
      </c>
      <c r="BH98" s="106" t="s">
        <v>206</v>
      </c>
      <c r="BI98" s="1" t="s">
        <v>236</v>
      </c>
      <c r="BJ98" s="106" t="s">
        <v>36</v>
      </c>
      <c r="BK98" s="1" t="s">
        <v>497</v>
      </c>
      <c r="BL98" s="102">
        <v>20</v>
      </c>
      <c r="BM98" s="1" t="s">
        <v>208</v>
      </c>
      <c r="BN98" s="1" t="s">
        <v>208</v>
      </c>
      <c r="BO98" s="1" t="s">
        <v>497</v>
      </c>
      <c r="BP98" s="102">
        <v>20</v>
      </c>
      <c r="BQ98" s="1" t="s">
        <v>35</v>
      </c>
      <c r="BR98" s="1" t="s">
        <v>208</v>
      </c>
      <c r="BS98" s="106" t="s">
        <v>208</v>
      </c>
    </row>
    <row x14ac:dyDescent="0.25" r="99" customHeight="1" ht="17.25">
      <c r="A99" s="102">
        <v>98</v>
      </c>
      <c r="B99" s="1" t="s">
        <v>954</v>
      </c>
      <c r="C99" s="102">
        <v>1</v>
      </c>
      <c r="D99" s="61">
        <v>42853</v>
      </c>
      <c r="E99" s="1" t="s">
        <v>113</v>
      </c>
      <c r="F99" s="1" t="s">
        <v>22</v>
      </c>
      <c r="G99" s="1" t="s">
        <v>65</v>
      </c>
      <c r="H99" s="1" t="s">
        <v>955</v>
      </c>
      <c r="I99" s="102">
        <v>1</v>
      </c>
      <c r="J99" s="1" t="s">
        <v>158</v>
      </c>
      <c r="K99" s="1" t="s">
        <v>22</v>
      </c>
      <c r="L99" s="103">
        <v>35310</v>
      </c>
      <c r="M99" s="104">
        <v>20</v>
      </c>
      <c r="N99" s="1" t="s">
        <v>177</v>
      </c>
      <c r="O99" s="1" t="s">
        <v>24</v>
      </c>
      <c r="P99" s="1" t="s">
        <v>354</v>
      </c>
      <c r="Q99" s="1" t="s">
        <v>547</v>
      </c>
      <c r="R99" s="54" t="s">
        <v>956</v>
      </c>
      <c r="S99" s="102">
        <v>20</v>
      </c>
      <c r="T99" s="54" t="s">
        <v>957</v>
      </c>
      <c r="U99" s="102">
        <v>138</v>
      </c>
      <c r="V99" s="54" t="s">
        <v>958</v>
      </c>
      <c r="W99" s="102">
        <v>48</v>
      </c>
      <c r="X99" s="62">
        <v>0</v>
      </c>
      <c r="Y99" s="102">
        <v>0</v>
      </c>
      <c r="Z99" s="62">
        <v>0</v>
      </c>
      <c r="AA99" s="102">
        <v>0</v>
      </c>
      <c r="AB99" s="62">
        <v>0</v>
      </c>
      <c r="AC99" s="106" t="s">
        <v>206</v>
      </c>
      <c r="AD99" s="106" t="s">
        <v>206</v>
      </c>
      <c r="AE99" s="106" t="s">
        <v>206</v>
      </c>
      <c r="AF99" s="106" t="s">
        <v>206</v>
      </c>
      <c r="AG99" s="106" t="s">
        <v>206</v>
      </c>
      <c r="AH99" s="106" t="s">
        <v>206</v>
      </c>
      <c r="AI99" s="1" t="s">
        <v>357</v>
      </c>
      <c r="AJ99" s="1" t="s">
        <v>206</v>
      </c>
      <c r="AK99" s="1" t="s">
        <v>959</v>
      </c>
      <c r="AL99" s="1" t="s">
        <v>197</v>
      </c>
      <c r="AM99" s="106" t="s">
        <v>27</v>
      </c>
      <c r="AN99" s="1" t="s">
        <v>357</v>
      </c>
      <c r="AO99" s="1" t="s">
        <v>208</v>
      </c>
      <c r="AP99" s="1" t="s">
        <v>206</v>
      </c>
      <c r="AQ99" s="1" t="s">
        <v>441</v>
      </c>
      <c r="AR99" s="1" t="s">
        <v>206</v>
      </c>
      <c r="AS99" s="106" t="s">
        <v>206</v>
      </c>
      <c r="AT99" s="1" t="s">
        <v>206</v>
      </c>
      <c r="AU99" s="106" t="s">
        <v>206</v>
      </c>
      <c r="AV99" s="106" t="s">
        <v>206</v>
      </c>
      <c r="AW99" s="106" t="s">
        <v>35</v>
      </c>
      <c r="AX99" s="106" t="s">
        <v>206</v>
      </c>
      <c r="AY99" s="106" t="s">
        <v>206</v>
      </c>
      <c r="AZ99" s="1" t="s">
        <v>206</v>
      </c>
      <c r="BA99" s="106" t="s">
        <v>206</v>
      </c>
      <c r="BB99" s="106" t="s">
        <v>206</v>
      </c>
      <c r="BC99" s="106" t="s">
        <v>206</v>
      </c>
      <c r="BD99" s="106" t="s">
        <v>206</v>
      </c>
      <c r="BE99" s="106" t="s">
        <v>206</v>
      </c>
      <c r="BF99" s="107">
        <f>IF(AZ99="Não","Sim","Não")</f>
      </c>
      <c r="BG99" s="107">
        <f>IF(AZ99="NA","Sim","Não")</f>
      </c>
      <c r="BH99" s="106" t="s">
        <v>206</v>
      </c>
      <c r="BI99" s="1" t="s">
        <v>236</v>
      </c>
      <c r="BJ99" s="106" t="s">
        <v>36</v>
      </c>
      <c r="BK99" s="1" t="s">
        <v>497</v>
      </c>
      <c r="BL99" s="102">
        <v>20</v>
      </c>
      <c r="BM99" s="1" t="s">
        <v>208</v>
      </c>
      <c r="BN99" s="1" t="s">
        <v>208</v>
      </c>
      <c r="BO99" s="1" t="s">
        <v>497</v>
      </c>
      <c r="BP99" s="102">
        <v>20</v>
      </c>
      <c r="BQ99" s="1" t="s">
        <v>206</v>
      </c>
      <c r="BR99" s="1" t="s">
        <v>227</v>
      </c>
      <c r="BS99" s="106" t="s">
        <v>37</v>
      </c>
    </row>
    <row x14ac:dyDescent="0.25" r="100" customHeight="1" ht="17.25">
      <c r="A100" s="102">
        <v>99</v>
      </c>
      <c r="B100" s="1" t="s">
        <v>954</v>
      </c>
      <c r="C100" s="102">
        <v>0</v>
      </c>
      <c r="D100" s="61">
        <v>42853</v>
      </c>
      <c r="E100" s="1" t="s">
        <v>113</v>
      </c>
      <c r="F100" s="1" t="s">
        <v>22</v>
      </c>
      <c r="G100" s="1" t="s">
        <v>65</v>
      </c>
      <c r="H100" s="1" t="s">
        <v>960</v>
      </c>
      <c r="I100" s="102">
        <v>1</v>
      </c>
      <c r="J100" s="1" t="s">
        <v>158</v>
      </c>
      <c r="K100" s="1" t="s">
        <v>22</v>
      </c>
      <c r="L100" s="103">
        <v>35937</v>
      </c>
      <c r="M100" s="104">
        <v>18</v>
      </c>
      <c r="N100" s="1" t="s">
        <v>177</v>
      </c>
      <c r="O100" s="1" t="s">
        <v>24</v>
      </c>
      <c r="P100" s="1" t="s">
        <v>354</v>
      </c>
      <c r="Q100" s="1" t="s">
        <v>366</v>
      </c>
      <c r="R100" s="54" t="s">
        <v>956</v>
      </c>
      <c r="S100" s="102">
        <v>20</v>
      </c>
      <c r="T100" s="54" t="s">
        <v>957</v>
      </c>
      <c r="U100" s="102">
        <v>138</v>
      </c>
      <c r="V100" s="54" t="s">
        <v>958</v>
      </c>
      <c r="W100" s="102">
        <v>48</v>
      </c>
      <c r="X100" s="62">
        <v>0</v>
      </c>
      <c r="Y100" s="102">
        <v>0</v>
      </c>
      <c r="Z100" s="62">
        <v>0</v>
      </c>
      <c r="AA100" s="102">
        <v>0</v>
      </c>
      <c r="AB100" s="62">
        <v>0</v>
      </c>
      <c r="AC100" s="106" t="s">
        <v>206</v>
      </c>
      <c r="AD100" s="106" t="s">
        <v>206</v>
      </c>
      <c r="AE100" s="106" t="s">
        <v>206</v>
      </c>
      <c r="AF100" s="106" t="s">
        <v>206</v>
      </c>
      <c r="AG100" s="106" t="s">
        <v>206</v>
      </c>
      <c r="AH100" s="106" t="s">
        <v>206</v>
      </c>
      <c r="AI100" s="1" t="s">
        <v>357</v>
      </c>
      <c r="AJ100" s="1" t="s">
        <v>206</v>
      </c>
      <c r="AK100" s="1" t="s">
        <v>959</v>
      </c>
      <c r="AL100" s="1" t="s">
        <v>197</v>
      </c>
      <c r="AM100" s="106" t="s">
        <v>27</v>
      </c>
      <c r="AN100" s="1" t="s">
        <v>357</v>
      </c>
      <c r="AO100" s="1" t="s">
        <v>208</v>
      </c>
      <c r="AP100" s="1" t="s">
        <v>206</v>
      </c>
      <c r="AQ100" s="1" t="s">
        <v>441</v>
      </c>
      <c r="AR100" s="1" t="s">
        <v>206</v>
      </c>
      <c r="AS100" s="106" t="s">
        <v>206</v>
      </c>
      <c r="AT100" s="1" t="s">
        <v>206</v>
      </c>
      <c r="AU100" s="106" t="s">
        <v>206</v>
      </c>
      <c r="AV100" s="106" t="s">
        <v>206</v>
      </c>
      <c r="AW100" s="106" t="s">
        <v>35</v>
      </c>
      <c r="AX100" s="106" t="s">
        <v>206</v>
      </c>
      <c r="AY100" s="106" t="s">
        <v>206</v>
      </c>
      <c r="AZ100" s="1" t="s">
        <v>206</v>
      </c>
      <c r="BA100" s="106" t="s">
        <v>206</v>
      </c>
      <c r="BB100" s="106" t="s">
        <v>206</v>
      </c>
      <c r="BC100" s="106" t="s">
        <v>206</v>
      </c>
      <c r="BD100" s="106" t="s">
        <v>206</v>
      </c>
      <c r="BE100" s="106" t="s">
        <v>206</v>
      </c>
      <c r="BF100" s="107">
        <f>IF(AZ100="Não","Sim","Não")</f>
      </c>
      <c r="BG100" s="107">
        <f>IF(AZ100="NA","Sim","Não")</f>
      </c>
      <c r="BH100" s="106" t="s">
        <v>206</v>
      </c>
      <c r="BI100" s="1" t="s">
        <v>236</v>
      </c>
      <c r="BJ100" s="106" t="s">
        <v>36</v>
      </c>
      <c r="BK100" s="1" t="s">
        <v>497</v>
      </c>
      <c r="BL100" s="102">
        <v>20</v>
      </c>
      <c r="BM100" s="1" t="s">
        <v>208</v>
      </c>
      <c r="BN100" s="1" t="s">
        <v>208</v>
      </c>
      <c r="BO100" s="1" t="s">
        <v>497</v>
      </c>
      <c r="BP100" s="102">
        <v>20</v>
      </c>
      <c r="BQ100" s="1" t="s">
        <v>206</v>
      </c>
      <c r="BR100" s="1" t="s">
        <v>227</v>
      </c>
      <c r="BS100" s="106" t="s">
        <v>37</v>
      </c>
    </row>
    <row x14ac:dyDescent="0.25" r="101" customHeight="1" ht="17.25">
      <c r="A101" s="102">
        <v>100</v>
      </c>
      <c r="B101" s="1" t="s">
        <v>961</v>
      </c>
      <c r="C101" s="102">
        <v>1</v>
      </c>
      <c r="D101" s="61" t="s">
        <v>962</v>
      </c>
      <c r="E101" s="1" t="s">
        <v>93</v>
      </c>
      <c r="F101" s="1" t="s">
        <v>22</v>
      </c>
      <c r="G101" s="1" t="s">
        <v>49</v>
      </c>
      <c r="H101" s="1" t="s">
        <v>963</v>
      </c>
      <c r="I101" s="102">
        <v>1</v>
      </c>
      <c r="J101" s="1" t="s">
        <v>158</v>
      </c>
      <c r="K101" s="1" t="s">
        <v>22</v>
      </c>
      <c r="L101" s="103">
        <v>31904</v>
      </c>
      <c r="M101" s="104">
        <v>30</v>
      </c>
      <c r="N101" s="1" t="s">
        <v>175</v>
      </c>
      <c r="O101" s="1" t="s">
        <v>24</v>
      </c>
      <c r="P101" s="1" t="s">
        <v>365</v>
      </c>
      <c r="Q101" s="1" t="s">
        <v>964</v>
      </c>
      <c r="R101" s="54" t="s">
        <v>965</v>
      </c>
      <c r="S101" s="105">
        <v>150.1</v>
      </c>
      <c r="T101" s="54" t="s">
        <v>966</v>
      </c>
      <c r="U101" s="105">
        <v>334.4</v>
      </c>
      <c r="V101" s="54" t="s">
        <v>967</v>
      </c>
      <c r="W101" s="105">
        <v>256.1</v>
      </c>
      <c r="X101" s="62">
        <v>0</v>
      </c>
      <c r="Y101" s="102">
        <v>0</v>
      </c>
      <c r="Z101" s="62">
        <v>0</v>
      </c>
      <c r="AA101" s="102">
        <v>0</v>
      </c>
      <c r="AB101" s="62">
        <v>0</v>
      </c>
      <c r="AC101" s="106" t="s">
        <v>206</v>
      </c>
      <c r="AD101" s="106" t="s">
        <v>206</v>
      </c>
      <c r="AE101" s="106" t="s">
        <v>206</v>
      </c>
      <c r="AF101" s="106" t="s">
        <v>206</v>
      </c>
      <c r="AG101" s="106" t="s">
        <v>206</v>
      </c>
      <c r="AH101" s="106" t="s">
        <v>206</v>
      </c>
      <c r="AI101" s="1" t="s">
        <v>357</v>
      </c>
      <c r="AJ101" s="1" t="s">
        <v>206</v>
      </c>
      <c r="AK101" s="1" t="s">
        <v>968</v>
      </c>
      <c r="AL101" s="1" t="s">
        <v>197</v>
      </c>
      <c r="AM101" s="106" t="s">
        <v>27</v>
      </c>
      <c r="AN101" s="1" t="s">
        <v>357</v>
      </c>
      <c r="AO101" s="1" t="s">
        <v>208</v>
      </c>
      <c r="AP101" s="1" t="s">
        <v>206</v>
      </c>
      <c r="AQ101" s="1" t="s">
        <v>441</v>
      </c>
      <c r="AR101" s="1" t="s">
        <v>206</v>
      </c>
      <c r="AS101" s="106" t="s">
        <v>206</v>
      </c>
      <c r="AT101" s="1" t="s">
        <v>206</v>
      </c>
      <c r="AU101" s="106" t="s">
        <v>206</v>
      </c>
      <c r="AV101" s="106" t="s">
        <v>206</v>
      </c>
      <c r="AW101" s="106" t="s">
        <v>35</v>
      </c>
      <c r="AX101" s="106" t="s">
        <v>206</v>
      </c>
      <c r="AY101" s="106" t="s">
        <v>206</v>
      </c>
      <c r="AZ101" s="1" t="s">
        <v>206</v>
      </c>
      <c r="BA101" s="106" t="s">
        <v>206</v>
      </c>
      <c r="BB101" s="106" t="s">
        <v>206</v>
      </c>
      <c r="BC101" s="106" t="s">
        <v>206</v>
      </c>
      <c r="BD101" s="106" t="s">
        <v>206</v>
      </c>
      <c r="BE101" s="106" t="s">
        <v>206</v>
      </c>
      <c r="BF101" s="107">
        <f>IF(AZ101="Não","Sim","Não")</f>
      </c>
      <c r="BG101" s="107">
        <f>IF(AZ101="NA","Sim","Não")</f>
      </c>
      <c r="BH101" s="106" t="s">
        <v>206</v>
      </c>
      <c r="BI101" s="1" t="s">
        <v>236</v>
      </c>
      <c r="BJ101" s="106" t="s">
        <v>36</v>
      </c>
      <c r="BK101" s="1" t="s">
        <v>497</v>
      </c>
      <c r="BL101" s="102">
        <v>20</v>
      </c>
      <c r="BM101" s="1" t="s">
        <v>208</v>
      </c>
      <c r="BN101" s="1" t="s">
        <v>208</v>
      </c>
      <c r="BO101" s="1" t="s">
        <v>497</v>
      </c>
      <c r="BP101" s="102">
        <v>20</v>
      </c>
      <c r="BQ101" s="1" t="s">
        <v>206</v>
      </c>
      <c r="BR101" s="1" t="s">
        <v>228</v>
      </c>
      <c r="BS101" s="106" t="s">
        <v>228</v>
      </c>
    </row>
    <row x14ac:dyDescent="0.25" r="102" customHeight="1" ht="17.25">
      <c r="A102" s="102">
        <v>101</v>
      </c>
      <c r="B102" s="1" t="s">
        <v>969</v>
      </c>
      <c r="C102" s="102">
        <v>1</v>
      </c>
      <c r="D102" s="61" t="s">
        <v>709</v>
      </c>
      <c r="E102" s="1" t="s">
        <v>104</v>
      </c>
      <c r="F102" s="1" t="s">
        <v>170</v>
      </c>
      <c r="G102" s="1" t="s">
        <v>69</v>
      </c>
      <c r="H102" s="1" t="s">
        <v>970</v>
      </c>
      <c r="I102" s="102">
        <v>1</v>
      </c>
      <c r="J102" s="1" t="s">
        <v>158</v>
      </c>
      <c r="K102" s="1" t="s">
        <v>22</v>
      </c>
      <c r="L102" s="103">
        <v>35026</v>
      </c>
      <c r="M102" s="104">
        <v>21</v>
      </c>
      <c r="N102" s="1" t="s">
        <v>177</v>
      </c>
      <c r="O102" s="1" t="s">
        <v>24</v>
      </c>
      <c r="P102" s="1" t="s">
        <v>354</v>
      </c>
      <c r="Q102" s="1" t="s">
        <v>971</v>
      </c>
      <c r="R102" s="54" t="s">
        <v>972</v>
      </c>
      <c r="S102" s="105">
        <v>57.1</v>
      </c>
      <c r="T102" s="54" t="s">
        <v>973</v>
      </c>
      <c r="U102" s="105">
        <v>40.7</v>
      </c>
      <c r="V102" s="54" t="s">
        <v>974</v>
      </c>
      <c r="W102" s="105">
        <v>21.1</v>
      </c>
      <c r="X102" s="62">
        <v>0</v>
      </c>
      <c r="Y102" s="102">
        <v>0</v>
      </c>
      <c r="Z102" s="62">
        <v>0</v>
      </c>
      <c r="AA102" s="102">
        <v>0</v>
      </c>
      <c r="AB102" s="62">
        <v>0</v>
      </c>
      <c r="AC102" s="106" t="s">
        <v>206</v>
      </c>
      <c r="AD102" s="106" t="s">
        <v>206</v>
      </c>
      <c r="AE102" s="106" t="s">
        <v>206</v>
      </c>
      <c r="AF102" s="106" t="s">
        <v>206</v>
      </c>
      <c r="AG102" s="106" t="s">
        <v>206</v>
      </c>
      <c r="AH102" s="106" t="s">
        <v>206</v>
      </c>
      <c r="AI102" s="1" t="s">
        <v>357</v>
      </c>
      <c r="AJ102" s="1" t="s">
        <v>206</v>
      </c>
      <c r="AK102" s="1" t="s">
        <v>975</v>
      </c>
      <c r="AL102" s="1" t="s">
        <v>197</v>
      </c>
      <c r="AM102" s="106" t="s">
        <v>27</v>
      </c>
      <c r="AN102" s="1" t="s">
        <v>357</v>
      </c>
      <c r="AO102" s="1" t="s">
        <v>208</v>
      </c>
      <c r="AP102" s="1" t="s">
        <v>206</v>
      </c>
      <c r="AQ102" s="1" t="s">
        <v>441</v>
      </c>
      <c r="AR102" s="1" t="s">
        <v>206</v>
      </c>
      <c r="AS102" s="106" t="s">
        <v>206</v>
      </c>
      <c r="AT102" s="1" t="s">
        <v>206</v>
      </c>
      <c r="AU102" s="106" t="s">
        <v>206</v>
      </c>
      <c r="AV102" s="106" t="s">
        <v>206</v>
      </c>
      <c r="AW102" s="106" t="s">
        <v>35</v>
      </c>
      <c r="AX102" s="106" t="s">
        <v>206</v>
      </c>
      <c r="AY102" s="106" t="s">
        <v>206</v>
      </c>
      <c r="AZ102" s="1" t="s">
        <v>206</v>
      </c>
      <c r="BA102" s="106" t="s">
        <v>206</v>
      </c>
      <c r="BB102" s="106" t="s">
        <v>206</v>
      </c>
      <c r="BC102" s="106" t="s">
        <v>206</v>
      </c>
      <c r="BD102" s="106" t="s">
        <v>206</v>
      </c>
      <c r="BE102" s="106" t="s">
        <v>206</v>
      </c>
      <c r="BF102" s="107">
        <f>IF(AZ102="Não","Sim","Não")</f>
      </c>
      <c r="BG102" s="107">
        <f>IF(AZ102="NA","Sim","Não")</f>
      </c>
      <c r="BH102" s="106" t="s">
        <v>206</v>
      </c>
      <c r="BI102" s="1" t="s">
        <v>236</v>
      </c>
      <c r="BJ102" s="106" t="s">
        <v>36</v>
      </c>
      <c r="BK102" s="1" t="s">
        <v>497</v>
      </c>
      <c r="BL102" s="102">
        <v>20</v>
      </c>
      <c r="BM102" s="1" t="s">
        <v>208</v>
      </c>
      <c r="BN102" s="1" t="s">
        <v>208</v>
      </c>
      <c r="BO102" s="1" t="s">
        <v>497</v>
      </c>
      <c r="BP102" s="102">
        <v>20</v>
      </c>
      <c r="BQ102" s="1" t="s">
        <v>35</v>
      </c>
      <c r="BR102" s="1" t="s">
        <v>208</v>
      </c>
      <c r="BS102" s="106" t="s">
        <v>208</v>
      </c>
    </row>
    <row x14ac:dyDescent="0.25" r="103" customHeight="1" ht="17.25">
      <c r="A103" s="102">
        <v>102</v>
      </c>
      <c r="B103" s="1" t="s">
        <v>976</v>
      </c>
      <c r="C103" s="102">
        <v>1</v>
      </c>
      <c r="D103" s="61" t="s">
        <v>709</v>
      </c>
      <c r="E103" s="1" t="s">
        <v>132</v>
      </c>
      <c r="F103" s="1" t="s">
        <v>170</v>
      </c>
      <c r="G103" s="1" t="s">
        <v>42</v>
      </c>
      <c r="H103" s="1" t="s">
        <v>977</v>
      </c>
      <c r="I103" s="102">
        <v>1</v>
      </c>
      <c r="J103" s="1" t="s">
        <v>158</v>
      </c>
      <c r="K103" s="1" t="s">
        <v>22</v>
      </c>
      <c r="L103" s="103">
        <v>35693</v>
      </c>
      <c r="M103" s="104">
        <v>19</v>
      </c>
      <c r="N103" s="1" t="s">
        <v>178</v>
      </c>
      <c r="O103" s="1" t="s">
        <v>24</v>
      </c>
      <c r="P103" s="1" t="s">
        <v>365</v>
      </c>
      <c r="Q103" s="1" t="s">
        <v>978</v>
      </c>
      <c r="R103" s="54" t="s">
        <v>979</v>
      </c>
      <c r="S103" s="105">
        <v>137.5</v>
      </c>
      <c r="T103" s="62">
        <v>0</v>
      </c>
      <c r="U103" s="102">
        <v>0</v>
      </c>
      <c r="V103" s="62">
        <v>0</v>
      </c>
      <c r="W103" s="102">
        <v>0</v>
      </c>
      <c r="X103" s="54" t="s">
        <v>980</v>
      </c>
      <c r="Y103" s="105">
        <v>2.7</v>
      </c>
      <c r="Z103" s="62">
        <v>0</v>
      </c>
      <c r="AA103" s="102">
        <v>0</v>
      </c>
      <c r="AB103" s="62">
        <v>0</v>
      </c>
      <c r="AC103" s="106" t="s">
        <v>206</v>
      </c>
      <c r="AD103" s="106" t="s">
        <v>206</v>
      </c>
      <c r="AE103" s="106" t="s">
        <v>206</v>
      </c>
      <c r="AF103" s="106" t="s">
        <v>206</v>
      </c>
      <c r="AG103" s="106" t="s">
        <v>206</v>
      </c>
      <c r="AH103" s="106" t="s">
        <v>206</v>
      </c>
      <c r="AI103" s="1" t="s">
        <v>357</v>
      </c>
      <c r="AJ103" s="1" t="s">
        <v>981</v>
      </c>
      <c r="AK103" s="1" t="s">
        <v>555</v>
      </c>
      <c r="AL103" s="1" t="s">
        <v>197</v>
      </c>
      <c r="AM103" s="106" t="s">
        <v>27</v>
      </c>
      <c r="AN103" s="1" t="s">
        <v>357</v>
      </c>
      <c r="AO103" s="1" t="s">
        <v>981</v>
      </c>
      <c r="AP103" s="1" t="s">
        <v>206</v>
      </c>
      <c r="AQ103" s="1" t="s">
        <v>441</v>
      </c>
      <c r="AR103" s="1" t="s">
        <v>206</v>
      </c>
      <c r="AS103" s="106" t="s">
        <v>206</v>
      </c>
      <c r="AT103" s="1" t="s">
        <v>206</v>
      </c>
      <c r="AU103" s="106" t="s">
        <v>206</v>
      </c>
      <c r="AV103" s="106" t="s">
        <v>206</v>
      </c>
      <c r="AW103" s="106" t="s">
        <v>35</v>
      </c>
      <c r="AX103" s="106" t="s">
        <v>206</v>
      </c>
      <c r="AY103" s="106" t="s">
        <v>206</v>
      </c>
      <c r="AZ103" s="1" t="s">
        <v>206</v>
      </c>
      <c r="BA103" s="106" t="s">
        <v>206</v>
      </c>
      <c r="BB103" s="106" t="s">
        <v>206</v>
      </c>
      <c r="BC103" s="106" t="s">
        <v>206</v>
      </c>
      <c r="BD103" s="106" t="s">
        <v>206</v>
      </c>
      <c r="BE103" s="106" t="s">
        <v>206</v>
      </c>
      <c r="BF103" s="107">
        <f>IF(AZ103="Não","Sim","Não")</f>
      </c>
      <c r="BG103" s="107">
        <f>IF(AZ103="NA","Sim","Não")</f>
      </c>
      <c r="BH103" s="106" t="s">
        <v>206</v>
      </c>
      <c r="BI103" s="1" t="s">
        <v>236</v>
      </c>
      <c r="BJ103" s="106" t="s">
        <v>36</v>
      </c>
      <c r="BK103" s="1" t="s">
        <v>497</v>
      </c>
      <c r="BL103" s="102">
        <v>20</v>
      </c>
      <c r="BM103" s="1" t="s">
        <v>208</v>
      </c>
      <c r="BN103" s="1" t="s">
        <v>206</v>
      </c>
      <c r="BO103" s="1" t="s">
        <v>497</v>
      </c>
      <c r="BP103" s="102">
        <v>20</v>
      </c>
      <c r="BQ103" s="1" t="s">
        <v>35</v>
      </c>
      <c r="BR103" s="1" t="s">
        <v>208</v>
      </c>
      <c r="BS103" s="106" t="s">
        <v>208</v>
      </c>
    </row>
    <row x14ac:dyDescent="0.25" r="104" customHeight="1" ht="17.25">
      <c r="A104" s="102">
        <v>103</v>
      </c>
      <c r="B104" s="1" t="s">
        <v>982</v>
      </c>
      <c r="C104" s="102">
        <v>1</v>
      </c>
      <c r="D104" s="61" t="s">
        <v>983</v>
      </c>
      <c r="E104" s="1" t="s">
        <v>76</v>
      </c>
      <c r="F104" s="1" t="s">
        <v>22</v>
      </c>
      <c r="G104" s="1" t="s">
        <v>60</v>
      </c>
      <c r="H104" s="1" t="s">
        <v>984</v>
      </c>
      <c r="I104" s="102">
        <v>1</v>
      </c>
      <c r="J104" s="1" t="s">
        <v>158</v>
      </c>
      <c r="K104" s="1" t="s">
        <v>22</v>
      </c>
      <c r="L104" s="103">
        <v>31401</v>
      </c>
      <c r="M104" s="104">
        <v>31</v>
      </c>
      <c r="N104" s="1" t="s">
        <v>177</v>
      </c>
      <c r="O104" s="1" t="s">
        <v>24</v>
      </c>
      <c r="P104" s="1" t="s">
        <v>365</v>
      </c>
      <c r="Q104" s="1" t="s">
        <v>579</v>
      </c>
      <c r="R104" s="54" t="s">
        <v>985</v>
      </c>
      <c r="S104" s="105">
        <v>63.8</v>
      </c>
      <c r="T104" s="62">
        <v>0</v>
      </c>
      <c r="U104" s="102">
        <v>0</v>
      </c>
      <c r="V104" s="62">
        <v>0</v>
      </c>
      <c r="W104" s="102">
        <v>0</v>
      </c>
      <c r="X104" s="62">
        <v>0</v>
      </c>
      <c r="Y104" s="102">
        <v>0</v>
      </c>
      <c r="Z104" s="62">
        <v>0</v>
      </c>
      <c r="AA104" s="102">
        <v>0</v>
      </c>
      <c r="AB104" s="62">
        <v>0</v>
      </c>
      <c r="AC104" s="106" t="s">
        <v>206</v>
      </c>
      <c r="AD104" s="106" t="s">
        <v>206</v>
      </c>
      <c r="AE104" s="106" t="s">
        <v>206</v>
      </c>
      <c r="AF104" s="106" t="s">
        <v>206</v>
      </c>
      <c r="AG104" s="106" t="s">
        <v>206</v>
      </c>
      <c r="AH104" s="106" t="s">
        <v>206</v>
      </c>
      <c r="AI104" s="1" t="s">
        <v>357</v>
      </c>
      <c r="AJ104" s="1" t="s">
        <v>206</v>
      </c>
      <c r="AK104" s="1" t="s">
        <v>986</v>
      </c>
      <c r="AL104" s="1" t="s">
        <v>197</v>
      </c>
      <c r="AM104" s="106" t="s">
        <v>27</v>
      </c>
      <c r="AN104" s="1" t="s">
        <v>357</v>
      </c>
      <c r="AO104" s="1" t="s">
        <v>208</v>
      </c>
      <c r="AP104" s="1" t="s">
        <v>206</v>
      </c>
      <c r="AQ104" s="1" t="s">
        <v>441</v>
      </c>
      <c r="AR104" s="1" t="s">
        <v>206</v>
      </c>
      <c r="AS104" s="106" t="s">
        <v>206</v>
      </c>
      <c r="AT104" s="1" t="s">
        <v>206</v>
      </c>
      <c r="AU104" s="106" t="s">
        <v>206</v>
      </c>
      <c r="AV104" s="106" t="s">
        <v>206</v>
      </c>
      <c r="AW104" s="106" t="s">
        <v>35</v>
      </c>
      <c r="AX104" s="106" t="s">
        <v>206</v>
      </c>
      <c r="AY104" s="106" t="s">
        <v>206</v>
      </c>
      <c r="AZ104" s="1" t="s">
        <v>206</v>
      </c>
      <c r="BA104" s="106" t="s">
        <v>206</v>
      </c>
      <c r="BB104" s="106" t="s">
        <v>206</v>
      </c>
      <c r="BC104" s="106" t="s">
        <v>206</v>
      </c>
      <c r="BD104" s="106" t="s">
        <v>206</v>
      </c>
      <c r="BE104" s="106" t="s">
        <v>206</v>
      </c>
      <c r="BF104" s="107">
        <f>IF(AZ104="Não","Sim","Não")</f>
      </c>
      <c r="BG104" s="107">
        <f>IF(AZ104="NA","Sim","Não")</f>
      </c>
      <c r="BH104" s="106" t="s">
        <v>206</v>
      </c>
      <c r="BI104" s="1" t="s">
        <v>236</v>
      </c>
      <c r="BJ104" s="106" t="s">
        <v>36</v>
      </c>
      <c r="BK104" s="1" t="s">
        <v>987</v>
      </c>
      <c r="BL104" s="102">
        <v>20</v>
      </c>
      <c r="BM104" s="1" t="s">
        <v>208</v>
      </c>
      <c r="BN104" s="1" t="s">
        <v>208</v>
      </c>
      <c r="BO104" s="1" t="s">
        <v>987</v>
      </c>
      <c r="BP104" s="102">
        <v>20</v>
      </c>
      <c r="BQ104" s="1" t="s">
        <v>206</v>
      </c>
      <c r="BR104" s="1" t="s">
        <v>227</v>
      </c>
      <c r="BS104" s="106" t="s">
        <v>37</v>
      </c>
    </row>
    <row x14ac:dyDescent="0.25" r="105" customHeight="1" ht="17.25">
      <c r="A105" s="102">
        <v>104</v>
      </c>
      <c r="B105" s="1" t="s">
        <v>988</v>
      </c>
      <c r="C105" s="102">
        <v>1</v>
      </c>
      <c r="D105" s="61" t="s">
        <v>989</v>
      </c>
      <c r="E105" s="1" t="s">
        <v>76</v>
      </c>
      <c r="F105" s="1" t="s">
        <v>22</v>
      </c>
      <c r="G105" s="1" t="s">
        <v>60</v>
      </c>
      <c r="H105" s="1" t="s">
        <v>990</v>
      </c>
      <c r="I105" s="102">
        <v>1</v>
      </c>
      <c r="J105" s="1" t="s">
        <v>158</v>
      </c>
      <c r="K105" s="1" t="s">
        <v>22</v>
      </c>
      <c r="L105" s="103">
        <v>35667</v>
      </c>
      <c r="M105" s="104">
        <v>19</v>
      </c>
      <c r="N105" s="1" t="s">
        <v>175</v>
      </c>
      <c r="O105" s="1" t="s">
        <v>24</v>
      </c>
      <c r="P105" s="1" t="s">
        <v>365</v>
      </c>
      <c r="Q105" s="1" t="s">
        <v>366</v>
      </c>
      <c r="R105" s="62">
        <v>0</v>
      </c>
      <c r="S105" s="102">
        <v>0</v>
      </c>
      <c r="T105" s="54" t="s">
        <v>991</v>
      </c>
      <c r="U105" s="105">
        <v>21.6</v>
      </c>
      <c r="V105" s="62">
        <v>0</v>
      </c>
      <c r="W105" s="102">
        <v>0</v>
      </c>
      <c r="X105" s="62">
        <v>0</v>
      </c>
      <c r="Y105" s="102">
        <v>0</v>
      </c>
      <c r="Z105" s="62">
        <v>0</v>
      </c>
      <c r="AA105" s="102">
        <v>0</v>
      </c>
      <c r="AB105" s="62">
        <v>0</v>
      </c>
      <c r="AC105" s="106" t="s">
        <v>206</v>
      </c>
      <c r="AD105" s="106" t="s">
        <v>206</v>
      </c>
      <c r="AE105" s="106" t="s">
        <v>206</v>
      </c>
      <c r="AF105" s="106" t="s">
        <v>206</v>
      </c>
      <c r="AG105" s="106" t="s">
        <v>206</v>
      </c>
      <c r="AH105" s="106" t="s">
        <v>206</v>
      </c>
      <c r="AI105" s="1" t="s">
        <v>357</v>
      </c>
      <c r="AJ105" s="1" t="s">
        <v>206</v>
      </c>
      <c r="AK105" s="1" t="s">
        <v>992</v>
      </c>
      <c r="AL105" s="1" t="s">
        <v>197</v>
      </c>
      <c r="AM105" s="106" t="s">
        <v>27</v>
      </c>
      <c r="AN105" s="1" t="s">
        <v>357</v>
      </c>
      <c r="AO105" s="1" t="s">
        <v>208</v>
      </c>
      <c r="AP105" s="1" t="s">
        <v>206</v>
      </c>
      <c r="AQ105" s="1" t="s">
        <v>441</v>
      </c>
      <c r="AR105" s="1" t="s">
        <v>206</v>
      </c>
      <c r="AS105" s="106" t="s">
        <v>206</v>
      </c>
      <c r="AT105" s="1" t="s">
        <v>206</v>
      </c>
      <c r="AU105" s="106" t="s">
        <v>206</v>
      </c>
      <c r="AV105" s="106" t="s">
        <v>206</v>
      </c>
      <c r="AW105" s="106" t="s">
        <v>35</v>
      </c>
      <c r="AX105" s="106" t="s">
        <v>206</v>
      </c>
      <c r="AY105" s="106" t="s">
        <v>206</v>
      </c>
      <c r="AZ105" s="1" t="s">
        <v>206</v>
      </c>
      <c r="BA105" s="106" t="s">
        <v>206</v>
      </c>
      <c r="BB105" s="106" t="s">
        <v>206</v>
      </c>
      <c r="BC105" s="106" t="s">
        <v>206</v>
      </c>
      <c r="BD105" s="106" t="s">
        <v>206</v>
      </c>
      <c r="BE105" s="106" t="s">
        <v>206</v>
      </c>
      <c r="BF105" s="107">
        <f>IF(AZ105="Não","Sim","Não")</f>
      </c>
      <c r="BG105" s="107">
        <f>IF(AZ105="NA","Sim","Não")</f>
      </c>
      <c r="BH105" s="106" t="s">
        <v>206</v>
      </c>
      <c r="BI105" s="1" t="s">
        <v>236</v>
      </c>
      <c r="BJ105" s="106" t="s">
        <v>36</v>
      </c>
      <c r="BK105" s="1" t="s">
        <v>987</v>
      </c>
      <c r="BL105" s="102">
        <v>20</v>
      </c>
      <c r="BM105" s="1" t="s">
        <v>208</v>
      </c>
      <c r="BN105" s="1" t="s">
        <v>208</v>
      </c>
      <c r="BO105" s="1" t="s">
        <v>987</v>
      </c>
      <c r="BP105" s="102">
        <v>20</v>
      </c>
      <c r="BQ105" s="1" t="s">
        <v>206</v>
      </c>
      <c r="BR105" s="1" t="s">
        <v>227</v>
      </c>
      <c r="BS105" s="106" t="s">
        <v>37</v>
      </c>
    </row>
    <row x14ac:dyDescent="0.25" r="106" customHeight="1" ht="17.25">
      <c r="A106" s="102">
        <v>105</v>
      </c>
      <c r="B106" s="1" t="s">
        <v>993</v>
      </c>
      <c r="C106" s="102">
        <v>1</v>
      </c>
      <c r="D106" s="61" t="s">
        <v>994</v>
      </c>
      <c r="E106" s="1" t="s">
        <v>76</v>
      </c>
      <c r="F106" s="1" t="s">
        <v>22</v>
      </c>
      <c r="G106" s="1" t="s">
        <v>60</v>
      </c>
      <c r="H106" s="1" t="s">
        <v>995</v>
      </c>
      <c r="I106" s="102">
        <v>1</v>
      </c>
      <c r="J106" s="1" t="s">
        <v>158</v>
      </c>
      <c r="K106" s="1" t="s">
        <v>22</v>
      </c>
      <c r="L106" s="103">
        <v>35590</v>
      </c>
      <c r="M106" s="104">
        <v>20</v>
      </c>
      <c r="N106" s="1" t="s">
        <v>176</v>
      </c>
      <c r="O106" s="1" t="s">
        <v>182</v>
      </c>
      <c r="P106" s="1" t="s">
        <v>365</v>
      </c>
      <c r="Q106" s="1" t="s">
        <v>996</v>
      </c>
      <c r="R106" s="62">
        <v>0</v>
      </c>
      <c r="S106" s="102">
        <v>0</v>
      </c>
      <c r="T106" s="54" t="s">
        <v>997</v>
      </c>
      <c r="U106" s="105">
        <v>5.9</v>
      </c>
      <c r="V106" s="62">
        <v>0</v>
      </c>
      <c r="W106" s="102">
        <v>0</v>
      </c>
      <c r="X106" s="62">
        <v>0</v>
      </c>
      <c r="Y106" s="102">
        <v>0</v>
      </c>
      <c r="Z106" s="62">
        <v>0</v>
      </c>
      <c r="AA106" s="102">
        <v>0</v>
      </c>
      <c r="AB106" s="62">
        <v>0</v>
      </c>
      <c r="AC106" s="106" t="s">
        <v>206</v>
      </c>
      <c r="AD106" s="106" t="s">
        <v>206</v>
      </c>
      <c r="AE106" s="106" t="s">
        <v>206</v>
      </c>
      <c r="AF106" s="106" t="s">
        <v>206</v>
      </c>
      <c r="AG106" s="106" t="s">
        <v>206</v>
      </c>
      <c r="AH106" s="106" t="s">
        <v>206</v>
      </c>
      <c r="AI106" s="1" t="s">
        <v>371</v>
      </c>
      <c r="AJ106" s="1" t="s">
        <v>206</v>
      </c>
      <c r="AK106" s="1" t="s">
        <v>430</v>
      </c>
      <c r="AL106" s="1" t="s">
        <v>198</v>
      </c>
      <c r="AM106" s="106" t="s">
        <v>27</v>
      </c>
      <c r="AN106" s="1" t="s">
        <v>357</v>
      </c>
      <c r="AO106" s="1" t="s">
        <v>208</v>
      </c>
      <c r="AP106" s="1" t="s">
        <v>206</v>
      </c>
      <c r="AQ106" s="1" t="s">
        <v>441</v>
      </c>
      <c r="AR106" s="1" t="s">
        <v>206</v>
      </c>
      <c r="AS106" s="106" t="s">
        <v>206</v>
      </c>
      <c r="AT106" s="1" t="s">
        <v>206</v>
      </c>
      <c r="AU106" s="106" t="s">
        <v>206</v>
      </c>
      <c r="AV106" s="106" t="s">
        <v>206</v>
      </c>
      <c r="AW106" s="106" t="s">
        <v>35</v>
      </c>
      <c r="AX106" s="106" t="s">
        <v>206</v>
      </c>
      <c r="AY106" s="106" t="s">
        <v>206</v>
      </c>
      <c r="AZ106" s="1" t="s">
        <v>206</v>
      </c>
      <c r="BA106" s="106" t="s">
        <v>206</v>
      </c>
      <c r="BB106" s="106" t="s">
        <v>206</v>
      </c>
      <c r="BC106" s="106" t="s">
        <v>206</v>
      </c>
      <c r="BD106" s="106" t="s">
        <v>206</v>
      </c>
      <c r="BE106" s="106" t="s">
        <v>206</v>
      </c>
      <c r="BF106" s="107">
        <f>IF(AZ106="Não","Sim","Não")</f>
      </c>
      <c r="BG106" s="107">
        <f>IF(AZ106="NA","Sim","Não")</f>
      </c>
      <c r="BH106" s="106" t="s">
        <v>206</v>
      </c>
      <c r="BI106" s="1" t="s">
        <v>236</v>
      </c>
      <c r="BJ106" s="106" t="s">
        <v>36</v>
      </c>
      <c r="BK106" s="1" t="s">
        <v>987</v>
      </c>
      <c r="BL106" s="102">
        <v>20</v>
      </c>
      <c r="BM106" s="1" t="s">
        <v>208</v>
      </c>
      <c r="BN106" s="1" t="s">
        <v>208</v>
      </c>
      <c r="BO106" s="1" t="s">
        <v>987</v>
      </c>
      <c r="BP106" s="102">
        <v>20</v>
      </c>
      <c r="BQ106" s="1" t="s">
        <v>206</v>
      </c>
      <c r="BR106" s="1" t="s">
        <v>227</v>
      </c>
      <c r="BS106" s="106" t="s">
        <v>37</v>
      </c>
    </row>
    <row x14ac:dyDescent="0.25" r="107" customHeight="1" ht="17.25">
      <c r="A107" s="102">
        <v>106</v>
      </c>
      <c r="B107" s="1" t="s">
        <v>993</v>
      </c>
      <c r="C107" s="102">
        <v>0</v>
      </c>
      <c r="D107" s="61" t="s">
        <v>994</v>
      </c>
      <c r="E107" s="1" t="s">
        <v>76</v>
      </c>
      <c r="F107" s="1" t="s">
        <v>22</v>
      </c>
      <c r="G107" s="1" t="s">
        <v>60</v>
      </c>
      <c r="H107" s="1" t="s">
        <v>998</v>
      </c>
      <c r="I107" s="102">
        <v>1</v>
      </c>
      <c r="J107" s="1" t="s">
        <v>158</v>
      </c>
      <c r="K107" s="1" t="s">
        <v>22</v>
      </c>
      <c r="L107" s="103">
        <v>33050</v>
      </c>
      <c r="M107" s="104">
        <v>27</v>
      </c>
      <c r="N107" s="1" t="s">
        <v>175</v>
      </c>
      <c r="O107" s="1" t="s">
        <v>24</v>
      </c>
      <c r="P107" s="1" t="s">
        <v>365</v>
      </c>
      <c r="Q107" s="1" t="s">
        <v>366</v>
      </c>
      <c r="R107" s="62">
        <v>0</v>
      </c>
      <c r="S107" s="102">
        <v>0</v>
      </c>
      <c r="T107" s="54" t="s">
        <v>997</v>
      </c>
      <c r="U107" s="105">
        <v>5.9</v>
      </c>
      <c r="V107" s="54" t="s">
        <v>999</v>
      </c>
      <c r="W107" s="105">
        <v>3.9</v>
      </c>
      <c r="X107" s="62">
        <v>0</v>
      </c>
      <c r="Y107" s="102">
        <v>0</v>
      </c>
      <c r="Z107" s="62">
        <v>0</v>
      </c>
      <c r="AA107" s="102">
        <v>0</v>
      </c>
      <c r="AB107" s="62">
        <v>0</v>
      </c>
      <c r="AC107" s="106" t="s">
        <v>206</v>
      </c>
      <c r="AD107" s="106" t="s">
        <v>206</v>
      </c>
      <c r="AE107" s="106" t="s">
        <v>206</v>
      </c>
      <c r="AF107" s="106" t="s">
        <v>206</v>
      </c>
      <c r="AG107" s="106" t="s">
        <v>206</v>
      </c>
      <c r="AH107" s="106" t="s">
        <v>206</v>
      </c>
      <c r="AI107" s="1" t="s">
        <v>371</v>
      </c>
      <c r="AJ107" s="1" t="s">
        <v>206</v>
      </c>
      <c r="AK107" s="1" t="s">
        <v>430</v>
      </c>
      <c r="AL107" s="1" t="s">
        <v>198</v>
      </c>
      <c r="AM107" s="106" t="s">
        <v>27</v>
      </c>
      <c r="AN107" s="1" t="s">
        <v>357</v>
      </c>
      <c r="AO107" s="1" t="s">
        <v>208</v>
      </c>
      <c r="AP107" s="1" t="s">
        <v>206</v>
      </c>
      <c r="AQ107" s="1" t="s">
        <v>441</v>
      </c>
      <c r="AR107" s="1" t="s">
        <v>206</v>
      </c>
      <c r="AS107" s="106" t="s">
        <v>206</v>
      </c>
      <c r="AT107" s="1" t="s">
        <v>206</v>
      </c>
      <c r="AU107" s="106" t="s">
        <v>206</v>
      </c>
      <c r="AV107" s="106" t="s">
        <v>206</v>
      </c>
      <c r="AW107" s="106" t="s">
        <v>35</v>
      </c>
      <c r="AX107" s="106" t="s">
        <v>206</v>
      </c>
      <c r="AY107" s="106" t="s">
        <v>206</v>
      </c>
      <c r="AZ107" s="1" t="s">
        <v>206</v>
      </c>
      <c r="BA107" s="106" t="s">
        <v>206</v>
      </c>
      <c r="BB107" s="106" t="s">
        <v>206</v>
      </c>
      <c r="BC107" s="106" t="s">
        <v>206</v>
      </c>
      <c r="BD107" s="106" t="s">
        <v>206</v>
      </c>
      <c r="BE107" s="106" t="s">
        <v>206</v>
      </c>
      <c r="BF107" s="107">
        <f>IF(AZ107="Não","Sim","Não")</f>
      </c>
      <c r="BG107" s="107">
        <f>IF(AZ107="NA","Sim","Não")</f>
      </c>
      <c r="BH107" s="106" t="s">
        <v>206</v>
      </c>
      <c r="BI107" s="1" t="s">
        <v>236</v>
      </c>
      <c r="BJ107" s="106" t="s">
        <v>36</v>
      </c>
      <c r="BK107" s="1" t="s">
        <v>987</v>
      </c>
      <c r="BL107" s="102">
        <v>20</v>
      </c>
      <c r="BM107" s="1" t="s">
        <v>208</v>
      </c>
      <c r="BN107" s="1" t="s">
        <v>208</v>
      </c>
      <c r="BO107" s="1" t="s">
        <v>987</v>
      </c>
      <c r="BP107" s="102">
        <v>20</v>
      </c>
      <c r="BQ107" s="1" t="s">
        <v>206</v>
      </c>
      <c r="BR107" s="1" t="s">
        <v>227</v>
      </c>
      <c r="BS107" s="106" t="s">
        <v>37</v>
      </c>
    </row>
    <row x14ac:dyDescent="0.25" r="108" customHeight="1" ht="17.25">
      <c r="A108" s="102">
        <v>107</v>
      </c>
      <c r="B108" s="1" t="s">
        <v>1000</v>
      </c>
      <c r="C108" s="102">
        <v>1</v>
      </c>
      <c r="D108" s="61" t="s">
        <v>557</v>
      </c>
      <c r="E108" s="1" t="s">
        <v>102</v>
      </c>
      <c r="F108" s="1" t="s">
        <v>22</v>
      </c>
      <c r="G108" s="1" t="s">
        <v>56</v>
      </c>
      <c r="H108" s="1" t="s">
        <v>1001</v>
      </c>
      <c r="I108" s="102">
        <v>1</v>
      </c>
      <c r="J108" s="1" t="s">
        <v>160</v>
      </c>
      <c r="K108" s="1" t="s">
        <v>22</v>
      </c>
      <c r="L108" s="103">
        <v>36283</v>
      </c>
      <c r="M108" s="104">
        <v>18</v>
      </c>
      <c r="N108" s="1" t="s">
        <v>175</v>
      </c>
      <c r="O108" s="1" t="s">
        <v>24</v>
      </c>
      <c r="P108" s="1" t="s">
        <v>178</v>
      </c>
      <c r="Q108" s="1" t="s">
        <v>1002</v>
      </c>
      <c r="R108" s="54" t="s">
        <v>1003</v>
      </c>
      <c r="S108" s="102">
        <v>180</v>
      </c>
      <c r="T108" s="54" t="s">
        <v>1004</v>
      </c>
      <c r="U108" s="102">
        <v>198</v>
      </c>
      <c r="V108" s="62">
        <v>0</v>
      </c>
      <c r="W108" s="102">
        <v>0</v>
      </c>
      <c r="X108" s="62">
        <v>0</v>
      </c>
      <c r="Y108" s="102">
        <v>0</v>
      </c>
      <c r="Z108" s="62">
        <v>0</v>
      </c>
      <c r="AA108" s="102">
        <v>0</v>
      </c>
      <c r="AB108" s="62">
        <v>0</v>
      </c>
      <c r="AC108" s="106" t="s">
        <v>206</v>
      </c>
      <c r="AD108" s="106" t="s">
        <v>206</v>
      </c>
      <c r="AE108" s="106" t="s">
        <v>206</v>
      </c>
      <c r="AF108" s="106" t="s">
        <v>206</v>
      </c>
      <c r="AG108" s="106" t="s">
        <v>206</v>
      </c>
      <c r="AH108" s="106" t="s">
        <v>206</v>
      </c>
      <c r="AI108" s="1" t="s">
        <v>357</v>
      </c>
      <c r="AJ108" s="1" t="s">
        <v>206</v>
      </c>
      <c r="AK108" s="1" t="s">
        <v>732</v>
      </c>
      <c r="AL108" s="1" t="s">
        <v>197</v>
      </c>
      <c r="AM108" s="106" t="s">
        <v>27</v>
      </c>
      <c r="AN108" s="1" t="s">
        <v>357</v>
      </c>
      <c r="AO108" s="1" t="s">
        <v>208</v>
      </c>
      <c r="AP108" s="1" t="s">
        <v>206</v>
      </c>
      <c r="AQ108" s="1" t="s">
        <v>441</v>
      </c>
      <c r="AR108" s="1" t="s">
        <v>206</v>
      </c>
      <c r="AS108" s="106" t="s">
        <v>206</v>
      </c>
      <c r="AT108" s="1" t="s">
        <v>206</v>
      </c>
      <c r="AU108" s="106" t="s">
        <v>206</v>
      </c>
      <c r="AV108" s="106" t="s">
        <v>206</v>
      </c>
      <c r="AW108" s="106" t="s">
        <v>35</v>
      </c>
      <c r="AX108" s="106" t="s">
        <v>206</v>
      </c>
      <c r="AY108" s="106" t="s">
        <v>206</v>
      </c>
      <c r="AZ108" s="1" t="s">
        <v>206</v>
      </c>
      <c r="BA108" s="106" t="s">
        <v>206</v>
      </c>
      <c r="BB108" s="106" t="s">
        <v>206</v>
      </c>
      <c r="BC108" s="106" t="s">
        <v>206</v>
      </c>
      <c r="BD108" s="106" t="s">
        <v>206</v>
      </c>
      <c r="BE108" s="106" t="s">
        <v>206</v>
      </c>
      <c r="BF108" s="107">
        <f>IF(AZ108="Não","Sim","Não")</f>
      </c>
      <c r="BG108" s="107">
        <f>IF(AZ108="NA","Sim","Não")</f>
      </c>
      <c r="BH108" s="106" t="s">
        <v>206</v>
      </c>
      <c r="BI108" s="1" t="s">
        <v>237</v>
      </c>
      <c r="BJ108" s="106" t="s">
        <v>36</v>
      </c>
      <c r="BK108" s="1" t="s">
        <v>661</v>
      </c>
      <c r="BL108" s="102">
        <v>24</v>
      </c>
      <c r="BM108" s="1" t="s">
        <v>208</v>
      </c>
      <c r="BN108" s="1" t="s">
        <v>208</v>
      </c>
      <c r="BO108" s="1" t="s">
        <v>661</v>
      </c>
      <c r="BP108" s="102">
        <v>24</v>
      </c>
      <c r="BQ108" s="1" t="s">
        <v>35</v>
      </c>
      <c r="BR108" s="1" t="s">
        <v>208</v>
      </c>
      <c r="BS108" s="106" t="s">
        <v>208</v>
      </c>
    </row>
    <row x14ac:dyDescent="0.25" r="109" customHeight="1" ht="17.25">
      <c r="A109" s="102">
        <v>108</v>
      </c>
      <c r="B109" s="1" t="s">
        <v>1005</v>
      </c>
      <c r="C109" s="102">
        <v>1</v>
      </c>
      <c r="D109" s="61" t="s">
        <v>1006</v>
      </c>
      <c r="E109" s="1" t="s">
        <v>106</v>
      </c>
      <c r="F109" s="1" t="s">
        <v>22</v>
      </c>
      <c r="G109" s="1" t="s">
        <v>55</v>
      </c>
      <c r="H109" s="1" t="s">
        <v>1007</v>
      </c>
      <c r="I109" s="102">
        <v>1</v>
      </c>
      <c r="J109" s="1" t="s">
        <v>158</v>
      </c>
      <c r="K109" s="1" t="s">
        <v>22</v>
      </c>
      <c r="L109" s="103">
        <v>35484</v>
      </c>
      <c r="M109" s="104">
        <v>20</v>
      </c>
      <c r="N109" s="1" t="s">
        <v>175</v>
      </c>
      <c r="O109" s="1" t="s">
        <v>24</v>
      </c>
      <c r="P109" s="1" t="s">
        <v>365</v>
      </c>
      <c r="Q109" s="1" t="s">
        <v>1008</v>
      </c>
      <c r="R109" s="62">
        <v>0</v>
      </c>
      <c r="S109" s="102">
        <v>0</v>
      </c>
      <c r="T109" s="54" t="s">
        <v>1009</v>
      </c>
      <c r="U109" s="105">
        <v>44.5</v>
      </c>
      <c r="V109" s="62">
        <v>0</v>
      </c>
      <c r="W109" s="102">
        <v>0</v>
      </c>
      <c r="X109" s="62">
        <v>0</v>
      </c>
      <c r="Y109" s="102">
        <v>0</v>
      </c>
      <c r="Z109" s="62">
        <v>0</v>
      </c>
      <c r="AA109" s="102">
        <v>0</v>
      </c>
      <c r="AB109" s="62">
        <v>0</v>
      </c>
      <c r="AC109" s="106" t="s">
        <v>206</v>
      </c>
      <c r="AD109" s="106" t="s">
        <v>206</v>
      </c>
      <c r="AE109" s="106" t="s">
        <v>206</v>
      </c>
      <c r="AF109" s="106" t="s">
        <v>206</v>
      </c>
      <c r="AG109" s="106" t="s">
        <v>206</v>
      </c>
      <c r="AH109" s="106" t="s">
        <v>206</v>
      </c>
      <c r="AI109" s="1" t="s">
        <v>357</v>
      </c>
      <c r="AJ109" s="1" t="s">
        <v>206</v>
      </c>
      <c r="AK109" s="1" t="s">
        <v>776</v>
      </c>
      <c r="AL109" s="1" t="s">
        <v>197</v>
      </c>
      <c r="AM109" s="106" t="s">
        <v>27</v>
      </c>
      <c r="AN109" s="1" t="s">
        <v>357</v>
      </c>
      <c r="AO109" s="1" t="s">
        <v>208</v>
      </c>
      <c r="AP109" s="1" t="s">
        <v>206</v>
      </c>
      <c r="AQ109" s="1" t="s">
        <v>441</v>
      </c>
      <c r="AR109" s="1" t="s">
        <v>206</v>
      </c>
      <c r="AS109" s="106" t="s">
        <v>206</v>
      </c>
      <c r="AT109" s="1" t="s">
        <v>206</v>
      </c>
      <c r="AU109" s="106" t="s">
        <v>206</v>
      </c>
      <c r="AV109" s="106" t="s">
        <v>206</v>
      </c>
      <c r="AW109" s="106" t="s">
        <v>35</v>
      </c>
      <c r="AX109" s="106" t="s">
        <v>206</v>
      </c>
      <c r="AY109" s="106" t="s">
        <v>206</v>
      </c>
      <c r="AZ109" s="1" t="s">
        <v>206</v>
      </c>
      <c r="BA109" s="106" t="s">
        <v>206</v>
      </c>
      <c r="BB109" s="106" t="s">
        <v>206</v>
      </c>
      <c r="BC109" s="106" t="s">
        <v>206</v>
      </c>
      <c r="BD109" s="106" t="s">
        <v>206</v>
      </c>
      <c r="BE109" s="106" t="s">
        <v>206</v>
      </c>
      <c r="BF109" s="107">
        <f>IF(AZ109="Não","Sim","Não")</f>
      </c>
      <c r="BG109" s="107">
        <f>IF(AZ109="NA","Sim","Não")</f>
      </c>
      <c r="BH109" s="106" t="s">
        <v>206</v>
      </c>
      <c r="BI109" s="1" t="s">
        <v>237</v>
      </c>
      <c r="BJ109" s="106" t="s">
        <v>36</v>
      </c>
      <c r="BK109" s="1" t="s">
        <v>661</v>
      </c>
      <c r="BL109" s="102">
        <v>24</v>
      </c>
      <c r="BM109" s="1" t="s">
        <v>208</v>
      </c>
      <c r="BN109" s="1" t="s">
        <v>208</v>
      </c>
      <c r="BO109" s="1" t="s">
        <v>661</v>
      </c>
      <c r="BP109" s="102">
        <v>24</v>
      </c>
      <c r="BQ109" s="1" t="s">
        <v>206</v>
      </c>
      <c r="BR109" s="1" t="s">
        <v>227</v>
      </c>
      <c r="BS109" s="106" t="s">
        <v>37</v>
      </c>
    </row>
    <row x14ac:dyDescent="0.25" r="110" customHeight="1" ht="17.25">
      <c r="A110" s="102">
        <v>109</v>
      </c>
      <c r="B110" s="1" t="s">
        <v>1010</v>
      </c>
      <c r="C110" s="102">
        <v>0</v>
      </c>
      <c r="D110" s="61" t="s">
        <v>1011</v>
      </c>
      <c r="E110" s="1" t="s">
        <v>106</v>
      </c>
      <c r="F110" s="1" t="s">
        <v>22</v>
      </c>
      <c r="G110" s="1" t="s">
        <v>55</v>
      </c>
      <c r="H110" s="1" t="s">
        <v>1012</v>
      </c>
      <c r="I110" s="102">
        <v>1</v>
      </c>
      <c r="J110" s="1" t="s">
        <v>160</v>
      </c>
      <c r="K110" s="1" t="s">
        <v>22</v>
      </c>
      <c r="L110" s="103">
        <v>28937</v>
      </c>
      <c r="M110" s="104">
        <v>38</v>
      </c>
      <c r="N110" s="1" t="s">
        <v>175</v>
      </c>
      <c r="O110" s="1" t="s">
        <v>24</v>
      </c>
      <c r="P110" s="1" t="s">
        <v>517</v>
      </c>
      <c r="Q110" s="1" t="s">
        <v>1013</v>
      </c>
      <c r="R110" s="62">
        <v>0</v>
      </c>
      <c r="S110" s="102">
        <v>0</v>
      </c>
      <c r="T110" s="54" t="s">
        <v>1014</v>
      </c>
      <c r="U110" s="105">
        <v>142.4</v>
      </c>
      <c r="V110" s="62">
        <v>0</v>
      </c>
      <c r="W110" s="102">
        <v>0</v>
      </c>
      <c r="X110" s="62">
        <v>0</v>
      </c>
      <c r="Y110" s="102">
        <v>0</v>
      </c>
      <c r="Z110" s="62">
        <v>0</v>
      </c>
      <c r="AA110" s="102">
        <v>0</v>
      </c>
      <c r="AB110" s="62">
        <v>0</v>
      </c>
      <c r="AC110" s="106" t="s">
        <v>206</v>
      </c>
      <c r="AD110" s="106" t="s">
        <v>206</v>
      </c>
      <c r="AE110" s="106" t="s">
        <v>206</v>
      </c>
      <c r="AF110" s="106" t="s">
        <v>206</v>
      </c>
      <c r="AG110" s="106" t="s">
        <v>206</v>
      </c>
      <c r="AH110" s="106" t="s">
        <v>206</v>
      </c>
      <c r="AI110" s="1" t="s">
        <v>371</v>
      </c>
      <c r="AJ110" s="1" t="s">
        <v>206</v>
      </c>
      <c r="AK110" s="1" t="s">
        <v>594</v>
      </c>
      <c r="AL110" s="1" t="s">
        <v>198</v>
      </c>
      <c r="AM110" s="106" t="s">
        <v>27</v>
      </c>
      <c r="AN110" s="1" t="s">
        <v>357</v>
      </c>
      <c r="AO110" s="1" t="s">
        <v>208</v>
      </c>
      <c r="AP110" s="1" t="s">
        <v>206</v>
      </c>
      <c r="AQ110" s="1" t="s">
        <v>441</v>
      </c>
      <c r="AR110" s="1" t="s">
        <v>206</v>
      </c>
      <c r="AS110" s="106" t="s">
        <v>206</v>
      </c>
      <c r="AT110" s="1" t="s">
        <v>206</v>
      </c>
      <c r="AU110" s="106" t="s">
        <v>206</v>
      </c>
      <c r="AV110" s="106" t="s">
        <v>206</v>
      </c>
      <c r="AW110" s="106" t="s">
        <v>35</v>
      </c>
      <c r="AX110" s="106" t="s">
        <v>206</v>
      </c>
      <c r="AY110" s="106" t="s">
        <v>206</v>
      </c>
      <c r="AZ110" s="1" t="s">
        <v>206</v>
      </c>
      <c r="BA110" s="106" t="s">
        <v>206</v>
      </c>
      <c r="BB110" s="106" t="s">
        <v>206</v>
      </c>
      <c r="BC110" s="106" t="s">
        <v>206</v>
      </c>
      <c r="BD110" s="106" t="s">
        <v>206</v>
      </c>
      <c r="BE110" s="106" t="s">
        <v>206</v>
      </c>
      <c r="BF110" s="107">
        <f>IF(AZ110="Não","Sim","Não")</f>
      </c>
      <c r="BG110" s="107">
        <f>IF(AZ110="NA","Sim","Não")</f>
      </c>
      <c r="BH110" s="106" t="s">
        <v>206</v>
      </c>
      <c r="BI110" s="1" t="s">
        <v>237</v>
      </c>
      <c r="BJ110" s="106" t="s">
        <v>36</v>
      </c>
      <c r="BK110" s="1" t="s">
        <v>661</v>
      </c>
      <c r="BL110" s="102">
        <v>24</v>
      </c>
      <c r="BM110" s="1" t="s">
        <v>208</v>
      </c>
      <c r="BN110" s="1" t="s">
        <v>208</v>
      </c>
      <c r="BO110" s="1" t="s">
        <v>661</v>
      </c>
      <c r="BP110" s="102">
        <v>24</v>
      </c>
      <c r="BQ110" s="1" t="s">
        <v>206</v>
      </c>
      <c r="BR110" s="1" t="s">
        <v>228</v>
      </c>
      <c r="BS110" s="106" t="s">
        <v>228</v>
      </c>
    </row>
    <row x14ac:dyDescent="0.25" r="111" customHeight="1" ht="17.25">
      <c r="A111" s="102">
        <v>110</v>
      </c>
      <c r="B111" s="1" t="s">
        <v>1015</v>
      </c>
      <c r="C111" s="102">
        <v>1</v>
      </c>
      <c r="D111" s="61" t="s">
        <v>1016</v>
      </c>
      <c r="E111" s="1" t="s">
        <v>129</v>
      </c>
      <c r="F111" s="1" t="s">
        <v>170</v>
      </c>
      <c r="G111" s="1" t="s">
        <v>39</v>
      </c>
      <c r="H111" s="1" t="s">
        <v>1017</v>
      </c>
      <c r="I111" s="102">
        <v>1</v>
      </c>
      <c r="J111" s="1" t="s">
        <v>158</v>
      </c>
      <c r="K111" s="1" t="s">
        <v>22</v>
      </c>
      <c r="L111" s="103">
        <v>30921</v>
      </c>
      <c r="M111" s="104">
        <v>33</v>
      </c>
      <c r="N111" s="1" t="s">
        <v>176</v>
      </c>
      <c r="O111" s="1" t="s">
        <v>182</v>
      </c>
      <c r="P111" s="1" t="s">
        <v>517</v>
      </c>
      <c r="Q111" s="1" t="s">
        <v>1018</v>
      </c>
      <c r="R111" s="62">
        <v>0</v>
      </c>
      <c r="S111" s="102">
        <v>0</v>
      </c>
      <c r="T111" s="62">
        <v>0</v>
      </c>
      <c r="U111" s="102">
        <v>0</v>
      </c>
      <c r="V111" s="54" t="s">
        <v>1019</v>
      </c>
      <c r="W111" s="105">
        <v>76.1</v>
      </c>
      <c r="X111" s="62">
        <v>0</v>
      </c>
      <c r="Y111" s="102">
        <v>0</v>
      </c>
      <c r="Z111" s="62">
        <v>0</v>
      </c>
      <c r="AA111" s="102">
        <v>0</v>
      </c>
      <c r="AB111" s="62">
        <v>0</v>
      </c>
      <c r="AC111" s="106" t="s">
        <v>206</v>
      </c>
      <c r="AD111" s="106" t="s">
        <v>206</v>
      </c>
      <c r="AE111" s="106" t="s">
        <v>206</v>
      </c>
      <c r="AF111" s="106" t="s">
        <v>206</v>
      </c>
      <c r="AG111" s="106" t="s">
        <v>206</v>
      </c>
      <c r="AH111" s="106" t="s">
        <v>206</v>
      </c>
      <c r="AI111" s="1" t="s">
        <v>357</v>
      </c>
      <c r="AJ111" s="1" t="s">
        <v>206</v>
      </c>
      <c r="AK111" s="1" t="s">
        <v>405</v>
      </c>
      <c r="AL111" s="1" t="s">
        <v>197</v>
      </c>
      <c r="AM111" s="106" t="s">
        <v>27</v>
      </c>
      <c r="AN111" s="1" t="s">
        <v>357</v>
      </c>
      <c r="AO111" s="1" t="s">
        <v>208</v>
      </c>
      <c r="AP111" s="1" t="s">
        <v>832</v>
      </c>
      <c r="AQ111" s="1" t="s">
        <v>386</v>
      </c>
      <c r="AR111" s="1" t="s">
        <v>206</v>
      </c>
      <c r="AS111" s="106" t="s">
        <v>206</v>
      </c>
      <c r="AT111" s="1" t="s">
        <v>206</v>
      </c>
      <c r="AU111" s="106" t="s">
        <v>206</v>
      </c>
      <c r="AV111" s="106" t="s">
        <v>206</v>
      </c>
      <c r="AW111" s="106" t="s">
        <v>35</v>
      </c>
      <c r="AX111" s="106" t="s">
        <v>206</v>
      </c>
      <c r="AY111" s="106" t="s">
        <v>206</v>
      </c>
      <c r="AZ111" s="1" t="s">
        <v>206</v>
      </c>
      <c r="BA111" s="106" t="s">
        <v>206</v>
      </c>
      <c r="BB111" s="106" t="s">
        <v>206</v>
      </c>
      <c r="BC111" s="106" t="s">
        <v>206</v>
      </c>
      <c r="BD111" s="106" t="s">
        <v>206</v>
      </c>
      <c r="BE111" s="106" t="s">
        <v>206</v>
      </c>
      <c r="BF111" s="107">
        <f>IF(AZ111="Não","Sim","Não")</f>
      </c>
      <c r="BG111" s="107">
        <f>IF(AZ111="NA","Sim","Não")</f>
      </c>
      <c r="BH111" s="106" t="s">
        <v>206</v>
      </c>
      <c r="BI111" s="1" t="s">
        <v>236</v>
      </c>
      <c r="BJ111" s="106" t="s">
        <v>36</v>
      </c>
      <c r="BK111" s="1" t="s">
        <v>661</v>
      </c>
      <c r="BL111" s="102">
        <v>24</v>
      </c>
      <c r="BM111" s="1" t="s">
        <v>208</v>
      </c>
      <c r="BN111" s="1" t="s">
        <v>208</v>
      </c>
      <c r="BO111" s="1" t="s">
        <v>661</v>
      </c>
      <c r="BP111" s="102">
        <v>24</v>
      </c>
      <c r="BQ111" s="1" t="s">
        <v>206</v>
      </c>
      <c r="BR111" s="1" t="s">
        <v>229</v>
      </c>
      <c r="BS111" s="106" t="s">
        <v>229</v>
      </c>
    </row>
    <row x14ac:dyDescent="0.25" r="112" customHeight="1" ht="17.25">
      <c r="A112" s="102">
        <v>111</v>
      </c>
      <c r="B112" s="1" t="s">
        <v>1020</v>
      </c>
      <c r="C112" s="102">
        <v>1</v>
      </c>
      <c r="D112" s="61" t="s">
        <v>1021</v>
      </c>
      <c r="E112" s="1" t="s">
        <v>127</v>
      </c>
      <c r="F112" s="1" t="s">
        <v>170</v>
      </c>
      <c r="G112" s="1" t="s">
        <v>60</v>
      </c>
      <c r="H112" s="1" t="s">
        <v>1022</v>
      </c>
      <c r="I112" s="102">
        <v>1</v>
      </c>
      <c r="J112" s="1" t="s">
        <v>158</v>
      </c>
      <c r="K112" s="1" t="s">
        <v>170</v>
      </c>
      <c r="L112" s="103">
        <v>31158</v>
      </c>
      <c r="M112" s="104">
        <v>32</v>
      </c>
      <c r="N112" s="1" t="s">
        <v>175</v>
      </c>
      <c r="O112" s="1" t="s">
        <v>24</v>
      </c>
      <c r="P112" s="1" t="s">
        <v>365</v>
      </c>
      <c r="Q112" s="1" t="s">
        <v>1023</v>
      </c>
      <c r="R112" s="54" t="s">
        <v>1024</v>
      </c>
      <c r="S112" s="105">
        <v>27.3</v>
      </c>
      <c r="T112" s="54" t="s">
        <v>1025</v>
      </c>
      <c r="U112" s="105">
        <v>31.6</v>
      </c>
      <c r="V112" s="62">
        <v>0</v>
      </c>
      <c r="W112" s="102">
        <v>0</v>
      </c>
      <c r="X112" s="62">
        <v>0</v>
      </c>
      <c r="Y112" s="102">
        <v>0</v>
      </c>
      <c r="Z112" s="62">
        <v>0</v>
      </c>
      <c r="AA112" s="102">
        <v>0</v>
      </c>
      <c r="AB112" s="62">
        <v>0</v>
      </c>
      <c r="AC112" s="106" t="s">
        <v>206</v>
      </c>
      <c r="AD112" s="106" t="s">
        <v>206</v>
      </c>
      <c r="AE112" s="106" t="s">
        <v>206</v>
      </c>
      <c r="AF112" s="106" t="s">
        <v>206</v>
      </c>
      <c r="AG112" s="106" t="s">
        <v>206</v>
      </c>
      <c r="AH112" s="106" t="s">
        <v>206</v>
      </c>
      <c r="AI112" s="1" t="s">
        <v>357</v>
      </c>
      <c r="AJ112" s="1" t="s">
        <v>206</v>
      </c>
      <c r="AK112" s="1" t="s">
        <v>520</v>
      </c>
      <c r="AL112" s="1" t="s">
        <v>197</v>
      </c>
      <c r="AM112" s="106" t="s">
        <v>27</v>
      </c>
      <c r="AN112" s="1" t="s">
        <v>357</v>
      </c>
      <c r="AO112" s="1" t="s">
        <v>208</v>
      </c>
      <c r="AP112" s="1" t="s">
        <v>206</v>
      </c>
      <c r="AQ112" s="1" t="s">
        <v>441</v>
      </c>
      <c r="AR112" s="1" t="s">
        <v>206</v>
      </c>
      <c r="AS112" s="106" t="s">
        <v>206</v>
      </c>
      <c r="AT112" s="1" t="s">
        <v>206</v>
      </c>
      <c r="AU112" s="106" t="s">
        <v>206</v>
      </c>
      <c r="AV112" s="106" t="s">
        <v>206</v>
      </c>
      <c r="AW112" s="106" t="s">
        <v>35</v>
      </c>
      <c r="AX112" s="106" t="s">
        <v>206</v>
      </c>
      <c r="AY112" s="106" t="s">
        <v>206</v>
      </c>
      <c r="AZ112" s="1" t="s">
        <v>30</v>
      </c>
      <c r="BA112" s="106" t="s">
        <v>35</v>
      </c>
      <c r="BB112" s="106" t="s">
        <v>206</v>
      </c>
      <c r="BC112" s="106" t="s">
        <v>206</v>
      </c>
      <c r="BD112" s="106" t="s">
        <v>206</v>
      </c>
      <c r="BE112" s="106" t="s">
        <v>206</v>
      </c>
      <c r="BF112" s="107">
        <f>IF(AZ112="Não","Sim","Não")</f>
      </c>
      <c r="BG112" s="107">
        <f>IF(AZ112="NA","Sim","Não")</f>
      </c>
      <c r="BH112" s="106" t="s">
        <v>35</v>
      </c>
      <c r="BI112" s="1" t="s">
        <v>237</v>
      </c>
      <c r="BJ112" s="106" t="s">
        <v>36</v>
      </c>
      <c r="BK112" s="1" t="s">
        <v>1026</v>
      </c>
      <c r="BL112" s="102">
        <v>35</v>
      </c>
      <c r="BM112" s="1" t="s">
        <v>208</v>
      </c>
      <c r="BN112" s="1" t="s">
        <v>208</v>
      </c>
      <c r="BO112" s="1" t="s">
        <v>1026</v>
      </c>
      <c r="BP112" s="102">
        <v>35</v>
      </c>
      <c r="BQ112" s="1" t="s">
        <v>206</v>
      </c>
      <c r="BR112" s="1" t="s">
        <v>228</v>
      </c>
      <c r="BS112" s="106" t="s">
        <v>228</v>
      </c>
    </row>
    <row x14ac:dyDescent="0.25" r="113" customHeight="1" ht="17.25">
      <c r="A113" s="102">
        <v>112</v>
      </c>
      <c r="B113" s="1" t="s">
        <v>1027</v>
      </c>
      <c r="C113" s="102">
        <v>1</v>
      </c>
      <c r="D113" s="61" t="s">
        <v>817</v>
      </c>
      <c r="E113" s="1" t="s">
        <v>111</v>
      </c>
      <c r="F113" s="1" t="s">
        <v>22</v>
      </c>
      <c r="G113" s="1" t="s">
        <v>47</v>
      </c>
      <c r="H113" s="1" t="s">
        <v>1028</v>
      </c>
      <c r="I113" s="102">
        <v>1</v>
      </c>
      <c r="J113" s="1" t="s">
        <v>158</v>
      </c>
      <c r="K113" s="1" t="s">
        <v>170</v>
      </c>
      <c r="L113" s="103">
        <v>35584</v>
      </c>
      <c r="M113" s="104">
        <v>20</v>
      </c>
      <c r="N113" s="1" t="s">
        <v>175</v>
      </c>
      <c r="O113" s="1" t="s">
        <v>24</v>
      </c>
      <c r="P113" s="1" t="s">
        <v>365</v>
      </c>
      <c r="Q113" s="1" t="s">
        <v>1029</v>
      </c>
      <c r="R113" s="54" t="s">
        <v>1030</v>
      </c>
      <c r="S113" s="105">
        <v>20.8</v>
      </c>
      <c r="T113" s="54" t="s">
        <v>1031</v>
      </c>
      <c r="U113" s="105">
        <v>20.6</v>
      </c>
      <c r="V113" s="62">
        <v>0</v>
      </c>
      <c r="W113" s="102">
        <v>0</v>
      </c>
      <c r="X113" s="62">
        <v>0</v>
      </c>
      <c r="Y113" s="102">
        <v>0</v>
      </c>
      <c r="Z113" s="62">
        <v>0</v>
      </c>
      <c r="AA113" s="102">
        <v>0</v>
      </c>
      <c r="AB113" s="62">
        <v>0</v>
      </c>
      <c r="AC113" s="106" t="s">
        <v>206</v>
      </c>
      <c r="AD113" s="106" t="s">
        <v>206</v>
      </c>
      <c r="AE113" s="106" t="s">
        <v>206</v>
      </c>
      <c r="AF113" s="106" t="s">
        <v>206</v>
      </c>
      <c r="AG113" s="106" t="s">
        <v>206</v>
      </c>
      <c r="AH113" s="106" t="s">
        <v>206</v>
      </c>
      <c r="AI113" s="1" t="s">
        <v>357</v>
      </c>
      <c r="AJ113" s="1" t="s">
        <v>206</v>
      </c>
      <c r="AK113" s="1" t="s">
        <v>1032</v>
      </c>
      <c r="AL113" s="1" t="s">
        <v>197</v>
      </c>
      <c r="AM113" s="106" t="s">
        <v>27</v>
      </c>
      <c r="AN113" s="1" t="s">
        <v>357</v>
      </c>
      <c r="AO113" s="1" t="s">
        <v>208</v>
      </c>
      <c r="AP113" s="1" t="s">
        <v>206</v>
      </c>
      <c r="AQ113" s="1" t="s">
        <v>441</v>
      </c>
      <c r="AR113" s="1" t="s">
        <v>206</v>
      </c>
      <c r="AS113" s="106" t="s">
        <v>206</v>
      </c>
      <c r="AT113" s="1" t="s">
        <v>206</v>
      </c>
      <c r="AU113" s="106" t="s">
        <v>206</v>
      </c>
      <c r="AV113" s="106" t="s">
        <v>206</v>
      </c>
      <c r="AW113" s="106" t="s">
        <v>35</v>
      </c>
      <c r="AX113" s="106" t="s">
        <v>206</v>
      </c>
      <c r="AY113" s="106" t="s">
        <v>206</v>
      </c>
      <c r="AZ113" s="1" t="s">
        <v>30</v>
      </c>
      <c r="BA113" s="106" t="s">
        <v>35</v>
      </c>
      <c r="BB113" s="106" t="s">
        <v>206</v>
      </c>
      <c r="BC113" s="106" t="s">
        <v>206</v>
      </c>
      <c r="BD113" s="106" t="s">
        <v>206</v>
      </c>
      <c r="BE113" s="106" t="s">
        <v>206</v>
      </c>
      <c r="BF113" s="107">
        <f>IF(AZ113="Não","Sim","Não")</f>
      </c>
      <c r="BG113" s="107">
        <f>IF(AZ113="NA","Sim","Não")</f>
      </c>
      <c r="BH113" s="106" t="s">
        <v>35</v>
      </c>
      <c r="BI113" s="1" t="s">
        <v>237</v>
      </c>
      <c r="BJ113" s="106" t="s">
        <v>36</v>
      </c>
      <c r="BK113" s="1" t="s">
        <v>1026</v>
      </c>
      <c r="BL113" s="102">
        <v>35</v>
      </c>
      <c r="BM113" s="1" t="s">
        <v>208</v>
      </c>
      <c r="BN113" s="1" t="s">
        <v>208</v>
      </c>
      <c r="BO113" s="1" t="s">
        <v>1026</v>
      </c>
      <c r="BP113" s="102">
        <v>35</v>
      </c>
      <c r="BQ113" s="1" t="s">
        <v>206</v>
      </c>
      <c r="BR113" s="1" t="s">
        <v>227</v>
      </c>
      <c r="BS113" s="106" t="s">
        <v>37</v>
      </c>
    </row>
    <row x14ac:dyDescent="0.25" r="114" customHeight="1" ht="17.25">
      <c r="A114" s="102">
        <v>113</v>
      </c>
      <c r="B114" s="1" t="s">
        <v>1033</v>
      </c>
      <c r="C114" s="102">
        <v>1</v>
      </c>
      <c r="D114" s="61" t="s">
        <v>1034</v>
      </c>
      <c r="E114" s="1" t="s">
        <v>117</v>
      </c>
      <c r="F114" s="1" t="s">
        <v>170</v>
      </c>
      <c r="G114" s="1" t="s">
        <v>47</v>
      </c>
      <c r="H114" s="1" t="s">
        <v>1035</v>
      </c>
      <c r="I114" s="102">
        <v>1</v>
      </c>
      <c r="J114" s="1" t="s">
        <v>158</v>
      </c>
      <c r="K114" s="1" t="s">
        <v>170</v>
      </c>
      <c r="L114" s="103">
        <v>35336</v>
      </c>
      <c r="M114" s="104">
        <v>20</v>
      </c>
      <c r="N114" s="1" t="s">
        <v>175</v>
      </c>
      <c r="O114" s="1" t="s">
        <v>24</v>
      </c>
      <c r="P114" s="1" t="s">
        <v>365</v>
      </c>
      <c r="Q114" s="1" t="s">
        <v>1036</v>
      </c>
      <c r="R114" s="62">
        <v>0</v>
      </c>
      <c r="S114" s="102">
        <v>0</v>
      </c>
      <c r="T114" s="54" t="s">
        <v>1037</v>
      </c>
      <c r="U114" s="105">
        <v>28.9</v>
      </c>
      <c r="V114" s="62">
        <v>0</v>
      </c>
      <c r="W114" s="102">
        <v>0</v>
      </c>
      <c r="X114" s="62">
        <v>0</v>
      </c>
      <c r="Y114" s="102">
        <v>0</v>
      </c>
      <c r="Z114" s="62">
        <v>0</v>
      </c>
      <c r="AA114" s="102">
        <v>0</v>
      </c>
      <c r="AB114" s="62">
        <v>0</v>
      </c>
      <c r="AC114" s="106" t="s">
        <v>206</v>
      </c>
      <c r="AD114" s="106" t="s">
        <v>206</v>
      </c>
      <c r="AE114" s="106" t="s">
        <v>206</v>
      </c>
      <c r="AF114" s="106" t="s">
        <v>206</v>
      </c>
      <c r="AG114" s="106" t="s">
        <v>206</v>
      </c>
      <c r="AH114" s="106" t="s">
        <v>206</v>
      </c>
      <c r="AI114" s="1" t="s">
        <v>357</v>
      </c>
      <c r="AJ114" s="1" t="s">
        <v>206</v>
      </c>
      <c r="AK114" s="1" t="s">
        <v>28</v>
      </c>
      <c r="AL114" s="1" t="s">
        <v>197</v>
      </c>
      <c r="AM114" s="106" t="s">
        <v>27</v>
      </c>
      <c r="AN114" s="1" t="s">
        <v>357</v>
      </c>
      <c r="AO114" s="1" t="s">
        <v>208</v>
      </c>
      <c r="AP114" s="1" t="s">
        <v>206</v>
      </c>
      <c r="AQ114" s="1" t="s">
        <v>441</v>
      </c>
      <c r="AR114" s="1" t="s">
        <v>206</v>
      </c>
      <c r="AS114" s="106" t="s">
        <v>206</v>
      </c>
      <c r="AT114" s="1" t="s">
        <v>206</v>
      </c>
      <c r="AU114" s="106" t="s">
        <v>206</v>
      </c>
      <c r="AV114" s="106" t="s">
        <v>206</v>
      </c>
      <c r="AW114" s="106" t="s">
        <v>35</v>
      </c>
      <c r="AX114" s="106" t="s">
        <v>206</v>
      </c>
      <c r="AY114" s="106" t="s">
        <v>206</v>
      </c>
      <c r="AZ114" s="1" t="s">
        <v>30</v>
      </c>
      <c r="BA114" s="106" t="s">
        <v>35</v>
      </c>
      <c r="BB114" s="106" t="s">
        <v>206</v>
      </c>
      <c r="BC114" s="106" t="s">
        <v>206</v>
      </c>
      <c r="BD114" s="106" t="s">
        <v>206</v>
      </c>
      <c r="BE114" s="106" t="s">
        <v>206</v>
      </c>
      <c r="BF114" s="107">
        <f>IF(AZ114="Não","Sim","Não")</f>
      </c>
      <c r="BG114" s="107">
        <f>IF(AZ114="NA","Sim","Não")</f>
      </c>
      <c r="BH114" s="106" t="s">
        <v>35</v>
      </c>
      <c r="BI114" s="1" t="s">
        <v>237</v>
      </c>
      <c r="BJ114" s="106" t="s">
        <v>36</v>
      </c>
      <c r="BK114" s="1" t="s">
        <v>1026</v>
      </c>
      <c r="BL114" s="102">
        <v>35</v>
      </c>
      <c r="BM114" s="1" t="s">
        <v>208</v>
      </c>
      <c r="BN114" s="1" t="s">
        <v>208</v>
      </c>
      <c r="BO114" s="1" t="s">
        <v>1026</v>
      </c>
      <c r="BP114" s="102">
        <v>35</v>
      </c>
      <c r="BQ114" s="1" t="s">
        <v>35</v>
      </c>
      <c r="BR114" s="1" t="s">
        <v>208</v>
      </c>
      <c r="BS114" s="106" t="s">
        <v>208</v>
      </c>
    </row>
    <row x14ac:dyDescent="0.25" r="115" customHeight="1" ht="17.25">
      <c r="A115" s="102">
        <v>114</v>
      </c>
      <c r="B115" s="1" t="s">
        <v>1038</v>
      </c>
      <c r="C115" s="102">
        <v>1</v>
      </c>
      <c r="D115" s="61" t="s">
        <v>1039</v>
      </c>
      <c r="E115" s="1" t="s">
        <v>77</v>
      </c>
      <c r="F115" s="1" t="s">
        <v>22</v>
      </c>
      <c r="G115" s="1" t="s">
        <v>40</v>
      </c>
      <c r="H115" s="1" t="s">
        <v>1040</v>
      </c>
      <c r="I115" s="102">
        <v>1</v>
      </c>
      <c r="J115" s="1" t="s">
        <v>158</v>
      </c>
      <c r="K115" s="1" t="s">
        <v>22</v>
      </c>
      <c r="L115" s="103">
        <v>35585</v>
      </c>
      <c r="M115" s="104">
        <v>19</v>
      </c>
      <c r="N115" s="1" t="s">
        <v>176</v>
      </c>
      <c r="O115" s="1" t="s">
        <v>182</v>
      </c>
      <c r="P115" s="1" t="s">
        <v>365</v>
      </c>
      <c r="Q115" s="1" t="s">
        <v>801</v>
      </c>
      <c r="R115" s="54" t="s">
        <v>1041</v>
      </c>
      <c r="S115" s="105">
        <v>52.4</v>
      </c>
      <c r="T115" s="54" t="s">
        <v>1042</v>
      </c>
      <c r="U115" s="105">
        <v>56.6</v>
      </c>
      <c r="V115" s="62">
        <v>0</v>
      </c>
      <c r="W115" s="102">
        <v>0</v>
      </c>
      <c r="X115" s="62">
        <v>0</v>
      </c>
      <c r="Y115" s="102">
        <v>0</v>
      </c>
      <c r="Z115" s="62">
        <v>0</v>
      </c>
      <c r="AA115" s="102">
        <v>0</v>
      </c>
      <c r="AB115" s="62">
        <v>0</v>
      </c>
      <c r="AC115" s="106" t="s">
        <v>206</v>
      </c>
      <c r="AD115" s="106" t="s">
        <v>206</v>
      </c>
      <c r="AE115" s="106" t="s">
        <v>206</v>
      </c>
      <c r="AF115" s="106" t="s">
        <v>206</v>
      </c>
      <c r="AG115" s="106" t="s">
        <v>206</v>
      </c>
      <c r="AH115" s="106" t="s">
        <v>206</v>
      </c>
      <c r="AI115" s="1" t="s">
        <v>357</v>
      </c>
      <c r="AJ115" s="1" t="s">
        <v>206</v>
      </c>
      <c r="AK115" s="1" t="s">
        <v>28</v>
      </c>
      <c r="AL115" s="1" t="s">
        <v>197</v>
      </c>
      <c r="AM115" s="106" t="s">
        <v>27</v>
      </c>
      <c r="AN115" s="1" t="s">
        <v>357</v>
      </c>
      <c r="AO115" s="1" t="s">
        <v>208</v>
      </c>
      <c r="AP115" s="1" t="s">
        <v>847</v>
      </c>
      <c r="AQ115" s="1" t="s">
        <v>604</v>
      </c>
      <c r="AR115" s="1" t="s">
        <v>206</v>
      </c>
      <c r="AS115" s="106" t="s">
        <v>206</v>
      </c>
      <c r="AT115" s="1" t="s">
        <v>212</v>
      </c>
      <c r="AU115" s="106" t="s">
        <v>35</v>
      </c>
      <c r="AV115" s="106" t="s">
        <v>35</v>
      </c>
      <c r="AW115" s="106" t="s">
        <v>206</v>
      </c>
      <c r="AX115" s="106" t="s">
        <v>206</v>
      </c>
      <c r="AY115" s="106" t="s">
        <v>35</v>
      </c>
      <c r="AZ115" s="1" t="s">
        <v>30</v>
      </c>
      <c r="BA115" s="106" t="s">
        <v>35</v>
      </c>
      <c r="BB115" s="106" t="s">
        <v>206</v>
      </c>
      <c r="BC115" s="106" t="s">
        <v>206</v>
      </c>
      <c r="BD115" s="106" t="s">
        <v>206</v>
      </c>
      <c r="BE115" s="106" t="s">
        <v>206</v>
      </c>
      <c r="BF115" s="107">
        <f>IF(AZ115="Não","Sim","Não")</f>
      </c>
      <c r="BG115" s="107">
        <f>IF(AZ115="NA","Sim","Não")</f>
      </c>
      <c r="BH115" s="106" t="s">
        <v>35</v>
      </c>
      <c r="BI115" s="1" t="s">
        <v>237</v>
      </c>
      <c r="BJ115" s="106" t="s">
        <v>36</v>
      </c>
      <c r="BK115" s="1" t="s">
        <v>1026</v>
      </c>
      <c r="BL115" s="102">
        <v>35</v>
      </c>
      <c r="BM115" s="1" t="s">
        <v>208</v>
      </c>
      <c r="BN115" s="1" t="s">
        <v>208</v>
      </c>
      <c r="BO115" s="1" t="s">
        <v>1026</v>
      </c>
      <c r="BP115" s="102">
        <v>35</v>
      </c>
      <c r="BQ115" s="1" t="s">
        <v>35</v>
      </c>
      <c r="BR115" s="1" t="s">
        <v>208</v>
      </c>
      <c r="BS115" s="106" t="s">
        <v>208</v>
      </c>
    </row>
    <row x14ac:dyDescent="0.25" r="116" customHeight="1" ht="17.25">
      <c r="A116" s="102">
        <v>115</v>
      </c>
      <c r="B116" s="1" t="s">
        <v>1043</v>
      </c>
      <c r="C116" s="102">
        <v>1</v>
      </c>
      <c r="D116" s="61" t="s">
        <v>764</v>
      </c>
      <c r="E116" s="1" t="s">
        <v>84</v>
      </c>
      <c r="F116" s="1" t="s">
        <v>170</v>
      </c>
      <c r="G116" s="1" t="s">
        <v>55</v>
      </c>
      <c r="H116" s="1" t="s">
        <v>1044</v>
      </c>
      <c r="I116" s="102">
        <v>1</v>
      </c>
      <c r="J116" s="1" t="s">
        <v>158</v>
      </c>
      <c r="K116" s="1" t="s">
        <v>22</v>
      </c>
      <c r="L116" s="103">
        <v>34944</v>
      </c>
      <c r="M116" s="104">
        <v>21</v>
      </c>
      <c r="N116" s="1" t="s">
        <v>175</v>
      </c>
      <c r="O116" s="1" t="s">
        <v>24</v>
      </c>
      <c r="P116" s="1" t="s">
        <v>354</v>
      </c>
      <c r="Q116" s="1" t="s">
        <v>366</v>
      </c>
      <c r="R116" s="54" t="s">
        <v>1045</v>
      </c>
      <c r="S116" s="105">
        <v>35.5</v>
      </c>
      <c r="T116" s="54" t="s">
        <v>1046</v>
      </c>
      <c r="U116" s="105">
        <v>94.5</v>
      </c>
      <c r="V116" s="54" t="s">
        <v>1047</v>
      </c>
      <c r="W116" s="105">
        <v>44.7</v>
      </c>
      <c r="X116" s="62">
        <v>0</v>
      </c>
      <c r="Y116" s="102">
        <v>0</v>
      </c>
      <c r="Z116" s="62">
        <v>0</v>
      </c>
      <c r="AA116" s="102">
        <v>0</v>
      </c>
      <c r="AB116" s="62">
        <v>0</v>
      </c>
      <c r="AC116" s="106" t="s">
        <v>206</v>
      </c>
      <c r="AD116" s="106" t="s">
        <v>206</v>
      </c>
      <c r="AE116" s="106" t="s">
        <v>206</v>
      </c>
      <c r="AF116" s="106" t="s">
        <v>206</v>
      </c>
      <c r="AG116" s="106" t="s">
        <v>206</v>
      </c>
      <c r="AH116" s="106" t="s">
        <v>206</v>
      </c>
      <c r="AI116" s="1" t="s">
        <v>357</v>
      </c>
      <c r="AJ116" s="1" t="s">
        <v>206</v>
      </c>
      <c r="AK116" s="1" t="s">
        <v>358</v>
      </c>
      <c r="AL116" s="1" t="s">
        <v>197</v>
      </c>
      <c r="AM116" s="106" t="s">
        <v>27</v>
      </c>
      <c r="AN116" s="1" t="s">
        <v>357</v>
      </c>
      <c r="AO116" s="1" t="s">
        <v>208</v>
      </c>
      <c r="AP116" s="1" t="s">
        <v>206</v>
      </c>
      <c r="AQ116" s="1" t="s">
        <v>441</v>
      </c>
      <c r="AR116" s="1" t="s">
        <v>206</v>
      </c>
      <c r="AS116" s="106" t="s">
        <v>206</v>
      </c>
      <c r="AT116" s="1" t="s">
        <v>206</v>
      </c>
      <c r="AU116" s="106" t="s">
        <v>206</v>
      </c>
      <c r="AV116" s="106" t="s">
        <v>206</v>
      </c>
      <c r="AW116" s="106" t="s">
        <v>35</v>
      </c>
      <c r="AX116" s="106" t="s">
        <v>206</v>
      </c>
      <c r="AY116" s="106" t="s">
        <v>206</v>
      </c>
      <c r="AZ116" s="1" t="s">
        <v>30</v>
      </c>
      <c r="BA116" s="106" t="s">
        <v>35</v>
      </c>
      <c r="BB116" s="106" t="s">
        <v>206</v>
      </c>
      <c r="BC116" s="106" t="s">
        <v>206</v>
      </c>
      <c r="BD116" s="106" t="s">
        <v>206</v>
      </c>
      <c r="BE116" s="106" t="s">
        <v>206</v>
      </c>
      <c r="BF116" s="107">
        <f>IF(AZ116="Não","Sim","Não")</f>
      </c>
      <c r="BG116" s="107">
        <f>IF(AZ116="NA","Sim","Não")</f>
      </c>
      <c r="BH116" s="106" t="s">
        <v>35</v>
      </c>
      <c r="BI116" s="1" t="s">
        <v>237</v>
      </c>
      <c r="BJ116" s="106" t="s">
        <v>36</v>
      </c>
      <c r="BK116" s="1" t="s">
        <v>1026</v>
      </c>
      <c r="BL116" s="102">
        <v>35</v>
      </c>
      <c r="BM116" s="1" t="s">
        <v>208</v>
      </c>
      <c r="BN116" s="1" t="s">
        <v>208</v>
      </c>
      <c r="BO116" s="1" t="s">
        <v>1026</v>
      </c>
      <c r="BP116" s="102">
        <v>35</v>
      </c>
      <c r="BQ116" s="1" t="s">
        <v>206</v>
      </c>
      <c r="BR116" s="1" t="s">
        <v>227</v>
      </c>
      <c r="BS116" s="106" t="s">
        <v>37</v>
      </c>
    </row>
    <row x14ac:dyDescent="0.25" r="117" customHeight="1" ht="17.25">
      <c r="A117" s="102">
        <v>116</v>
      </c>
      <c r="B117" s="1" t="s">
        <v>1048</v>
      </c>
      <c r="C117" s="102">
        <v>0</v>
      </c>
      <c r="D117" s="61" t="s">
        <v>1049</v>
      </c>
      <c r="E117" s="1" t="s">
        <v>104</v>
      </c>
      <c r="F117" s="1" t="s">
        <v>170</v>
      </c>
      <c r="G117" s="1" t="s">
        <v>69</v>
      </c>
      <c r="H117" s="1" t="s">
        <v>1050</v>
      </c>
      <c r="I117" s="102">
        <v>1</v>
      </c>
      <c r="J117" s="1" t="s">
        <v>158</v>
      </c>
      <c r="K117" s="1" t="s">
        <v>22</v>
      </c>
      <c r="L117" s="103">
        <v>24334</v>
      </c>
      <c r="M117" s="104">
        <v>51</v>
      </c>
      <c r="N117" s="1" t="s">
        <v>175</v>
      </c>
      <c r="O117" s="1" t="s">
        <v>24</v>
      </c>
      <c r="P117" s="1" t="s">
        <v>365</v>
      </c>
      <c r="Q117" s="1" t="s">
        <v>366</v>
      </c>
      <c r="R117" s="62">
        <v>0</v>
      </c>
      <c r="S117" s="102">
        <v>0</v>
      </c>
      <c r="T117" s="62">
        <v>0</v>
      </c>
      <c r="U117" s="102">
        <v>0</v>
      </c>
      <c r="V117" s="62">
        <v>0</v>
      </c>
      <c r="W117" s="102">
        <v>0</v>
      </c>
      <c r="X117" s="62">
        <v>0</v>
      </c>
      <c r="Y117" s="102">
        <v>0</v>
      </c>
      <c r="Z117" s="62">
        <v>0</v>
      </c>
      <c r="AA117" s="102">
        <v>0</v>
      </c>
      <c r="AB117" s="62">
        <v>0</v>
      </c>
      <c r="AC117" s="106" t="s">
        <v>206</v>
      </c>
      <c r="AD117" s="106" t="s">
        <v>206</v>
      </c>
      <c r="AE117" s="106" t="s">
        <v>206</v>
      </c>
      <c r="AF117" s="106" t="s">
        <v>206</v>
      </c>
      <c r="AG117" s="106" t="s">
        <v>206</v>
      </c>
      <c r="AH117" s="106" t="s">
        <v>206</v>
      </c>
      <c r="AI117" s="1" t="s">
        <v>371</v>
      </c>
      <c r="AJ117" s="1" t="s">
        <v>206</v>
      </c>
      <c r="AK117" s="1" t="s">
        <v>1051</v>
      </c>
      <c r="AL117" s="1" t="s">
        <v>198</v>
      </c>
      <c r="AM117" s="106" t="s">
        <v>27</v>
      </c>
      <c r="AN117" s="1" t="s">
        <v>357</v>
      </c>
      <c r="AO117" s="1" t="s">
        <v>208</v>
      </c>
      <c r="AP117" s="1" t="s">
        <v>206</v>
      </c>
      <c r="AQ117" s="1" t="s">
        <v>441</v>
      </c>
      <c r="AR117" s="1" t="s">
        <v>206</v>
      </c>
      <c r="AS117" s="106" t="s">
        <v>206</v>
      </c>
      <c r="AT117" s="1" t="s">
        <v>206</v>
      </c>
      <c r="AU117" s="106" t="s">
        <v>206</v>
      </c>
      <c r="AV117" s="106" t="s">
        <v>206</v>
      </c>
      <c r="AW117" s="106" t="s">
        <v>35</v>
      </c>
      <c r="AX117" s="106" t="s">
        <v>206</v>
      </c>
      <c r="AY117" s="106" t="s">
        <v>206</v>
      </c>
      <c r="AZ117" s="1" t="s">
        <v>206</v>
      </c>
      <c r="BA117" s="106" t="s">
        <v>206</v>
      </c>
      <c r="BB117" s="106" t="s">
        <v>206</v>
      </c>
      <c r="BC117" s="106" t="s">
        <v>206</v>
      </c>
      <c r="BD117" s="106" t="s">
        <v>206</v>
      </c>
      <c r="BE117" s="106" t="s">
        <v>206</v>
      </c>
      <c r="BF117" s="107">
        <f>IF(AZ117="Não","Sim","Não")</f>
      </c>
      <c r="BG117" s="107">
        <f>IF(AZ117="NA","Sim","Não")</f>
      </c>
      <c r="BH117" s="106" t="s">
        <v>206</v>
      </c>
      <c r="BI117" s="1" t="s">
        <v>237</v>
      </c>
      <c r="BJ117" s="106" t="s">
        <v>36</v>
      </c>
      <c r="BK117" s="1" t="s">
        <v>1052</v>
      </c>
      <c r="BL117" s="102">
        <v>30</v>
      </c>
      <c r="BM117" s="1" t="s">
        <v>208</v>
      </c>
      <c r="BN117" s="1" t="s">
        <v>208</v>
      </c>
      <c r="BO117" s="1" t="s">
        <v>1052</v>
      </c>
      <c r="BP117" s="102">
        <v>30</v>
      </c>
      <c r="BQ117" s="1" t="s">
        <v>35</v>
      </c>
      <c r="BR117" s="1" t="s">
        <v>208</v>
      </c>
      <c r="BS117" s="106" t="s">
        <v>208</v>
      </c>
    </row>
    <row x14ac:dyDescent="0.25" r="118" customHeight="1" ht="17.25">
      <c r="A118" s="102">
        <v>117</v>
      </c>
      <c r="B118" s="1" t="s">
        <v>1053</v>
      </c>
      <c r="C118" s="102">
        <v>1</v>
      </c>
      <c r="D118" s="61" t="s">
        <v>1054</v>
      </c>
      <c r="E118" s="1" t="s">
        <v>96</v>
      </c>
      <c r="F118" s="1" t="s">
        <v>170</v>
      </c>
      <c r="G118" s="1" t="s">
        <v>67</v>
      </c>
      <c r="H118" s="1" t="s">
        <v>1055</v>
      </c>
      <c r="I118" s="102">
        <v>1</v>
      </c>
      <c r="J118" s="1" t="s">
        <v>160</v>
      </c>
      <c r="K118" s="1" t="s">
        <v>22</v>
      </c>
      <c r="L118" s="103">
        <v>35874</v>
      </c>
      <c r="M118" s="104">
        <v>18</v>
      </c>
      <c r="N118" s="1" t="s">
        <v>175</v>
      </c>
      <c r="O118" s="1" t="s">
        <v>24</v>
      </c>
      <c r="P118" s="1" t="s">
        <v>354</v>
      </c>
      <c r="Q118" s="1" t="s">
        <v>518</v>
      </c>
      <c r="R118" s="62">
        <v>0</v>
      </c>
      <c r="S118" s="102">
        <v>0</v>
      </c>
      <c r="T118" s="62">
        <v>0</v>
      </c>
      <c r="U118" s="102">
        <v>0</v>
      </c>
      <c r="V118" s="62">
        <v>0</v>
      </c>
      <c r="W118" s="102">
        <v>0</v>
      </c>
      <c r="X118" s="62">
        <v>0</v>
      </c>
      <c r="Y118" s="102">
        <v>0</v>
      </c>
      <c r="Z118" s="62">
        <v>0</v>
      </c>
      <c r="AA118" s="102">
        <v>0</v>
      </c>
      <c r="AB118" s="62">
        <v>0</v>
      </c>
      <c r="AC118" s="106" t="s">
        <v>206</v>
      </c>
      <c r="AD118" s="106" t="s">
        <v>206</v>
      </c>
      <c r="AE118" s="106" t="s">
        <v>206</v>
      </c>
      <c r="AF118" s="106" t="s">
        <v>206</v>
      </c>
      <c r="AG118" s="106" t="s">
        <v>206</v>
      </c>
      <c r="AH118" s="106" t="s">
        <v>206</v>
      </c>
      <c r="AI118" s="1" t="s">
        <v>357</v>
      </c>
      <c r="AJ118" s="1" t="s">
        <v>206</v>
      </c>
      <c r="AK118" s="1" t="s">
        <v>1056</v>
      </c>
      <c r="AL118" s="1" t="s">
        <v>197</v>
      </c>
      <c r="AM118" s="106" t="s">
        <v>27</v>
      </c>
      <c r="AN118" s="1" t="s">
        <v>357</v>
      </c>
      <c r="AO118" s="1" t="s">
        <v>208</v>
      </c>
      <c r="AP118" s="1" t="s">
        <v>206</v>
      </c>
      <c r="AQ118" s="1" t="s">
        <v>441</v>
      </c>
      <c r="AR118" s="1" t="s">
        <v>206</v>
      </c>
      <c r="AS118" s="106" t="s">
        <v>206</v>
      </c>
      <c r="AT118" s="1" t="s">
        <v>206</v>
      </c>
      <c r="AU118" s="106" t="s">
        <v>206</v>
      </c>
      <c r="AV118" s="106" t="s">
        <v>206</v>
      </c>
      <c r="AW118" s="106" t="s">
        <v>35</v>
      </c>
      <c r="AX118" s="106" t="s">
        <v>206</v>
      </c>
      <c r="AY118" s="106" t="s">
        <v>206</v>
      </c>
      <c r="AZ118" s="1" t="s">
        <v>206</v>
      </c>
      <c r="BA118" s="106" t="s">
        <v>206</v>
      </c>
      <c r="BB118" s="106" t="s">
        <v>206</v>
      </c>
      <c r="BC118" s="106" t="s">
        <v>206</v>
      </c>
      <c r="BD118" s="106" t="s">
        <v>206</v>
      </c>
      <c r="BE118" s="106" t="s">
        <v>206</v>
      </c>
      <c r="BF118" s="107">
        <f>IF(AZ118="Não","Sim","Não")</f>
      </c>
      <c r="BG118" s="107">
        <f>IF(AZ118="NA","Sim","Não")</f>
      </c>
      <c r="BH118" s="106" t="s">
        <v>206</v>
      </c>
      <c r="BI118" s="1" t="s">
        <v>237</v>
      </c>
      <c r="BJ118" s="106" t="s">
        <v>36</v>
      </c>
      <c r="BK118" s="1" t="s">
        <v>1052</v>
      </c>
      <c r="BL118" s="102">
        <v>30</v>
      </c>
      <c r="BM118" s="1" t="s">
        <v>208</v>
      </c>
      <c r="BN118" s="1" t="s">
        <v>208</v>
      </c>
      <c r="BO118" s="1" t="s">
        <v>1052</v>
      </c>
      <c r="BP118" s="102">
        <v>30</v>
      </c>
      <c r="BQ118" s="1" t="s">
        <v>35</v>
      </c>
      <c r="BR118" s="1" t="s">
        <v>208</v>
      </c>
      <c r="BS118" s="106" t="s">
        <v>208</v>
      </c>
    </row>
    <row x14ac:dyDescent="0.25" r="119" customHeight="1" ht="17.25">
      <c r="A119" s="102">
        <v>118</v>
      </c>
      <c r="B119" s="1" t="s">
        <v>1057</v>
      </c>
      <c r="C119" s="102">
        <v>1</v>
      </c>
      <c r="D119" s="61" t="s">
        <v>962</v>
      </c>
      <c r="E119" s="1" t="s">
        <v>77</v>
      </c>
      <c r="F119" s="1" t="s">
        <v>22</v>
      </c>
      <c r="G119" s="1" t="s">
        <v>40</v>
      </c>
      <c r="H119" s="1" t="s">
        <v>1058</v>
      </c>
      <c r="I119" s="102">
        <v>1</v>
      </c>
      <c r="J119" s="1" t="s">
        <v>159</v>
      </c>
      <c r="K119" s="1" t="s">
        <v>170</v>
      </c>
      <c r="L119" s="103">
        <v>35810</v>
      </c>
      <c r="M119" s="104">
        <v>19</v>
      </c>
      <c r="N119" s="1" t="s">
        <v>176</v>
      </c>
      <c r="O119" s="1" t="s">
        <v>182</v>
      </c>
      <c r="P119" s="1" t="s">
        <v>615</v>
      </c>
      <c r="Q119" s="1" t="s">
        <v>445</v>
      </c>
      <c r="R119" s="54" t="s">
        <v>1059</v>
      </c>
      <c r="S119" s="102">
        <v>80000</v>
      </c>
      <c r="T119" s="62">
        <v>0</v>
      </c>
      <c r="U119" s="102">
        <v>0</v>
      </c>
      <c r="V119" s="62">
        <v>0</v>
      </c>
      <c r="W119" s="102">
        <v>0</v>
      </c>
      <c r="X119" s="62">
        <v>0</v>
      </c>
      <c r="Y119" s="102">
        <v>0</v>
      </c>
      <c r="Z119" s="62">
        <v>0</v>
      </c>
      <c r="AA119" s="102">
        <v>0</v>
      </c>
      <c r="AB119" s="62">
        <v>0</v>
      </c>
      <c r="AC119" s="106" t="s">
        <v>206</v>
      </c>
      <c r="AD119" s="106" t="s">
        <v>206</v>
      </c>
      <c r="AE119" s="106" t="s">
        <v>206</v>
      </c>
      <c r="AF119" s="106" t="s">
        <v>206</v>
      </c>
      <c r="AG119" s="106" t="s">
        <v>206</v>
      </c>
      <c r="AH119" s="106" t="s">
        <v>206</v>
      </c>
      <c r="AI119" s="1" t="s">
        <v>357</v>
      </c>
      <c r="AJ119" s="1" t="s">
        <v>206</v>
      </c>
      <c r="AK119" s="1" t="s">
        <v>1060</v>
      </c>
      <c r="AL119" s="1" t="s">
        <v>197</v>
      </c>
      <c r="AM119" s="106" t="s">
        <v>27</v>
      </c>
      <c r="AN119" s="1" t="s">
        <v>357</v>
      </c>
      <c r="AO119" s="1" t="s">
        <v>208</v>
      </c>
      <c r="AP119" s="1" t="s">
        <v>406</v>
      </c>
      <c r="AQ119" s="1" t="s">
        <v>360</v>
      </c>
      <c r="AR119" s="1" t="s">
        <v>206</v>
      </c>
      <c r="AS119" s="106" t="s">
        <v>206</v>
      </c>
      <c r="AT119" s="1" t="s">
        <v>212</v>
      </c>
      <c r="AU119" s="106" t="s">
        <v>35</v>
      </c>
      <c r="AV119" s="106" t="s">
        <v>35</v>
      </c>
      <c r="AW119" s="106" t="s">
        <v>206</v>
      </c>
      <c r="AX119" s="106" t="s">
        <v>206</v>
      </c>
      <c r="AY119" s="106" t="s">
        <v>35</v>
      </c>
      <c r="AZ119" s="1" t="s">
        <v>206</v>
      </c>
      <c r="BA119" s="106" t="s">
        <v>206</v>
      </c>
      <c r="BB119" s="106" t="s">
        <v>206</v>
      </c>
      <c r="BC119" s="106" t="s">
        <v>206</v>
      </c>
      <c r="BD119" s="106" t="s">
        <v>206</v>
      </c>
      <c r="BE119" s="106" t="s">
        <v>206</v>
      </c>
      <c r="BF119" s="107">
        <f>IF(AZ119="Não","Sim","Não")</f>
      </c>
      <c r="BG119" s="107">
        <f>IF(AZ119="NA","Sim","Não")</f>
      </c>
      <c r="BH119" s="106" t="s">
        <v>206</v>
      </c>
      <c r="BI119" s="1" t="s">
        <v>237</v>
      </c>
      <c r="BJ119" s="106" t="s">
        <v>36</v>
      </c>
      <c r="BK119" s="1" t="s">
        <v>1052</v>
      </c>
      <c r="BL119" s="102">
        <v>30</v>
      </c>
      <c r="BM119" s="1" t="s">
        <v>208</v>
      </c>
      <c r="BN119" s="1" t="s">
        <v>208</v>
      </c>
      <c r="BO119" s="1" t="s">
        <v>1052</v>
      </c>
      <c r="BP119" s="102">
        <v>30</v>
      </c>
      <c r="BQ119" s="1" t="s">
        <v>35</v>
      </c>
      <c r="BR119" s="1" t="s">
        <v>208</v>
      </c>
      <c r="BS119" s="106" t="s">
        <v>208</v>
      </c>
    </row>
    <row x14ac:dyDescent="0.25" r="120" customHeight="1" ht="17.25">
      <c r="A120" s="102">
        <v>119</v>
      </c>
      <c r="B120" s="1" t="s">
        <v>1061</v>
      </c>
      <c r="C120" s="102">
        <v>1</v>
      </c>
      <c r="D120" s="61" t="s">
        <v>1062</v>
      </c>
      <c r="E120" s="1" t="s">
        <v>85</v>
      </c>
      <c r="F120" s="1" t="s">
        <v>22</v>
      </c>
      <c r="G120" s="1" t="s">
        <v>45</v>
      </c>
      <c r="H120" s="1" t="s">
        <v>1063</v>
      </c>
      <c r="I120" s="102">
        <v>1</v>
      </c>
      <c r="J120" s="1" t="s">
        <v>158</v>
      </c>
      <c r="K120" s="1" t="s">
        <v>170</v>
      </c>
      <c r="L120" s="103">
        <v>28893</v>
      </c>
      <c r="M120" s="104">
        <v>38</v>
      </c>
      <c r="N120" s="1" t="s">
        <v>176</v>
      </c>
      <c r="O120" s="1" t="s">
        <v>182</v>
      </c>
      <c r="P120" s="1" t="s">
        <v>365</v>
      </c>
      <c r="Q120" s="1" t="s">
        <v>1064</v>
      </c>
      <c r="R120" s="62">
        <v>0</v>
      </c>
      <c r="S120" s="102">
        <v>0</v>
      </c>
      <c r="T120" s="54" t="s">
        <v>1065</v>
      </c>
      <c r="U120" s="105">
        <v>1489.9</v>
      </c>
      <c r="V120" s="62">
        <v>0</v>
      </c>
      <c r="W120" s="102">
        <v>0</v>
      </c>
      <c r="X120" s="62">
        <v>0</v>
      </c>
      <c r="Y120" s="102">
        <v>0</v>
      </c>
      <c r="Z120" s="62">
        <v>0</v>
      </c>
      <c r="AA120" s="102">
        <v>0</v>
      </c>
      <c r="AB120" s="62">
        <v>0</v>
      </c>
      <c r="AC120" s="106" t="s">
        <v>206</v>
      </c>
      <c r="AD120" s="106" t="s">
        <v>206</v>
      </c>
      <c r="AE120" s="106" t="s">
        <v>206</v>
      </c>
      <c r="AF120" s="106" t="s">
        <v>206</v>
      </c>
      <c r="AG120" s="106" t="s">
        <v>206</v>
      </c>
      <c r="AH120" s="106" t="s">
        <v>206</v>
      </c>
      <c r="AI120" s="1" t="s">
        <v>357</v>
      </c>
      <c r="AJ120" s="1" t="s">
        <v>206</v>
      </c>
      <c r="AK120" s="1" t="s">
        <v>1066</v>
      </c>
      <c r="AL120" s="1" t="s">
        <v>197</v>
      </c>
      <c r="AM120" s="106" t="s">
        <v>27</v>
      </c>
      <c r="AN120" s="1" t="s">
        <v>357</v>
      </c>
      <c r="AO120" s="1" t="s">
        <v>208</v>
      </c>
      <c r="AP120" s="1" t="s">
        <v>206</v>
      </c>
      <c r="AQ120" s="1" t="s">
        <v>441</v>
      </c>
      <c r="AR120" s="1" t="s">
        <v>206</v>
      </c>
      <c r="AS120" s="106" t="s">
        <v>206</v>
      </c>
      <c r="AT120" s="1" t="s">
        <v>206</v>
      </c>
      <c r="AU120" s="106" t="s">
        <v>206</v>
      </c>
      <c r="AV120" s="106" t="s">
        <v>206</v>
      </c>
      <c r="AW120" s="106" t="s">
        <v>35</v>
      </c>
      <c r="AX120" s="106" t="s">
        <v>206</v>
      </c>
      <c r="AY120" s="106" t="s">
        <v>206</v>
      </c>
      <c r="AZ120" s="1" t="s">
        <v>206</v>
      </c>
      <c r="BA120" s="106" t="s">
        <v>206</v>
      </c>
      <c r="BB120" s="106" t="s">
        <v>206</v>
      </c>
      <c r="BC120" s="106" t="s">
        <v>206</v>
      </c>
      <c r="BD120" s="106" t="s">
        <v>206</v>
      </c>
      <c r="BE120" s="106" t="s">
        <v>206</v>
      </c>
      <c r="BF120" s="107">
        <f>IF(AZ120="Não","Sim","Não")</f>
      </c>
      <c r="BG120" s="107">
        <f>IF(AZ120="NA","Sim","Não")</f>
      </c>
      <c r="BH120" s="106" t="s">
        <v>206</v>
      </c>
      <c r="BI120" s="1" t="s">
        <v>237</v>
      </c>
      <c r="BJ120" s="106" t="s">
        <v>36</v>
      </c>
      <c r="BK120" s="1" t="s">
        <v>1052</v>
      </c>
      <c r="BL120" s="102">
        <v>30</v>
      </c>
      <c r="BM120" s="1" t="s">
        <v>208</v>
      </c>
      <c r="BN120" s="1" t="s">
        <v>208</v>
      </c>
      <c r="BO120" s="1" t="s">
        <v>1052</v>
      </c>
      <c r="BP120" s="102">
        <v>30</v>
      </c>
      <c r="BQ120" s="1" t="s">
        <v>206</v>
      </c>
      <c r="BR120" s="1" t="s">
        <v>228</v>
      </c>
      <c r="BS120" s="106" t="s">
        <v>228</v>
      </c>
    </row>
    <row x14ac:dyDescent="0.25" r="121" customHeight="1" ht="17.25">
      <c r="A121" s="102">
        <v>120</v>
      </c>
      <c r="B121" s="1" t="s">
        <v>1067</v>
      </c>
      <c r="C121" s="102">
        <v>1</v>
      </c>
      <c r="D121" s="61" t="s">
        <v>505</v>
      </c>
      <c r="E121" s="1" t="s">
        <v>88</v>
      </c>
      <c r="F121" s="1" t="s">
        <v>170</v>
      </c>
      <c r="G121" s="1" t="s">
        <v>40</v>
      </c>
      <c r="H121" s="1" t="s">
        <v>1068</v>
      </c>
      <c r="I121" s="102">
        <v>1</v>
      </c>
      <c r="J121" s="1" t="s">
        <v>164</v>
      </c>
      <c r="K121" s="1" t="s">
        <v>22</v>
      </c>
      <c r="L121" s="103">
        <v>35689</v>
      </c>
      <c r="M121" s="104">
        <v>19</v>
      </c>
      <c r="N121" s="1" t="s">
        <v>175</v>
      </c>
      <c r="O121" s="1" t="s">
        <v>24</v>
      </c>
      <c r="P121" s="1" t="s">
        <v>365</v>
      </c>
      <c r="Q121" s="1" t="s">
        <v>366</v>
      </c>
      <c r="R121" s="62">
        <v>0</v>
      </c>
      <c r="S121" s="102">
        <v>0</v>
      </c>
      <c r="T121" s="54" t="s">
        <v>1069</v>
      </c>
      <c r="U121" s="105">
        <v>75.1</v>
      </c>
      <c r="V121" s="62">
        <v>0</v>
      </c>
      <c r="W121" s="102">
        <v>0</v>
      </c>
      <c r="X121" s="62">
        <v>0</v>
      </c>
      <c r="Y121" s="102">
        <v>0</v>
      </c>
      <c r="Z121" s="62">
        <v>0</v>
      </c>
      <c r="AA121" s="102">
        <v>0</v>
      </c>
      <c r="AB121" s="62">
        <v>0</v>
      </c>
      <c r="AC121" s="106" t="s">
        <v>206</v>
      </c>
      <c r="AD121" s="106" t="s">
        <v>206</v>
      </c>
      <c r="AE121" s="106" t="s">
        <v>206</v>
      </c>
      <c r="AF121" s="106" t="s">
        <v>206</v>
      </c>
      <c r="AG121" s="106" t="s">
        <v>206</v>
      </c>
      <c r="AH121" s="106" t="s">
        <v>206</v>
      </c>
      <c r="AI121" s="1" t="s">
        <v>357</v>
      </c>
      <c r="AJ121" s="1" t="s">
        <v>206</v>
      </c>
      <c r="AK121" s="1" t="s">
        <v>535</v>
      </c>
      <c r="AL121" s="1" t="s">
        <v>197</v>
      </c>
      <c r="AM121" s="106" t="s">
        <v>27</v>
      </c>
      <c r="AN121" s="1" t="s">
        <v>357</v>
      </c>
      <c r="AO121" s="1" t="s">
        <v>208</v>
      </c>
      <c r="AP121" s="1" t="s">
        <v>206</v>
      </c>
      <c r="AQ121" s="1" t="s">
        <v>441</v>
      </c>
      <c r="AR121" s="1" t="s">
        <v>206</v>
      </c>
      <c r="AS121" s="106" t="s">
        <v>206</v>
      </c>
      <c r="AT121" s="1" t="s">
        <v>206</v>
      </c>
      <c r="AU121" s="106" t="s">
        <v>206</v>
      </c>
      <c r="AV121" s="106" t="s">
        <v>206</v>
      </c>
      <c r="AW121" s="106" t="s">
        <v>35</v>
      </c>
      <c r="AX121" s="106" t="s">
        <v>206</v>
      </c>
      <c r="AY121" s="106" t="s">
        <v>206</v>
      </c>
      <c r="AZ121" s="1" t="s">
        <v>206</v>
      </c>
      <c r="BA121" s="106" t="s">
        <v>206</v>
      </c>
      <c r="BB121" s="106" t="s">
        <v>206</v>
      </c>
      <c r="BC121" s="106" t="s">
        <v>206</v>
      </c>
      <c r="BD121" s="106" t="s">
        <v>206</v>
      </c>
      <c r="BE121" s="106" t="s">
        <v>206</v>
      </c>
      <c r="BF121" s="107">
        <f>IF(AZ121="Não","Sim","Não")</f>
      </c>
      <c r="BG121" s="107">
        <f>IF(AZ121="NA","Sim","Não")</f>
      </c>
      <c r="BH121" s="106" t="s">
        <v>206</v>
      </c>
      <c r="BI121" s="1" t="s">
        <v>237</v>
      </c>
      <c r="BJ121" s="106" t="s">
        <v>36</v>
      </c>
      <c r="BK121" s="1" t="s">
        <v>1052</v>
      </c>
      <c r="BL121" s="102">
        <v>30</v>
      </c>
      <c r="BM121" s="1" t="s">
        <v>208</v>
      </c>
      <c r="BN121" s="1" t="s">
        <v>208</v>
      </c>
      <c r="BO121" s="1" t="s">
        <v>1052</v>
      </c>
      <c r="BP121" s="102">
        <v>30</v>
      </c>
      <c r="BQ121" s="1" t="s">
        <v>35</v>
      </c>
      <c r="BR121" s="1" t="s">
        <v>208</v>
      </c>
      <c r="BS121" s="106" t="s">
        <v>208</v>
      </c>
    </row>
    <row x14ac:dyDescent="0.25" r="122" customHeight="1" ht="17.25">
      <c r="A122" s="102">
        <v>121</v>
      </c>
      <c r="B122" s="1" t="s">
        <v>1070</v>
      </c>
      <c r="C122" s="102">
        <v>1</v>
      </c>
      <c r="D122" s="61" t="s">
        <v>1011</v>
      </c>
      <c r="E122" s="1" t="s">
        <v>99</v>
      </c>
      <c r="F122" s="1" t="s">
        <v>170</v>
      </c>
      <c r="G122" s="1" t="s">
        <v>54</v>
      </c>
      <c r="H122" s="1" t="s">
        <v>1071</v>
      </c>
      <c r="I122" s="102">
        <v>1</v>
      </c>
      <c r="J122" s="1" t="s">
        <v>158</v>
      </c>
      <c r="K122" s="1" t="s">
        <v>22</v>
      </c>
      <c r="L122" s="103">
        <v>36071</v>
      </c>
      <c r="M122" s="104">
        <v>18</v>
      </c>
      <c r="N122" s="1" t="s">
        <v>175</v>
      </c>
      <c r="O122" s="1" t="s">
        <v>24</v>
      </c>
      <c r="P122" s="1" t="s">
        <v>365</v>
      </c>
      <c r="Q122" s="1" t="s">
        <v>1072</v>
      </c>
      <c r="R122" s="54" t="s">
        <v>1073</v>
      </c>
      <c r="S122" s="102">
        <v>40</v>
      </c>
      <c r="T122" s="54" t="s">
        <v>1074</v>
      </c>
      <c r="U122" s="102">
        <v>10</v>
      </c>
      <c r="V122" s="62">
        <v>0</v>
      </c>
      <c r="W122" s="102">
        <v>0</v>
      </c>
      <c r="X122" s="62">
        <v>0</v>
      </c>
      <c r="Y122" s="102">
        <v>0</v>
      </c>
      <c r="Z122" s="62">
        <v>0</v>
      </c>
      <c r="AA122" s="102">
        <v>0</v>
      </c>
      <c r="AB122" s="62">
        <v>0</v>
      </c>
      <c r="AC122" s="106" t="s">
        <v>206</v>
      </c>
      <c r="AD122" s="106" t="s">
        <v>206</v>
      </c>
      <c r="AE122" s="106" t="s">
        <v>206</v>
      </c>
      <c r="AF122" s="106" t="s">
        <v>206</v>
      </c>
      <c r="AG122" s="106" t="s">
        <v>206</v>
      </c>
      <c r="AH122" s="106" t="s">
        <v>206</v>
      </c>
      <c r="AI122" s="1" t="s">
        <v>357</v>
      </c>
      <c r="AJ122" s="1" t="s">
        <v>206</v>
      </c>
      <c r="AK122" s="1" t="s">
        <v>776</v>
      </c>
      <c r="AL122" s="1" t="s">
        <v>197</v>
      </c>
      <c r="AM122" s="106" t="s">
        <v>27</v>
      </c>
      <c r="AN122" s="1" t="s">
        <v>357</v>
      </c>
      <c r="AO122" s="1" t="s">
        <v>208</v>
      </c>
      <c r="AP122" s="1" t="s">
        <v>206</v>
      </c>
      <c r="AQ122" s="1" t="s">
        <v>441</v>
      </c>
      <c r="AR122" s="1" t="s">
        <v>206</v>
      </c>
      <c r="AS122" s="106" t="s">
        <v>206</v>
      </c>
      <c r="AT122" s="1" t="s">
        <v>206</v>
      </c>
      <c r="AU122" s="106" t="s">
        <v>206</v>
      </c>
      <c r="AV122" s="106" t="s">
        <v>206</v>
      </c>
      <c r="AW122" s="106" t="s">
        <v>35</v>
      </c>
      <c r="AX122" s="106" t="s">
        <v>206</v>
      </c>
      <c r="AY122" s="106" t="s">
        <v>206</v>
      </c>
      <c r="AZ122" s="1" t="s">
        <v>206</v>
      </c>
      <c r="BA122" s="106" t="s">
        <v>206</v>
      </c>
      <c r="BB122" s="106" t="s">
        <v>206</v>
      </c>
      <c r="BC122" s="106" t="s">
        <v>206</v>
      </c>
      <c r="BD122" s="106" t="s">
        <v>206</v>
      </c>
      <c r="BE122" s="106" t="s">
        <v>206</v>
      </c>
      <c r="BF122" s="107">
        <f>IF(AZ122="Não","Sim","Não")</f>
      </c>
      <c r="BG122" s="107">
        <f>IF(AZ122="NA","Sim","Não")</f>
      </c>
      <c r="BH122" s="106" t="s">
        <v>206</v>
      </c>
      <c r="BI122" s="1" t="s">
        <v>237</v>
      </c>
      <c r="BJ122" s="106" t="s">
        <v>36</v>
      </c>
      <c r="BK122" s="1" t="s">
        <v>1052</v>
      </c>
      <c r="BL122" s="102">
        <v>30</v>
      </c>
      <c r="BM122" s="1" t="s">
        <v>208</v>
      </c>
      <c r="BN122" s="1" t="s">
        <v>208</v>
      </c>
      <c r="BO122" s="1" t="s">
        <v>1052</v>
      </c>
      <c r="BP122" s="102">
        <v>30</v>
      </c>
      <c r="BQ122" s="1" t="s">
        <v>35</v>
      </c>
      <c r="BR122" s="1" t="s">
        <v>208</v>
      </c>
      <c r="BS122" s="106" t="s">
        <v>208</v>
      </c>
    </row>
    <row x14ac:dyDescent="0.25" r="123" customHeight="1" ht="17.25">
      <c r="A123" s="102">
        <v>122</v>
      </c>
      <c r="B123" s="1" t="s">
        <v>1075</v>
      </c>
      <c r="C123" s="102">
        <v>1</v>
      </c>
      <c r="D123" s="61" t="s">
        <v>906</v>
      </c>
      <c r="E123" s="1" t="s">
        <v>122</v>
      </c>
      <c r="F123" s="1" t="s">
        <v>22</v>
      </c>
      <c r="G123" s="1" t="s">
        <v>68</v>
      </c>
      <c r="H123" s="1" t="s">
        <v>1076</v>
      </c>
      <c r="I123" s="102">
        <v>1</v>
      </c>
      <c r="J123" s="1" t="s">
        <v>161</v>
      </c>
      <c r="K123" s="1" t="s">
        <v>22</v>
      </c>
      <c r="L123" s="103">
        <v>31879</v>
      </c>
      <c r="M123" s="104">
        <v>29</v>
      </c>
      <c r="N123" s="1" t="s">
        <v>175</v>
      </c>
      <c r="O123" s="1" t="s">
        <v>24</v>
      </c>
      <c r="P123" s="1" t="s">
        <v>615</v>
      </c>
      <c r="Q123" s="1" t="s">
        <v>1077</v>
      </c>
      <c r="R123" s="62">
        <v>0</v>
      </c>
      <c r="S123" s="102">
        <v>0</v>
      </c>
      <c r="T123" s="54" t="s">
        <v>1078</v>
      </c>
      <c r="U123" s="105">
        <v>141.1</v>
      </c>
      <c r="V123" s="62">
        <v>0</v>
      </c>
      <c r="W123" s="102">
        <v>0</v>
      </c>
      <c r="X123" s="62">
        <v>0</v>
      </c>
      <c r="Y123" s="102">
        <v>0</v>
      </c>
      <c r="Z123" s="62">
        <v>0</v>
      </c>
      <c r="AA123" s="102">
        <v>0</v>
      </c>
      <c r="AB123" s="62">
        <v>0</v>
      </c>
      <c r="AC123" s="106" t="s">
        <v>206</v>
      </c>
      <c r="AD123" s="106" t="s">
        <v>206</v>
      </c>
      <c r="AE123" s="106" t="s">
        <v>206</v>
      </c>
      <c r="AF123" s="106" t="s">
        <v>206</v>
      </c>
      <c r="AG123" s="106" t="s">
        <v>206</v>
      </c>
      <c r="AH123" s="106" t="s">
        <v>206</v>
      </c>
      <c r="AI123" s="1" t="s">
        <v>357</v>
      </c>
      <c r="AJ123" s="1" t="s">
        <v>206</v>
      </c>
      <c r="AK123" s="1" t="s">
        <v>1079</v>
      </c>
      <c r="AL123" s="1" t="s">
        <v>197</v>
      </c>
      <c r="AM123" s="106" t="s">
        <v>27</v>
      </c>
      <c r="AN123" s="1" t="s">
        <v>357</v>
      </c>
      <c r="AO123" s="1" t="s">
        <v>208</v>
      </c>
      <c r="AP123" s="1" t="s">
        <v>206</v>
      </c>
      <c r="AQ123" s="1" t="s">
        <v>441</v>
      </c>
      <c r="AR123" s="1" t="s">
        <v>206</v>
      </c>
      <c r="AS123" s="106" t="s">
        <v>206</v>
      </c>
      <c r="AT123" s="1" t="s">
        <v>206</v>
      </c>
      <c r="AU123" s="106" t="s">
        <v>206</v>
      </c>
      <c r="AV123" s="106" t="s">
        <v>206</v>
      </c>
      <c r="AW123" s="106" t="s">
        <v>35</v>
      </c>
      <c r="AX123" s="106" t="s">
        <v>206</v>
      </c>
      <c r="AY123" s="106" t="s">
        <v>206</v>
      </c>
      <c r="AZ123" s="1" t="s">
        <v>206</v>
      </c>
      <c r="BA123" s="106" t="s">
        <v>206</v>
      </c>
      <c r="BB123" s="106" t="s">
        <v>206</v>
      </c>
      <c r="BC123" s="106" t="s">
        <v>206</v>
      </c>
      <c r="BD123" s="106" t="s">
        <v>206</v>
      </c>
      <c r="BE123" s="106" t="s">
        <v>206</v>
      </c>
      <c r="BF123" s="107">
        <f>IF(AZ123="Não","Sim","Não")</f>
      </c>
      <c r="BG123" s="107">
        <f>IF(AZ123="NA","Sim","Não")</f>
      </c>
      <c r="BH123" s="106" t="s">
        <v>206</v>
      </c>
      <c r="BI123" s="1" t="s">
        <v>237</v>
      </c>
      <c r="BJ123" s="106" t="s">
        <v>36</v>
      </c>
      <c r="BK123" s="1" t="s">
        <v>1052</v>
      </c>
      <c r="BL123" s="102">
        <v>30</v>
      </c>
      <c r="BM123" s="1" t="s">
        <v>208</v>
      </c>
      <c r="BN123" s="1" t="s">
        <v>208</v>
      </c>
      <c r="BO123" s="1" t="s">
        <v>1052</v>
      </c>
      <c r="BP123" s="102">
        <v>30</v>
      </c>
      <c r="BQ123" s="1" t="s">
        <v>35</v>
      </c>
      <c r="BR123" s="1" t="s">
        <v>208</v>
      </c>
      <c r="BS123" s="106" t="s">
        <v>208</v>
      </c>
    </row>
    <row x14ac:dyDescent="0.25" r="124" customHeight="1" ht="17.25">
      <c r="A124" s="102">
        <v>123</v>
      </c>
      <c r="B124" s="1" t="s">
        <v>1080</v>
      </c>
      <c r="C124" s="102">
        <v>1</v>
      </c>
      <c r="D124" s="61" t="s">
        <v>1081</v>
      </c>
      <c r="E124" s="1" t="s">
        <v>107</v>
      </c>
      <c r="F124" s="1" t="s">
        <v>22</v>
      </c>
      <c r="G124" s="1" t="s">
        <v>62</v>
      </c>
      <c r="H124" s="1" t="s">
        <v>1082</v>
      </c>
      <c r="I124" s="102">
        <v>1</v>
      </c>
      <c r="J124" s="1" t="s">
        <v>158</v>
      </c>
      <c r="K124" s="1" t="s">
        <v>22</v>
      </c>
      <c r="L124" s="103">
        <v>31414</v>
      </c>
      <c r="M124" s="104">
        <v>31</v>
      </c>
      <c r="N124" s="1" t="s">
        <v>176</v>
      </c>
      <c r="O124" s="1" t="s">
        <v>182</v>
      </c>
      <c r="P124" s="1" t="s">
        <v>365</v>
      </c>
      <c r="Q124" s="1" t="s">
        <v>445</v>
      </c>
      <c r="R124" s="62">
        <v>0</v>
      </c>
      <c r="S124" s="102">
        <v>0</v>
      </c>
      <c r="T124" s="54" t="s">
        <v>1083</v>
      </c>
      <c r="U124" s="105">
        <v>23.9</v>
      </c>
      <c r="V124" s="62">
        <v>0</v>
      </c>
      <c r="W124" s="102">
        <v>0</v>
      </c>
      <c r="X124" s="62">
        <v>0</v>
      </c>
      <c r="Y124" s="102">
        <v>0</v>
      </c>
      <c r="Z124" s="62">
        <v>0</v>
      </c>
      <c r="AA124" s="102">
        <v>0</v>
      </c>
      <c r="AB124" s="62">
        <v>0</v>
      </c>
      <c r="AC124" s="106" t="s">
        <v>206</v>
      </c>
      <c r="AD124" s="106" t="s">
        <v>206</v>
      </c>
      <c r="AE124" s="106" t="s">
        <v>206</v>
      </c>
      <c r="AF124" s="106" t="s">
        <v>206</v>
      </c>
      <c r="AG124" s="106" t="s">
        <v>206</v>
      </c>
      <c r="AH124" s="106" t="s">
        <v>206</v>
      </c>
      <c r="AI124" s="1" t="s">
        <v>357</v>
      </c>
      <c r="AJ124" s="1" t="s">
        <v>206</v>
      </c>
      <c r="AK124" s="1" t="s">
        <v>358</v>
      </c>
      <c r="AL124" s="1" t="s">
        <v>197</v>
      </c>
      <c r="AM124" s="106" t="s">
        <v>27</v>
      </c>
      <c r="AN124" s="1" t="s">
        <v>357</v>
      </c>
      <c r="AO124" s="1" t="s">
        <v>208</v>
      </c>
      <c r="AP124" s="1" t="s">
        <v>206</v>
      </c>
      <c r="AQ124" s="1" t="s">
        <v>441</v>
      </c>
      <c r="AR124" s="1" t="s">
        <v>206</v>
      </c>
      <c r="AS124" s="106" t="s">
        <v>206</v>
      </c>
      <c r="AT124" s="1" t="s">
        <v>206</v>
      </c>
      <c r="AU124" s="106" t="s">
        <v>206</v>
      </c>
      <c r="AV124" s="106" t="s">
        <v>206</v>
      </c>
      <c r="AW124" s="106" t="s">
        <v>35</v>
      </c>
      <c r="AX124" s="106" t="s">
        <v>206</v>
      </c>
      <c r="AY124" s="106" t="s">
        <v>206</v>
      </c>
      <c r="AZ124" s="1" t="s">
        <v>206</v>
      </c>
      <c r="BA124" s="106" t="s">
        <v>206</v>
      </c>
      <c r="BB124" s="106" t="s">
        <v>206</v>
      </c>
      <c r="BC124" s="106" t="s">
        <v>206</v>
      </c>
      <c r="BD124" s="106" t="s">
        <v>206</v>
      </c>
      <c r="BE124" s="106" t="s">
        <v>206</v>
      </c>
      <c r="BF124" s="107">
        <f>IF(AZ124="Não","Sim","Não")</f>
      </c>
      <c r="BG124" s="107">
        <f>IF(AZ124="NA","Sim","Não")</f>
      </c>
      <c r="BH124" s="106" t="s">
        <v>206</v>
      </c>
      <c r="BI124" s="1" t="s">
        <v>237</v>
      </c>
      <c r="BJ124" s="106" t="s">
        <v>36</v>
      </c>
      <c r="BK124" s="1" t="s">
        <v>1052</v>
      </c>
      <c r="BL124" s="102">
        <v>30</v>
      </c>
      <c r="BM124" s="1" t="s">
        <v>208</v>
      </c>
      <c r="BN124" s="1" t="s">
        <v>208</v>
      </c>
      <c r="BO124" s="1" t="s">
        <v>1052</v>
      </c>
      <c r="BP124" s="102">
        <v>30</v>
      </c>
      <c r="BQ124" s="1" t="s">
        <v>206</v>
      </c>
      <c r="BR124" s="1" t="s">
        <v>227</v>
      </c>
      <c r="BS124" s="106" t="s">
        <v>37</v>
      </c>
    </row>
    <row x14ac:dyDescent="0.25" r="125" customHeight="1" ht="17.25">
      <c r="A125" s="102">
        <v>124</v>
      </c>
      <c r="B125" s="1" t="s">
        <v>1084</v>
      </c>
      <c r="C125" s="102">
        <v>1</v>
      </c>
      <c r="D125" s="61" t="s">
        <v>1085</v>
      </c>
      <c r="E125" s="1" t="s">
        <v>103</v>
      </c>
      <c r="F125" s="1" t="s">
        <v>22</v>
      </c>
      <c r="G125" s="1" t="s">
        <v>54</v>
      </c>
      <c r="H125" s="1" t="s">
        <v>1086</v>
      </c>
      <c r="I125" s="102">
        <v>1</v>
      </c>
      <c r="J125" s="1" t="s">
        <v>158</v>
      </c>
      <c r="K125" s="1" t="s">
        <v>22</v>
      </c>
      <c r="L125" s="103">
        <v>35621</v>
      </c>
      <c r="M125" s="104">
        <v>20</v>
      </c>
      <c r="N125" s="1" t="s">
        <v>176</v>
      </c>
      <c r="O125" s="1" t="s">
        <v>182</v>
      </c>
      <c r="P125" s="1" t="s">
        <v>365</v>
      </c>
      <c r="Q125" s="1" t="s">
        <v>1008</v>
      </c>
      <c r="R125" s="54" t="s">
        <v>1087</v>
      </c>
      <c r="S125" s="105">
        <v>43.2</v>
      </c>
      <c r="T125" s="54" t="s">
        <v>1088</v>
      </c>
      <c r="U125" s="102">
        <v>41</v>
      </c>
      <c r="V125" s="62">
        <v>0</v>
      </c>
      <c r="W125" s="102">
        <v>0</v>
      </c>
      <c r="X125" s="62">
        <v>0</v>
      </c>
      <c r="Y125" s="102">
        <v>0</v>
      </c>
      <c r="Z125" s="62">
        <v>0</v>
      </c>
      <c r="AA125" s="102">
        <v>0</v>
      </c>
      <c r="AB125" s="62">
        <v>0</v>
      </c>
      <c r="AC125" s="106" t="s">
        <v>206</v>
      </c>
      <c r="AD125" s="106" t="s">
        <v>206</v>
      </c>
      <c r="AE125" s="106" t="s">
        <v>206</v>
      </c>
      <c r="AF125" s="106" t="s">
        <v>206</v>
      </c>
      <c r="AG125" s="106" t="s">
        <v>206</v>
      </c>
      <c r="AH125" s="106" t="s">
        <v>206</v>
      </c>
      <c r="AI125" s="1" t="s">
        <v>357</v>
      </c>
      <c r="AJ125" s="1" t="s">
        <v>206</v>
      </c>
      <c r="AK125" s="1" t="s">
        <v>853</v>
      </c>
      <c r="AL125" s="1" t="s">
        <v>197</v>
      </c>
      <c r="AM125" s="106" t="s">
        <v>27</v>
      </c>
      <c r="AN125" s="1" t="s">
        <v>357</v>
      </c>
      <c r="AO125" s="1" t="s">
        <v>208</v>
      </c>
      <c r="AP125" s="1" t="s">
        <v>206</v>
      </c>
      <c r="AQ125" s="1" t="s">
        <v>441</v>
      </c>
      <c r="AR125" s="1" t="s">
        <v>206</v>
      </c>
      <c r="AS125" s="106" t="s">
        <v>206</v>
      </c>
      <c r="AT125" s="1" t="s">
        <v>206</v>
      </c>
      <c r="AU125" s="106" t="s">
        <v>206</v>
      </c>
      <c r="AV125" s="106" t="s">
        <v>206</v>
      </c>
      <c r="AW125" s="106" t="s">
        <v>35</v>
      </c>
      <c r="AX125" s="106" t="s">
        <v>206</v>
      </c>
      <c r="AY125" s="106" t="s">
        <v>206</v>
      </c>
      <c r="AZ125" s="1" t="s">
        <v>206</v>
      </c>
      <c r="BA125" s="106" t="s">
        <v>206</v>
      </c>
      <c r="BB125" s="106" t="s">
        <v>206</v>
      </c>
      <c r="BC125" s="106" t="s">
        <v>206</v>
      </c>
      <c r="BD125" s="106" t="s">
        <v>206</v>
      </c>
      <c r="BE125" s="106" t="s">
        <v>206</v>
      </c>
      <c r="BF125" s="107">
        <f>IF(AZ125="Não","Sim","Não")</f>
      </c>
      <c r="BG125" s="107">
        <f>IF(AZ125="NA","Sim","Não")</f>
      </c>
      <c r="BH125" s="106" t="s">
        <v>206</v>
      </c>
      <c r="BI125" s="1" t="s">
        <v>237</v>
      </c>
      <c r="BJ125" s="106" t="s">
        <v>36</v>
      </c>
      <c r="BK125" s="1" t="s">
        <v>1052</v>
      </c>
      <c r="BL125" s="102">
        <v>30</v>
      </c>
      <c r="BM125" s="1" t="s">
        <v>208</v>
      </c>
      <c r="BN125" s="1" t="s">
        <v>208</v>
      </c>
      <c r="BO125" s="1" t="s">
        <v>1052</v>
      </c>
      <c r="BP125" s="102">
        <v>30</v>
      </c>
      <c r="BQ125" s="1" t="s">
        <v>206</v>
      </c>
      <c r="BR125" s="1" t="s">
        <v>228</v>
      </c>
      <c r="BS125" s="106" t="s">
        <v>228</v>
      </c>
    </row>
    <row x14ac:dyDescent="0.25" r="126" customHeight="1" ht="17.25">
      <c r="A126" s="102">
        <v>125</v>
      </c>
      <c r="B126" s="1" t="s">
        <v>1084</v>
      </c>
      <c r="C126" s="102">
        <v>0</v>
      </c>
      <c r="D126" s="61" t="s">
        <v>1085</v>
      </c>
      <c r="E126" s="1" t="s">
        <v>103</v>
      </c>
      <c r="F126" s="1" t="s">
        <v>22</v>
      </c>
      <c r="G126" s="1" t="s">
        <v>54</v>
      </c>
      <c r="H126" s="1" t="s">
        <v>1089</v>
      </c>
      <c r="I126" s="102">
        <v>1</v>
      </c>
      <c r="J126" s="1" t="s">
        <v>158</v>
      </c>
      <c r="K126" s="1" t="s">
        <v>22</v>
      </c>
      <c r="L126" s="103">
        <v>35631</v>
      </c>
      <c r="M126" s="104">
        <v>20</v>
      </c>
      <c r="N126" s="1" t="s">
        <v>176</v>
      </c>
      <c r="O126" s="1" t="s">
        <v>182</v>
      </c>
      <c r="P126" s="1" t="s">
        <v>365</v>
      </c>
      <c r="Q126" s="1" t="s">
        <v>1008</v>
      </c>
      <c r="R126" s="54" t="s">
        <v>1087</v>
      </c>
      <c r="S126" s="105">
        <v>43.2</v>
      </c>
      <c r="T126" s="54" t="s">
        <v>1088</v>
      </c>
      <c r="U126" s="102">
        <v>41</v>
      </c>
      <c r="V126" s="62">
        <v>0</v>
      </c>
      <c r="W126" s="102">
        <v>0</v>
      </c>
      <c r="X126" s="62">
        <v>0</v>
      </c>
      <c r="Y126" s="102">
        <v>0</v>
      </c>
      <c r="Z126" s="62">
        <v>0</v>
      </c>
      <c r="AA126" s="102">
        <v>0</v>
      </c>
      <c r="AB126" s="62">
        <v>0</v>
      </c>
      <c r="AC126" s="106" t="s">
        <v>206</v>
      </c>
      <c r="AD126" s="106" t="s">
        <v>206</v>
      </c>
      <c r="AE126" s="106" t="s">
        <v>206</v>
      </c>
      <c r="AF126" s="106" t="s">
        <v>206</v>
      </c>
      <c r="AG126" s="106" t="s">
        <v>206</v>
      </c>
      <c r="AH126" s="106" t="s">
        <v>206</v>
      </c>
      <c r="AI126" s="1" t="s">
        <v>357</v>
      </c>
      <c r="AJ126" s="1" t="s">
        <v>206</v>
      </c>
      <c r="AK126" s="1" t="s">
        <v>853</v>
      </c>
      <c r="AL126" s="1" t="s">
        <v>197</v>
      </c>
      <c r="AM126" s="106" t="s">
        <v>27</v>
      </c>
      <c r="AN126" s="1" t="s">
        <v>357</v>
      </c>
      <c r="AO126" s="1" t="s">
        <v>208</v>
      </c>
      <c r="AP126" s="1" t="s">
        <v>206</v>
      </c>
      <c r="AQ126" s="1" t="s">
        <v>441</v>
      </c>
      <c r="AR126" s="1" t="s">
        <v>206</v>
      </c>
      <c r="AS126" s="106" t="s">
        <v>206</v>
      </c>
      <c r="AT126" s="1" t="s">
        <v>206</v>
      </c>
      <c r="AU126" s="106" t="s">
        <v>206</v>
      </c>
      <c r="AV126" s="106" t="s">
        <v>206</v>
      </c>
      <c r="AW126" s="106" t="s">
        <v>35</v>
      </c>
      <c r="AX126" s="106" t="s">
        <v>206</v>
      </c>
      <c r="AY126" s="106" t="s">
        <v>206</v>
      </c>
      <c r="AZ126" s="1" t="s">
        <v>206</v>
      </c>
      <c r="BA126" s="106" t="s">
        <v>206</v>
      </c>
      <c r="BB126" s="106" t="s">
        <v>206</v>
      </c>
      <c r="BC126" s="106" t="s">
        <v>206</v>
      </c>
      <c r="BD126" s="106" t="s">
        <v>206</v>
      </c>
      <c r="BE126" s="106" t="s">
        <v>206</v>
      </c>
      <c r="BF126" s="107">
        <f>IF(AZ126="Não","Sim","Não")</f>
      </c>
      <c r="BG126" s="107">
        <f>IF(AZ126="NA","Sim","Não")</f>
      </c>
      <c r="BH126" s="106" t="s">
        <v>206</v>
      </c>
      <c r="BI126" s="1" t="s">
        <v>237</v>
      </c>
      <c r="BJ126" s="106" t="s">
        <v>36</v>
      </c>
      <c r="BK126" s="1" t="s">
        <v>1052</v>
      </c>
      <c r="BL126" s="102">
        <v>30</v>
      </c>
      <c r="BM126" s="1" t="s">
        <v>208</v>
      </c>
      <c r="BN126" s="1" t="s">
        <v>208</v>
      </c>
      <c r="BO126" s="1" t="s">
        <v>1052</v>
      </c>
      <c r="BP126" s="102">
        <v>30</v>
      </c>
      <c r="BQ126" s="1" t="s">
        <v>206</v>
      </c>
      <c r="BR126" s="1" t="s">
        <v>228</v>
      </c>
      <c r="BS126" s="106" t="s">
        <v>228</v>
      </c>
    </row>
    <row x14ac:dyDescent="0.25" r="127" customHeight="1" ht="17.25">
      <c r="A127" s="102">
        <v>126</v>
      </c>
      <c r="B127" s="1" t="s">
        <v>1090</v>
      </c>
      <c r="C127" s="102">
        <v>1</v>
      </c>
      <c r="D127" s="61" t="s">
        <v>1091</v>
      </c>
      <c r="E127" s="1" t="s">
        <v>122</v>
      </c>
      <c r="F127" s="1" t="s">
        <v>22</v>
      </c>
      <c r="G127" s="1" t="s">
        <v>68</v>
      </c>
      <c r="H127" s="1" t="s">
        <v>1092</v>
      </c>
      <c r="I127" s="102">
        <v>1</v>
      </c>
      <c r="J127" s="1" t="s">
        <v>158</v>
      </c>
      <c r="K127" s="1" t="s">
        <v>22</v>
      </c>
      <c r="L127" s="103">
        <v>35818</v>
      </c>
      <c r="M127" s="104">
        <v>19</v>
      </c>
      <c r="N127" s="1" t="s">
        <v>175</v>
      </c>
      <c r="O127" s="1" t="s">
        <v>24</v>
      </c>
      <c r="P127" s="1" t="s">
        <v>365</v>
      </c>
      <c r="Q127" s="1" t="s">
        <v>1093</v>
      </c>
      <c r="R127" s="62">
        <v>0</v>
      </c>
      <c r="S127" s="102">
        <v>0</v>
      </c>
      <c r="T127" s="54" t="s">
        <v>1094</v>
      </c>
      <c r="U127" s="105">
        <v>21.3</v>
      </c>
      <c r="V127" s="62">
        <v>0</v>
      </c>
      <c r="W127" s="102">
        <v>0</v>
      </c>
      <c r="X127" s="62">
        <v>0</v>
      </c>
      <c r="Y127" s="102">
        <v>0</v>
      </c>
      <c r="Z127" s="62">
        <v>0</v>
      </c>
      <c r="AA127" s="102">
        <v>0</v>
      </c>
      <c r="AB127" s="62">
        <v>0</v>
      </c>
      <c r="AC127" s="106" t="s">
        <v>206</v>
      </c>
      <c r="AD127" s="106" t="s">
        <v>206</v>
      </c>
      <c r="AE127" s="106" t="s">
        <v>206</v>
      </c>
      <c r="AF127" s="106" t="s">
        <v>206</v>
      </c>
      <c r="AG127" s="106" t="s">
        <v>206</v>
      </c>
      <c r="AH127" s="106" t="s">
        <v>206</v>
      </c>
      <c r="AI127" s="1" t="s">
        <v>357</v>
      </c>
      <c r="AJ127" s="1" t="s">
        <v>206</v>
      </c>
      <c r="AK127" s="1" t="s">
        <v>430</v>
      </c>
      <c r="AL127" s="1" t="s">
        <v>197</v>
      </c>
      <c r="AM127" s="106" t="s">
        <v>27</v>
      </c>
      <c r="AN127" s="1" t="s">
        <v>357</v>
      </c>
      <c r="AO127" s="1" t="s">
        <v>208</v>
      </c>
      <c r="AP127" s="1" t="s">
        <v>206</v>
      </c>
      <c r="AQ127" s="1" t="s">
        <v>441</v>
      </c>
      <c r="AR127" s="1" t="s">
        <v>206</v>
      </c>
      <c r="AS127" s="106" t="s">
        <v>206</v>
      </c>
      <c r="AT127" s="1" t="s">
        <v>206</v>
      </c>
      <c r="AU127" s="106" t="s">
        <v>206</v>
      </c>
      <c r="AV127" s="106" t="s">
        <v>206</v>
      </c>
      <c r="AW127" s="106" t="s">
        <v>35</v>
      </c>
      <c r="AX127" s="106" t="s">
        <v>206</v>
      </c>
      <c r="AY127" s="106" t="s">
        <v>206</v>
      </c>
      <c r="AZ127" s="1" t="s">
        <v>206</v>
      </c>
      <c r="BA127" s="106" t="s">
        <v>206</v>
      </c>
      <c r="BB127" s="106" t="s">
        <v>206</v>
      </c>
      <c r="BC127" s="106" t="s">
        <v>206</v>
      </c>
      <c r="BD127" s="106" t="s">
        <v>206</v>
      </c>
      <c r="BE127" s="106" t="s">
        <v>206</v>
      </c>
      <c r="BF127" s="107">
        <f>IF(AZ127="Não","Sim","Não")</f>
      </c>
      <c r="BG127" s="107">
        <f>IF(AZ127="NA","Sim","Não")</f>
      </c>
      <c r="BH127" s="106" t="s">
        <v>206</v>
      </c>
      <c r="BI127" s="1" t="s">
        <v>237</v>
      </c>
      <c r="BJ127" s="106" t="s">
        <v>36</v>
      </c>
      <c r="BK127" s="1" t="s">
        <v>1052</v>
      </c>
      <c r="BL127" s="102">
        <v>30</v>
      </c>
      <c r="BM127" s="1" t="s">
        <v>208</v>
      </c>
      <c r="BN127" s="1" t="s">
        <v>208</v>
      </c>
      <c r="BO127" s="1" t="s">
        <v>1052</v>
      </c>
      <c r="BP127" s="102">
        <v>30</v>
      </c>
      <c r="BQ127" s="1" t="s">
        <v>35</v>
      </c>
      <c r="BR127" s="1" t="s">
        <v>208</v>
      </c>
      <c r="BS127" s="106" t="s">
        <v>208</v>
      </c>
    </row>
    <row x14ac:dyDescent="0.25" r="128" customHeight="1" ht="17.25">
      <c r="A128" s="102">
        <v>127</v>
      </c>
      <c r="B128" s="1" t="s">
        <v>1095</v>
      </c>
      <c r="C128" s="102">
        <v>1</v>
      </c>
      <c r="D128" s="61" t="s">
        <v>817</v>
      </c>
      <c r="E128" s="1" t="s">
        <v>85</v>
      </c>
      <c r="F128" s="1" t="s">
        <v>22</v>
      </c>
      <c r="G128" s="1" t="s">
        <v>45</v>
      </c>
      <c r="H128" s="1" t="s">
        <v>1096</v>
      </c>
      <c r="I128" s="102">
        <v>1</v>
      </c>
      <c r="J128" s="1" t="s">
        <v>159</v>
      </c>
      <c r="K128" s="1" t="s">
        <v>22</v>
      </c>
      <c r="L128" s="103">
        <v>32518</v>
      </c>
      <c r="M128" s="104">
        <v>28</v>
      </c>
      <c r="N128" s="1" t="s">
        <v>175</v>
      </c>
      <c r="O128" s="1" t="s">
        <v>24</v>
      </c>
      <c r="P128" s="1" t="s">
        <v>615</v>
      </c>
      <c r="Q128" s="1" t="s">
        <v>1097</v>
      </c>
      <c r="R128" s="54" t="s">
        <v>1098</v>
      </c>
      <c r="S128" s="102">
        <v>2</v>
      </c>
      <c r="T128" s="54" t="s">
        <v>1099</v>
      </c>
      <c r="U128" s="105">
        <v>22.5</v>
      </c>
      <c r="V128" s="62">
        <v>0</v>
      </c>
      <c r="W128" s="102">
        <v>0</v>
      </c>
      <c r="X128" s="62">
        <v>0</v>
      </c>
      <c r="Y128" s="102">
        <v>0</v>
      </c>
      <c r="Z128" s="62">
        <v>0</v>
      </c>
      <c r="AA128" s="102">
        <v>0</v>
      </c>
      <c r="AB128" s="62">
        <v>0</v>
      </c>
      <c r="AC128" s="106" t="s">
        <v>206</v>
      </c>
      <c r="AD128" s="106" t="s">
        <v>206</v>
      </c>
      <c r="AE128" s="106" t="s">
        <v>206</v>
      </c>
      <c r="AF128" s="106" t="s">
        <v>206</v>
      </c>
      <c r="AG128" s="106" t="s">
        <v>206</v>
      </c>
      <c r="AH128" s="106" t="s">
        <v>206</v>
      </c>
      <c r="AI128" s="1" t="s">
        <v>357</v>
      </c>
      <c r="AJ128" s="1" t="s">
        <v>526</v>
      </c>
      <c r="AK128" s="1" t="s">
        <v>1100</v>
      </c>
      <c r="AL128" s="1" t="s">
        <v>197</v>
      </c>
      <c r="AM128" s="106" t="s">
        <v>27</v>
      </c>
      <c r="AN128" s="1" t="s">
        <v>357</v>
      </c>
      <c r="AO128" s="1" t="s">
        <v>526</v>
      </c>
      <c r="AP128" s="1" t="s">
        <v>206</v>
      </c>
      <c r="AQ128" s="1" t="s">
        <v>441</v>
      </c>
      <c r="AR128" s="1" t="s">
        <v>206</v>
      </c>
      <c r="AS128" s="106" t="s">
        <v>206</v>
      </c>
      <c r="AT128" s="1" t="s">
        <v>206</v>
      </c>
      <c r="AU128" s="106" t="s">
        <v>206</v>
      </c>
      <c r="AV128" s="106" t="s">
        <v>206</v>
      </c>
      <c r="AW128" s="106" t="s">
        <v>35</v>
      </c>
      <c r="AX128" s="106" t="s">
        <v>206</v>
      </c>
      <c r="AY128" s="106" t="s">
        <v>206</v>
      </c>
      <c r="AZ128" s="1" t="s">
        <v>206</v>
      </c>
      <c r="BA128" s="106" t="s">
        <v>206</v>
      </c>
      <c r="BB128" s="106" t="s">
        <v>206</v>
      </c>
      <c r="BC128" s="106" t="s">
        <v>206</v>
      </c>
      <c r="BD128" s="106" t="s">
        <v>206</v>
      </c>
      <c r="BE128" s="106" t="s">
        <v>206</v>
      </c>
      <c r="BF128" s="107">
        <f>IF(AZ128="Não","Sim","Não")</f>
      </c>
      <c r="BG128" s="107">
        <f>IF(AZ128="NA","Sim","Não")</f>
      </c>
      <c r="BH128" s="106" t="s">
        <v>206</v>
      </c>
      <c r="BI128" s="1" t="s">
        <v>237</v>
      </c>
      <c r="BJ128" s="106" t="s">
        <v>36</v>
      </c>
      <c r="BK128" s="1" t="s">
        <v>1052</v>
      </c>
      <c r="BL128" s="102">
        <v>30</v>
      </c>
      <c r="BM128" s="1" t="s">
        <v>208</v>
      </c>
      <c r="BN128" s="1" t="s">
        <v>1101</v>
      </c>
      <c r="BO128" s="1" t="s">
        <v>1102</v>
      </c>
      <c r="BP128" s="102">
        <v>66</v>
      </c>
      <c r="BQ128" s="1" t="s">
        <v>208</v>
      </c>
      <c r="BR128" s="1" t="s">
        <v>228</v>
      </c>
      <c r="BS128" s="106" t="s">
        <v>228</v>
      </c>
    </row>
    <row x14ac:dyDescent="0.25" r="129" customHeight="1" ht="17.25">
      <c r="A129" s="102">
        <v>128</v>
      </c>
      <c r="B129" s="1" t="s">
        <v>1103</v>
      </c>
      <c r="C129" s="102">
        <v>1</v>
      </c>
      <c r="D129" s="61" t="s">
        <v>1104</v>
      </c>
      <c r="E129" s="1" t="s">
        <v>138</v>
      </c>
      <c r="F129" s="1" t="s">
        <v>22</v>
      </c>
      <c r="G129" s="1" t="s">
        <v>68</v>
      </c>
      <c r="H129" s="1" t="s">
        <v>1105</v>
      </c>
      <c r="I129" s="102">
        <v>1</v>
      </c>
      <c r="J129" s="1" t="s">
        <v>158</v>
      </c>
      <c r="K129" s="1" t="s">
        <v>22</v>
      </c>
      <c r="L129" s="103">
        <v>32255</v>
      </c>
      <c r="M129" s="104">
        <v>29</v>
      </c>
      <c r="N129" s="1" t="s">
        <v>176</v>
      </c>
      <c r="O129" s="1" t="s">
        <v>182</v>
      </c>
      <c r="P129" s="1" t="s">
        <v>464</v>
      </c>
      <c r="Q129" s="1" t="s">
        <v>1106</v>
      </c>
      <c r="R129" s="54" t="s">
        <v>1107</v>
      </c>
      <c r="S129" s="102">
        <v>82</v>
      </c>
      <c r="T129" s="54" t="s">
        <v>383</v>
      </c>
      <c r="U129" s="105">
        <v>22.6</v>
      </c>
      <c r="V129" s="62">
        <v>0</v>
      </c>
      <c r="W129" s="102">
        <v>0</v>
      </c>
      <c r="X129" s="62">
        <v>0</v>
      </c>
      <c r="Y129" s="102">
        <v>0</v>
      </c>
      <c r="Z129" s="62">
        <v>0</v>
      </c>
      <c r="AA129" s="102">
        <v>0</v>
      </c>
      <c r="AB129" s="62">
        <v>0</v>
      </c>
      <c r="AC129" s="106" t="s">
        <v>206</v>
      </c>
      <c r="AD129" s="106" t="s">
        <v>206</v>
      </c>
      <c r="AE129" s="106" t="s">
        <v>206</v>
      </c>
      <c r="AF129" s="106" t="s">
        <v>206</v>
      </c>
      <c r="AG129" s="106" t="s">
        <v>206</v>
      </c>
      <c r="AH129" s="106" t="s">
        <v>206</v>
      </c>
      <c r="AI129" s="1" t="s">
        <v>357</v>
      </c>
      <c r="AJ129" s="1" t="s">
        <v>206</v>
      </c>
      <c r="AK129" s="1" t="s">
        <v>1108</v>
      </c>
      <c r="AL129" s="1" t="s">
        <v>197</v>
      </c>
      <c r="AM129" s="106" t="s">
        <v>27</v>
      </c>
      <c r="AN129" s="1" t="s">
        <v>357</v>
      </c>
      <c r="AO129" s="1" t="s">
        <v>208</v>
      </c>
      <c r="AP129" s="1" t="s">
        <v>206</v>
      </c>
      <c r="AQ129" s="1" t="s">
        <v>441</v>
      </c>
      <c r="AR129" s="1" t="s">
        <v>206</v>
      </c>
      <c r="AS129" s="106" t="s">
        <v>206</v>
      </c>
      <c r="AT129" s="1" t="s">
        <v>206</v>
      </c>
      <c r="AU129" s="106" t="s">
        <v>206</v>
      </c>
      <c r="AV129" s="106" t="s">
        <v>206</v>
      </c>
      <c r="AW129" s="106" t="s">
        <v>35</v>
      </c>
      <c r="AX129" s="106" t="s">
        <v>206</v>
      </c>
      <c r="AY129" s="106" t="s">
        <v>206</v>
      </c>
      <c r="AZ129" s="1" t="s">
        <v>206</v>
      </c>
      <c r="BA129" s="106" t="s">
        <v>206</v>
      </c>
      <c r="BB129" s="106" t="s">
        <v>206</v>
      </c>
      <c r="BC129" s="106" t="s">
        <v>206</v>
      </c>
      <c r="BD129" s="106" t="s">
        <v>206</v>
      </c>
      <c r="BE129" s="106" t="s">
        <v>206</v>
      </c>
      <c r="BF129" s="107">
        <f>IF(AZ129="Não","Sim","Não")</f>
      </c>
      <c r="BG129" s="107">
        <f>IF(AZ129="NA","Sim","Não")</f>
      </c>
      <c r="BH129" s="106" t="s">
        <v>206</v>
      </c>
      <c r="BI129" s="1" t="s">
        <v>237</v>
      </c>
      <c r="BJ129" s="106" t="s">
        <v>36</v>
      </c>
      <c r="BK129" s="1" t="s">
        <v>1052</v>
      </c>
      <c r="BL129" s="102">
        <v>30</v>
      </c>
      <c r="BM129" s="1" t="s">
        <v>208</v>
      </c>
      <c r="BN129" s="1" t="s">
        <v>208</v>
      </c>
      <c r="BO129" s="1" t="s">
        <v>1052</v>
      </c>
      <c r="BP129" s="102">
        <v>30</v>
      </c>
      <c r="BQ129" s="1" t="s">
        <v>206</v>
      </c>
      <c r="BR129" s="1" t="s">
        <v>227</v>
      </c>
      <c r="BS129" s="106" t="s">
        <v>37</v>
      </c>
    </row>
    <row x14ac:dyDescent="0.25" r="130" customHeight="1" ht="17.25">
      <c r="A130" s="102">
        <v>129</v>
      </c>
      <c r="B130" s="1" t="s">
        <v>1048</v>
      </c>
      <c r="C130" s="102">
        <v>1</v>
      </c>
      <c r="D130" s="61" t="s">
        <v>1049</v>
      </c>
      <c r="E130" s="1" t="s">
        <v>104</v>
      </c>
      <c r="F130" s="1" t="s">
        <v>170</v>
      </c>
      <c r="G130" s="1" t="s">
        <v>69</v>
      </c>
      <c r="H130" s="1" t="s">
        <v>1109</v>
      </c>
      <c r="I130" s="102">
        <v>1</v>
      </c>
      <c r="J130" s="1" t="s">
        <v>158</v>
      </c>
      <c r="K130" s="1" t="s">
        <v>22</v>
      </c>
      <c r="L130" s="103">
        <v>30750</v>
      </c>
      <c r="M130" s="104">
        <v>33</v>
      </c>
      <c r="N130" s="1" t="s">
        <v>176</v>
      </c>
      <c r="O130" s="1" t="s">
        <v>182</v>
      </c>
      <c r="P130" s="1" t="s">
        <v>365</v>
      </c>
      <c r="Q130" s="1" t="s">
        <v>1110</v>
      </c>
      <c r="R130" s="62">
        <v>0</v>
      </c>
      <c r="S130" s="102">
        <v>0</v>
      </c>
      <c r="T130" s="54" t="s">
        <v>1111</v>
      </c>
      <c r="U130" s="105">
        <v>19.5</v>
      </c>
      <c r="V130" s="54" t="s">
        <v>1112</v>
      </c>
      <c r="W130" s="105">
        <v>82.6</v>
      </c>
      <c r="X130" s="62">
        <v>0</v>
      </c>
      <c r="Y130" s="102">
        <v>0</v>
      </c>
      <c r="Z130" s="62">
        <v>0</v>
      </c>
      <c r="AA130" s="102">
        <v>0</v>
      </c>
      <c r="AB130" s="62">
        <v>0</v>
      </c>
      <c r="AC130" s="106" t="s">
        <v>206</v>
      </c>
      <c r="AD130" s="106" t="s">
        <v>206</v>
      </c>
      <c r="AE130" s="106" t="s">
        <v>206</v>
      </c>
      <c r="AF130" s="106" t="s">
        <v>206</v>
      </c>
      <c r="AG130" s="106" t="s">
        <v>206</v>
      </c>
      <c r="AH130" s="106" t="s">
        <v>206</v>
      </c>
      <c r="AI130" s="1" t="s">
        <v>371</v>
      </c>
      <c r="AJ130" s="1" t="s">
        <v>206</v>
      </c>
      <c r="AK130" s="1" t="s">
        <v>1051</v>
      </c>
      <c r="AL130" s="1" t="s">
        <v>198</v>
      </c>
      <c r="AM130" s="106" t="s">
        <v>27</v>
      </c>
      <c r="AN130" s="1" t="s">
        <v>357</v>
      </c>
      <c r="AO130" s="1" t="s">
        <v>208</v>
      </c>
      <c r="AP130" s="1" t="s">
        <v>206</v>
      </c>
      <c r="AQ130" s="1" t="s">
        <v>441</v>
      </c>
      <c r="AR130" s="1" t="s">
        <v>206</v>
      </c>
      <c r="AS130" s="106" t="s">
        <v>206</v>
      </c>
      <c r="AT130" s="1" t="s">
        <v>206</v>
      </c>
      <c r="AU130" s="106" t="s">
        <v>206</v>
      </c>
      <c r="AV130" s="106" t="s">
        <v>206</v>
      </c>
      <c r="AW130" s="106" t="s">
        <v>35</v>
      </c>
      <c r="AX130" s="106" t="s">
        <v>206</v>
      </c>
      <c r="AY130" s="106" t="s">
        <v>206</v>
      </c>
      <c r="AZ130" s="1" t="s">
        <v>206</v>
      </c>
      <c r="BA130" s="106" t="s">
        <v>206</v>
      </c>
      <c r="BB130" s="106" t="s">
        <v>206</v>
      </c>
      <c r="BC130" s="106" t="s">
        <v>206</v>
      </c>
      <c r="BD130" s="106" t="s">
        <v>206</v>
      </c>
      <c r="BE130" s="106" t="s">
        <v>206</v>
      </c>
      <c r="BF130" s="107">
        <f>IF(AZ130="Não","Sim","Não")</f>
      </c>
      <c r="BG130" s="107">
        <f>IF(AZ130="NA","Sim","Não")</f>
      </c>
      <c r="BH130" s="106" t="s">
        <v>206</v>
      </c>
      <c r="BI130" s="1" t="s">
        <v>237</v>
      </c>
      <c r="BJ130" s="106" t="s">
        <v>36</v>
      </c>
      <c r="BK130" s="1" t="s">
        <v>1052</v>
      </c>
      <c r="BL130" s="102">
        <v>30</v>
      </c>
      <c r="BM130" s="1" t="s">
        <v>208</v>
      </c>
      <c r="BN130" s="1" t="s">
        <v>208</v>
      </c>
      <c r="BO130" s="1" t="s">
        <v>1052</v>
      </c>
      <c r="BP130" s="102">
        <v>30</v>
      </c>
      <c r="BQ130" s="1" t="s">
        <v>35</v>
      </c>
      <c r="BR130" s="1" t="s">
        <v>208</v>
      </c>
      <c r="BS130" s="106" t="s">
        <v>208</v>
      </c>
    </row>
    <row x14ac:dyDescent="0.25" r="131" customHeight="1" ht="17.25">
      <c r="A131" s="102">
        <v>130</v>
      </c>
      <c r="B131" s="1" t="s">
        <v>1113</v>
      </c>
      <c r="C131" s="102">
        <v>1</v>
      </c>
      <c r="D131" s="61" t="s">
        <v>1114</v>
      </c>
      <c r="E131" s="1" t="s">
        <v>96</v>
      </c>
      <c r="F131" s="1" t="s">
        <v>170</v>
      </c>
      <c r="G131" s="1" t="s">
        <v>67</v>
      </c>
      <c r="H131" s="1" t="s">
        <v>1115</v>
      </c>
      <c r="I131" s="102">
        <v>1</v>
      </c>
      <c r="J131" s="1" t="s">
        <v>158</v>
      </c>
      <c r="K131" s="1" t="s">
        <v>22</v>
      </c>
      <c r="L131" s="103">
        <v>35765</v>
      </c>
      <c r="M131" s="104">
        <v>19</v>
      </c>
      <c r="N131" s="1" t="s">
        <v>176</v>
      </c>
      <c r="O131" s="1" t="s">
        <v>182</v>
      </c>
      <c r="P131" s="1" t="s">
        <v>615</v>
      </c>
      <c r="Q131" s="1" t="s">
        <v>366</v>
      </c>
      <c r="R131" s="54" t="s">
        <v>1116</v>
      </c>
      <c r="S131" s="105">
        <v>41.7</v>
      </c>
      <c r="T131" s="54" t="s">
        <v>1117</v>
      </c>
      <c r="U131" s="105">
        <v>28.5</v>
      </c>
      <c r="V131" s="54" t="s">
        <v>1118</v>
      </c>
      <c r="W131" s="105">
        <v>3.1</v>
      </c>
      <c r="X131" s="62">
        <v>0</v>
      </c>
      <c r="Y131" s="102">
        <v>0</v>
      </c>
      <c r="Z131" s="62">
        <v>0</v>
      </c>
      <c r="AA131" s="102">
        <v>0</v>
      </c>
      <c r="AB131" s="62">
        <v>0</v>
      </c>
      <c r="AC131" s="106" t="s">
        <v>206</v>
      </c>
      <c r="AD131" s="106" t="s">
        <v>206</v>
      </c>
      <c r="AE131" s="106" t="s">
        <v>206</v>
      </c>
      <c r="AF131" s="106" t="s">
        <v>206</v>
      </c>
      <c r="AG131" s="106" t="s">
        <v>206</v>
      </c>
      <c r="AH131" s="106" t="s">
        <v>206</v>
      </c>
      <c r="AI131" s="1" t="s">
        <v>357</v>
      </c>
      <c r="AJ131" s="1" t="s">
        <v>206</v>
      </c>
      <c r="AK131" s="1" t="s">
        <v>853</v>
      </c>
      <c r="AL131" s="1" t="s">
        <v>197</v>
      </c>
      <c r="AM131" s="106" t="s">
        <v>27</v>
      </c>
      <c r="AN131" s="1" t="s">
        <v>357</v>
      </c>
      <c r="AO131" s="1" t="s">
        <v>208</v>
      </c>
      <c r="AP131" s="1" t="s">
        <v>206</v>
      </c>
      <c r="AQ131" s="1" t="s">
        <v>441</v>
      </c>
      <c r="AR131" s="1" t="s">
        <v>206</v>
      </c>
      <c r="AS131" s="106" t="s">
        <v>206</v>
      </c>
      <c r="AT131" s="1" t="s">
        <v>206</v>
      </c>
      <c r="AU131" s="106" t="s">
        <v>206</v>
      </c>
      <c r="AV131" s="106" t="s">
        <v>206</v>
      </c>
      <c r="AW131" s="106" t="s">
        <v>35</v>
      </c>
      <c r="AX131" s="106" t="s">
        <v>206</v>
      </c>
      <c r="AY131" s="106" t="s">
        <v>206</v>
      </c>
      <c r="AZ131" s="1" t="s">
        <v>206</v>
      </c>
      <c r="BA131" s="106" t="s">
        <v>206</v>
      </c>
      <c r="BB131" s="106" t="s">
        <v>206</v>
      </c>
      <c r="BC131" s="106" t="s">
        <v>206</v>
      </c>
      <c r="BD131" s="106" t="s">
        <v>206</v>
      </c>
      <c r="BE131" s="106" t="s">
        <v>206</v>
      </c>
      <c r="BF131" s="107">
        <f>IF(AZ131="Não","Sim","Não")</f>
      </c>
      <c r="BG131" s="107">
        <f>IF(AZ131="NA","Sim","Não")</f>
      </c>
      <c r="BH131" s="106" t="s">
        <v>206</v>
      </c>
      <c r="BI131" s="1" t="s">
        <v>237</v>
      </c>
      <c r="BJ131" s="106" t="s">
        <v>36</v>
      </c>
      <c r="BK131" s="1" t="s">
        <v>1052</v>
      </c>
      <c r="BL131" s="102">
        <v>30</v>
      </c>
      <c r="BM131" s="1" t="s">
        <v>208</v>
      </c>
      <c r="BN131" s="1" t="s">
        <v>208</v>
      </c>
      <c r="BO131" s="1" t="s">
        <v>1052</v>
      </c>
      <c r="BP131" s="102">
        <v>30</v>
      </c>
      <c r="BQ131" s="1" t="s">
        <v>35</v>
      </c>
      <c r="BR131" s="1" t="s">
        <v>208</v>
      </c>
      <c r="BS131" s="106" t="s">
        <v>208</v>
      </c>
    </row>
    <row x14ac:dyDescent="0.25" r="132" customHeight="1" ht="17.25">
      <c r="A132" s="102">
        <v>131</v>
      </c>
      <c r="B132" s="1" t="s">
        <v>1119</v>
      </c>
      <c r="C132" s="102">
        <v>1</v>
      </c>
      <c r="D132" s="61">
        <v>43003</v>
      </c>
      <c r="E132" s="1" t="s">
        <v>112</v>
      </c>
      <c r="F132" s="1" t="s">
        <v>170</v>
      </c>
      <c r="G132" s="1" t="s">
        <v>61</v>
      </c>
      <c r="H132" s="1" t="s">
        <v>1120</v>
      </c>
      <c r="I132" s="102">
        <v>1</v>
      </c>
      <c r="J132" s="1" t="s">
        <v>158</v>
      </c>
      <c r="K132" s="1" t="s">
        <v>22</v>
      </c>
      <c r="L132" s="103">
        <v>36166</v>
      </c>
      <c r="M132" s="104">
        <v>18</v>
      </c>
      <c r="N132" s="1" t="s">
        <v>177</v>
      </c>
      <c r="O132" s="1" t="s">
        <v>24</v>
      </c>
      <c r="P132" s="1" t="s">
        <v>365</v>
      </c>
      <c r="Q132" s="1" t="s">
        <v>1008</v>
      </c>
      <c r="R132" s="54" t="s">
        <v>1121</v>
      </c>
      <c r="S132" s="105">
        <v>236.6</v>
      </c>
      <c r="T132" s="54" t="s">
        <v>1122</v>
      </c>
      <c r="U132" s="105">
        <v>25.8</v>
      </c>
      <c r="V132" s="54" t="s">
        <v>1123</v>
      </c>
      <c r="W132" s="105">
        <v>5.8</v>
      </c>
      <c r="X132" s="62">
        <v>0</v>
      </c>
      <c r="Y132" s="102">
        <v>0</v>
      </c>
      <c r="Z132" s="62">
        <v>0</v>
      </c>
      <c r="AA132" s="102">
        <v>0</v>
      </c>
      <c r="AB132" s="57" t="s">
        <v>1124</v>
      </c>
      <c r="AC132" s="106" t="s">
        <v>206</v>
      </c>
      <c r="AD132" s="106" t="s">
        <v>206</v>
      </c>
      <c r="AE132" s="106" t="s">
        <v>206</v>
      </c>
      <c r="AF132" s="106" t="s">
        <v>206</v>
      </c>
      <c r="AG132" s="106" t="s">
        <v>35</v>
      </c>
      <c r="AH132" s="106" t="s">
        <v>206</v>
      </c>
      <c r="AI132" s="1" t="s">
        <v>357</v>
      </c>
      <c r="AJ132" s="1" t="s">
        <v>206</v>
      </c>
      <c r="AK132" s="1" t="s">
        <v>1125</v>
      </c>
      <c r="AL132" s="1" t="s">
        <v>197</v>
      </c>
      <c r="AM132" s="106" t="s">
        <v>27</v>
      </c>
      <c r="AN132" s="1" t="s">
        <v>357</v>
      </c>
      <c r="AO132" s="1" t="s">
        <v>208</v>
      </c>
      <c r="AP132" s="1" t="s">
        <v>206</v>
      </c>
      <c r="AQ132" s="1" t="s">
        <v>441</v>
      </c>
      <c r="AR132" s="1" t="s">
        <v>206</v>
      </c>
      <c r="AS132" s="106" t="s">
        <v>206</v>
      </c>
      <c r="AT132" s="1" t="s">
        <v>206</v>
      </c>
      <c r="AU132" s="106" t="s">
        <v>206</v>
      </c>
      <c r="AV132" s="106" t="s">
        <v>206</v>
      </c>
      <c r="AW132" s="106" t="s">
        <v>35</v>
      </c>
      <c r="AX132" s="106" t="s">
        <v>206</v>
      </c>
      <c r="AY132" s="106" t="s">
        <v>206</v>
      </c>
      <c r="AZ132" s="1" t="s">
        <v>206</v>
      </c>
      <c r="BA132" s="106" t="s">
        <v>206</v>
      </c>
      <c r="BB132" s="106" t="s">
        <v>206</v>
      </c>
      <c r="BC132" s="106" t="s">
        <v>206</v>
      </c>
      <c r="BD132" s="106" t="s">
        <v>206</v>
      </c>
      <c r="BE132" s="106" t="s">
        <v>206</v>
      </c>
      <c r="BF132" s="107">
        <f>IF(AZ132="Não","Sim","Não")</f>
      </c>
      <c r="BG132" s="107">
        <f>IF(AZ132="NA","Sim","Não")</f>
      </c>
      <c r="BH132" s="106" t="s">
        <v>206</v>
      </c>
      <c r="BI132" s="1" t="s">
        <v>237</v>
      </c>
      <c r="BJ132" s="106" t="s">
        <v>36</v>
      </c>
      <c r="BK132" s="1" t="s">
        <v>1052</v>
      </c>
      <c r="BL132" s="102">
        <v>30</v>
      </c>
      <c r="BM132" s="1" t="s">
        <v>208</v>
      </c>
      <c r="BN132" s="1" t="s">
        <v>208</v>
      </c>
      <c r="BO132" s="1" t="s">
        <v>1052</v>
      </c>
      <c r="BP132" s="102">
        <v>30</v>
      </c>
      <c r="BQ132" s="1" t="s">
        <v>206</v>
      </c>
      <c r="BR132" s="1" t="s">
        <v>227</v>
      </c>
      <c r="BS132" s="106" t="s">
        <v>37</v>
      </c>
    </row>
    <row x14ac:dyDescent="0.25" r="133" customHeight="1" ht="17.25">
      <c r="A133" s="102">
        <v>132</v>
      </c>
      <c r="B133" s="1" t="s">
        <v>1126</v>
      </c>
      <c r="C133" s="102">
        <v>1</v>
      </c>
      <c r="D133" s="61" t="s">
        <v>1049</v>
      </c>
      <c r="E133" s="1" t="s">
        <v>99</v>
      </c>
      <c r="F133" s="1" t="s">
        <v>170</v>
      </c>
      <c r="G133" s="1" t="s">
        <v>54</v>
      </c>
      <c r="H133" s="1" t="s">
        <v>1127</v>
      </c>
      <c r="I133" s="102">
        <v>1</v>
      </c>
      <c r="J133" s="1" t="s">
        <v>163</v>
      </c>
      <c r="K133" s="1" t="s">
        <v>22</v>
      </c>
      <c r="L133" s="103">
        <v>32274</v>
      </c>
      <c r="M133" s="104">
        <v>29</v>
      </c>
      <c r="N133" s="1" t="s">
        <v>176</v>
      </c>
      <c r="O133" s="1" t="s">
        <v>182</v>
      </c>
      <c r="P133" s="1" t="s">
        <v>365</v>
      </c>
      <c r="Q133" s="1" t="s">
        <v>366</v>
      </c>
      <c r="R133" s="54" t="s">
        <v>1128</v>
      </c>
      <c r="S133" s="105">
        <v>72.6</v>
      </c>
      <c r="T133" s="54" t="s">
        <v>1129</v>
      </c>
      <c r="U133" s="105">
        <v>42.5</v>
      </c>
      <c r="V133" s="54" t="s">
        <v>1130</v>
      </c>
      <c r="W133" s="105">
        <v>14.3</v>
      </c>
      <c r="X133" s="62">
        <v>0</v>
      </c>
      <c r="Y133" s="102">
        <v>0</v>
      </c>
      <c r="Z133" s="62">
        <v>0</v>
      </c>
      <c r="AA133" s="102">
        <v>0</v>
      </c>
      <c r="AB133" s="62">
        <v>0</v>
      </c>
      <c r="AC133" s="106" t="s">
        <v>206</v>
      </c>
      <c r="AD133" s="106" t="s">
        <v>206</v>
      </c>
      <c r="AE133" s="106" t="s">
        <v>206</v>
      </c>
      <c r="AF133" s="106" t="s">
        <v>206</v>
      </c>
      <c r="AG133" s="106" t="s">
        <v>206</v>
      </c>
      <c r="AH133" s="106" t="s">
        <v>206</v>
      </c>
      <c r="AI133" s="1" t="s">
        <v>357</v>
      </c>
      <c r="AJ133" s="1" t="s">
        <v>206</v>
      </c>
      <c r="AK133" s="1" t="s">
        <v>430</v>
      </c>
      <c r="AL133" s="1" t="s">
        <v>197</v>
      </c>
      <c r="AM133" s="106" t="s">
        <v>27</v>
      </c>
      <c r="AN133" s="1" t="s">
        <v>357</v>
      </c>
      <c r="AO133" s="1" t="s">
        <v>208</v>
      </c>
      <c r="AP133" s="1" t="s">
        <v>206</v>
      </c>
      <c r="AQ133" s="1" t="s">
        <v>441</v>
      </c>
      <c r="AR133" s="1" t="s">
        <v>206</v>
      </c>
      <c r="AS133" s="106" t="s">
        <v>206</v>
      </c>
      <c r="AT133" s="1" t="s">
        <v>206</v>
      </c>
      <c r="AU133" s="106" t="s">
        <v>206</v>
      </c>
      <c r="AV133" s="106" t="s">
        <v>206</v>
      </c>
      <c r="AW133" s="106" t="s">
        <v>35</v>
      </c>
      <c r="AX133" s="106" t="s">
        <v>206</v>
      </c>
      <c r="AY133" s="106" t="s">
        <v>206</v>
      </c>
      <c r="AZ133" s="1" t="s">
        <v>206</v>
      </c>
      <c r="BA133" s="106" t="s">
        <v>206</v>
      </c>
      <c r="BB133" s="106" t="s">
        <v>206</v>
      </c>
      <c r="BC133" s="106" t="s">
        <v>206</v>
      </c>
      <c r="BD133" s="106" t="s">
        <v>206</v>
      </c>
      <c r="BE133" s="106" t="s">
        <v>206</v>
      </c>
      <c r="BF133" s="107">
        <f>IF(AZ133="Não","Sim","Não")</f>
      </c>
      <c r="BG133" s="107">
        <f>IF(AZ133="NA","Sim","Não")</f>
      </c>
      <c r="BH133" s="106" t="s">
        <v>206</v>
      </c>
      <c r="BI133" s="1" t="s">
        <v>237</v>
      </c>
      <c r="BJ133" s="106" t="s">
        <v>36</v>
      </c>
      <c r="BK133" s="1" t="s">
        <v>1052</v>
      </c>
      <c r="BL133" s="102">
        <v>30</v>
      </c>
      <c r="BM133" s="1" t="s">
        <v>208</v>
      </c>
      <c r="BN133" s="1" t="s">
        <v>208</v>
      </c>
      <c r="BO133" s="1" t="s">
        <v>1052</v>
      </c>
      <c r="BP133" s="102">
        <v>30</v>
      </c>
      <c r="BQ133" s="1" t="s">
        <v>35</v>
      </c>
      <c r="BR133" s="1" t="s">
        <v>208</v>
      </c>
      <c r="BS133" s="106" t="s">
        <v>208</v>
      </c>
    </row>
    <row x14ac:dyDescent="0.25" r="134" customHeight="1" ht="17.25">
      <c r="A134" s="102">
        <v>133</v>
      </c>
      <c r="B134" s="1" t="s">
        <v>1131</v>
      </c>
      <c r="C134" s="102">
        <v>1</v>
      </c>
      <c r="D134" s="61" t="s">
        <v>1132</v>
      </c>
      <c r="E134" s="1" t="s">
        <v>85</v>
      </c>
      <c r="F134" s="1" t="s">
        <v>22</v>
      </c>
      <c r="G134" s="1" t="s">
        <v>45</v>
      </c>
      <c r="H134" s="1" t="s">
        <v>1133</v>
      </c>
      <c r="I134" s="102">
        <v>1</v>
      </c>
      <c r="J134" s="1" t="s">
        <v>158</v>
      </c>
      <c r="K134" s="1" t="s">
        <v>22</v>
      </c>
      <c r="L134" s="103">
        <v>32314</v>
      </c>
      <c r="M134" s="104">
        <v>29</v>
      </c>
      <c r="N134" s="1" t="s">
        <v>176</v>
      </c>
      <c r="O134" s="1" t="s">
        <v>182</v>
      </c>
      <c r="P134" s="1" t="s">
        <v>365</v>
      </c>
      <c r="Q134" s="1" t="s">
        <v>773</v>
      </c>
      <c r="R134" s="54" t="s">
        <v>1134</v>
      </c>
      <c r="S134" s="105">
        <v>1938.7</v>
      </c>
      <c r="T134" s="62">
        <v>0</v>
      </c>
      <c r="U134" s="102">
        <v>0</v>
      </c>
      <c r="V134" s="54" t="s">
        <v>1135</v>
      </c>
      <c r="W134" s="105">
        <v>13.5</v>
      </c>
      <c r="X134" s="62">
        <v>0</v>
      </c>
      <c r="Y134" s="102">
        <v>0</v>
      </c>
      <c r="Z134" s="62">
        <v>0</v>
      </c>
      <c r="AA134" s="102">
        <v>0</v>
      </c>
      <c r="AB134" s="62">
        <v>0</v>
      </c>
      <c r="AC134" s="106" t="s">
        <v>206</v>
      </c>
      <c r="AD134" s="106" t="s">
        <v>206</v>
      </c>
      <c r="AE134" s="106" t="s">
        <v>206</v>
      </c>
      <c r="AF134" s="106" t="s">
        <v>206</v>
      </c>
      <c r="AG134" s="106" t="s">
        <v>206</v>
      </c>
      <c r="AH134" s="106" t="s">
        <v>206</v>
      </c>
      <c r="AI134" s="1" t="s">
        <v>357</v>
      </c>
      <c r="AJ134" s="1" t="s">
        <v>372</v>
      </c>
      <c r="AK134" s="1" t="s">
        <v>1136</v>
      </c>
      <c r="AL134" s="1" t="s">
        <v>198</v>
      </c>
      <c r="AM134" s="106" t="s">
        <v>27</v>
      </c>
      <c r="AN134" s="1" t="s">
        <v>357</v>
      </c>
      <c r="AO134" s="1" t="s">
        <v>206</v>
      </c>
      <c r="AP134" s="1" t="s">
        <v>206</v>
      </c>
      <c r="AQ134" s="1" t="s">
        <v>441</v>
      </c>
      <c r="AR134" s="1" t="s">
        <v>206</v>
      </c>
      <c r="AS134" s="106" t="s">
        <v>206</v>
      </c>
      <c r="AT134" s="1" t="s">
        <v>206</v>
      </c>
      <c r="AU134" s="106" t="s">
        <v>206</v>
      </c>
      <c r="AV134" s="106" t="s">
        <v>206</v>
      </c>
      <c r="AW134" s="106" t="s">
        <v>35</v>
      </c>
      <c r="AX134" s="106" t="s">
        <v>206</v>
      </c>
      <c r="AY134" s="106" t="s">
        <v>206</v>
      </c>
      <c r="AZ134" s="1" t="s">
        <v>206</v>
      </c>
      <c r="BA134" s="106" t="s">
        <v>206</v>
      </c>
      <c r="BB134" s="106" t="s">
        <v>206</v>
      </c>
      <c r="BC134" s="106" t="s">
        <v>206</v>
      </c>
      <c r="BD134" s="106" t="s">
        <v>206</v>
      </c>
      <c r="BE134" s="106" t="s">
        <v>206</v>
      </c>
      <c r="BF134" s="107">
        <f>IF(AZ134="Não","Sim","Não")</f>
      </c>
      <c r="BG134" s="107">
        <f>IF(AZ134="NA","Sim","Não")</f>
      </c>
      <c r="BH134" s="106" t="s">
        <v>206</v>
      </c>
      <c r="BI134" s="1" t="s">
        <v>237</v>
      </c>
      <c r="BJ134" s="106" t="s">
        <v>36</v>
      </c>
      <c r="BK134" s="1" t="s">
        <v>1052</v>
      </c>
      <c r="BL134" s="102">
        <v>30</v>
      </c>
      <c r="BM134" s="1" t="s">
        <v>208</v>
      </c>
      <c r="BN134" s="1" t="s">
        <v>208</v>
      </c>
      <c r="BO134" s="1" t="s">
        <v>1052</v>
      </c>
      <c r="BP134" s="102">
        <v>30</v>
      </c>
      <c r="BQ134" s="1" t="s">
        <v>206</v>
      </c>
      <c r="BR134" s="1" t="s">
        <v>228</v>
      </c>
      <c r="BS134" s="106" t="s">
        <v>228</v>
      </c>
    </row>
    <row x14ac:dyDescent="0.25" r="135" customHeight="1" ht="17.25">
      <c r="A135" s="102">
        <v>134</v>
      </c>
      <c r="B135" s="1" t="s">
        <v>1137</v>
      </c>
      <c r="C135" s="102">
        <v>1</v>
      </c>
      <c r="D135" s="61" t="s">
        <v>790</v>
      </c>
      <c r="E135" s="1" t="s">
        <v>84</v>
      </c>
      <c r="F135" s="1" t="s">
        <v>170</v>
      </c>
      <c r="G135" s="1" t="s">
        <v>55</v>
      </c>
      <c r="H135" s="1" t="s">
        <v>1138</v>
      </c>
      <c r="I135" s="102">
        <v>1</v>
      </c>
      <c r="J135" s="1" t="s">
        <v>160</v>
      </c>
      <c r="K135" s="1" t="s">
        <v>22</v>
      </c>
      <c r="L135" s="103">
        <v>34420</v>
      </c>
      <c r="M135" s="104">
        <v>23</v>
      </c>
      <c r="N135" s="1" t="s">
        <v>176</v>
      </c>
      <c r="O135" s="1" t="s">
        <v>182</v>
      </c>
      <c r="P135" s="1" t="s">
        <v>178</v>
      </c>
      <c r="Q135" s="1" t="s">
        <v>1139</v>
      </c>
      <c r="R135" s="54" t="s">
        <v>1140</v>
      </c>
      <c r="S135" s="102">
        <v>14</v>
      </c>
      <c r="T135" s="54" t="s">
        <v>1141</v>
      </c>
      <c r="U135" s="105">
        <v>45.9</v>
      </c>
      <c r="V135" s="54" t="s">
        <v>1142</v>
      </c>
      <c r="W135" s="102">
        <v>14</v>
      </c>
      <c r="X135" s="62">
        <v>0</v>
      </c>
      <c r="Y135" s="102">
        <v>0</v>
      </c>
      <c r="Z135" s="62">
        <v>0</v>
      </c>
      <c r="AA135" s="102">
        <v>0</v>
      </c>
      <c r="AB135" s="62">
        <v>0</v>
      </c>
      <c r="AC135" s="106" t="s">
        <v>206</v>
      </c>
      <c r="AD135" s="106" t="s">
        <v>206</v>
      </c>
      <c r="AE135" s="106" t="s">
        <v>206</v>
      </c>
      <c r="AF135" s="106" t="s">
        <v>206</v>
      </c>
      <c r="AG135" s="106" t="s">
        <v>206</v>
      </c>
      <c r="AH135" s="106" t="s">
        <v>206</v>
      </c>
      <c r="AI135" s="1" t="s">
        <v>371</v>
      </c>
      <c r="AJ135" s="1" t="s">
        <v>206</v>
      </c>
      <c r="AK135" s="1" t="s">
        <v>430</v>
      </c>
      <c r="AL135" s="1" t="s">
        <v>198</v>
      </c>
      <c r="AM135" s="106" t="s">
        <v>27</v>
      </c>
      <c r="AN135" s="1" t="s">
        <v>357</v>
      </c>
      <c r="AO135" s="1" t="s">
        <v>208</v>
      </c>
      <c r="AP135" s="1" t="s">
        <v>206</v>
      </c>
      <c r="AQ135" s="1" t="s">
        <v>441</v>
      </c>
      <c r="AR135" s="1" t="s">
        <v>206</v>
      </c>
      <c r="AS135" s="106" t="s">
        <v>206</v>
      </c>
      <c r="AT135" s="1" t="s">
        <v>206</v>
      </c>
      <c r="AU135" s="106" t="s">
        <v>206</v>
      </c>
      <c r="AV135" s="106" t="s">
        <v>206</v>
      </c>
      <c r="AW135" s="106" t="s">
        <v>35</v>
      </c>
      <c r="AX135" s="106" t="s">
        <v>206</v>
      </c>
      <c r="AY135" s="106" t="s">
        <v>206</v>
      </c>
      <c r="AZ135" s="1" t="s">
        <v>206</v>
      </c>
      <c r="BA135" s="106" t="s">
        <v>206</v>
      </c>
      <c r="BB135" s="106" t="s">
        <v>206</v>
      </c>
      <c r="BC135" s="106" t="s">
        <v>206</v>
      </c>
      <c r="BD135" s="106" t="s">
        <v>206</v>
      </c>
      <c r="BE135" s="106" t="s">
        <v>206</v>
      </c>
      <c r="BF135" s="107">
        <f>IF(AZ135="Não","Sim","Não")</f>
      </c>
      <c r="BG135" s="107">
        <f>IF(AZ135="NA","Sim","Não")</f>
      </c>
      <c r="BH135" s="106" t="s">
        <v>206</v>
      </c>
      <c r="BI135" s="1" t="s">
        <v>237</v>
      </c>
      <c r="BJ135" s="106" t="s">
        <v>36</v>
      </c>
      <c r="BK135" s="1" t="s">
        <v>1052</v>
      </c>
      <c r="BL135" s="102">
        <v>30</v>
      </c>
      <c r="BM135" s="1" t="s">
        <v>208</v>
      </c>
      <c r="BN135" s="1" t="s">
        <v>208</v>
      </c>
      <c r="BO135" s="1" t="s">
        <v>1052</v>
      </c>
      <c r="BP135" s="102">
        <v>30</v>
      </c>
      <c r="BQ135" s="1" t="s">
        <v>206</v>
      </c>
      <c r="BR135" s="1" t="s">
        <v>227</v>
      </c>
      <c r="BS135" s="106" t="s">
        <v>37</v>
      </c>
    </row>
    <row x14ac:dyDescent="0.25" r="136" customHeight="1" ht="17.25">
      <c r="A136" s="102">
        <v>135</v>
      </c>
      <c r="B136" s="1" t="s">
        <v>1143</v>
      </c>
      <c r="C136" s="102">
        <v>1</v>
      </c>
      <c r="D136" s="61" t="s">
        <v>1144</v>
      </c>
      <c r="E136" s="1" t="s">
        <v>83</v>
      </c>
      <c r="F136" s="1" t="s">
        <v>22</v>
      </c>
      <c r="G136" s="1" t="s">
        <v>68</v>
      </c>
      <c r="H136" s="1" t="s">
        <v>1145</v>
      </c>
      <c r="I136" s="102">
        <v>1</v>
      </c>
      <c r="J136" s="1" t="s">
        <v>158</v>
      </c>
      <c r="K136" s="1" t="s">
        <v>22</v>
      </c>
      <c r="L136" s="103">
        <v>33500</v>
      </c>
      <c r="M136" s="104">
        <v>26</v>
      </c>
      <c r="N136" s="1" t="s">
        <v>175</v>
      </c>
      <c r="O136" s="1" t="s">
        <v>24</v>
      </c>
      <c r="P136" s="1" t="s">
        <v>615</v>
      </c>
      <c r="Q136" s="1" t="s">
        <v>1146</v>
      </c>
      <c r="R136" s="54" t="s">
        <v>1147</v>
      </c>
      <c r="S136" s="105">
        <v>91.7</v>
      </c>
      <c r="T136" s="54" t="s">
        <v>1148</v>
      </c>
      <c r="U136" s="102">
        <v>83</v>
      </c>
      <c r="V136" s="54" t="s">
        <v>1149</v>
      </c>
      <c r="W136" s="105">
        <v>5.7</v>
      </c>
      <c r="X136" s="62">
        <v>0</v>
      </c>
      <c r="Y136" s="102">
        <v>0</v>
      </c>
      <c r="Z136" s="62">
        <v>0</v>
      </c>
      <c r="AA136" s="102">
        <v>0</v>
      </c>
      <c r="AB136" s="57" t="s">
        <v>1150</v>
      </c>
      <c r="AC136" s="106" t="s">
        <v>206</v>
      </c>
      <c r="AD136" s="106" t="s">
        <v>206</v>
      </c>
      <c r="AE136" s="106" t="s">
        <v>206</v>
      </c>
      <c r="AF136" s="106" t="s">
        <v>206</v>
      </c>
      <c r="AG136" s="106" t="s">
        <v>35</v>
      </c>
      <c r="AH136" s="106" t="s">
        <v>206</v>
      </c>
      <c r="AI136" s="1" t="s">
        <v>357</v>
      </c>
      <c r="AJ136" s="1" t="s">
        <v>206</v>
      </c>
      <c r="AK136" s="1" t="s">
        <v>1151</v>
      </c>
      <c r="AL136" s="1" t="s">
        <v>197</v>
      </c>
      <c r="AM136" s="106" t="s">
        <v>27</v>
      </c>
      <c r="AN136" s="1" t="s">
        <v>357</v>
      </c>
      <c r="AO136" s="1" t="s">
        <v>208</v>
      </c>
      <c r="AP136" s="1" t="s">
        <v>206</v>
      </c>
      <c r="AQ136" s="1" t="s">
        <v>441</v>
      </c>
      <c r="AR136" s="1" t="s">
        <v>206</v>
      </c>
      <c r="AS136" s="106" t="s">
        <v>206</v>
      </c>
      <c r="AT136" s="1" t="s">
        <v>206</v>
      </c>
      <c r="AU136" s="106" t="s">
        <v>206</v>
      </c>
      <c r="AV136" s="106" t="s">
        <v>206</v>
      </c>
      <c r="AW136" s="106" t="s">
        <v>35</v>
      </c>
      <c r="AX136" s="106" t="s">
        <v>206</v>
      </c>
      <c r="AY136" s="106" t="s">
        <v>206</v>
      </c>
      <c r="AZ136" s="1" t="s">
        <v>206</v>
      </c>
      <c r="BA136" s="106" t="s">
        <v>206</v>
      </c>
      <c r="BB136" s="106" t="s">
        <v>206</v>
      </c>
      <c r="BC136" s="106" t="s">
        <v>206</v>
      </c>
      <c r="BD136" s="106" t="s">
        <v>206</v>
      </c>
      <c r="BE136" s="106" t="s">
        <v>206</v>
      </c>
      <c r="BF136" s="107">
        <f>IF(AZ136="Não","Sim","Não")</f>
      </c>
      <c r="BG136" s="107">
        <f>IF(AZ136="NA","Sim","Não")</f>
      </c>
      <c r="BH136" s="106" t="s">
        <v>206</v>
      </c>
      <c r="BI136" s="1" t="s">
        <v>237</v>
      </c>
      <c r="BJ136" s="106" t="s">
        <v>36</v>
      </c>
      <c r="BK136" s="1" t="s">
        <v>1052</v>
      </c>
      <c r="BL136" s="102">
        <v>30</v>
      </c>
      <c r="BM136" s="1" t="s">
        <v>208</v>
      </c>
      <c r="BN136" s="1" t="s">
        <v>208</v>
      </c>
      <c r="BO136" s="1" t="s">
        <v>1052</v>
      </c>
      <c r="BP136" s="102">
        <v>30</v>
      </c>
      <c r="BQ136" s="1" t="s">
        <v>206</v>
      </c>
      <c r="BR136" s="1" t="s">
        <v>229</v>
      </c>
      <c r="BS136" s="106" t="s">
        <v>229</v>
      </c>
    </row>
    <row x14ac:dyDescent="0.25" r="137" customHeight="1" ht="17.25">
      <c r="A137" s="102">
        <v>136</v>
      </c>
      <c r="B137" s="1" t="s">
        <v>1152</v>
      </c>
      <c r="C137" s="102">
        <v>1</v>
      </c>
      <c r="D137" s="61" t="s">
        <v>1153</v>
      </c>
      <c r="E137" s="1" t="s">
        <v>117</v>
      </c>
      <c r="F137" s="1" t="s">
        <v>170</v>
      </c>
      <c r="G137" s="1" t="s">
        <v>47</v>
      </c>
      <c r="H137" s="1" t="s">
        <v>1154</v>
      </c>
      <c r="I137" s="102">
        <v>1</v>
      </c>
      <c r="J137" s="1" t="s">
        <v>158</v>
      </c>
      <c r="K137" s="1" t="s">
        <v>22</v>
      </c>
      <c r="L137" s="103">
        <v>35234</v>
      </c>
      <c r="M137" s="104">
        <v>20</v>
      </c>
      <c r="N137" s="1" t="s">
        <v>175</v>
      </c>
      <c r="O137" s="1" t="s">
        <v>24</v>
      </c>
      <c r="P137" s="1" t="s">
        <v>365</v>
      </c>
      <c r="Q137" s="1" t="s">
        <v>1155</v>
      </c>
      <c r="R137" s="62">
        <v>0</v>
      </c>
      <c r="S137" s="102">
        <v>0</v>
      </c>
      <c r="T137" s="54" t="s">
        <v>1156</v>
      </c>
      <c r="U137" s="105">
        <v>16.8</v>
      </c>
      <c r="V137" s="54" t="s">
        <v>1157</v>
      </c>
      <c r="W137" s="105">
        <v>18.6</v>
      </c>
      <c r="X137" s="62">
        <v>0</v>
      </c>
      <c r="Y137" s="102">
        <v>0</v>
      </c>
      <c r="Z137" s="62">
        <v>0</v>
      </c>
      <c r="AA137" s="102">
        <v>0</v>
      </c>
      <c r="AB137" s="62">
        <v>0</v>
      </c>
      <c r="AC137" s="106" t="s">
        <v>206</v>
      </c>
      <c r="AD137" s="106" t="s">
        <v>206</v>
      </c>
      <c r="AE137" s="106" t="s">
        <v>206</v>
      </c>
      <c r="AF137" s="106" t="s">
        <v>206</v>
      </c>
      <c r="AG137" s="106" t="s">
        <v>206</v>
      </c>
      <c r="AH137" s="106" t="s">
        <v>206</v>
      </c>
      <c r="AI137" s="1" t="s">
        <v>357</v>
      </c>
      <c r="AJ137" s="1" t="s">
        <v>206</v>
      </c>
      <c r="AK137" s="1" t="s">
        <v>968</v>
      </c>
      <c r="AL137" s="1" t="s">
        <v>197</v>
      </c>
      <c r="AM137" s="106" t="s">
        <v>27</v>
      </c>
      <c r="AN137" s="1" t="s">
        <v>357</v>
      </c>
      <c r="AO137" s="1" t="s">
        <v>208</v>
      </c>
      <c r="AP137" s="1" t="s">
        <v>206</v>
      </c>
      <c r="AQ137" s="1" t="s">
        <v>441</v>
      </c>
      <c r="AR137" s="1" t="s">
        <v>206</v>
      </c>
      <c r="AS137" s="106" t="s">
        <v>206</v>
      </c>
      <c r="AT137" s="1" t="s">
        <v>206</v>
      </c>
      <c r="AU137" s="106" t="s">
        <v>206</v>
      </c>
      <c r="AV137" s="106" t="s">
        <v>206</v>
      </c>
      <c r="AW137" s="106" t="s">
        <v>35</v>
      </c>
      <c r="AX137" s="106" t="s">
        <v>206</v>
      </c>
      <c r="AY137" s="106" t="s">
        <v>206</v>
      </c>
      <c r="AZ137" s="1" t="s">
        <v>206</v>
      </c>
      <c r="BA137" s="106" t="s">
        <v>206</v>
      </c>
      <c r="BB137" s="106" t="s">
        <v>206</v>
      </c>
      <c r="BC137" s="106" t="s">
        <v>206</v>
      </c>
      <c r="BD137" s="106" t="s">
        <v>206</v>
      </c>
      <c r="BE137" s="106" t="s">
        <v>206</v>
      </c>
      <c r="BF137" s="107">
        <f>IF(AZ137="Não","Sim","Não")</f>
      </c>
      <c r="BG137" s="107">
        <f>IF(AZ137="NA","Sim","Não")</f>
      </c>
      <c r="BH137" s="106" t="s">
        <v>206</v>
      </c>
      <c r="BI137" s="1" t="s">
        <v>237</v>
      </c>
      <c r="BJ137" s="106" t="s">
        <v>36</v>
      </c>
      <c r="BK137" s="1" t="s">
        <v>1052</v>
      </c>
      <c r="BL137" s="102">
        <v>30</v>
      </c>
      <c r="BM137" s="1" t="s">
        <v>208</v>
      </c>
      <c r="BN137" s="1" t="s">
        <v>208</v>
      </c>
      <c r="BO137" s="1" t="s">
        <v>1052</v>
      </c>
      <c r="BP137" s="102">
        <v>30</v>
      </c>
      <c r="BQ137" s="1" t="s">
        <v>206</v>
      </c>
      <c r="BR137" s="1" t="s">
        <v>227</v>
      </c>
      <c r="BS137" s="106" t="s">
        <v>37</v>
      </c>
    </row>
    <row x14ac:dyDescent="0.25" r="138" customHeight="1" ht="17.25">
      <c r="A138" s="102">
        <v>137</v>
      </c>
      <c r="B138" s="1" t="s">
        <v>1158</v>
      </c>
      <c r="C138" s="102">
        <v>1</v>
      </c>
      <c r="D138" s="61" t="s">
        <v>1159</v>
      </c>
      <c r="E138" s="1" t="s">
        <v>96</v>
      </c>
      <c r="F138" s="1" t="s">
        <v>170</v>
      </c>
      <c r="G138" s="1" t="s">
        <v>67</v>
      </c>
      <c r="H138" s="1" t="s">
        <v>1160</v>
      </c>
      <c r="I138" s="102">
        <v>1</v>
      </c>
      <c r="J138" s="1" t="s">
        <v>158</v>
      </c>
      <c r="K138" s="1" t="s">
        <v>22</v>
      </c>
      <c r="L138" s="103">
        <v>35858</v>
      </c>
      <c r="M138" s="104">
        <v>19</v>
      </c>
      <c r="N138" s="1" t="s">
        <v>177</v>
      </c>
      <c r="O138" s="1" t="s">
        <v>24</v>
      </c>
      <c r="P138" s="1" t="s">
        <v>517</v>
      </c>
      <c r="Q138" s="1" t="s">
        <v>1161</v>
      </c>
      <c r="R138" s="54" t="s">
        <v>1162</v>
      </c>
      <c r="S138" s="105">
        <v>138.5</v>
      </c>
      <c r="T138" s="54" t="s">
        <v>1163</v>
      </c>
      <c r="U138" s="102">
        <v>12</v>
      </c>
      <c r="V138" s="54" t="s">
        <v>1164</v>
      </c>
      <c r="W138" s="105">
        <v>7.7</v>
      </c>
      <c r="X138" s="62">
        <v>0</v>
      </c>
      <c r="Y138" s="102">
        <v>0</v>
      </c>
      <c r="Z138" s="62">
        <v>0</v>
      </c>
      <c r="AA138" s="102">
        <v>0</v>
      </c>
      <c r="AB138" s="57" t="s">
        <v>1165</v>
      </c>
      <c r="AC138" s="106" t="s">
        <v>206</v>
      </c>
      <c r="AD138" s="106" t="s">
        <v>206</v>
      </c>
      <c r="AE138" s="106" t="s">
        <v>206</v>
      </c>
      <c r="AF138" s="106" t="s">
        <v>206</v>
      </c>
      <c r="AG138" s="106" t="s">
        <v>35</v>
      </c>
      <c r="AH138" s="106" t="s">
        <v>206</v>
      </c>
      <c r="AI138" s="1" t="s">
        <v>357</v>
      </c>
      <c r="AJ138" s="1" t="s">
        <v>206</v>
      </c>
      <c r="AK138" s="1" t="s">
        <v>1166</v>
      </c>
      <c r="AL138" s="1" t="s">
        <v>197</v>
      </c>
      <c r="AM138" s="106" t="s">
        <v>27</v>
      </c>
      <c r="AN138" s="1" t="s">
        <v>357</v>
      </c>
      <c r="AO138" s="1" t="s">
        <v>208</v>
      </c>
      <c r="AP138" s="1" t="s">
        <v>374</v>
      </c>
      <c r="AQ138" s="1" t="s">
        <v>492</v>
      </c>
      <c r="AR138" s="1" t="s">
        <v>206</v>
      </c>
      <c r="AS138" s="106" t="s">
        <v>206</v>
      </c>
      <c r="AT138" s="1" t="s">
        <v>29</v>
      </c>
      <c r="AU138" s="106" t="s">
        <v>206</v>
      </c>
      <c r="AV138" s="106" t="s">
        <v>35</v>
      </c>
      <c r="AW138" s="106" t="s">
        <v>206</v>
      </c>
      <c r="AX138" s="106" t="s">
        <v>206</v>
      </c>
      <c r="AY138" s="106" t="s">
        <v>35</v>
      </c>
      <c r="AZ138" s="1" t="s">
        <v>206</v>
      </c>
      <c r="BA138" s="106" t="s">
        <v>206</v>
      </c>
      <c r="BB138" s="106" t="s">
        <v>206</v>
      </c>
      <c r="BC138" s="106" t="s">
        <v>206</v>
      </c>
      <c r="BD138" s="106" t="s">
        <v>206</v>
      </c>
      <c r="BE138" s="106" t="s">
        <v>206</v>
      </c>
      <c r="BF138" s="107">
        <f>IF(AZ138="Não","Sim","Não")</f>
      </c>
      <c r="BG138" s="107">
        <f>IF(AZ138="NA","Sim","Não")</f>
      </c>
      <c r="BH138" s="106" t="s">
        <v>206</v>
      </c>
      <c r="BI138" s="1" t="s">
        <v>237</v>
      </c>
      <c r="BJ138" s="106" t="s">
        <v>36</v>
      </c>
      <c r="BK138" s="1" t="s">
        <v>1052</v>
      </c>
      <c r="BL138" s="102">
        <v>30</v>
      </c>
      <c r="BM138" s="1" t="s">
        <v>208</v>
      </c>
      <c r="BN138" s="1" t="s">
        <v>208</v>
      </c>
      <c r="BO138" s="1" t="s">
        <v>1052</v>
      </c>
      <c r="BP138" s="102">
        <v>30</v>
      </c>
      <c r="BQ138" s="1" t="s">
        <v>206</v>
      </c>
      <c r="BR138" s="1" t="s">
        <v>227</v>
      </c>
      <c r="BS138" s="106" t="s">
        <v>37</v>
      </c>
    </row>
    <row x14ac:dyDescent="0.25" r="139" customHeight="1" ht="17.25">
      <c r="A139" s="102">
        <v>138</v>
      </c>
      <c r="B139" s="1" t="s">
        <v>1167</v>
      </c>
      <c r="C139" s="102">
        <v>1</v>
      </c>
      <c r="D139" s="61" t="s">
        <v>1104</v>
      </c>
      <c r="E139" s="1" t="s">
        <v>138</v>
      </c>
      <c r="F139" s="1" t="s">
        <v>22</v>
      </c>
      <c r="G139" s="1" t="s">
        <v>68</v>
      </c>
      <c r="H139" s="1" t="s">
        <v>1168</v>
      </c>
      <c r="I139" s="102">
        <v>1</v>
      </c>
      <c r="J139" s="1" t="s">
        <v>158</v>
      </c>
      <c r="K139" s="1" t="s">
        <v>22</v>
      </c>
      <c r="L139" s="103">
        <v>34641</v>
      </c>
      <c r="M139" s="104">
        <v>23</v>
      </c>
      <c r="N139" s="1" t="s">
        <v>175</v>
      </c>
      <c r="O139" s="1" t="s">
        <v>24</v>
      </c>
      <c r="P139" s="1" t="s">
        <v>365</v>
      </c>
      <c r="Q139" s="1" t="s">
        <v>1169</v>
      </c>
      <c r="R139" s="54" t="s">
        <v>1170</v>
      </c>
      <c r="S139" s="105">
        <v>41.5</v>
      </c>
      <c r="T139" s="62">
        <v>0</v>
      </c>
      <c r="U139" s="102">
        <v>0</v>
      </c>
      <c r="V139" s="54" t="s">
        <v>1171</v>
      </c>
      <c r="W139" s="105">
        <v>30.9</v>
      </c>
      <c r="X139" s="62">
        <v>0</v>
      </c>
      <c r="Y139" s="102">
        <v>0</v>
      </c>
      <c r="Z139" s="62">
        <v>0</v>
      </c>
      <c r="AA139" s="102">
        <v>0</v>
      </c>
      <c r="AB139" s="57" t="s">
        <v>1172</v>
      </c>
      <c r="AC139" s="106" t="s">
        <v>206</v>
      </c>
      <c r="AD139" s="106" t="s">
        <v>206</v>
      </c>
      <c r="AE139" s="106" t="s">
        <v>206</v>
      </c>
      <c r="AF139" s="106" t="s">
        <v>206</v>
      </c>
      <c r="AG139" s="106" t="s">
        <v>35</v>
      </c>
      <c r="AH139" s="106" t="s">
        <v>206</v>
      </c>
      <c r="AI139" s="1" t="s">
        <v>357</v>
      </c>
      <c r="AJ139" s="1" t="s">
        <v>206</v>
      </c>
      <c r="AK139" s="1" t="s">
        <v>1108</v>
      </c>
      <c r="AL139" s="1" t="s">
        <v>197</v>
      </c>
      <c r="AM139" s="106" t="s">
        <v>27</v>
      </c>
      <c r="AN139" s="1" t="s">
        <v>357</v>
      </c>
      <c r="AO139" s="1" t="s">
        <v>208</v>
      </c>
      <c r="AP139" s="1" t="s">
        <v>206</v>
      </c>
      <c r="AQ139" s="1" t="s">
        <v>441</v>
      </c>
      <c r="AR139" s="1" t="s">
        <v>206</v>
      </c>
      <c r="AS139" s="106" t="s">
        <v>206</v>
      </c>
      <c r="AT139" s="1" t="s">
        <v>206</v>
      </c>
      <c r="AU139" s="106" t="s">
        <v>206</v>
      </c>
      <c r="AV139" s="106" t="s">
        <v>206</v>
      </c>
      <c r="AW139" s="106" t="s">
        <v>35</v>
      </c>
      <c r="AX139" s="106" t="s">
        <v>206</v>
      </c>
      <c r="AY139" s="106" t="s">
        <v>206</v>
      </c>
      <c r="AZ139" s="1" t="s">
        <v>206</v>
      </c>
      <c r="BA139" s="106" t="s">
        <v>206</v>
      </c>
      <c r="BB139" s="106" t="s">
        <v>206</v>
      </c>
      <c r="BC139" s="106" t="s">
        <v>206</v>
      </c>
      <c r="BD139" s="106" t="s">
        <v>206</v>
      </c>
      <c r="BE139" s="106" t="s">
        <v>206</v>
      </c>
      <c r="BF139" s="107">
        <f>IF(AZ139="Não","Sim","Não")</f>
      </c>
      <c r="BG139" s="107">
        <f>IF(AZ139="NA","Sim","Não")</f>
      </c>
      <c r="BH139" s="106" t="s">
        <v>206</v>
      </c>
      <c r="BI139" s="1" t="s">
        <v>237</v>
      </c>
      <c r="BJ139" s="106" t="s">
        <v>36</v>
      </c>
      <c r="BK139" s="1" t="s">
        <v>1052</v>
      </c>
      <c r="BL139" s="102">
        <v>30</v>
      </c>
      <c r="BM139" s="1" t="s">
        <v>208</v>
      </c>
      <c r="BN139" s="1" t="s">
        <v>208</v>
      </c>
      <c r="BO139" s="1" t="s">
        <v>1052</v>
      </c>
      <c r="BP139" s="102">
        <v>30</v>
      </c>
      <c r="BQ139" s="1" t="s">
        <v>206</v>
      </c>
      <c r="BR139" s="1" t="s">
        <v>227</v>
      </c>
      <c r="BS139" s="106" t="s">
        <v>37</v>
      </c>
    </row>
    <row x14ac:dyDescent="0.25" r="140" customHeight="1" ht="17.25">
      <c r="A140" s="102">
        <v>139</v>
      </c>
      <c r="B140" s="1" t="s">
        <v>1173</v>
      </c>
      <c r="C140" s="102">
        <v>1</v>
      </c>
      <c r="D140" s="61" t="s">
        <v>1174</v>
      </c>
      <c r="E140" s="1" t="s">
        <v>101</v>
      </c>
      <c r="F140" s="1" t="s">
        <v>22</v>
      </c>
      <c r="G140" s="1" t="s">
        <v>59</v>
      </c>
      <c r="H140" s="1" t="s">
        <v>1175</v>
      </c>
      <c r="I140" s="102">
        <v>1</v>
      </c>
      <c r="J140" s="1" t="s">
        <v>158</v>
      </c>
      <c r="K140" s="1" t="s">
        <v>22</v>
      </c>
      <c r="L140" s="103">
        <v>30038</v>
      </c>
      <c r="M140" s="104">
        <v>35</v>
      </c>
      <c r="N140" s="1" t="s">
        <v>176</v>
      </c>
      <c r="O140" s="1" t="s">
        <v>182</v>
      </c>
      <c r="P140" s="1" t="s">
        <v>517</v>
      </c>
      <c r="Q140" s="1" t="s">
        <v>1161</v>
      </c>
      <c r="R140" s="62">
        <v>0</v>
      </c>
      <c r="S140" s="102">
        <v>0</v>
      </c>
      <c r="T140" s="54" t="s">
        <v>1176</v>
      </c>
      <c r="U140" s="105">
        <v>29.4</v>
      </c>
      <c r="V140" s="54" t="s">
        <v>1177</v>
      </c>
      <c r="W140" s="105">
        <v>12.8</v>
      </c>
      <c r="X140" s="62">
        <v>0</v>
      </c>
      <c r="Y140" s="102">
        <v>0</v>
      </c>
      <c r="Z140" s="62">
        <v>0</v>
      </c>
      <c r="AA140" s="102">
        <v>0</v>
      </c>
      <c r="AB140" s="62">
        <v>0</v>
      </c>
      <c r="AC140" s="106" t="s">
        <v>206</v>
      </c>
      <c r="AD140" s="106" t="s">
        <v>206</v>
      </c>
      <c r="AE140" s="106" t="s">
        <v>206</v>
      </c>
      <c r="AF140" s="106" t="s">
        <v>206</v>
      </c>
      <c r="AG140" s="106" t="s">
        <v>206</v>
      </c>
      <c r="AH140" s="106" t="s">
        <v>206</v>
      </c>
      <c r="AI140" s="1" t="s">
        <v>357</v>
      </c>
      <c r="AJ140" s="1" t="s">
        <v>206</v>
      </c>
      <c r="AK140" s="1" t="s">
        <v>1178</v>
      </c>
      <c r="AL140" s="1" t="s">
        <v>197</v>
      </c>
      <c r="AM140" s="106" t="s">
        <v>27</v>
      </c>
      <c r="AN140" s="1" t="s">
        <v>357</v>
      </c>
      <c r="AO140" s="1" t="s">
        <v>208</v>
      </c>
      <c r="AP140" s="1" t="s">
        <v>206</v>
      </c>
      <c r="AQ140" s="1" t="s">
        <v>441</v>
      </c>
      <c r="AR140" s="1" t="s">
        <v>206</v>
      </c>
      <c r="AS140" s="106" t="s">
        <v>206</v>
      </c>
      <c r="AT140" s="1" t="s">
        <v>206</v>
      </c>
      <c r="AU140" s="106" t="s">
        <v>206</v>
      </c>
      <c r="AV140" s="106" t="s">
        <v>206</v>
      </c>
      <c r="AW140" s="106" t="s">
        <v>35</v>
      </c>
      <c r="AX140" s="106" t="s">
        <v>206</v>
      </c>
      <c r="AY140" s="106" t="s">
        <v>206</v>
      </c>
      <c r="AZ140" s="1" t="s">
        <v>206</v>
      </c>
      <c r="BA140" s="106" t="s">
        <v>206</v>
      </c>
      <c r="BB140" s="106" t="s">
        <v>206</v>
      </c>
      <c r="BC140" s="106" t="s">
        <v>206</v>
      </c>
      <c r="BD140" s="106" t="s">
        <v>206</v>
      </c>
      <c r="BE140" s="106" t="s">
        <v>206</v>
      </c>
      <c r="BF140" s="107">
        <f>IF(AZ140="Não","Sim","Não")</f>
      </c>
      <c r="BG140" s="107">
        <f>IF(AZ140="NA","Sim","Não")</f>
      </c>
      <c r="BH140" s="106" t="s">
        <v>206</v>
      </c>
      <c r="BI140" s="1" t="s">
        <v>237</v>
      </c>
      <c r="BJ140" s="106" t="s">
        <v>36</v>
      </c>
      <c r="BK140" s="1" t="s">
        <v>1052</v>
      </c>
      <c r="BL140" s="102">
        <v>30</v>
      </c>
      <c r="BM140" s="1" t="s">
        <v>208</v>
      </c>
      <c r="BN140" s="1" t="s">
        <v>208</v>
      </c>
      <c r="BO140" s="1" t="s">
        <v>1052</v>
      </c>
      <c r="BP140" s="102">
        <v>30</v>
      </c>
      <c r="BQ140" s="1" t="s">
        <v>206</v>
      </c>
      <c r="BR140" s="1" t="s">
        <v>227</v>
      </c>
      <c r="BS140" s="106" t="s">
        <v>37</v>
      </c>
    </row>
    <row x14ac:dyDescent="0.25" r="141" customHeight="1" ht="17.25">
      <c r="A141" s="102">
        <v>140</v>
      </c>
      <c r="B141" s="1" t="s">
        <v>1179</v>
      </c>
      <c r="C141" s="102">
        <v>0</v>
      </c>
      <c r="D141" s="61" t="s">
        <v>728</v>
      </c>
      <c r="E141" s="1" t="s">
        <v>87</v>
      </c>
      <c r="F141" s="1" t="s">
        <v>22</v>
      </c>
      <c r="G141" s="1" t="s">
        <v>62</v>
      </c>
      <c r="H141" s="1" t="s">
        <v>1180</v>
      </c>
      <c r="I141" s="102">
        <v>1</v>
      </c>
      <c r="J141" s="1" t="s">
        <v>159</v>
      </c>
      <c r="K141" s="1" t="s">
        <v>170</v>
      </c>
      <c r="L141" s="103">
        <v>35620</v>
      </c>
      <c r="M141" s="104">
        <v>19</v>
      </c>
      <c r="N141" s="1" t="s">
        <v>176</v>
      </c>
      <c r="O141" s="1" t="s">
        <v>182</v>
      </c>
      <c r="P141" s="1" t="s">
        <v>365</v>
      </c>
      <c r="Q141" s="1" t="s">
        <v>366</v>
      </c>
      <c r="R141" s="62">
        <v>0</v>
      </c>
      <c r="S141" s="102">
        <v>0</v>
      </c>
      <c r="T141" s="54" t="s">
        <v>1181</v>
      </c>
      <c r="U141" s="105">
        <v>153.4</v>
      </c>
      <c r="V141" s="62">
        <v>0</v>
      </c>
      <c r="W141" s="102">
        <v>0</v>
      </c>
      <c r="X141" s="62">
        <v>0</v>
      </c>
      <c r="Y141" s="102">
        <v>0</v>
      </c>
      <c r="Z141" s="57" t="s">
        <v>1182</v>
      </c>
      <c r="AA141" s="105">
        <v>0.1</v>
      </c>
      <c r="AB141" s="62">
        <v>0</v>
      </c>
      <c r="AC141" s="106" t="s">
        <v>206</v>
      </c>
      <c r="AD141" s="106" t="s">
        <v>206</v>
      </c>
      <c r="AE141" s="106" t="s">
        <v>206</v>
      </c>
      <c r="AF141" s="106" t="s">
        <v>206</v>
      </c>
      <c r="AG141" s="106" t="s">
        <v>206</v>
      </c>
      <c r="AH141" s="106" t="s">
        <v>206</v>
      </c>
      <c r="AI141" s="1" t="s">
        <v>371</v>
      </c>
      <c r="AJ141" s="1" t="s">
        <v>206</v>
      </c>
      <c r="AK141" s="1" t="s">
        <v>1183</v>
      </c>
      <c r="AL141" s="1" t="s">
        <v>198</v>
      </c>
      <c r="AM141" s="106" t="s">
        <v>27</v>
      </c>
      <c r="AN141" s="1" t="s">
        <v>357</v>
      </c>
      <c r="AO141" s="1" t="s">
        <v>208</v>
      </c>
      <c r="AP141" s="1" t="s">
        <v>206</v>
      </c>
      <c r="AQ141" s="1" t="s">
        <v>441</v>
      </c>
      <c r="AR141" s="1" t="s">
        <v>206</v>
      </c>
      <c r="AS141" s="106" t="s">
        <v>206</v>
      </c>
      <c r="AT141" s="1" t="s">
        <v>206</v>
      </c>
      <c r="AU141" s="106" t="s">
        <v>206</v>
      </c>
      <c r="AV141" s="106" t="s">
        <v>206</v>
      </c>
      <c r="AW141" s="106" t="s">
        <v>35</v>
      </c>
      <c r="AX141" s="106" t="s">
        <v>206</v>
      </c>
      <c r="AY141" s="106" t="s">
        <v>206</v>
      </c>
      <c r="AZ141" s="1" t="s">
        <v>206</v>
      </c>
      <c r="BA141" s="106" t="s">
        <v>206</v>
      </c>
      <c r="BB141" s="106" t="s">
        <v>206</v>
      </c>
      <c r="BC141" s="106" t="s">
        <v>206</v>
      </c>
      <c r="BD141" s="106" t="s">
        <v>206</v>
      </c>
      <c r="BE141" s="106" t="s">
        <v>206</v>
      </c>
      <c r="BF141" s="107">
        <f>IF(AZ141="Não","Sim","Não")</f>
      </c>
      <c r="BG141" s="107">
        <f>IF(AZ141="NA","Sim","Não")</f>
      </c>
      <c r="BH141" s="106" t="s">
        <v>206</v>
      </c>
      <c r="BI141" s="1" t="s">
        <v>237</v>
      </c>
      <c r="BJ141" s="106" t="s">
        <v>36</v>
      </c>
      <c r="BK141" s="1" t="s">
        <v>1052</v>
      </c>
      <c r="BL141" s="102">
        <v>30</v>
      </c>
      <c r="BM141" s="1" t="s">
        <v>208</v>
      </c>
      <c r="BN141" s="1" t="s">
        <v>208</v>
      </c>
      <c r="BO141" s="1" t="s">
        <v>1052</v>
      </c>
      <c r="BP141" s="102">
        <v>30</v>
      </c>
      <c r="BQ141" s="1" t="s">
        <v>206</v>
      </c>
      <c r="BR141" s="1" t="s">
        <v>228</v>
      </c>
      <c r="BS141" s="106" t="s">
        <v>228</v>
      </c>
    </row>
    <row x14ac:dyDescent="0.25" r="142" customHeight="1" ht="17.25">
      <c r="A142" s="102">
        <v>141</v>
      </c>
      <c r="B142" s="1" t="s">
        <v>1179</v>
      </c>
      <c r="C142" s="102">
        <v>1</v>
      </c>
      <c r="D142" s="61" t="s">
        <v>728</v>
      </c>
      <c r="E142" s="1" t="s">
        <v>87</v>
      </c>
      <c r="F142" s="1" t="s">
        <v>22</v>
      </c>
      <c r="G142" s="1" t="s">
        <v>62</v>
      </c>
      <c r="H142" s="1" t="s">
        <v>1184</v>
      </c>
      <c r="I142" s="102">
        <v>1</v>
      </c>
      <c r="J142" s="1" t="s">
        <v>159</v>
      </c>
      <c r="K142" s="1" t="s">
        <v>22</v>
      </c>
      <c r="L142" s="103">
        <v>34452</v>
      </c>
      <c r="M142" s="104">
        <v>22</v>
      </c>
      <c r="N142" s="1" t="s">
        <v>175</v>
      </c>
      <c r="O142" s="1" t="s">
        <v>24</v>
      </c>
      <c r="P142" s="1" t="s">
        <v>365</v>
      </c>
      <c r="Q142" s="1" t="s">
        <v>445</v>
      </c>
      <c r="R142" s="62">
        <v>0</v>
      </c>
      <c r="S142" s="102">
        <v>0</v>
      </c>
      <c r="T142" s="54" t="s">
        <v>1181</v>
      </c>
      <c r="U142" s="105">
        <v>153.4</v>
      </c>
      <c r="V142" s="62">
        <v>0</v>
      </c>
      <c r="W142" s="102">
        <v>0</v>
      </c>
      <c r="X142" s="62">
        <v>0</v>
      </c>
      <c r="Y142" s="102">
        <v>0</v>
      </c>
      <c r="Z142" s="57" t="s">
        <v>1182</v>
      </c>
      <c r="AA142" s="105">
        <v>0.1</v>
      </c>
      <c r="AB142" s="62">
        <v>0</v>
      </c>
      <c r="AC142" s="106" t="s">
        <v>206</v>
      </c>
      <c r="AD142" s="106" t="s">
        <v>206</v>
      </c>
      <c r="AE142" s="106" t="s">
        <v>206</v>
      </c>
      <c r="AF142" s="106" t="s">
        <v>206</v>
      </c>
      <c r="AG142" s="106" t="s">
        <v>206</v>
      </c>
      <c r="AH142" s="106" t="s">
        <v>206</v>
      </c>
      <c r="AI142" s="1" t="s">
        <v>371</v>
      </c>
      <c r="AJ142" s="1" t="s">
        <v>206</v>
      </c>
      <c r="AK142" s="1" t="s">
        <v>1183</v>
      </c>
      <c r="AL142" s="1" t="s">
        <v>198</v>
      </c>
      <c r="AM142" s="106" t="s">
        <v>27</v>
      </c>
      <c r="AN142" s="1" t="s">
        <v>357</v>
      </c>
      <c r="AO142" s="1" t="s">
        <v>208</v>
      </c>
      <c r="AP142" s="1" t="s">
        <v>206</v>
      </c>
      <c r="AQ142" s="1" t="s">
        <v>441</v>
      </c>
      <c r="AR142" s="1" t="s">
        <v>206</v>
      </c>
      <c r="AS142" s="106" t="s">
        <v>206</v>
      </c>
      <c r="AT142" s="1" t="s">
        <v>206</v>
      </c>
      <c r="AU142" s="106" t="s">
        <v>206</v>
      </c>
      <c r="AV142" s="106" t="s">
        <v>206</v>
      </c>
      <c r="AW142" s="106" t="s">
        <v>35</v>
      </c>
      <c r="AX142" s="106" t="s">
        <v>206</v>
      </c>
      <c r="AY142" s="106" t="s">
        <v>206</v>
      </c>
      <c r="AZ142" s="1" t="s">
        <v>206</v>
      </c>
      <c r="BA142" s="106" t="s">
        <v>206</v>
      </c>
      <c r="BB142" s="106" t="s">
        <v>206</v>
      </c>
      <c r="BC142" s="106" t="s">
        <v>206</v>
      </c>
      <c r="BD142" s="106" t="s">
        <v>206</v>
      </c>
      <c r="BE142" s="106" t="s">
        <v>206</v>
      </c>
      <c r="BF142" s="107">
        <f>IF(AZ142="Não","Sim","Não")</f>
      </c>
      <c r="BG142" s="107">
        <f>IF(AZ142="NA","Sim","Não")</f>
      </c>
      <c r="BH142" s="106" t="s">
        <v>206</v>
      </c>
      <c r="BI142" s="1" t="s">
        <v>237</v>
      </c>
      <c r="BJ142" s="106" t="s">
        <v>36</v>
      </c>
      <c r="BK142" s="1" t="s">
        <v>1052</v>
      </c>
      <c r="BL142" s="102">
        <v>30</v>
      </c>
      <c r="BM142" s="1" t="s">
        <v>208</v>
      </c>
      <c r="BN142" s="1" t="s">
        <v>208</v>
      </c>
      <c r="BO142" s="1" t="s">
        <v>1052</v>
      </c>
      <c r="BP142" s="102">
        <v>30</v>
      </c>
      <c r="BQ142" s="1" t="s">
        <v>206</v>
      </c>
      <c r="BR142" s="1" t="s">
        <v>228</v>
      </c>
      <c r="BS142" s="106" t="s">
        <v>228</v>
      </c>
    </row>
    <row x14ac:dyDescent="0.25" r="143" customHeight="1" ht="17.25">
      <c r="A143" s="102">
        <v>142</v>
      </c>
      <c r="B143" s="1" t="s">
        <v>1185</v>
      </c>
      <c r="C143" s="102">
        <v>1</v>
      </c>
      <c r="D143" s="61" t="s">
        <v>606</v>
      </c>
      <c r="E143" s="1" t="s">
        <v>85</v>
      </c>
      <c r="F143" s="1" t="s">
        <v>22</v>
      </c>
      <c r="G143" s="1" t="s">
        <v>45</v>
      </c>
      <c r="H143" s="1" t="s">
        <v>1186</v>
      </c>
      <c r="I143" s="102">
        <v>1</v>
      </c>
      <c r="J143" s="1" t="s">
        <v>158</v>
      </c>
      <c r="K143" s="1" t="s">
        <v>22</v>
      </c>
      <c r="L143" s="103">
        <v>35620</v>
      </c>
      <c r="M143" s="104">
        <v>20</v>
      </c>
      <c r="N143" s="1" t="s">
        <v>175</v>
      </c>
      <c r="O143" s="1" t="s">
        <v>24</v>
      </c>
      <c r="P143" s="1" t="s">
        <v>354</v>
      </c>
      <c r="Q143" s="1" t="s">
        <v>1187</v>
      </c>
      <c r="R143" s="54" t="s">
        <v>1188</v>
      </c>
      <c r="S143" s="105">
        <v>123.3</v>
      </c>
      <c r="T143" s="54" t="s">
        <v>1189</v>
      </c>
      <c r="U143" s="105">
        <v>42.4</v>
      </c>
      <c r="V143" s="54" t="s">
        <v>1190</v>
      </c>
      <c r="W143" s="105">
        <v>23.5</v>
      </c>
      <c r="X143" s="54" t="s">
        <v>1191</v>
      </c>
      <c r="Y143" s="105">
        <v>3.7</v>
      </c>
      <c r="Z143" s="57" t="s">
        <v>1192</v>
      </c>
      <c r="AA143" s="105">
        <v>0.1</v>
      </c>
      <c r="AB143" s="62">
        <v>0</v>
      </c>
      <c r="AC143" s="106" t="s">
        <v>206</v>
      </c>
      <c r="AD143" s="106" t="s">
        <v>206</v>
      </c>
      <c r="AE143" s="106" t="s">
        <v>206</v>
      </c>
      <c r="AF143" s="106" t="s">
        <v>206</v>
      </c>
      <c r="AG143" s="106" t="s">
        <v>206</v>
      </c>
      <c r="AH143" s="106" t="s">
        <v>206</v>
      </c>
      <c r="AI143" s="1" t="s">
        <v>357</v>
      </c>
      <c r="AJ143" s="1" t="s">
        <v>831</v>
      </c>
      <c r="AK143" s="1" t="s">
        <v>1193</v>
      </c>
      <c r="AL143" s="1" t="s">
        <v>198</v>
      </c>
      <c r="AM143" s="106" t="s">
        <v>27</v>
      </c>
      <c r="AN143" s="1" t="s">
        <v>357</v>
      </c>
      <c r="AO143" s="1" t="s">
        <v>206</v>
      </c>
      <c r="AP143" s="1" t="s">
        <v>206</v>
      </c>
      <c r="AQ143" s="1" t="s">
        <v>441</v>
      </c>
      <c r="AR143" s="1" t="s">
        <v>206</v>
      </c>
      <c r="AS143" s="106" t="s">
        <v>206</v>
      </c>
      <c r="AT143" s="1" t="s">
        <v>206</v>
      </c>
      <c r="AU143" s="106" t="s">
        <v>206</v>
      </c>
      <c r="AV143" s="106" t="s">
        <v>206</v>
      </c>
      <c r="AW143" s="106" t="s">
        <v>35</v>
      </c>
      <c r="AX143" s="106" t="s">
        <v>206</v>
      </c>
      <c r="AY143" s="106" t="s">
        <v>206</v>
      </c>
      <c r="AZ143" s="1" t="s">
        <v>206</v>
      </c>
      <c r="BA143" s="106" t="s">
        <v>206</v>
      </c>
      <c r="BB143" s="106" t="s">
        <v>206</v>
      </c>
      <c r="BC143" s="106" t="s">
        <v>206</v>
      </c>
      <c r="BD143" s="106" t="s">
        <v>206</v>
      </c>
      <c r="BE143" s="106" t="s">
        <v>206</v>
      </c>
      <c r="BF143" s="107">
        <f>IF(AZ143="Não","Sim","Não")</f>
      </c>
      <c r="BG143" s="107">
        <f>IF(AZ143="NA","Sim","Não")</f>
      </c>
      <c r="BH143" s="106" t="s">
        <v>206</v>
      </c>
      <c r="BI143" s="1" t="s">
        <v>237</v>
      </c>
      <c r="BJ143" s="106" t="s">
        <v>36</v>
      </c>
      <c r="BK143" s="1" t="s">
        <v>1052</v>
      </c>
      <c r="BL143" s="102">
        <v>30</v>
      </c>
      <c r="BM143" s="1" t="s">
        <v>208</v>
      </c>
      <c r="BN143" s="1" t="s">
        <v>208</v>
      </c>
      <c r="BO143" s="1" t="s">
        <v>1052</v>
      </c>
      <c r="BP143" s="102">
        <v>30</v>
      </c>
      <c r="BQ143" s="1" t="s">
        <v>206</v>
      </c>
      <c r="BR143" s="1" t="s">
        <v>228</v>
      </c>
      <c r="BS143" s="106" t="s">
        <v>228</v>
      </c>
    </row>
    <row x14ac:dyDescent="0.25" r="144" customHeight="1" ht="17.25">
      <c r="A144" s="102">
        <v>143</v>
      </c>
      <c r="B144" s="1" t="s">
        <v>1194</v>
      </c>
      <c r="C144" s="102">
        <v>1</v>
      </c>
      <c r="D144" s="61" t="s">
        <v>1195</v>
      </c>
      <c r="E144" s="1" t="s">
        <v>77</v>
      </c>
      <c r="F144" s="1" t="s">
        <v>22</v>
      </c>
      <c r="G144" s="1" t="s">
        <v>40</v>
      </c>
      <c r="H144" s="1" t="s">
        <v>1196</v>
      </c>
      <c r="I144" s="102">
        <v>1</v>
      </c>
      <c r="J144" s="1" t="s">
        <v>158</v>
      </c>
      <c r="K144" s="1" t="s">
        <v>22</v>
      </c>
      <c r="L144" s="103">
        <v>34047</v>
      </c>
      <c r="M144" s="104">
        <v>23</v>
      </c>
      <c r="N144" s="1" t="s">
        <v>176</v>
      </c>
      <c r="O144" s="1" t="s">
        <v>182</v>
      </c>
      <c r="P144" s="1" t="s">
        <v>365</v>
      </c>
      <c r="Q144" s="1" t="s">
        <v>1197</v>
      </c>
      <c r="R144" s="62">
        <v>0</v>
      </c>
      <c r="S144" s="102">
        <v>0</v>
      </c>
      <c r="T144" s="54" t="s">
        <v>1198</v>
      </c>
      <c r="U144" s="105">
        <v>9.4</v>
      </c>
      <c r="V144" s="54" t="s">
        <v>1199</v>
      </c>
      <c r="W144" s="105">
        <v>0.1</v>
      </c>
      <c r="X144" s="62">
        <v>0</v>
      </c>
      <c r="Y144" s="102">
        <v>0</v>
      </c>
      <c r="Z144" s="62">
        <v>0</v>
      </c>
      <c r="AA144" s="102">
        <v>0</v>
      </c>
      <c r="AB144" s="62">
        <v>0</v>
      </c>
      <c r="AC144" s="106" t="s">
        <v>206</v>
      </c>
      <c r="AD144" s="106" t="s">
        <v>206</v>
      </c>
      <c r="AE144" s="106" t="s">
        <v>206</v>
      </c>
      <c r="AF144" s="106" t="s">
        <v>206</v>
      </c>
      <c r="AG144" s="106" t="s">
        <v>206</v>
      </c>
      <c r="AH144" s="106" t="s">
        <v>206</v>
      </c>
      <c r="AI144" s="1" t="s">
        <v>357</v>
      </c>
      <c r="AJ144" s="1" t="s">
        <v>206</v>
      </c>
      <c r="AK144" s="1" t="s">
        <v>520</v>
      </c>
      <c r="AL144" s="1" t="s">
        <v>197</v>
      </c>
      <c r="AM144" s="106" t="s">
        <v>27</v>
      </c>
      <c r="AN144" s="1" t="s">
        <v>357</v>
      </c>
      <c r="AO144" s="1" t="s">
        <v>208</v>
      </c>
      <c r="AP144" s="1" t="s">
        <v>620</v>
      </c>
      <c r="AQ144" s="1" t="s">
        <v>1102</v>
      </c>
      <c r="AR144" s="1" t="s">
        <v>206</v>
      </c>
      <c r="AS144" s="106" t="s">
        <v>206</v>
      </c>
      <c r="AT144" s="1" t="s">
        <v>206</v>
      </c>
      <c r="AU144" s="106" t="s">
        <v>206</v>
      </c>
      <c r="AV144" s="106" t="s">
        <v>206</v>
      </c>
      <c r="AW144" s="106" t="s">
        <v>35</v>
      </c>
      <c r="AX144" s="106" t="s">
        <v>206</v>
      </c>
      <c r="AY144" s="106" t="s">
        <v>206</v>
      </c>
      <c r="AZ144" s="1" t="s">
        <v>206</v>
      </c>
      <c r="BA144" s="106" t="s">
        <v>206</v>
      </c>
      <c r="BB144" s="106" t="s">
        <v>206</v>
      </c>
      <c r="BC144" s="106" t="s">
        <v>206</v>
      </c>
      <c r="BD144" s="106" t="s">
        <v>206</v>
      </c>
      <c r="BE144" s="106" t="s">
        <v>206</v>
      </c>
      <c r="BF144" s="107">
        <f>IF(AZ144="Não","Sim","Não")</f>
      </c>
      <c r="BG144" s="107">
        <f>IF(AZ144="NA","Sim","Não")</f>
      </c>
      <c r="BH144" s="106" t="s">
        <v>206</v>
      </c>
      <c r="BI144" s="1" t="s">
        <v>237</v>
      </c>
      <c r="BJ144" s="106" t="s">
        <v>36</v>
      </c>
      <c r="BK144" s="1" t="s">
        <v>1200</v>
      </c>
      <c r="BL144" s="102">
        <v>33</v>
      </c>
      <c r="BM144" s="1" t="s">
        <v>208</v>
      </c>
      <c r="BN144" s="1" t="s">
        <v>208</v>
      </c>
      <c r="BO144" s="1" t="s">
        <v>1200</v>
      </c>
      <c r="BP144" s="102">
        <v>33</v>
      </c>
      <c r="BQ144" s="1" t="s">
        <v>206</v>
      </c>
      <c r="BR144" s="1" t="s">
        <v>227</v>
      </c>
      <c r="BS144" s="106" t="s">
        <v>37</v>
      </c>
    </row>
    <row x14ac:dyDescent="0.25" r="145" customHeight="1" ht="17.25">
      <c r="A145" s="102">
        <v>144</v>
      </c>
      <c r="B145" s="1" t="s">
        <v>1201</v>
      </c>
      <c r="C145" s="102">
        <v>1</v>
      </c>
      <c r="D145" s="61">
        <v>43069</v>
      </c>
      <c r="E145" s="1" t="s">
        <v>89</v>
      </c>
      <c r="F145" s="1" t="s">
        <v>22</v>
      </c>
      <c r="G145" s="1" t="s">
        <v>38</v>
      </c>
      <c r="H145" s="1" t="s">
        <v>1202</v>
      </c>
      <c r="I145" s="102">
        <v>1</v>
      </c>
      <c r="J145" s="1" t="s">
        <v>158</v>
      </c>
      <c r="K145" s="1" t="s">
        <v>22</v>
      </c>
      <c r="L145" s="103">
        <v>34118</v>
      </c>
      <c r="M145" s="104">
        <v>24</v>
      </c>
      <c r="N145" s="1" t="s">
        <v>177</v>
      </c>
      <c r="O145" s="1" t="s">
        <v>24</v>
      </c>
      <c r="P145" s="1" t="s">
        <v>365</v>
      </c>
      <c r="Q145" s="1" t="s">
        <v>1203</v>
      </c>
      <c r="R145" s="54" t="s">
        <v>1204</v>
      </c>
      <c r="S145" s="105">
        <v>271.3</v>
      </c>
      <c r="T145" s="54" t="s">
        <v>1205</v>
      </c>
      <c r="U145" s="105">
        <v>211.5</v>
      </c>
      <c r="V145" s="62">
        <v>0</v>
      </c>
      <c r="W145" s="102">
        <v>0</v>
      </c>
      <c r="X145" s="62">
        <v>0</v>
      </c>
      <c r="Y145" s="102">
        <v>0</v>
      </c>
      <c r="Z145" s="62">
        <v>0</v>
      </c>
      <c r="AA145" s="102">
        <v>0</v>
      </c>
      <c r="AB145" s="62">
        <v>0</v>
      </c>
      <c r="AC145" s="106" t="s">
        <v>206</v>
      </c>
      <c r="AD145" s="106" t="s">
        <v>206</v>
      </c>
      <c r="AE145" s="106" t="s">
        <v>206</v>
      </c>
      <c r="AF145" s="106" t="s">
        <v>206</v>
      </c>
      <c r="AG145" s="106" t="s">
        <v>206</v>
      </c>
      <c r="AH145" s="106" t="s">
        <v>206</v>
      </c>
      <c r="AI145" s="1" t="s">
        <v>357</v>
      </c>
      <c r="AJ145" s="1" t="s">
        <v>206</v>
      </c>
      <c r="AK145" s="1" t="s">
        <v>1206</v>
      </c>
      <c r="AL145" s="1" t="s">
        <v>197</v>
      </c>
      <c r="AM145" s="106" t="s">
        <v>27</v>
      </c>
      <c r="AN145" s="1" t="s">
        <v>357</v>
      </c>
      <c r="AO145" s="1" t="s">
        <v>208</v>
      </c>
      <c r="AP145" s="1" t="s">
        <v>206</v>
      </c>
      <c r="AQ145" s="1" t="s">
        <v>441</v>
      </c>
      <c r="AR145" s="1" t="s">
        <v>206</v>
      </c>
      <c r="AS145" s="106" t="s">
        <v>206</v>
      </c>
      <c r="AT145" s="1" t="s">
        <v>206</v>
      </c>
      <c r="AU145" s="106" t="s">
        <v>206</v>
      </c>
      <c r="AV145" s="106" t="s">
        <v>206</v>
      </c>
      <c r="AW145" s="106" t="s">
        <v>35</v>
      </c>
      <c r="AX145" s="106" t="s">
        <v>206</v>
      </c>
      <c r="AY145" s="106" t="s">
        <v>206</v>
      </c>
      <c r="AZ145" s="1" t="s">
        <v>206</v>
      </c>
      <c r="BA145" s="106" t="s">
        <v>206</v>
      </c>
      <c r="BB145" s="106" t="s">
        <v>206</v>
      </c>
      <c r="BC145" s="106" t="s">
        <v>206</v>
      </c>
      <c r="BD145" s="106" t="s">
        <v>206</v>
      </c>
      <c r="BE145" s="106" t="s">
        <v>206</v>
      </c>
      <c r="BF145" s="107">
        <f>IF(AZ145="Não","Sim","Não")</f>
      </c>
      <c r="BG145" s="107">
        <f>IF(AZ145="NA","Sim","Não")</f>
      </c>
      <c r="BH145" s="106" t="s">
        <v>206</v>
      </c>
      <c r="BI145" s="1" t="s">
        <v>237</v>
      </c>
      <c r="BJ145" s="106" t="s">
        <v>36</v>
      </c>
      <c r="BK145" s="1" t="s">
        <v>1101</v>
      </c>
      <c r="BL145" s="102">
        <v>36</v>
      </c>
      <c r="BM145" s="1" t="s">
        <v>208</v>
      </c>
      <c r="BN145" s="1" t="s">
        <v>208</v>
      </c>
      <c r="BO145" s="1" t="s">
        <v>1101</v>
      </c>
      <c r="BP145" s="102">
        <v>36</v>
      </c>
      <c r="BQ145" s="1" t="s">
        <v>35</v>
      </c>
      <c r="BR145" s="1" t="s">
        <v>208</v>
      </c>
      <c r="BS145" s="106" t="s">
        <v>208</v>
      </c>
    </row>
    <row x14ac:dyDescent="0.25" r="146" customHeight="1" ht="17.25">
      <c r="A146" s="102">
        <v>145</v>
      </c>
      <c r="B146" s="1" t="s">
        <v>1207</v>
      </c>
      <c r="C146" s="102">
        <v>1</v>
      </c>
      <c r="D146" s="61">
        <v>42972</v>
      </c>
      <c r="E146" s="1" t="s">
        <v>1208</v>
      </c>
      <c r="F146" s="1" t="s">
        <v>170</v>
      </c>
      <c r="G146" s="1" t="s">
        <v>61</v>
      </c>
      <c r="H146" s="1" t="s">
        <v>1209</v>
      </c>
      <c r="I146" s="102">
        <v>1</v>
      </c>
      <c r="J146" s="1" t="s">
        <v>158</v>
      </c>
      <c r="K146" s="1" t="s">
        <v>22</v>
      </c>
      <c r="L146" s="103">
        <v>29463</v>
      </c>
      <c r="M146" s="104">
        <v>37</v>
      </c>
      <c r="N146" s="1" t="s">
        <v>175</v>
      </c>
      <c r="O146" s="1" t="s">
        <v>24</v>
      </c>
      <c r="P146" s="1" t="s">
        <v>354</v>
      </c>
      <c r="Q146" s="1" t="s">
        <v>1210</v>
      </c>
      <c r="R146" s="54" t="s">
        <v>1211</v>
      </c>
      <c r="S146" s="105">
        <v>19.1</v>
      </c>
      <c r="T146" s="54" t="s">
        <v>1212</v>
      </c>
      <c r="U146" s="105">
        <v>33.2</v>
      </c>
      <c r="V146" s="54" t="s">
        <v>1213</v>
      </c>
      <c r="W146" s="102">
        <v>1</v>
      </c>
      <c r="X146" s="62">
        <v>0</v>
      </c>
      <c r="Y146" s="102">
        <v>0</v>
      </c>
      <c r="Z146" s="62">
        <v>0</v>
      </c>
      <c r="AA146" s="102">
        <v>0</v>
      </c>
      <c r="AB146" s="62">
        <v>0</v>
      </c>
      <c r="AC146" s="106" t="s">
        <v>206</v>
      </c>
      <c r="AD146" s="106" t="s">
        <v>206</v>
      </c>
      <c r="AE146" s="106" t="s">
        <v>206</v>
      </c>
      <c r="AF146" s="106" t="s">
        <v>206</v>
      </c>
      <c r="AG146" s="106" t="s">
        <v>206</v>
      </c>
      <c r="AH146" s="106" t="s">
        <v>206</v>
      </c>
      <c r="AI146" s="1" t="s">
        <v>357</v>
      </c>
      <c r="AJ146" s="1" t="s">
        <v>206</v>
      </c>
      <c r="AK146" s="1" t="s">
        <v>1214</v>
      </c>
      <c r="AL146" s="1" t="s">
        <v>197</v>
      </c>
      <c r="AM146" s="106" t="s">
        <v>27</v>
      </c>
      <c r="AN146" s="1" t="s">
        <v>357</v>
      </c>
      <c r="AO146" s="1" t="s">
        <v>208</v>
      </c>
      <c r="AP146" s="1" t="s">
        <v>206</v>
      </c>
      <c r="AQ146" s="1" t="s">
        <v>441</v>
      </c>
      <c r="AR146" s="1" t="s">
        <v>206</v>
      </c>
      <c r="AS146" s="106" t="s">
        <v>206</v>
      </c>
      <c r="AT146" s="1" t="s">
        <v>206</v>
      </c>
      <c r="AU146" s="106" t="s">
        <v>206</v>
      </c>
      <c r="AV146" s="106" t="s">
        <v>206</v>
      </c>
      <c r="AW146" s="106" t="s">
        <v>35</v>
      </c>
      <c r="AX146" s="106" t="s">
        <v>206</v>
      </c>
      <c r="AY146" s="106" t="s">
        <v>206</v>
      </c>
      <c r="AZ146" s="1" t="s">
        <v>206</v>
      </c>
      <c r="BA146" s="106" t="s">
        <v>206</v>
      </c>
      <c r="BB146" s="106" t="s">
        <v>206</v>
      </c>
      <c r="BC146" s="106" t="s">
        <v>206</v>
      </c>
      <c r="BD146" s="106" t="s">
        <v>206</v>
      </c>
      <c r="BE146" s="106" t="s">
        <v>206</v>
      </c>
      <c r="BF146" s="107">
        <f>IF(AZ146="Não","Sim","Não")</f>
      </c>
      <c r="BG146" s="107">
        <f>IF(AZ146="NA","Sim","Não")</f>
      </c>
      <c r="BH146" s="106" t="s">
        <v>206</v>
      </c>
      <c r="BI146" s="1" t="s">
        <v>237</v>
      </c>
      <c r="BJ146" s="106" t="s">
        <v>36</v>
      </c>
      <c r="BK146" s="1" t="s">
        <v>1101</v>
      </c>
      <c r="BL146" s="102">
        <v>36</v>
      </c>
      <c r="BM146" s="1" t="s">
        <v>208</v>
      </c>
      <c r="BN146" s="1" t="s">
        <v>208</v>
      </c>
      <c r="BO146" s="1" t="s">
        <v>1101</v>
      </c>
      <c r="BP146" s="102">
        <v>36</v>
      </c>
      <c r="BQ146" s="1" t="s">
        <v>206</v>
      </c>
      <c r="BR146" s="1" t="s">
        <v>227</v>
      </c>
      <c r="BS146" s="106" t="s">
        <v>37</v>
      </c>
    </row>
    <row x14ac:dyDescent="0.25" r="147" customHeight="1" ht="17.25">
      <c r="A147" s="102">
        <v>146</v>
      </c>
      <c r="B147" s="1" t="s">
        <v>1215</v>
      </c>
      <c r="C147" s="102">
        <v>0</v>
      </c>
      <c r="D147" s="61">
        <v>42884</v>
      </c>
      <c r="E147" s="1" t="s">
        <v>78</v>
      </c>
      <c r="F147" s="1" t="s">
        <v>22</v>
      </c>
      <c r="G147" s="1" t="s">
        <v>64</v>
      </c>
      <c r="H147" s="1" t="s">
        <v>1216</v>
      </c>
      <c r="I147" s="102">
        <v>1</v>
      </c>
      <c r="J147" s="1" t="s">
        <v>159</v>
      </c>
      <c r="K147" s="1" t="s">
        <v>170</v>
      </c>
      <c r="L147" s="103">
        <v>35346</v>
      </c>
      <c r="M147" s="104">
        <v>20</v>
      </c>
      <c r="N147" s="1" t="s">
        <v>176</v>
      </c>
      <c r="O147" s="1" t="s">
        <v>182</v>
      </c>
      <c r="P147" s="1" t="s">
        <v>464</v>
      </c>
      <c r="Q147" s="1" t="s">
        <v>445</v>
      </c>
      <c r="R147" s="54" t="s">
        <v>1217</v>
      </c>
      <c r="S147" s="102">
        <v>80000</v>
      </c>
      <c r="T147" s="54" t="s">
        <v>1218</v>
      </c>
      <c r="U147" s="102">
        <v>2500</v>
      </c>
      <c r="V147" s="54" t="s">
        <v>1219</v>
      </c>
      <c r="W147" s="105">
        <v>382.4</v>
      </c>
      <c r="X147" s="62">
        <v>0</v>
      </c>
      <c r="Y147" s="102">
        <v>0</v>
      </c>
      <c r="Z147" s="62">
        <v>0</v>
      </c>
      <c r="AA147" s="102">
        <v>0</v>
      </c>
      <c r="AB147" s="62">
        <v>0</v>
      </c>
      <c r="AC147" s="106" t="s">
        <v>206</v>
      </c>
      <c r="AD147" s="106" t="s">
        <v>206</v>
      </c>
      <c r="AE147" s="106" t="s">
        <v>206</v>
      </c>
      <c r="AF147" s="106" t="s">
        <v>206</v>
      </c>
      <c r="AG147" s="106" t="s">
        <v>206</v>
      </c>
      <c r="AH147" s="106" t="s">
        <v>206</v>
      </c>
      <c r="AI147" s="1" t="s">
        <v>1220</v>
      </c>
      <c r="AJ147" s="1" t="s">
        <v>1221</v>
      </c>
      <c r="AK147" s="1" t="s">
        <v>555</v>
      </c>
      <c r="AL147" s="1" t="s">
        <v>198</v>
      </c>
      <c r="AM147" s="106" t="s">
        <v>27</v>
      </c>
      <c r="AN147" s="1" t="s">
        <v>357</v>
      </c>
      <c r="AO147" s="1" t="s">
        <v>206</v>
      </c>
      <c r="AP147" s="1" t="s">
        <v>206</v>
      </c>
      <c r="AQ147" s="1" t="s">
        <v>441</v>
      </c>
      <c r="AR147" s="1" t="s">
        <v>206</v>
      </c>
      <c r="AS147" s="106" t="s">
        <v>206</v>
      </c>
      <c r="AT147" s="1" t="s">
        <v>206</v>
      </c>
      <c r="AU147" s="106" t="s">
        <v>206</v>
      </c>
      <c r="AV147" s="106" t="s">
        <v>206</v>
      </c>
      <c r="AW147" s="106" t="s">
        <v>35</v>
      </c>
      <c r="AX147" s="106" t="s">
        <v>206</v>
      </c>
      <c r="AY147" s="106" t="s">
        <v>206</v>
      </c>
      <c r="AZ147" s="1" t="s">
        <v>206</v>
      </c>
      <c r="BA147" s="106" t="s">
        <v>206</v>
      </c>
      <c r="BB147" s="106" t="s">
        <v>206</v>
      </c>
      <c r="BC147" s="106" t="s">
        <v>206</v>
      </c>
      <c r="BD147" s="106" t="s">
        <v>206</v>
      </c>
      <c r="BE147" s="106" t="s">
        <v>206</v>
      </c>
      <c r="BF147" s="107">
        <f>IF(AZ147="Não","Sim","Não")</f>
      </c>
      <c r="BG147" s="107">
        <f>IF(AZ147="NA","Sim","Não")</f>
      </c>
      <c r="BH147" s="106" t="s">
        <v>206</v>
      </c>
      <c r="BI147" s="1" t="s">
        <v>237</v>
      </c>
      <c r="BJ147" s="106" t="s">
        <v>36</v>
      </c>
      <c r="BK147" s="1" t="s">
        <v>1101</v>
      </c>
      <c r="BL147" s="102">
        <v>36</v>
      </c>
      <c r="BM147" s="1" t="s">
        <v>208</v>
      </c>
      <c r="BN147" s="1" t="s">
        <v>208</v>
      </c>
      <c r="BO147" s="1" t="s">
        <v>1101</v>
      </c>
      <c r="BP147" s="102">
        <v>36</v>
      </c>
      <c r="BQ147" s="1" t="s">
        <v>206</v>
      </c>
      <c r="BR147" s="1" t="s">
        <v>229</v>
      </c>
      <c r="BS147" s="106" t="s">
        <v>229</v>
      </c>
    </row>
    <row x14ac:dyDescent="0.25" r="148" customHeight="1" ht="17.25">
      <c r="A148" s="102">
        <v>147</v>
      </c>
      <c r="B148" s="1" t="s">
        <v>1215</v>
      </c>
      <c r="C148" s="102">
        <v>0</v>
      </c>
      <c r="D148" s="61">
        <v>42884</v>
      </c>
      <c r="E148" s="1" t="s">
        <v>78</v>
      </c>
      <c r="F148" s="1" t="s">
        <v>22</v>
      </c>
      <c r="G148" s="1" t="s">
        <v>64</v>
      </c>
      <c r="H148" s="1" t="s">
        <v>1222</v>
      </c>
      <c r="I148" s="102">
        <v>1</v>
      </c>
      <c r="J148" s="1" t="s">
        <v>159</v>
      </c>
      <c r="K148" s="1" t="s">
        <v>170</v>
      </c>
      <c r="L148" s="103">
        <v>27516</v>
      </c>
      <c r="M148" s="104">
        <v>42</v>
      </c>
      <c r="N148" s="1" t="s">
        <v>175</v>
      </c>
      <c r="O148" s="1" t="s">
        <v>24</v>
      </c>
      <c r="P148" s="1" t="s">
        <v>464</v>
      </c>
      <c r="Q148" s="1" t="s">
        <v>445</v>
      </c>
      <c r="R148" s="54" t="s">
        <v>1217</v>
      </c>
      <c r="S148" s="102">
        <v>80000</v>
      </c>
      <c r="T148" s="54" t="s">
        <v>1218</v>
      </c>
      <c r="U148" s="102">
        <v>2500</v>
      </c>
      <c r="V148" s="54" t="s">
        <v>1219</v>
      </c>
      <c r="W148" s="105">
        <v>382.4</v>
      </c>
      <c r="X148" s="62">
        <v>0</v>
      </c>
      <c r="Y148" s="102">
        <v>0</v>
      </c>
      <c r="Z148" s="62">
        <v>0</v>
      </c>
      <c r="AA148" s="102">
        <v>0</v>
      </c>
      <c r="AB148" s="62">
        <v>0</v>
      </c>
      <c r="AC148" s="106" t="s">
        <v>206</v>
      </c>
      <c r="AD148" s="106" t="s">
        <v>206</v>
      </c>
      <c r="AE148" s="106" t="s">
        <v>206</v>
      </c>
      <c r="AF148" s="106" t="s">
        <v>206</v>
      </c>
      <c r="AG148" s="106" t="s">
        <v>206</v>
      </c>
      <c r="AH148" s="106" t="s">
        <v>206</v>
      </c>
      <c r="AI148" s="1" t="s">
        <v>1220</v>
      </c>
      <c r="AJ148" s="1" t="s">
        <v>1221</v>
      </c>
      <c r="AK148" s="1" t="s">
        <v>555</v>
      </c>
      <c r="AL148" s="1" t="s">
        <v>198</v>
      </c>
      <c r="AM148" s="106" t="s">
        <v>27</v>
      </c>
      <c r="AN148" s="1" t="s">
        <v>357</v>
      </c>
      <c r="AO148" s="1" t="s">
        <v>206</v>
      </c>
      <c r="AP148" s="1" t="s">
        <v>206</v>
      </c>
      <c r="AQ148" s="1" t="s">
        <v>441</v>
      </c>
      <c r="AR148" s="1" t="s">
        <v>206</v>
      </c>
      <c r="AS148" s="106" t="s">
        <v>206</v>
      </c>
      <c r="AT148" s="1" t="s">
        <v>206</v>
      </c>
      <c r="AU148" s="106" t="s">
        <v>206</v>
      </c>
      <c r="AV148" s="106" t="s">
        <v>206</v>
      </c>
      <c r="AW148" s="106" t="s">
        <v>35</v>
      </c>
      <c r="AX148" s="106" t="s">
        <v>206</v>
      </c>
      <c r="AY148" s="106" t="s">
        <v>206</v>
      </c>
      <c r="AZ148" s="1" t="s">
        <v>206</v>
      </c>
      <c r="BA148" s="106" t="s">
        <v>206</v>
      </c>
      <c r="BB148" s="106" t="s">
        <v>206</v>
      </c>
      <c r="BC148" s="106" t="s">
        <v>206</v>
      </c>
      <c r="BD148" s="106" t="s">
        <v>206</v>
      </c>
      <c r="BE148" s="106" t="s">
        <v>206</v>
      </c>
      <c r="BF148" s="107">
        <f>IF(AZ148="Não","Sim","Não")</f>
      </c>
      <c r="BG148" s="107">
        <f>IF(AZ148="NA","Sim","Não")</f>
      </c>
      <c r="BH148" s="106" t="s">
        <v>206</v>
      </c>
      <c r="BI148" s="1" t="s">
        <v>237</v>
      </c>
      <c r="BJ148" s="106" t="s">
        <v>36</v>
      </c>
      <c r="BK148" s="1" t="s">
        <v>1101</v>
      </c>
      <c r="BL148" s="102">
        <v>36</v>
      </c>
      <c r="BM148" s="1" t="s">
        <v>208</v>
      </c>
      <c r="BN148" s="1" t="s">
        <v>208</v>
      </c>
      <c r="BO148" s="1" t="s">
        <v>1101</v>
      </c>
      <c r="BP148" s="102">
        <v>36</v>
      </c>
      <c r="BQ148" s="1" t="s">
        <v>206</v>
      </c>
      <c r="BR148" s="1" t="s">
        <v>229</v>
      </c>
      <c r="BS148" s="106" t="s">
        <v>229</v>
      </c>
    </row>
    <row x14ac:dyDescent="0.25" r="149" customHeight="1" ht="17.25">
      <c r="A149" s="102">
        <v>148</v>
      </c>
      <c r="B149" s="1" t="s">
        <v>1223</v>
      </c>
      <c r="C149" s="102">
        <v>1</v>
      </c>
      <c r="D149" s="61" t="s">
        <v>1224</v>
      </c>
      <c r="E149" s="1" t="s">
        <v>86</v>
      </c>
      <c r="F149" s="1" t="s">
        <v>22</v>
      </c>
      <c r="G149" s="1" t="s">
        <v>50</v>
      </c>
      <c r="H149" s="1" t="s">
        <v>1225</v>
      </c>
      <c r="I149" s="102">
        <v>1</v>
      </c>
      <c r="J149" s="1" t="s">
        <v>158</v>
      </c>
      <c r="K149" s="1" t="s">
        <v>170</v>
      </c>
      <c r="L149" s="103">
        <v>35920</v>
      </c>
      <c r="M149" s="104">
        <v>19</v>
      </c>
      <c r="N149" s="1" t="s">
        <v>175</v>
      </c>
      <c r="O149" s="1" t="s">
        <v>24</v>
      </c>
      <c r="P149" s="1" t="s">
        <v>365</v>
      </c>
      <c r="Q149" s="1" t="s">
        <v>1226</v>
      </c>
      <c r="R149" s="54" t="s">
        <v>1227</v>
      </c>
      <c r="S149" s="102">
        <v>537</v>
      </c>
      <c r="T149" s="54" t="s">
        <v>1228</v>
      </c>
      <c r="U149" s="102">
        <v>27</v>
      </c>
      <c r="V149" s="54" t="s">
        <v>1229</v>
      </c>
      <c r="W149" s="105">
        <v>126.6</v>
      </c>
      <c r="X149" s="62">
        <v>0</v>
      </c>
      <c r="Y149" s="102">
        <v>0</v>
      </c>
      <c r="Z149" s="62">
        <v>0</v>
      </c>
      <c r="AA149" s="102">
        <v>0</v>
      </c>
      <c r="AB149" s="62">
        <v>0</v>
      </c>
      <c r="AC149" s="106" t="s">
        <v>206</v>
      </c>
      <c r="AD149" s="106" t="s">
        <v>206</v>
      </c>
      <c r="AE149" s="106" t="s">
        <v>206</v>
      </c>
      <c r="AF149" s="106" t="s">
        <v>206</v>
      </c>
      <c r="AG149" s="106" t="s">
        <v>206</v>
      </c>
      <c r="AH149" s="106" t="s">
        <v>206</v>
      </c>
      <c r="AI149" s="1" t="s">
        <v>357</v>
      </c>
      <c r="AJ149" s="1" t="s">
        <v>206</v>
      </c>
      <c r="AK149" s="1" t="s">
        <v>1230</v>
      </c>
      <c r="AL149" s="1" t="s">
        <v>197</v>
      </c>
      <c r="AM149" s="106" t="s">
        <v>27</v>
      </c>
      <c r="AN149" s="1" t="s">
        <v>357</v>
      </c>
      <c r="AO149" s="1" t="s">
        <v>208</v>
      </c>
      <c r="AP149" s="1" t="s">
        <v>206</v>
      </c>
      <c r="AQ149" s="1" t="s">
        <v>441</v>
      </c>
      <c r="AR149" s="1" t="s">
        <v>206</v>
      </c>
      <c r="AS149" s="106" t="s">
        <v>206</v>
      </c>
      <c r="AT149" s="1" t="s">
        <v>206</v>
      </c>
      <c r="AU149" s="106" t="s">
        <v>206</v>
      </c>
      <c r="AV149" s="106" t="s">
        <v>206</v>
      </c>
      <c r="AW149" s="106" t="s">
        <v>35</v>
      </c>
      <c r="AX149" s="106" t="s">
        <v>206</v>
      </c>
      <c r="AY149" s="106" t="s">
        <v>206</v>
      </c>
      <c r="AZ149" s="1" t="s">
        <v>30</v>
      </c>
      <c r="BA149" s="106" t="s">
        <v>35</v>
      </c>
      <c r="BB149" s="106" t="s">
        <v>206</v>
      </c>
      <c r="BC149" s="106" t="s">
        <v>206</v>
      </c>
      <c r="BD149" s="106" t="s">
        <v>206</v>
      </c>
      <c r="BE149" s="106" t="s">
        <v>206</v>
      </c>
      <c r="BF149" s="107">
        <f>IF(AZ149="Não","Sim","Não")</f>
      </c>
      <c r="BG149" s="107">
        <f>IF(AZ149="NA","Sim","Não")</f>
      </c>
      <c r="BH149" s="106" t="s">
        <v>35</v>
      </c>
      <c r="BI149" s="1" t="s">
        <v>237</v>
      </c>
      <c r="BJ149" s="106" t="s">
        <v>36</v>
      </c>
      <c r="BK149" s="1" t="s">
        <v>1231</v>
      </c>
      <c r="BL149" s="105">
        <v>46.666666666666664</v>
      </c>
      <c r="BM149" s="1" t="s">
        <v>208</v>
      </c>
      <c r="BN149" s="1" t="s">
        <v>208</v>
      </c>
      <c r="BO149" s="1" t="s">
        <v>1231</v>
      </c>
      <c r="BP149" s="105">
        <v>46.666666666666664</v>
      </c>
      <c r="BQ149" s="1" t="s">
        <v>35</v>
      </c>
      <c r="BR149" s="1" t="s">
        <v>208</v>
      </c>
      <c r="BS149" s="106" t="s">
        <v>208</v>
      </c>
    </row>
    <row x14ac:dyDescent="0.25" r="150" customHeight="1" ht="17.25">
      <c r="A150" s="102">
        <v>149</v>
      </c>
      <c r="B150" s="1" t="s">
        <v>1232</v>
      </c>
      <c r="C150" s="102">
        <v>1</v>
      </c>
      <c r="D150" s="61" t="s">
        <v>1233</v>
      </c>
      <c r="E150" s="1" t="s">
        <v>132</v>
      </c>
      <c r="F150" s="1" t="s">
        <v>170</v>
      </c>
      <c r="G150" s="1" t="s">
        <v>42</v>
      </c>
      <c r="H150" s="1" t="s">
        <v>1234</v>
      </c>
      <c r="I150" s="102">
        <v>1</v>
      </c>
      <c r="J150" s="1" t="s">
        <v>158</v>
      </c>
      <c r="K150" s="1" t="s">
        <v>22</v>
      </c>
      <c r="L150" s="103">
        <v>33832</v>
      </c>
      <c r="M150" s="104">
        <v>24</v>
      </c>
      <c r="N150" s="1" t="s">
        <v>177</v>
      </c>
      <c r="O150" s="1" t="s">
        <v>24</v>
      </c>
      <c r="P150" s="1" t="s">
        <v>365</v>
      </c>
      <c r="Q150" s="1" t="s">
        <v>1235</v>
      </c>
      <c r="R150" s="54" t="s">
        <v>1236</v>
      </c>
      <c r="S150" s="105">
        <v>305.3</v>
      </c>
      <c r="T150" s="54" t="s">
        <v>1237</v>
      </c>
      <c r="U150" s="105">
        <v>109.9</v>
      </c>
      <c r="V150" s="54" t="s">
        <v>1238</v>
      </c>
      <c r="W150" s="102">
        <v>27</v>
      </c>
      <c r="X150" s="62">
        <v>0</v>
      </c>
      <c r="Y150" s="102">
        <v>0</v>
      </c>
      <c r="Z150" s="62">
        <v>0</v>
      </c>
      <c r="AA150" s="102">
        <v>0</v>
      </c>
      <c r="AB150" s="57" t="s">
        <v>1239</v>
      </c>
      <c r="AC150" s="106" t="s">
        <v>206</v>
      </c>
      <c r="AD150" s="106" t="s">
        <v>206</v>
      </c>
      <c r="AE150" s="106" t="s">
        <v>206</v>
      </c>
      <c r="AF150" s="106" t="s">
        <v>206</v>
      </c>
      <c r="AG150" s="106" t="s">
        <v>35</v>
      </c>
      <c r="AH150" s="106" t="s">
        <v>206</v>
      </c>
      <c r="AI150" s="1" t="s">
        <v>357</v>
      </c>
      <c r="AJ150" s="1" t="s">
        <v>206</v>
      </c>
      <c r="AK150" s="1" t="s">
        <v>373</v>
      </c>
      <c r="AL150" s="1" t="s">
        <v>197</v>
      </c>
      <c r="AM150" s="106" t="s">
        <v>27</v>
      </c>
      <c r="AN150" s="1" t="s">
        <v>357</v>
      </c>
      <c r="AO150" s="1" t="s">
        <v>208</v>
      </c>
      <c r="AP150" s="1" t="s">
        <v>406</v>
      </c>
      <c r="AQ150" s="1" t="s">
        <v>492</v>
      </c>
      <c r="AR150" s="1" t="s">
        <v>206</v>
      </c>
      <c r="AS150" s="106" t="s">
        <v>206</v>
      </c>
      <c r="AT150" s="1" t="s">
        <v>206</v>
      </c>
      <c r="AU150" s="106" t="s">
        <v>206</v>
      </c>
      <c r="AV150" s="106" t="s">
        <v>206</v>
      </c>
      <c r="AW150" s="106" t="s">
        <v>35</v>
      </c>
      <c r="AX150" s="106" t="s">
        <v>206</v>
      </c>
      <c r="AY150" s="106" t="s">
        <v>206</v>
      </c>
      <c r="AZ150" s="1" t="s">
        <v>206</v>
      </c>
      <c r="BA150" s="106" t="s">
        <v>206</v>
      </c>
      <c r="BB150" s="106" t="s">
        <v>206</v>
      </c>
      <c r="BC150" s="106" t="s">
        <v>206</v>
      </c>
      <c r="BD150" s="106" t="s">
        <v>206</v>
      </c>
      <c r="BE150" s="106" t="s">
        <v>206</v>
      </c>
      <c r="BF150" s="107">
        <f>IF(AZ150="Não","Sim","Não")</f>
      </c>
      <c r="BG150" s="107">
        <f>IF(AZ150="NA","Sim","Não")</f>
      </c>
      <c r="BH150" s="106" t="s">
        <v>206</v>
      </c>
      <c r="BI150" s="1" t="s">
        <v>237</v>
      </c>
      <c r="BJ150" s="106" t="s">
        <v>36</v>
      </c>
      <c r="BK150" s="1" t="s">
        <v>1231</v>
      </c>
      <c r="BL150" s="105">
        <v>46.666666666666664</v>
      </c>
      <c r="BM150" s="1" t="s">
        <v>208</v>
      </c>
      <c r="BN150" s="1" t="s">
        <v>208</v>
      </c>
      <c r="BO150" s="1" t="s">
        <v>1231</v>
      </c>
      <c r="BP150" s="105">
        <v>46.666666666666664</v>
      </c>
      <c r="BQ150" s="1" t="s">
        <v>206</v>
      </c>
      <c r="BR150" s="1" t="s">
        <v>228</v>
      </c>
      <c r="BS150" s="106" t="s">
        <v>228</v>
      </c>
    </row>
    <row x14ac:dyDescent="0.25" r="151" customHeight="1" ht="17.25">
      <c r="A151" s="102">
        <v>150</v>
      </c>
      <c r="B151" s="1" t="s">
        <v>1240</v>
      </c>
      <c r="C151" s="102">
        <v>1</v>
      </c>
      <c r="D151" s="61">
        <v>42753</v>
      </c>
      <c r="E151" s="1" t="s">
        <v>98</v>
      </c>
      <c r="F151" s="1" t="s">
        <v>170</v>
      </c>
      <c r="G151" s="1" t="s">
        <v>63</v>
      </c>
      <c r="H151" s="1" t="s">
        <v>1241</v>
      </c>
      <c r="I151" s="102">
        <v>1</v>
      </c>
      <c r="J151" s="1" t="s">
        <v>159</v>
      </c>
      <c r="K151" s="1" t="s">
        <v>170</v>
      </c>
      <c r="L151" s="103">
        <v>30088</v>
      </c>
      <c r="M151" s="104">
        <v>34</v>
      </c>
      <c r="N151" s="1" t="s">
        <v>175</v>
      </c>
      <c r="O151" s="1" t="s">
        <v>24</v>
      </c>
      <c r="P151" s="1" t="s">
        <v>365</v>
      </c>
      <c r="Q151" s="1" t="s">
        <v>1242</v>
      </c>
      <c r="R151" s="54" t="s">
        <v>1243</v>
      </c>
      <c r="S151" s="105">
        <v>2539.4</v>
      </c>
      <c r="T151" s="54" t="s">
        <v>1244</v>
      </c>
      <c r="U151" s="102">
        <v>103</v>
      </c>
      <c r="V151" s="62">
        <v>0</v>
      </c>
      <c r="W151" s="102">
        <v>0</v>
      </c>
      <c r="X151" s="62">
        <v>0</v>
      </c>
      <c r="Y151" s="102">
        <v>0</v>
      </c>
      <c r="Z151" s="62">
        <v>0</v>
      </c>
      <c r="AA151" s="102">
        <v>0</v>
      </c>
      <c r="AB151" s="62">
        <v>0</v>
      </c>
      <c r="AC151" s="106" t="s">
        <v>206</v>
      </c>
      <c r="AD151" s="106" t="s">
        <v>206</v>
      </c>
      <c r="AE151" s="106" t="s">
        <v>206</v>
      </c>
      <c r="AF151" s="106" t="s">
        <v>206</v>
      </c>
      <c r="AG151" s="106" t="s">
        <v>206</v>
      </c>
      <c r="AH151" s="106" t="s">
        <v>206</v>
      </c>
      <c r="AI151" s="1" t="s">
        <v>357</v>
      </c>
      <c r="AJ151" s="1" t="s">
        <v>206</v>
      </c>
      <c r="AK151" s="1" t="s">
        <v>1245</v>
      </c>
      <c r="AL151" s="1" t="s">
        <v>197</v>
      </c>
      <c r="AM151" s="106" t="s">
        <v>27</v>
      </c>
      <c r="AN151" s="1" t="s">
        <v>357</v>
      </c>
      <c r="AO151" s="1" t="s">
        <v>208</v>
      </c>
      <c r="AP151" s="1" t="s">
        <v>1246</v>
      </c>
      <c r="AQ151" s="1" t="s">
        <v>386</v>
      </c>
      <c r="AR151" s="1" t="s">
        <v>206</v>
      </c>
      <c r="AS151" s="106" t="s">
        <v>206</v>
      </c>
      <c r="AT151" s="1" t="s">
        <v>28</v>
      </c>
      <c r="AU151" s="106" t="s">
        <v>35</v>
      </c>
      <c r="AV151" s="106" t="s">
        <v>206</v>
      </c>
      <c r="AW151" s="106" t="s">
        <v>206</v>
      </c>
      <c r="AX151" s="106" t="s">
        <v>206</v>
      </c>
      <c r="AY151" s="106" t="s">
        <v>35</v>
      </c>
      <c r="AZ151" s="1" t="s">
        <v>206</v>
      </c>
      <c r="BA151" s="106" t="s">
        <v>206</v>
      </c>
      <c r="BB151" s="106" t="s">
        <v>206</v>
      </c>
      <c r="BC151" s="106" t="s">
        <v>206</v>
      </c>
      <c r="BD151" s="106" t="s">
        <v>206</v>
      </c>
      <c r="BE151" s="106" t="s">
        <v>206</v>
      </c>
      <c r="BF151" s="107">
        <f>IF(AZ151="Não","Sim","Não")</f>
      </c>
      <c r="BG151" s="107">
        <f>IF(AZ151="NA","Sim","Não")</f>
      </c>
      <c r="BH151" s="106" t="s">
        <v>206</v>
      </c>
      <c r="BI151" s="1" t="s">
        <v>237</v>
      </c>
      <c r="BJ151" s="106" t="s">
        <v>36</v>
      </c>
      <c r="BK151" s="1" t="s">
        <v>1247</v>
      </c>
      <c r="BL151" s="102">
        <v>40</v>
      </c>
      <c r="BM151" s="1" t="s">
        <v>208</v>
      </c>
      <c r="BN151" s="1" t="s">
        <v>208</v>
      </c>
      <c r="BO151" s="1" t="s">
        <v>1247</v>
      </c>
      <c r="BP151" s="102">
        <v>40</v>
      </c>
      <c r="BQ151" s="1" t="s">
        <v>206</v>
      </c>
      <c r="BR151" s="1" t="s">
        <v>227</v>
      </c>
      <c r="BS151" s="106" t="s">
        <v>37</v>
      </c>
    </row>
    <row x14ac:dyDescent="0.25" r="152" customHeight="1" ht="17.25">
      <c r="A152" s="102">
        <v>151</v>
      </c>
      <c r="B152" s="1" t="s">
        <v>1248</v>
      </c>
      <c r="C152" s="102">
        <v>1</v>
      </c>
      <c r="D152" s="61" t="s">
        <v>1249</v>
      </c>
      <c r="E152" s="1" t="s">
        <v>126</v>
      </c>
      <c r="F152" s="1" t="s">
        <v>170</v>
      </c>
      <c r="G152" s="1" t="s">
        <v>48</v>
      </c>
      <c r="H152" s="1" t="s">
        <v>1250</v>
      </c>
      <c r="I152" s="102">
        <v>1</v>
      </c>
      <c r="J152" s="1" t="s">
        <v>158</v>
      </c>
      <c r="K152" s="1" t="s">
        <v>22</v>
      </c>
      <c r="L152" s="103">
        <v>33615</v>
      </c>
      <c r="M152" s="104">
        <v>25</v>
      </c>
      <c r="N152" s="1" t="s">
        <v>176</v>
      </c>
      <c r="O152" s="1" t="s">
        <v>182</v>
      </c>
      <c r="P152" s="1" t="s">
        <v>464</v>
      </c>
      <c r="Q152" s="1" t="s">
        <v>1251</v>
      </c>
      <c r="R152" s="54" t="s">
        <v>1252</v>
      </c>
      <c r="S152" s="105">
        <v>51.5</v>
      </c>
      <c r="T152" s="54" t="s">
        <v>1253</v>
      </c>
      <c r="U152" s="102">
        <v>111</v>
      </c>
      <c r="V152" s="62">
        <v>0</v>
      </c>
      <c r="W152" s="102">
        <v>0</v>
      </c>
      <c r="X152" s="62">
        <v>0</v>
      </c>
      <c r="Y152" s="102">
        <v>0</v>
      </c>
      <c r="Z152" s="62">
        <v>0</v>
      </c>
      <c r="AA152" s="102">
        <v>0</v>
      </c>
      <c r="AB152" s="62">
        <v>0</v>
      </c>
      <c r="AC152" s="106" t="s">
        <v>206</v>
      </c>
      <c r="AD152" s="106" t="s">
        <v>206</v>
      </c>
      <c r="AE152" s="106" t="s">
        <v>206</v>
      </c>
      <c r="AF152" s="106" t="s">
        <v>206</v>
      </c>
      <c r="AG152" s="106" t="s">
        <v>206</v>
      </c>
      <c r="AH152" s="106" t="s">
        <v>206</v>
      </c>
      <c r="AI152" s="1" t="s">
        <v>357</v>
      </c>
      <c r="AJ152" s="1" t="s">
        <v>674</v>
      </c>
      <c r="AK152" s="1" t="s">
        <v>430</v>
      </c>
      <c r="AL152" s="1" t="s">
        <v>197</v>
      </c>
      <c r="AM152" s="106" t="s">
        <v>27</v>
      </c>
      <c r="AN152" s="1" t="s">
        <v>357</v>
      </c>
      <c r="AO152" s="1" t="s">
        <v>674</v>
      </c>
      <c r="AP152" s="1" t="s">
        <v>206</v>
      </c>
      <c r="AQ152" s="1" t="s">
        <v>441</v>
      </c>
      <c r="AR152" s="1" t="s">
        <v>206</v>
      </c>
      <c r="AS152" s="106" t="s">
        <v>206</v>
      </c>
      <c r="AT152" s="1" t="s">
        <v>206</v>
      </c>
      <c r="AU152" s="106" t="s">
        <v>206</v>
      </c>
      <c r="AV152" s="106" t="s">
        <v>206</v>
      </c>
      <c r="AW152" s="106" t="s">
        <v>35</v>
      </c>
      <c r="AX152" s="106" t="s">
        <v>206</v>
      </c>
      <c r="AY152" s="106" t="s">
        <v>206</v>
      </c>
      <c r="AZ152" s="1" t="s">
        <v>206</v>
      </c>
      <c r="BA152" s="106" t="s">
        <v>206</v>
      </c>
      <c r="BB152" s="106" t="s">
        <v>206</v>
      </c>
      <c r="BC152" s="106" t="s">
        <v>206</v>
      </c>
      <c r="BD152" s="106" t="s">
        <v>206</v>
      </c>
      <c r="BE152" s="106" t="s">
        <v>206</v>
      </c>
      <c r="BF152" s="107">
        <f>IF(AZ152="Não","Sim","Não")</f>
      </c>
      <c r="BG152" s="107">
        <f>IF(AZ152="NA","Sim","Não")</f>
      </c>
      <c r="BH152" s="106" t="s">
        <v>206</v>
      </c>
      <c r="BI152" s="1" t="s">
        <v>237</v>
      </c>
      <c r="BJ152" s="106" t="s">
        <v>36</v>
      </c>
      <c r="BK152" s="1" t="s">
        <v>1247</v>
      </c>
      <c r="BL152" s="102">
        <v>40</v>
      </c>
      <c r="BM152" s="1" t="s">
        <v>208</v>
      </c>
      <c r="BN152" s="1" t="s">
        <v>676</v>
      </c>
      <c r="BO152" s="1" t="s">
        <v>1254</v>
      </c>
      <c r="BP152" s="102">
        <v>50</v>
      </c>
      <c r="BQ152" s="1" t="s">
        <v>208</v>
      </c>
      <c r="BR152" s="1" t="s">
        <v>227</v>
      </c>
      <c r="BS152" s="106" t="s">
        <v>37</v>
      </c>
    </row>
    <row x14ac:dyDescent="0.25" r="153" customHeight="1" ht="17.25">
      <c r="A153" s="102">
        <v>152</v>
      </c>
      <c r="B153" s="1" t="s">
        <v>1255</v>
      </c>
      <c r="C153" s="102">
        <v>1</v>
      </c>
      <c r="D153" s="61" t="s">
        <v>1039</v>
      </c>
      <c r="E153" s="1" t="s">
        <v>126</v>
      </c>
      <c r="F153" s="1" t="s">
        <v>170</v>
      </c>
      <c r="G153" s="1" t="s">
        <v>48</v>
      </c>
      <c r="H153" s="1" t="s">
        <v>1256</v>
      </c>
      <c r="I153" s="102">
        <v>1</v>
      </c>
      <c r="J153" s="1" t="s">
        <v>163</v>
      </c>
      <c r="K153" s="1" t="s">
        <v>22</v>
      </c>
      <c r="L153" s="103">
        <v>33476</v>
      </c>
      <c r="M153" s="104">
        <v>25</v>
      </c>
      <c r="N153" s="1" t="s">
        <v>177</v>
      </c>
      <c r="O153" s="1" t="s">
        <v>24</v>
      </c>
      <c r="P153" s="1" t="s">
        <v>354</v>
      </c>
      <c r="Q153" s="1" t="s">
        <v>716</v>
      </c>
      <c r="R153" s="62">
        <v>0</v>
      </c>
      <c r="S153" s="102">
        <v>0</v>
      </c>
      <c r="T153" s="62">
        <v>0</v>
      </c>
      <c r="U153" s="102">
        <v>0</v>
      </c>
      <c r="V153" s="54" t="s">
        <v>1257</v>
      </c>
      <c r="W153" s="105">
        <v>5.5</v>
      </c>
      <c r="X153" s="62">
        <v>0</v>
      </c>
      <c r="Y153" s="102">
        <v>0</v>
      </c>
      <c r="Z153" s="62">
        <v>0</v>
      </c>
      <c r="AA153" s="102">
        <v>0</v>
      </c>
      <c r="AB153" s="62">
        <v>0</v>
      </c>
      <c r="AC153" s="106" t="s">
        <v>206</v>
      </c>
      <c r="AD153" s="106" t="s">
        <v>206</v>
      </c>
      <c r="AE153" s="106" t="s">
        <v>206</v>
      </c>
      <c r="AF153" s="106" t="s">
        <v>206</v>
      </c>
      <c r="AG153" s="106" t="s">
        <v>206</v>
      </c>
      <c r="AH153" s="106" t="s">
        <v>206</v>
      </c>
      <c r="AI153" s="1" t="s">
        <v>357</v>
      </c>
      <c r="AJ153" s="1" t="s">
        <v>206</v>
      </c>
      <c r="AK153" s="1" t="s">
        <v>1258</v>
      </c>
      <c r="AL153" s="1" t="s">
        <v>197</v>
      </c>
      <c r="AM153" s="106" t="s">
        <v>27</v>
      </c>
      <c r="AN153" s="1" t="s">
        <v>357</v>
      </c>
      <c r="AO153" s="1" t="s">
        <v>208</v>
      </c>
      <c r="AP153" s="1" t="s">
        <v>206</v>
      </c>
      <c r="AQ153" s="1" t="s">
        <v>441</v>
      </c>
      <c r="AR153" s="1" t="s">
        <v>206</v>
      </c>
      <c r="AS153" s="106" t="s">
        <v>206</v>
      </c>
      <c r="AT153" s="1" t="s">
        <v>206</v>
      </c>
      <c r="AU153" s="106" t="s">
        <v>206</v>
      </c>
      <c r="AV153" s="106" t="s">
        <v>206</v>
      </c>
      <c r="AW153" s="106" t="s">
        <v>35</v>
      </c>
      <c r="AX153" s="106" t="s">
        <v>206</v>
      </c>
      <c r="AY153" s="106" t="s">
        <v>206</v>
      </c>
      <c r="AZ153" s="1" t="s">
        <v>206</v>
      </c>
      <c r="BA153" s="106" t="s">
        <v>206</v>
      </c>
      <c r="BB153" s="106" t="s">
        <v>206</v>
      </c>
      <c r="BC153" s="106" t="s">
        <v>206</v>
      </c>
      <c r="BD153" s="106" t="s">
        <v>206</v>
      </c>
      <c r="BE153" s="106" t="s">
        <v>206</v>
      </c>
      <c r="BF153" s="107">
        <f>IF(AZ153="Não","Sim","Não")</f>
      </c>
      <c r="BG153" s="107">
        <f>IF(AZ153="NA","Sim","Não")</f>
      </c>
      <c r="BH153" s="106" t="s">
        <v>206</v>
      </c>
      <c r="BI153" s="1" t="s">
        <v>237</v>
      </c>
      <c r="BJ153" s="106" t="s">
        <v>36</v>
      </c>
      <c r="BK153" s="1" t="s">
        <v>1247</v>
      </c>
      <c r="BL153" s="102">
        <v>40</v>
      </c>
      <c r="BM153" s="1" t="s">
        <v>208</v>
      </c>
      <c r="BN153" s="1" t="s">
        <v>208</v>
      </c>
      <c r="BO153" s="1" t="s">
        <v>1247</v>
      </c>
      <c r="BP153" s="102">
        <v>40</v>
      </c>
      <c r="BQ153" s="1" t="s">
        <v>206</v>
      </c>
      <c r="BR153" s="1" t="s">
        <v>227</v>
      </c>
      <c r="BS153" s="106" t="s">
        <v>37</v>
      </c>
    </row>
    <row x14ac:dyDescent="0.25" r="154" customHeight="1" ht="17.25">
      <c r="A154" s="102">
        <v>153</v>
      </c>
      <c r="B154" s="1" t="s">
        <v>1259</v>
      </c>
      <c r="C154" s="102">
        <v>1</v>
      </c>
      <c r="D154" s="61">
        <v>42832</v>
      </c>
      <c r="E154" s="1" t="s">
        <v>78</v>
      </c>
      <c r="F154" s="1" t="s">
        <v>22</v>
      </c>
      <c r="G154" s="1" t="s">
        <v>64</v>
      </c>
      <c r="H154" s="1" t="s">
        <v>1260</v>
      </c>
      <c r="I154" s="102">
        <v>1</v>
      </c>
      <c r="J154" s="1" t="s">
        <v>158</v>
      </c>
      <c r="K154" s="1" t="s">
        <v>22</v>
      </c>
      <c r="L154" s="103">
        <v>34765</v>
      </c>
      <c r="M154" s="104">
        <v>22</v>
      </c>
      <c r="N154" s="1" t="s">
        <v>178</v>
      </c>
      <c r="O154" s="1" t="s">
        <v>24</v>
      </c>
      <c r="P154" s="1" t="s">
        <v>365</v>
      </c>
      <c r="Q154" s="1" t="s">
        <v>1261</v>
      </c>
      <c r="R154" s="54" t="s">
        <v>1262</v>
      </c>
      <c r="S154" s="105">
        <v>2651.7</v>
      </c>
      <c r="T154" s="54" t="s">
        <v>1263</v>
      </c>
      <c r="U154" s="105">
        <v>83.1</v>
      </c>
      <c r="V154" s="54" t="s">
        <v>1264</v>
      </c>
      <c r="W154" s="105">
        <v>239.4</v>
      </c>
      <c r="X154" s="62">
        <v>0</v>
      </c>
      <c r="Y154" s="102">
        <v>0</v>
      </c>
      <c r="Z154" s="62">
        <v>0</v>
      </c>
      <c r="AA154" s="102">
        <v>0</v>
      </c>
      <c r="AB154" s="62">
        <v>0</v>
      </c>
      <c r="AC154" s="106" t="s">
        <v>206</v>
      </c>
      <c r="AD154" s="106" t="s">
        <v>206</v>
      </c>
      <c r="AE154" s="106" t="s">
        <v>206</v>
      </c>
      <c r="AF154" s="106" t="s">
        <v>206</v>
      </c>
      <c r="AG154" s="106" t="s">
        <v>206</v>
      </c>
      <c r="AH154" s="106" t="s">
        <v>206</v>
      </c>
      <c r="AI154" s="1" t="s">
        <v>357</v>
      </c>
      <c r="AJ154" s="1" t="s">
        <v>1265</v>
      </c>
      <c r="AK154" s="1" t="s">
        <v>373</v>
      </c>
      <c r="AL154" s="1" t="s">
        <v>198</v>
      </c>
      <c r="AM154" s="106" t="s">
        <v>27</v>
      </c>
      <c r="AN154" s="1" t="s">
        <v>357</v>
      </c>
      <c r="AO154" s="1" t="s">
        <v>1221</v>
      </c>
      <c r="AP154" s="1" t="s">
        <v>206</v>
      </c>
      <c r="AQ154" s="1" t="s">
        <v>441</v>
      </c>
      <c r="AR154" s="1" t="s">
        <v>206</v>
      </c>
      <c r="AS154" s="106" t="s">
        <v>206</v>
      </c>
      <c r="AT154" s="1" t="s">
        <v>206</v>
      </c>
      <c r="AU154" s="106" t="s">
        <v>206</v>
      </c>
      <c r="AV154" s="106" t="s">
        <v>206</v>
      </c>
      <c r="AW154" s="106" t="s">
        <v>35</v>
      </c>
      <c r="AX154" s="106" t="s">
        <v>206</v>
      </c>
      <c r="AY154" s="106" t="s">
        <v>206</v>
      </c>
      <c r="AZ154" s="1" t="s">
        <v>218</v>
      </c>
      <c r="BA154" s="106" t="s">
        <v>206</v>
      </c>
      <c r="BB154" s="106" t="s">
        <v>206</v>
      </c>
      <c r="BC154" s="106" t="s">
        <v>206</v>
      </c>
      <c r="BD154" s="106" t="s">
        <v>35</v>
      </c>
      <c r="BE154" s="106" t="s">
        <v>206</v>
      </c>
      <c r="BF154" s="107">
        <f>IF(AZ154="Não","Sim","Não")</f>
      </c>
      <c r="BG154" s="107">
        <f>IF(AZ154="NA","Sim","Não")</f>
      </c>
      <c r="BH154" s="106" t="s">
        <v>35</v>
      </c>
      <c r="BI154" s="1" t="s">
        <v>237</v>
      </c>
      <c r="BJ154" s="106" t="s">
        <v>36</v>
      </c>
      <c r="BK154" s="1" t="s">
        <v>1266</v>
      </c>
      <c r="BL154" s="102">
        <v>42</v>
      </c>
      <c r="BM154" s="1" t="s">
        <v>208</v>
      </c>
      <c r="BN154" s="1" t="s">
        <v>218</v>
      </c>
      <c r="BO154" s="1" t="s">
        <v>1266</v>
      </c>
      <c r="BP154" s="102">
        <v>42</v>
      </c>
      <c r="BQ154" s="1" t="s">
        <v>206</v>
      </c>
      <c r="BR154" s="1" t="s">
        <v>228</v>
      </c>
      <c r="BS154" s="106" t="s">
        <v>228</v>
      </c>
    </row>
    <row x14ac:dyDescent="0.25" r="155" customHeight="1" ht="17.25">
      <c r="A155" s="102">
        <v>154</v>
      </c>
      <c r="B155" s="1" t="s">
        <v>1259</v>
      </c>
      <c r="C155" s="102">
        <v>0</v>
      </c>
      <c r="D155" s="61">
        <v>42832</v>
      </c>
      <c r="E155" s="1" t="s">
        <v>78</v>
      </c>
      <c r="F155" s="1" t="s">
        <v>22</v>
      </c>
      <c r="G155" s="1" t="s">
        <v>64</v>
      </c>
      <c r="H155" s="1" t="s">
        <v>1267</v>
      </c>
      <c r="I155" s="102">
        <v>1</v>
      </c>
      <c r="J155" s="1" t="s">
        <v>158</v>
      </c>
      <c r="K155" s="1" t="s">
        <v>22</v>
      </c>
      <c r="L155" s="103">
        <v>35486</v>
      </c>
      <c r="M155" s="104">
        <v>20</v>
      </c>
      <c r="N155" s="1" t="s">
        <v>175</v>
      </c>
      <c r="O155" s="1" t="s">
        <v>24</v>
      </c>
      <c r="P155" s="1" t="s">
        <v>365</v>
      </c>
      <c r="Q155" s="1" t="s">
        <v>1261</v>
      </c>
      <c r="R155" s="54" t="s">
        <v>1262</v>
      </c>
      <c r="S155" s="105">
        <v>2651.7</v>
      </c>
      <c r="T155" s="54" t="s">
        <v>1263</v>
      </c>
      <c r="U155" s="105">
        <v>83.1</v>
      </c>
      <c r="V155" s="54" t="s">
        <v>1264</v>
      </c>
      <c r="W155" s="105">
        <v>239.4</v>
      </c>
      <c r="X155" s="62">
        <v>0</v>
      </c>
      <c r="Y155" s="102">
        <v>0</v>
      </c>
      <c r="Z155" s="62">
        <v>0</v>
      </c>
      <c r="AA155" s="102">
        <v>0</v>
      </c>
      <c r="AB155" s="62">
        <v>0</v>
      </c>
      <c r="AC155" s="106" t="s">
        <v>206</v>
      </c>
      <c r="AD155" s="106" t="s">
        <v>206</v>
      </c>
      <c r="AE155" s="106" t="s">
        <v>206</v>
      </c>
      <c r="AF155" s="106" t="s">
        <v>206</v>
      </c>
      <c r="AG155" s="106" t="s">
        <v>206</v>
      </c>
      <c r="AH155" s="106" t="s">
        <v>206</v>
      </c>
      <c r="AI155" s="1" t="s">
        <v>357</v>
      </c>
      <c r="AJ155" s="1" t="s">
        <v>1265</v>
      </c>
      <c r="AK155" s="1" t="s">
        <v>373</v>
      </c>
      <c r="AL155" s="1" t="s">
        <v>198</v>
      </c>
      <c r="AM155" s="106" t="s">
        <v>27</v>
      </c>
      <c r="AN155" s="1" t="s">
        <v>357</v>
      </c>
      <c r="AO155" s="1" t="s">
        <v>1221</v>
      </c>
      <c r="AP155" s="1" t="s">
        <v>206</v>
      </c>
      <c r="AQ155" s="1" t="s">
        <v>441</v>
      </c>
      <c r="AR155" s="1" t="s">
        <v>206</v>
      </c>
      <c r="AS155" s="106" t="s">
        <v>206</v>
      </c>
      <c r="AT155" s="1" t="s">
        <v>206</v>
      </c>
      <c r="AU155" s="106" t="s">
        <v>206</v>
      </c>
      <c r="AV155" s="106" t="s">
        <v>206</v>
      </c>
      <c r="AW155" s="106" t="s">
        <v>35</v>
      </c>
      <c r="AX155" s="106" t="s">
        <v>206</v>
      </c>
      <c r="AY155" s="106" t="s">
        <v>206</v>
      </c>
      <c r="AZ155" s="1" t="s">
        <v>218</v>
      </c>
      <c r="BA155" s="106" t="s">
        <v>206</v>
      </c>
      <c r="BB155" s="106" t="s">
        <v>206</v>
      </c>
      <c r="BC155" s="106" t="s">
        <v>206</v>
      </c>
      <c r="BD155" s="106" t="s">
        <v>35</v>
      </c>
      <c r="BE155" s="106" t="s">
        <v>206</v>
      </c>
      <c r="BF155" s="107">
        <f>IF(AZ155="Não","Sim","Não")</f>
      </c>
      <c r="BG155" s="107">
        <f>IF(AZ155="NA","Sim","Não")</f>
      </c>
      <c r="BH155" s="106" t="s">
        <v>35</v>
      </c>
      <c r="BI155" s="1" t="s">
        <v>237</v>
      </c>
      <c r="BJ155" s="106" t="s">
        <v>36</v>
      </c>
      <c r="BK155" s="1" t="s">
        <v>1266</v>
      </c>
      <c r="BL155" s="102">
        <v>42</v>
      </c>
      <c r="BM155" s="1" t="s">
        <v>208</v>
      </c>
      <c r="BN155" s="1" t="s">
        <v>218</v>
      </c>
      <c r="BO155" s="1" t="s">
        <v>1266</v>
      </c>
      <c r="BP155" s="102">
        <v>42</v>
      </c>
      <c r="BQ155" s="1" t="s">
        <v>206</v>
      </c>
      <c r="BR155" s="1" t="s">
        <v>228</v>
      </c>
      <c r="BS155" s="106" t="s">
        <v>228</v>
      </c>
    </row>
    <row x14ac:dyDescent="0.25" r="156" customHeight="1" ht="17.25">
      <c r="A156" s="102">
        <v>155</v>
      </c>
      <c r="B156" s="1" t="s">
        <v>1259</v>
      </c>
      <c r="C156" s="102">
        <v>0</v>
      </c>
      <c r="D156" s="61">
        <v>42832</v>
      </c>
      <c r="E156" s="1" t="s">
        <v>78</v>
      </c>
      <c r="F156" s="1" t="s">
        <v>22</v>
      </c>
      <c r="G156" s="1" t="s">
        <v>64</v>
      </c>
      <c r="H156" s="1" t="s">
        <v>1268</v>
      </c>
      <c r="I156" s="102">
        <v>1</v>
      </c>
      <c r="J156" s="1" t="s">
        <v>158</v>
      </c>
      <c r="K156" s="1" t="s">
        <v>22</v>
      </c>
      <c r="L156" s="103">
        <v>34128</v>
      </c>
      <c r="M156" s="104">
        <v>23</v>
      </c>
      <c r="N156" s="1" t="s">
        <v>175</v>
      </c>
      <c r="O156" s="1" t="s">
        <v>24</v>
      </c>
      <c r="P156" s="1" t="s">
        <v>365</v>
      </c>
      <c r="Q156" s="1" t="s">
        <v>1261</v>
      </c>
      <c r="R156" s="54" t="s">
        <v>1262</v>
      </c>
      <c r="S156" s="105">
        <v>2651.7</v>
      </c>
      <c r="T156" s="54" t="s">
        <v>1263</v>
      </c>
      <c r="U156" s="105">
        <v>83.1</v>
      </c>
      <c r="V156" s="54" t="s">
        <v>1264</v>
      </c>
      <c r="W156" s="105">
        <v>239.4</v>
      </c>
      <c r="X156" s="62">
        <v>0</v>
      </c>
      <c r="Y156" s="102">
        <v>0</v>
      </c>
      <c r="Z156" s="62">
        <v>0</v>
      </c>
      <c r="AA156" s="102">
        <v>0</v>
      </c>
      <c r="AB156" s="62">
        <v>0</v>
      </c>
      <c r="AC156" s="106" t="s">
        <v>206</v>
      </c>
      <c r="AD156" s="106" t="s">
        <v>206</v>
      </c>
      <c r="AE156" s="106" t="s">
        <v>206</v>
      </c>
      <c r="AF156" s="106" t="s">
        <v>206</v>
      </c>
      <c r="AG156" s="106" t="s">
        <v>206</v>
      </c>
      <c r="AH156" s="106" t="s">
        <v>206</v>
      </c>
      <c r="AI156" s="1" t="s">
        <v>357</v>
      </c>
      <c r="AJ156" s="1" t="s">
        <v>1265</v>
      </c>
      <c r="AK156" s="1" t="s">
        <v>373</v>
      </c>
      <c r="AL156" s="1" t="s">
        <v>198</v>
      </c>
      <c r="AM156" s="106" t="s">
        <v>27</v>
      </c>
      <c r="AN156" s="1" t="s">
        <v>357</v>
      </c>
      <c r="AO156" s="1" t="s">
        <v>1221</v>
      </c>
      <c r="AP156" s="1" t="s">
        <v>206</v>
      </c>
      <c r="AQ156" s="1" t="s">
        <v>441</v>
      </c>
      <c r="AR156" s="1" t="s">
        <v>206</v>
      </c>
      <c r="AS156" s="106" t="s">
        <v>206</v>
      </c>
      <c r="AT156" s="1" t="s">
        <v>206</v>
      </c>
      <c r="AU156" s="106" t="s">
        <v>206</v>
      </c>
      <c r="AV156" s="106" t="s">
        <v>206</v>
      </c>
      <c r="AW156" s="106" t="s">
        <v>35</v>
      </c>
      <c r="AX156" s="106" t="s">
        <v>206</v>
      </c>
      <c r="AY156" s="106" t="s">
        <v>206</v>
      </c>
      <c r="AZ156" s="1" t="s">
        <v>218</v>
      </c>
      <c r="BA156" s="106" t="s">
        <v>206</v>
      </c>
      <c r="BB156" s="106" t="s">
        <v>206</v>
      </c>
      <c r="BC156" s="106" t="s">
        <v>206</v>
      </c>
      <c r="BD156" s="106" t="s">
        <v>35</v>
      </c>
      <c r="BE156" s="106" t="s">
        <v>206</v>
      </c>
      <c r="BF156" s="107">
        <f>IF(AZ156="Não","Sim","Não")</f>
      </c>
      <c r="BG156" s="107">
        <f>IF(AZ156="NA","Sim","Não")</f>
      </c>
      <c r="BH156" s="106" t="s">
        <v>35</v>
      </c>
      <c r="BI156" s="1" t="s">
        <v>237</v>
      </c>
      <c r="BJ156" s="106" t="s">
        <v>36</v>
      </c>
      <c r="BK156" s="1" t="s">
        <v>1266</v>
      </c>
      <c r="BL156" s="102">
        <v>42</v>
      </c>
      <c r="BM156" s="1" t="s">
        <v>208</v>
      </c>
      <c r="BN156" s="1" t="s">
        <v>218</v>
      </c>
      <c r="BO156" s="1" t="s">
        <v>1266</v>
      </c>
      <c r="BP156" s="102">
        <v>42</v>
      </c>
      <c r="BQ156" s="1" t="s">
        <v>206</v>
      </c>
      <c r="BR156" s="1" t="s">
        <v>228</v>
      </c>
      <c r="BS156" s="106" t="s">
        <v>228</v>
      </c>
    </row>
    <row x14ac:dyDescent="0.25" r="157" customHeight="1" ht="17.25">
      <c r="A157" s="102">
        <v>156</v>
      </c>
      <c r="B157" s="1" t="s">
        <v>1269</v>
      </c>
      <c r="C157" s="102">
        <v>1</v>
      </c>
      <c r="D157" s="61" t="s">
        <v>714</v>
      </c>
      <c r="E157" s="1" t="s">
        <v>109</v>
      </c>
      <c r="F157" s="1" t="s">
        <v>22</v>
      </c>
      <c r="G157" s="1" t="s">
        <v>69</v>
      </c>
      <c r="H157" s="1" t="s">
        <v>1270</v>
      </c>
      <c r="I157" s="102">
        <v>1</v>
      </c>
      <c r="J157" s="1" t="s">
        <v>158</v>
      </c>
      <c r="K157" s="1" t="s">
        <v>22</v>
      </c>
      <c r="L157" s="103">
        <v>35029</v>
      </c>
      <c r="M157" s="104">
        <v>21</v>
      </c>
      <c r="N157" s="1" t="s">
        <v>175</v>
      </c>
      <c r="O157" s="1" t="s">
        <v>24</v>
      </c>
      <c r="P157" s="1" t="s">
        <v>464</v>
      </c>
      <c r="Q157" s="1" t="s">
        <v>1271</v>
      </c>
      <c r="R157" s="54" t="s">
        <v>1272</v>
      </c>
      <c r="S157" s="102">
        <v>190</v>
      </c>
      <c r="T157" s="54" t="s">
        <v>1273</v>
      </c>
      <c r="U157" s="105">
        <v>312.6</v>
      </c>
      <c r="V157" s="54" t="s">
        <v>1274</v>
      </c>
      <c r="W157" s="105">
        <v>232.7</v>
      </c>
      <c r="X157" s="62">
        <v>0</v>
      </c>
      <c r="Y157" s="102">
        <v>0</v>
      </c>
      <c r="Z157" s="62">
        <v>0</v>
      </c>
      <c r="AA157" s="102">
        <v>0</v>
      </c>
      <c r="AB157" s="62">
        <v>0</v>
      </c>
      <c r="AC157" s="106" t="s">
        <v>206</v>
      </c>
      <c r="AD157" s="106" t="s">
        <v>206</v>
      </c>
      <c r="AE157" s="106" t="s">
        <v>206</v>
      </c>
      <c r="AF157" s="106" t="s">
        <v>206</v>
      </c>
      <c r="AG157" s="106" t="s">
        <v>206</v>
      </c>
      <c r="AH157" s="106" t="s">
        <v>206</v>
      </c>
      <c r="AI157" s="1" t="s">
        <v>357</v>
      </c>
      <c r="AJ157" s="1" t="s">
        <v>206</v>
      </c>
      <c r="AK157" s="1" t="s">
        <v>1275</v>
      </c>
      <c r="AL157" s="1" t="s">
        <v>197</v>
      </c>
      <c r="AM157" s="106" t="s">
        <v>27</v>
      </c>
      <c r="AN157" s="1" t="s">
        <v>357</v>
      </c>
      <c r="AO157" s="1" t="s">
        <v>208</v>
      </c>
      <c r="AP157" s="1" t="s">
        <v>206</v>
      </c>
      <c r="AQ157" s="1" t="s">
        <v>441</v>
      </c>
      <c r="AR157" s="1" t="s">
        <v>206</v>
      </c>
      <c r="AS157" s="106" t="s">
        <v>206</v>
      </c>
      <c r="AT157" s="1" t="s">
        <v>206</v>
      </c>
      <c r="AU157" s="106" t="s">
        <v>206</v>
      </c>
      <c r="AV157" s="106" t="s">
        <v>206</v>
      </c>
      <c r="AW157" s="106" t="s">
        <v>35</v>
      </c>
      <c r="AX157" s="106" t="s">
        <v>206</v>
      </c>
      <c r="AY157" s="106" t="s">
        <v>206</v>
      </c>
      <c r="AZ157" s="1" t="s">
        <v>206</v>
      </c>
      <c r="BA157" s="106" t="s">
        <v>206</v>
      </c>
      <c r="BB157" s="106" t="s">
        <v>206</v>
      </c>
      <c r="BC157" s="106" t="s">
        <v>206</v>
      </c>
      <c r="BD157" s="106" t="s">
        <v>206</v>
      </c>
      <c r="BE157" s="106" t="s">
        <v>206</v>
      </c>
      <c r="BF157" s="107">
        <f>IF(AZ157="Não","Sim","Não")</f>
      </c>
      <c r="BG157" s="107">
        <f>IF(AZ157="NA","Sim","Não")</f>
      </c>
      <c r="BH157" s="106" t="s">
        <v>206</v>
      </c>
      <c r="BI157" s="1" t="s">
        <v>237</v>
      </c>
      <c r="BJ157" s="106" t="s">
        <v>36</v>
      </c>
      <c r="BK157" s="1" t="s">
        <v>1276</v>
      </c>
      <c r="BL157" s="102">
        <v>48</v>
      </c>
      <c r="BM157" s="1" t="s">
        <v>208</v>
      </c>
      <c r="BN157" s="1" t="s">
        <v>208</v>
      </c>
      <c r="BO157" s="1" t="s">
        <v>1276</v>
      </c>
      <c r="BP157" s="102">
        <v>48</v>
      </c>
      <c r="BQ157" s="1" t="s">
        <v>35</v>
      </c>
      <c r="BR157" s="1" t="s">
        <v>208</v>
      </c>
      <c r="BS157" s="106" t="s">
        <v>208</v>
      </c>
    </row>
    <row x14ac:dyDescent="0.25" r="158" customHeight="1" ht="17.25">
      <c r="A158" s="102">
        <v>157</v>
      </c>
      <c r="B158" s="1" t="s">
        <v>1277</v>
      </c>
      <c r="C158" s="102">
        <v>1</v>
      </c>
      <c r="D158" s="61" t="s">
        <v>1278</v>
      </c>
      <c r="E158" s="1" t="s">
        <v>102</v>
      </c>
      <c r="F158" s="1" t="s">
        <v>22</v>
      </c>
      <c r="G158" s="1" t="s">
        <v>56</v>
      </c>
      <c r="H158" s="1" t="s">
        <v>1279</v>
      </c>
      <c r="I158" s="102">
        <v>1</v>
      </c>
      <c r="J158" s="1" t="s">
        <v>159</v>
      </c>
      <c r="K158" s="1" t="s">
        <v>22</v>
      </c>
      <c r="L158" s="103">
        <v>28579</v>
      </c>
      <c r="M158" s="104">
        <v>39</v>
      </c>
      <c r="N158" s="1" t="s">
        <v>176</v>
      </c>
      <c r="O158" s="1" t="s">
        <v>182</v>
      </c>
      <c r="P158" s="1" t="s">
        <v>615</v>
      </c>
      <c r="Q158" s="1" t="s">
        <v>1280</v>
      </c>
      <c r="R158" s="54" t="s">
        <v>1281</v>
      </c>
      <c r="S158" s="105">
        <v>842.2</v>
      </c>
      <c r="T158" s="54" t="s">
        <v>1282</v>
      </c>
      <c r="U158" s="105">
        <v>291.7</v>
      </c>
      <c r="V158" s="54" t="s">
        <v>1283</v>
      </c>
      <c r="W158" s="105">
        <v>1961.4</v>
      </c>
      <c r="X158" s="62">
        <v>0</v>
      </c>
      <c r="Y158" s="102">
        <v>0</v>
      </c>
      <c r="Z158" s="62">
        <v>0</v>
      </c>
      <c r="AA158" s="102">
        <v>0</v>
      </c>
      <c r="AB158" s="62">
        <v>0</v>
      </c>
      <c r="AC158" s="106" t="s">
        <v>206</v>
      </c>
      <c r="AD158" s="106" t="s">
        <v>206</v>
      </c>
      <c r="AE158" s="106" t="s">
        <v>206</v>
      </c>
      <c r="AF158" s="106" t="s">
        <v>206</v>
      </c>
      <c r="AG158" s="106" t="s">
        <v>206</v>
      </c>
      <c r="AH158" s="106" t="s">
        <v>206</v>
      </c>
      <c r="AI158" s="1" t="s">
        <v>371</v>
      </c>
      <c r="AJ158" s="1" t="s">
        <v>206</v>
      </c>
      <c r="AK158" s="1" t="s">
        <v>384</v>
      </c>
      <c r="AL158" s="1" t="s">
        <v>198</v>
      </c>
      <c r="AM158" s="106" t="s">
        <v>27</v>
      </c>
      <c r="AN158" s="1" t="s">
        <v>357</v>
      </c>
      <c r="AO158" s="1" t="s">
        <v>208</v>
      </c>
      <c r="AP158" s="1" t="s">
        <v>206</v>
      </c>
      <c r="AQ158" s="1" t="s">
        <v>441</v>
      </c>
      <c r="AR158" s="1" t="s">
        <v>206</v>
      </c>
      <c r="AS158" s="106" t="s">
        <v>206</v>
      </c>
      <c r="AT158" s="1" t="s">
        <v>206</v>
      </c>
      <c r="AU158" s="106" t="s">
        <v>206</v>
      </c>
      <c r="AV158" s="106" t="s">
        <v>206</v>
      </c>
      <c r="AW158" s="106" t="s">
        <v>35</v>
      </c>
      <c r="AX158" s="106" t="s">
        <v>206</v>
      </c>
      <c r="AY158" s="106" t="s">
        <v>206</v>
      </c>
      <c r="AZ158" s="1" t="s">
        <v>206</v>
      </c>
      <c r="BA158" s="106" t="s">
        <v>206</v>
      </c>
      <c r="BB158" s="106" t="s">
        <v>206</v>
      </c>
      <c r="BC158" s="106" t="s">
        <v>206</v>
      </c>
      <c r="BD158" s="106" t="s">
        <v>206</v>
      </c>
      <c r="BE158" s="106" t="s">
        <v>206</v>
      </c>
      <c r="BF158" s="107">
        <f>IF(AZ158="Não","Sim","Não")</f>
      </c>
      <c r="BG158" s="107">
        <f>IF(AZ158="NA","Sim","Não")</f>
      </c>
      <c r="BH158" s="106" t="s">
        <v>206</v>
      </c>
      <c r="BI158" s="1" t="s">
        <v>237</v>
      </c>
      <c r="BJ158" s="106" t="s">
        <v>36</v>
      </c>
      <c r="BK158" s="1" t="s">
        <v>1276</v>
      </c>
      <c r="BL158" s="102">
        <v>48</v>
      </c>
      <c r="BM158" s="1" t="s">
        <v>208</v>
      </c>
      <c r="BN158" s="1" t="s">
        <v>208</v>
      </c>
      <c r="BO158" s="1" t="s">
        <v>1276</v>
      </c>
      <c r="BP158" s="102">
        <v>48</v>
      </c>
      <c r="BQ158" s="1" t="s">
        <v>206</v>
      </c>
      <c r="BR158" s="1" t="s">
        <v>227</v>
      </c>
      <c r="BS158" s="106" t="s">
        <v>37</v>
      </c>
    </row>
    <row x14ac:dyDescent="0.25" r="159" customHeight="1" ht="17.25">
      <c r="A159" s="102">
        <v>158</v>
      </c>
      <c r="B159" s="1" t="s">
        <v>1284</v>
      </c>
      <c r="C159" s="102">
        <v>1</v>
      </c>
      <c r="D159" s="61" t="s">
        <v>1285</v>
      </c>
      <c r="E159" s="1" t="s">
        <v>83</v>
      </c>
      <c r="F159" s="1" t="s">
        <v>22</v>
      </c>
      <c r="G159" s="1" t="s">
        <v>68</v>
      </c>
      <c r="H159" s="1" t="s">
        <v>1286</v>
      </c>
      <c r="I159" s="102">
        <v>1</v>
      </c>
      <c r="J159" s="1" t="s">
        <v>158</v>
      </c>
      <c r="K159" s="1" t="s">
        <v>22</v>
      </c>
      <c r="L159" s="103">
        <v>31960</v>
      </c>
      <c r="M159" s="104">
        <v>30</v>
      </c>
      <c r="N159" s="1" t="s">
        <v>175</v>
      </c>
      <c r="O159" s="1" t="s">
        <v>24</v>
      </c>
      <c r="P159" s="1" t="s">
        <v>365</v>
      </c>
      <c r="Q159" s="1" t="s">
        <v>1287</v>
      </c>
      <c r="R159" s="54" t="s">
        <v>1288</v>
      </c>
      <c r="S159" s="105">
        <v>82.3</v>
      </c>
      <c r="T159" s="54" t="s">
        <v>1289</v>
      </c>
      <c r="U159" s="105">
        <v>170.9</v>
      </c>
      <c r="V159" s="54" t="s">
        <v>1290</v>
      </c>
      <c r="W159" s="105">
        <v>14.1</v>
      </c>
      <c r="X159" s="62">
        <v>0</v>
      </c>
      <c r="Y159" s="102">
        <v>0</v>
      </c>
      <c r="Z159" s="62">
        <v>0</v>
      </c>
      <c r="AA159" s="102">
        <v>0</v>
      </c>
      <c r="AB159" s="62">
        <v>0</v>
      </c>
      <c r="AC159" s="106" t="s">
        <v>206</v>
      </c>
      <c r="AD159" s="106" t="s">
        <v>206</v>
      </c>
      <c r="AE159" s="106" t="s">
        <v>206</v>
      </c>
      <c r="AF159" s="106" t="s">
        <v>206</v>
      </c>
      <c r="AG159" s="106" t="s">
        <v>206</v>
      </c>
      <c r="AH159" s="106" t="s">
        <v>206</v>
      </c>
      <c r="AI159" s="1" t="s">
        <v>357</v>
      </c>
      <c r="AJ159" s="1" t="s">
        <v>206</v>
      </c>
      <c r="AK159" s="1" t="s">
        <v>373</v>
      </c>
      <c r="AL159" s="1" t="s">
        <v>197</v>
      </c>
      <c r="AM159" s="106" t="s">
        <v>27</v>
      </c>
      <c r="AN159" s="1" t="s">
        <v>357</v>
      </c>
      <c r="AO159" s="1" t="s">
        <v>208</v>
      </c>
      <c r="AP159" s="1" t="s">
        <v>206</v>
      </c>
      <c r="AQ159" s="1" t="s">
        <v>441</v>
      </c>
      <c r="AR159" s="1" t="s">
        <v>206</v>
      </c>
      <c r="AS159" s="106" t="s">
        <v>206</v>
      </c>
      <c r="AT159" s="1" t="s">
        <v>206</v>
      </c>
      <c r="AU159" s="106" t="s">
        <v>206</v>
      </c>
      <c r="AV159" s="106" t="s">
        <v>206</v>
      </c>
      <c r="AW159" s="106" t="s">
        <v>35</v>
      </c>
      <c r="AX159" s="106" t="s">
        <v>206</v>
      </c>
      <c r="AY159" s="106" t="s">
        <v>206</v>
      </c>
      <c r="AZ159" s="1" t="s">
        <v>206</v>
      </c>
      <c r="BA159" s="106" t="s">
        <v>206</v>
      </c>
      <c r="BB159" s="106" t="s">
        <v>206</v>
      </c>
      <c r="BC159" s="106" t="s">
        <v>206</v>
      </c>
      <c r="BD159" s="106" t="s">
        <v>206</v>
      </c>
      <c r="BE159" s="106" t="s">
        <v>206</v>
      </c>
      <c r="BF159" s="107">
        <f>IF(AZ159="Não","Sim","Não")</f>
      </c>
      <c r="BG159" s="107">
        <f>IF(AZ159="NA","Sim","Não")</f>
      </c>
      <c r="BH159" s="106" t="s">
        <v>206</v>
      </c>
      <c r="BI159" s="1" t="s">
        <v>237</v>
      </c>
      <c r="BJ159" s="106" t="s">
        <v>36</v>
      </c>
      <c r="BK159" s="1" t="s">
        <v>1276</v>
      </c>
      <c r="BL159" s="102">
        <v>48</v>
      </c>
      <c r="BM159" s="1" t="s">
        <v>208</v>
      </c>
      <c r="BN159" s="1" t="s">
        <v>208</v>
      </c>
      <c r="BO159" s="1" t="s">
        <v>1276</v>
      </c>
      <c r="BP159" s="102">
        <v>48</v>
      </c>
      <c r="BQ159" s="1" t="s">
        <v>206</v>
      </c>
      <c r="BR159" s="1" t="s">
        <v>228</v>
      </c>
      <c r="BS159" s="106" t="s">
        <v>228</v>
      </c>
    </row>
    <row x14ac:dyDescent="0.25" r="160" customHeight="1" ht="17.25">
      <c r="A160" s="102">
        <v>159</v>
      </c>
      <c r="B160" s="1" t="s">
        <v>1291</v>
      </c>
      <c r="C160" s="102">
        <v>1</v>
      </c>
      <c r="D160" s="61" t="s">
        <v>1292</v>
      </c>
      <c r="E160" s="1" t="s">
        <v>146</v>
      </c>
      <c r="F160" s="1" t="s">
        <v>22</v>
      </c>
      <c r="G160" s="1" t="s">
        <v>69</v>
      </c>
      <c r="H160" s="1" t="s">
        <v>1293</v>
      </c>
      <c r="I160" s="102">
        <v>1</v>
      </c>
      <c r="J160" s="1" t="s">
        <v>159</v>
      </c>
      <c r="K160" s="1" t="s">
        <v>22</v>
      </c>
      <c r="L160" s="103">
        <v>30932</v>
      </c>
      <c r="M160" s="104">
        <v>33</v>
      </c>
      <c r="N160" s="1" t="s">
        <v>176</v>
      </c>
      <c r="O160" s="1" t="s">
        <v>182</v>
      </c>
      <c r="P160" s="1" t="s">
        <v>365</v>
      </c>
      <c r="Q160" s="1" t="s">
        <v>1294</v>
      </c>
      <c r="R160" s="54" t="s">
        <v>1295</v>
      </c>
      <c r="S160" s="102">
        <v>1906</v>
      </c>
      <c r="T160" s="62">
        <v>0</v>
      </c>
      <c r="U160" s="102">
        <v>0</v>
      </c>
      <c r="V160" s="62">
        <v>0</v>
      </c>
      <c r="W160" s="102">
        <v>0</v>
      </c>
      <c r="X160" s="62">
        <v>0</v>
      </c>
      <c r="Y160" s="102">
        <v>0</v>
      </c>
      <c r="Z160" s="62">
        <v>0</v>
      </c>
      <c r="AA160" s="102">
        <v>0</v>
      </c>
      <c r="AB160" s="62">
        <v>0</v>
      </c>
      <c r="AC160" s="106" t="s">
        <v>206</v>
      </c>
      <c r="AD160" s="106" t="s">
        <v>206</v>
      </c>
      <c r="AE160" s="106" t="s">
        <v>206</v>
      </c>
      <c r="AF160" s="106" t="s">
        <v>206</v>
      </c>
      <c r="AG160" s="106" t="s">
        <v>206</v>
      </c>
      <c r="AH160" s="106" t="s">
        <v>206</v>
      </c>
      <c r="AI160" s="1" t="s">
        <v>357</v>
      </c>
      <c r="AJ160" s="1" t="s">
        <v>206</v>
      </c>
      <c r="AK160" s="1" t="s">
        <v>1296</v>
      </c>
      <c r="AL160" s="1" t="s">
        <v>197</v>
      </c>
      <c r="AM160" s="106" t="s">
        <v>27</v>
      </c>
      <c r="AN160" s="1" t="s">
        <v>357</v>
      </c>
      <c r="AO160" s="1" t="s">
        <v>208</v>
      </c>
      <c r="AP160" s="1" t="s">
        <v>206</v>
      </c>
      <c r="AQ160" s="1" t="s">
        <v>441</v>
      </c>
      <c r="AR160" s="1" t="s">
        <v>206</v>
      </c>
      <c r="AS160" s="106" t="s">
        <v>206</v>
      </c>
      <c r="AT160" s="1" t="s">
        <v>206</v>
      </c>
      <c r="AU160" s="106" t="s">
        <v>206</v>
      </c>
      <c r="AV160" s="106" t="s">
        <v>206</v>
      </c>
      <c r="AW160" s="106" t="s">
        <v>35</v>
      </c>
      <c r="AX160" s="106" t="s">
        <v>206</v>
      </c>
      <c r="AY160" s="106" t="s">
        <v>206</v>
      </c>
      <c r="AZ160" s="1" t="s">
        <v>206</v>
      </c>
      <c r="BA160" s="106" t="s">
        <v>206</v>
      </c>
      <c r="BB160" s="106" t="s">
        <v>206</v>
      </c>
      <c r="BC160" s="106" t="s">
        <v>206</v>
      </c>
      <c r="BD160" s="106" t="s">
        <v>206</v>
      </c>
      <c r="BE160" s="106" t="s">
        <v>206</v>
      </c>
      <c r="BF160" s="107">
        <f>IF(AZ160="Não","Sim","Não")</f>
      </c>
      <c r="BG160" s="107">
        <f>IF(AZ160="NA","Sim","Não")</f>
      </c>
      <c r="BH160" s="106" t="s">
        <v>206</v>
      </c>
      <c r="BI160" s="1" t="s">
        <v>237</v>
      </c>
      <c r="BJ160" s="106" t="s">
        <v>36</v>
      </c>
      <c r="BK160" s="1" t="s">
        <v>1297</v>
      </c>
      <c r="BL160" s="102">
        <v>50</v>
      </c>
      <c r="BM160" s="1" t="s">
        <v>208</v>
      </c>
      <c r="BN160" s="1" t="s">
        <v>208</v>
      </c>
      <c r="BO160" s="1" t="s">
        <v>1297</v>
      </c>
      <c r="BP160" s="102">
        <v>50</v>
      </c>
      <c r="BQ160" s="1" t="s">
        <v>208</v>
      </c>
      <c r="BR160" s="1" t="s">
        <v>228</v>
      </c>
      <c r="BS160" s="106" t="s">
        <v>228</v>
      </c>
    </row>
    <row x14ac:dyDescent="0.25" r="161" customHeight="1" ht="17.25">
      <c r="A161" s="102">
        <v>160</v>
      </c>
      <c r="B161" s="1" t="s">
        <v>1298</v>
      </c>
      <c r="C161" s="102">
        <v>1</v>
      </c>
      <c r="D161" s="61" t="s">
        <v>389</v>
      </c>
      <c r="E161" s="1" t="s">
        <v>124</v>
      </c>
      <c r="F161" s="1" t="s">
        <v>170</v>
      </c>
      <c r="G161" s="1" t="s">
        <v>58</v>
      </c>
      <c r="H161" s="1" t="s">
        <v>1299</v>
      </c>
      <c r="I161" s="102">
        <v>1</v>
      </c>
      <c r="J161" s="1" t="s">
        <v>158</v>
      </c>
      <c r="K161" s="1" t="s">
        <v>22</v>
      </c>
      <c r="L161" s="103">
        <v>34999</v>
      </c>
      <c r="M161" s="104">
        <v>21</v>
      </c>
      <c r="N161" s="1" t="s">
        <v>176</v>
      </c>
      <c r="O161" s="1" t="s">
        <v>182</v>
      </c>
      <c r="P161" s="1" t="s">
        <v>464</v>
      </c>
      <c r="Q161" s="1" t="s">
        <v>366</v>
      </c>
      <c r="R161" s="54" t="s">
        <v>1300</v>
      </c>
      <c r="S161" s="105">
        <v>1109.6</v>
      </c>
      <c r="T161" s="54" t="s">
        <v>1301</v>
      </c>
      <c r="U161" s="105">
        <v>338.8</v>
      </c>
      <c r="V161" s="54" t="s">
        <v>1302</v>
      </c>
      <c r="W161" s="105">
        <v>15.6</v>
      </c>
      <c r="X161" s="62">
        <v>0</v>
      </c>
      <c r="Y161" s="102">
        <v>0</v>
      </c>
      <c r="Z161" s="62">
        <v>0</v>
      </c>
      <c r="AA161" s="102">
        <v>0</v>
      </c>
      <c r="AB161" s="57" t="s">
        <v>1303</v>
      </c>
      <c r="AC161" s="106" t="s">
        <v>206</v>
      </c>
      <c r="AD161" s="106" t="s">
        <v>206</v>
      </c>
      <c r="AE161" s="106" t="s">
        <v>206</v>
      </c>
      <c r="AF161" s="106" t="s">
        <v>206</v>
      </c>
      <c r="AG161" s="106" t="s">
        <v>35</v>
      </c>
      <c r="AH161" s="106" t="s">
        <v>206</v>
      </c>
      <c r="AI161" s="1" t="s">
        <v>357</v>
      </c>
      <c r="AJ161" s="1" t="s">
        <v>372</v>
      </c>
      <c r="AK161" s="1" t="s">
        <v>975</v>
      </c>
      <c r="AL161" s="1" t="s">
        <v>197</v>
      </c>
      <c r="AM161" s="106" t="s">
        <v>27</v>
      </c>
      <c r="AN161" s="1" t="s">
        <v>357</v>
      </c>
      <c r="AO161" s="1" t="s">
        <v>372</v>
      </c>
      <c r="AP161" s="1" t="s">
        <v>206</v>
      </c>
      <c r="AQ161" s="1" t="s">
        <v>441</v>
      </c>
      <c r="AR161" s="1" t="s">
        <v>206</v>
      </c>
      <c r="AS161" s="106" t="s">
        <v>206</v>
      </c>
      <c r="AT161" s="1" t="s">
        <v>206</v>
      </c>
      <c r="AU161" s="106" t="s">
        <v>206</v>
      </c>
      <c r="AV161" s="106" t="s">
        <v>206</v>
      </c>
      <c r="AW161" s="106" t="s">
        <v>35</v>
      </c>
      <c r="AX161" s="106" t="s">
        <v>206</v>
      </c>
      <c r="AY161" s="106" t="s">
        <v>206</v>
      </c>
      <c r="AZ161" s="1" t="s">
        <v>206</v>
      </c>
      <c r="BA161" s="106" t="s">
        <v>206</v>
      </c>
      <c r="BB161" s="106" t="s">
        <v>206</v>
      </c>
      <c r="BC161" s="106" t="s">
        <v>206</v>
      </c>
      <c r="BD161" s="106" t="s">
        <v>206</v>
      </c>
      <c r="BE161" s="106" t="s">
        <v>206</v>
      </c>
      <c r="BF161" s="107">
        <f>IF(AZ161="Não","Sim","Não")</f>
      </c>
      <c r="BG161" s="107">
        <f>IF(AZ161="NA","Sim","Não")</f>
      </c>
      <c r="BH161" s="106" t="s">
        <v>206</v>
      </c>
      <c r="BI161" s="1" t="s">
        <v>237</v>
      </c>
      <c r="BJ161" s="106" t="s">
        <v>36</v>
      </c>
      <c r="BK161" s="1" t="s">
        <v>1297</v>
      </c>
      <c r="BL161" s="102">
        <v>50</v>
      </c>
      <c r="BM161" s="1" t="s">
        <v>208</v>
      </c>
      <c r="BN161" s="1" t="s">
        <v>676</v>
      </c>
      <c r="BO161" s="1" t="s">
        <v>1304</v>
      </c>
      <c r="BP161" s="102">
        <v>62</v>
      </c>
      <c r="BQ161" s="1" t="s">
        <v>208</v>
      </c>
      <c r="BR161" s="1" t="s">
        <v>227</v>
      </c>
      <c r="BS161" s="106" t="s">
        <v>37</v>
      </c>
    </row>
    <row x14ac:dyDescent="0.25" r="162" customHeight="1" ht="17.25">
      <c r="A162" s="102">
        <v>161</v>
      </c>
      <c r="B162" s="1" t="s">
        <v>1305</v>
      </c>
      <c r="C162" s="102">
        <v>1</v>
      </c>
      <c r="D162" s="61">
        <v>43006</v>
      </c>
      <c r="E162" s="1" t="s">
        <v>152</v>
      </c>
      <c r="F162" s="1" t="s">
        <v>170</v>
      </c>
      <c r="G162" s="1" t="s">
        <v>63</v>
      </c>
      <c r="H162" s="1" t="s">
        <v>1306</v>
      </c>
      <c r="I162" s="102">
        <v>1</v>
      </c>
      <c r="J162" s="1" t="s">
        <v>158</v>
      </c>
      <c r="K162" s="1" t="s">
        <v>22</v>
      </c>
      <c r="L162" s="103">
        <v>36087</v>
      </c>
      <c r="M162" s="104">
        <v>18</v>
      </c>
      <c r="N162" s="1" t="s">
        <v>176</v>
      </c>
      <c r="O162" s="1" t="s">
        <v>182</v>
      </c>
      <c r="P162" s="1" t="s">
        <v>365</v>
      </c>
      <c r="Q162" s="1" t="s">
        <v>1307</v>
      </c>
      <c r="R162" s="54" t="s">
        <v>1308</v>
      </c>
      <c r="S162" s="105">
        <v>331.9</v>
      </c>
      <c r="T162" s="54" t="s">
        <v>1309</v>
      </c>
      <c r="U162" s="105">
        <v>57.6</v>
      </c>
      <c r="V162" s="54" t="s">
        <v>1310</v>
      </c>
      <c r="W162" s="105">
        <v>18.2</v>
      </c>
      <c r="X162" s="54" t="s">
        <v>1311</v>
      </c>
      <c r="Y162" s="105">
        <v>4.6</v>
      </c>
      <c r="Z162" s="57" t="s">
        <v>1312</v>
      </c>
      <c r="AA162" s="105">
        <v>10.4</v>
      </c>
      <c r="AB162" s="57" t="s">
        <v>1313</v>
      </c>
      <c r="AC162" s="106" t="s">
        <v>206</v>
      </c>
      <c r="AD162" s="106" t="s">
        <v>206</v>
      </c>
      <c r="AE162" s="106" t="s">
        <v>35</v>
      </c>
      <c r="AF162" s="106" t="s">
        <v>206</v>
      </c>
      <c r="AG162" s="106" t="s">
        <v>206</v>
      </c>
      <c r="AH162" s="106" t="s">
        <v>206</v>
      </c>
      <c r="AI162" s="1" t="s">
        <v>357</v>
      </c>
      <c r="AJ162" s="1" t="s">
        <v>206</v>
      </c>
      <c r="AK162" s="1" t="s">
        <v>1245</v>
      </c>
      <c r="AL162" s="1" t="s">
        <v>197</v>
      </c>
      <c r="AM162" s="106" t="s">
        <v>27</v>
      </c>
      <c r="AN162" s="1" t="s">
        <v>357</v>
      </c>
      <c r="AO162" s="1" t="s">
        <v>208</v>
      </c>
      <c r="AP162" s="1" t="s">
        <v>847</v>
      </c>
      <c r="AQ162" s="1" t="s">
        <v>386</v>
      </c>
      <c r="AR162" s="1" t="s">
        <v>206</v>
      </c>
      <c r="AS162" s="106" t="s">
        <v>206</v>
      </c>
      <c r="AT162" s="1" t="s">
        <v>212</v>
      </c>
      <c r="AU162" s="106" t="s">
        <v>35</v>
      </c>
      <c r="AV162" s="106" t="s">
        <v>35</v>
      </c>
      <c r="AW162" s="106" t="s">
        <v>206</v>
      </c>
      <c r="AX162" s="106" t="s">
        <v>206</v>
      </c>
      <c r="AY162" s="106" t="s">
        <v>35</v>
      </c>
      <c r="AZ162" s="1" t="s">
        <v>206</v>
      </c>
      <c r="BA162" s="106" t="s">
        <v>206</v>
      </c>
      <c r="BB162" s="106" t="s">
        <v>206</v>
      </c>
      <c r="BC162" s="106" t="s">
        <v>206</v>
      </c>
      <c r="BD162" s="106" t="s">
        <v>206</v>
      </c>
      <c r="BE162" s="106" t="s">
        <v>206</v>
      </c>
      <c r="BF162" s="107">
        <f>IF(AZ162="Não","Sim","Não")</f>
      </c>
      <c r="BG162" s="107">
        <f>IF(AZ162="NA","Sim","Não")</f>
      </c>
      <c r="BH162" s="106" t="s">
        <v>206</v>
      </c>
      <c r="BI162" s="1" t="s">
        <v>237</v>
      </c>
      <c r="BJ162" s="106" t="s">
        <v>36</v>
      </c>
      <c r="BK162" s="1" t="s">
        <v>1297</v>
      </c>
      <c r="BL162" s="102">
        <v>50</v>
      </c>
      <c r="BM162" s="1" t="s">
        <v>208</v>
      </c>
      <c r="BN162" s="1" t="s">
        <v>208</v>
      </c>
      <c r="BO162" s="1" t="s">
        <v>1297</v>
      </c>
      <c r="BP162" s="102">
        <v>50</v>
      </c>
      <c r="BQ162" s="1" t="s">
        <v>208</v>
      </c>
      <c r="BR162" s="1" t="s">
        <v>227</v>
      </c>
      <c r="BS162" s="106" t="s">
        <v>37</v>
      </c>
    </row>
    <row x14ac:dyDescent="0.25" r="163" customHeight="1" ht="17.25">
      <c r="A163" s="102">
        <v>162</v>
      </c>
      <c r="B163" s="1" t="s">
        <v>1314</v>
      </c>
      <c r="C163" s="102">
        <v>1</v>
      </c>
      <c r="D163" s="61" t="s">
        <v>1132</v>
      </c>
      <c r="E163" s="1" t="s">
        <v>97</v>
      </c>
      <c r="F163" s="1" t="s">
        <v>170</v>
      </c>
      <c r="G163" s="1" t="s">
        <v>57</v>
      </c>
      <c r="H163" s="1" t="s">
        <v>1315</v>
      </c>
      <c r="I163" s="102">
        <v>1</v>
      </c>
      <c r="J163" s="1" t="s">
        <v>158</v>
      </c>
      <c r="K163" s="1" t="s">
        <v>22</v>
      </c>
      <c r="L163" s="103">
        <v>34984</v>
      </c>
      <c r="M163" s="104">
        <v>21</v>
      </c>
      <c r="N163" s="1" t="s">
        <v>177</v>
      </c>
      <c r="O163" s="1" t="s">
        <v>24</v>
      </c>
      <c r="P163" s="1" t="s">
        <v>178</v>
      </c>
      <c r="Q163" s="1" t="s">
        <v>1316</v>
      </c>
      <c r="R163" s="54" t="s">
        <v>1317</v>
      </c>
      <c r="S163" s="105">
        <v>124.8</v>
      </c>
      <c r="T163" s="54" t="s">
        <v>1318</v>
      </c>
      <c r="U163" s="105">
        <v>46.74</v>
      </c>
      <c r="V163" s="62">
        <v>0</v>
      </c>
      <c r="W163" s="102">
        <v>0</v>
      </c>
      <c r="X163" s="62">
        <v>0</v>
      </c>
      <c r="Y163" s="102">
        <v>0</v>
      </c>
      <c r="Z163" s="62">
        <v>0</v>
      </c>
      <c r="AA163" s="102">
        <v>0</v>
      </c>
      <c r="AB163" s="62">
        <v>0</v>
      </c>
      <c r="AC163" s="106" t="s">
        <v>206</v>
      </c>
      <c r="AD163" s="106" t="s">
        <v>206</v>
      </c>
      <c r="AE163" s="106" t="s">
        <v>206</v>
      </c>
      <c r="AF163" s="106" t="s">
        <v>206</v>
      </c>
      <c r="AG163" s="106" t="s">
        <v>206</v>
      </c>
      <c r="AH163" s="106" t="s">
        <v>206</v>
      </c>
      <c r="AI163" s="1" t="s">
        <v>357</v>
      </c>
      <c r="AJ163" s="1" t="s">
        <v>831</v>
      </c>
      <c r="AK163" s="1" t="s">
        <v>520</v>
      </c>
      <c r="AL163" s="1" t="s">
        <v>197</v>
      </c>
      <c r="AM163" s="106" t="s">
        <v>27</v>
      </c>
      <c r="AN163" s="1" t="s">
        <v>357</v>
      </c>
      <c r="AO163" s="1" t="s">
        <v>831</v>
      </c>
      <c r="AP163" s="1" t="s">
        <v>847</v>
      </c>
      <c r="AQ163" s="1" t="s">
        <v>654</v>
      </c>
      <c r="AR163" s="1" t="s">
        <v>206</v>
      </c>
      <c r="AS163" s="106" t="s">
        <v>206</v>
      </c>
      <c r="AT163" s="1" t="s">
        <v>29</v>
      </c>
      <c r="AU163" s="106" t="s">
        <v>206</v>
      </c>
      <c r="AV163" s="106" t="s">
        <v>35</v>
      </c>
      <c r="AW163" s="106" t="s">
        <v>206</v>
      </c>
      <c r="AX163" s="106" t="s">
        <v>206</v>
      </c>
      <c r="AY163" s="106" t="s">
        <v>35</v>
      </c>
      <c r="AZ163" s="1" t="s">
        <v>206</v>
      </c>
      <c r="BA163" s="106" t="s">
        <v>206</v>
      </c>
      <c r="BB163" s="106" t="s">
        <v>206</v>
      </c>
      <c r="BC163" s="106" t="s">
        <v>206</v>
      </c>
      <c r="BD163" s="106" t="s">
        <v>206</v>
      </c>
      <c r="BE163" s="106" t="s">
        <v>206</v>
      </c>
      <c r="BF163" s="107">
        <f>IF(AZ163="Não","Sim","Não")</f>
      </c>
      <c r="BG163" s="107">
        <f>IF(AZ163="NA","Sim","Não")</f>
      </c>
      <c r="BH163" s="106" t="s">
        <v>206</v>
      </c>
      <c r="BI163" s="1" t="s">
        <v>237</v>
      </c>
      <c r="BJ163" s="106" t="s">
        <v>36</v>
      </c>
      <c r="BK163" s="1" t="s">
        <v>1319</v>
      </c>
      <c r="BL163" s="102">
        <v>54</v>
      </c>
      <c r="BM163" s="1" t="s">
        <v>208</v>
      </c>
      <c r="BN163" s="1" t="s">
        <v>1320</v>
      </c>
      <c r="BO163" s="1" t="s">
        <v>1321</v>
      </c>
      <c r="BP163" s="105">
        <v>53.4</v>
      </c>
      <c r="BQ163" s="1" t="s">
        <v>208</v>
      </c>
      <c r="BR163" s="1" t="s">
        <v>227</v>
      </c>
      <c r="BS163" s="106" t="s">
        <v>37</v>
      </c>
    </row>
    <row x14ac:dyDescent="0.25" r="164" customHeight="1" ht="17.25">
      <c r="A164" s="102">
        <v>163</v>
      </c>
      <c r="B164" s="1" t="s">
        <v>1322</v>
      </c>
      <c r="C164" s="102">
        <v>1</v>
      </c>
      <c r="D164" s="61" t="s">
        <v>1039</v>
      </c>
      <c r="E164" s="1" t="s">
        <v>101</v>
      </c>
      <c r="F164" s="1" t="s">
        <v>22</v>
      </c>
      <c r="G164" s="1" t="s">
        <v>59</v>
      </c>
      <c r="H164" s="1" t="s">
        <v>1323</v>
      </c>
      <c r="I164" s="102">
        <v>1</v>
      </c>
      <c r="J164" s="1" t="s">
        <v>158</v>
      </c>
      <c r="K164" s="1" t="s">
        <v>22</v>
      </c>
      <c r="L164" s="103">
        <v>31945</v>
      </c>
      <c r="M164" s="104">
        <v>29</v>
      </c>
      <c r="N164" s="1" t="s">
        <v>175</v>
      </c>
      <c r="O164" s="1" t="s">
        <v>24</v>
      </c>
      <c r="P164" s="1" t="s">
        <v>354</v>
      </c>
      <c r="Q164" s="1" t="s">
        <v>547</v>
      </c>
      <c r="R164" s="54" t="s">
        <v>1324</v>
      </c>
      <c r="S164" s="105">
        <v>0.7</v>
      </c>
      <c r="T164" s="62">
        <v>0</v>
      </c>
      <c r="U164" s="102">
        <v>0</v>
      </c>
      <c r="V164" s="62">
        <v>0</v>
      </c>
      <c r="W164" s="102">
        <v>0</v>
      </c>
      <c r="X164" s="62">
        <v>0</v>
      </c>
      <c r="Y164" s="102">
        <v>0</v>
      </c>
      <c r="Z164" s="62">
        <v>0</v>
      </c>
      <c r="AA164" s="102">
        <v>0</v>
      </c>
      <c r="AB164" s="62">
        <v>0</v>
      </c>
      <c r="AC164" s="106" t="s">
        <v>206</v>
      </c>
      <c r="AD164" s="106" t="s">
        <v>206</v>
      </c>
      <c r="AE164" s="106" t="s">
        <v>206</v>
      </c>
      <c r="AF164" s="106" t="s">
        <v>206</v>
      </c>
      <c r="AG164" s="106" t="s">
        <v>206</v>
      </c>
      <c r="AH164" s="106" t="s">
        <v>206</v>
      </c>
      <c r="AI164" s="1" t="s">
        <v>357</v>
      </c>
      <c r="AJ164" s="1" t="s">
        <v>206</v>
      </c>
      <c r="AK164" s="1" t="s">
        <v>1079</v>
      </c>
      <c r="AL164" s="1" t="s">
        <v>197</v>
      </c>
      <c r="AM164" s="106" t="s">
        <v>27</v>
      </c>
      <c r="AN164" s="1" t="s">
        <v>357</v>
      </c>
      <c r="AO164" s="1" t="s">
        <v>208</v>
      </c>
      <c r="AP164" s="1" t="s">
        <v>206</v>
      </c>
      <c r="AQ164" s="1" t="s">
        <v>441</v>
      </c>
      <c r="AR164" s="1" t="s">
        <v>207</v>
      </c>
      <c r="AS164" s="106" t="s">
        <v>35</v>
      </c>
      <c r="AT164" s="1" t="s">
        <v>28</v>
      </c>
      <c r="AU164" s="106" t="s">
        <v>35</v>
      </c>
      <c r="AV164" s="106" t="s">
        <v>206</v>
      </c>
      <c r="AW164" s="106" t="s">
        <v>206</v>
      </c>
      <c r="AX164" s="106" t="s">
        <v>206</v>
      </c>
      <c r="AY164" s="106" t="s">
        <v>35</v>
      </c>
      <c r="AZ164" s="1" t="s">
        <v>206</v>
      </c>
      <c r="BA164" s="106" t="s">
        <v>206</v>
      </c>
      <c r="BB164" s="106" t="s">
        <v>206</v>
      </c>
      <c r="BC164" s="106" t="s">
        <v>206</v>
      </c>
      <c r="BD164" s="106" t="s">
        <v>206</v>
      </c>
      <c r="BE164" s="106" t="s">
        <v>206</v>
      </c>
      <c r="BF164" s="107">
        <f>IF(AZ164="Não","Sim","Não")</f>
      </c>
      <c r="BG164" s="107">
        <f>IF(AZ164="NA","Sim","Não")</f>
      </c>
      <c r="BH164" s="106" t="s">
        <v>206</v>
      </c>
      <c r="BI164" s="1" t="s">
        <v>238</v>
      </c>
      <c r="BJ164" s="106" t="s">
        <v>241</v>
      </c>
      <c r="BK164" s="1" t="s">
        <v>441</v>
      </c>
      <c r="BL164" s="102">
        <v>60</v>
      </c>
      <c r="BM164" s="1" t="s">
        <v>208</v>
      </c>
      <c r="BN164" s="1" t="s">
        <v>208</v>
      </c>
      <c r="BO164" s="1" t="s">
        <v>441</v>
      </c>
      <c r="BP164" s="102">
        <v>60</v>
      </c>
      <c r="BQ164" s="1" t="s">
        <v>208</v>
      </c>
      <c r="BR164" s="1" t="s">
        <v>227</v>
      </c>
      <c r="BS164" s="106" t="s">
        <v>37</v>
      </c>
    </row>
    <row x14ac:dyDescent="0.25" r="165" customHeight="1" ht="17.25">
      <c r="A165" s="102">
        <v>164</v>
      </c>
      <c r="B165" s="1" t="s">
        <v>1325</v>
      </c>
      <c r="C165" s="102">
        <v>0</v>
      </c>
      <c r="D165" s="61">
        <v>42958</v>
      </c>
      <c r="E165" s="1" t="s">
        <v>89</v>
      </c>
      <c r="F165" s="1" t="s">
        <v>22</v>
      </c>
      <c r="G165" s="1" t="s">
        <v>38</v>
      </c>
      <c r="H165" s="1" t="s">
        <v>1326</v>
      </c>
      <c r="I165" s="102">
        <v>1</v>
      </c>
      <c r="J165" s="1" t="s">
        <v>158</v>
      </c>
      <c r="K165" s="1" t="s">
        <v>22</v>
      </c>
      <c r="L165" s="103">
        <v>34396</v>
      </c>
      <c r="M165" s="104">
        <v>23</v>
      </c>
      <c r="N165" s="1" t="s">
        <v>176</v>
      </c>
      <c r="O165" s="1" t="s">
        <v>182</v>
      </c>
      <c r="P165" s="1" t="s">
        <v>464</v>
      </c>
      <c r="Q165" s="1" t="s">
        <v>1327</v>
      </c>
      <c r="R165" s="54" t="s">
        <v>1328</v>
      </c>
      <c r="S165" s="105">
        <v>2372.2</v>
      </c>
      <c r="T165" s="62">
        <v>0</v>
      </c>
      <c r="U165" s="102">
        <v>0</v>
      </c>
      <c r="V165" s="62">
        <v>0</v>
      </c>
      <c r="W165" s="102">
        <v>0</v>
      </c>
      <c r="X165" s="62">
        <v>0</v>
      </c>
      <c r="Y165" s="102">
        <v>0</v>
      </c>
      <c r="Z165" s="62">
        <v>0</v>
      </c>
      <c r="AA165" s="102">
        <v>0</v>
      </c>
      <c r="AB165" s="62">
        <v>0</v>
      </c>
      <c r="AC165" s="106" t="s">
        <v>206</v>
      </c>
      <c r="AD165" s="106" t="s">
        <v>206</v>
      </c>
      <c r="AE165" s="106" t="s">
        <v>206</v>
      </c>
      <c r="AF165" s="106" t="s">
        <v>206</v>
      </c>
      <c r="AG165" s="106" t="s">
        <v>206</v>
      </c>
      <c r="AH165" s="106" t="s">
        <v>206</v>
      </c>
      <c r="AI165" s="1" t="s">
        <v>357</v>
      </c>
      <c r="AJ165" s="1" t="s">
        <v>206</v>
      </c>
      <c r="AK165" s="1" t="s">
        <v>555</v>
      </c>
      <c r="AL165" s="1" t="s">
        <v>197</v>
      </c>
      <c r="AM165" s="106" t="s">
        <v>27</v>
      </c>
      <c r="AN165" s="1" t="s">
        <v>357</v>
      </c>
      <c r="AO165" s="1" t="s">
        <v>208</v>
      </c>
      <c r="AP165" s="1" t="s">
        <v>206</v>
      </c>
      <c r="AQ165" s="1" t="s">
        <v>441</v>
      </c>
      <c r="AR165" s="1" t="s">
        <v>206</v>
      </c>
      <c r="AS165" s="106" t="s">
        <v>206</v>
      </c>
      <c r="AT165" s="1" t="s">
        <v>206</v>
      </c>
      <c r="AU165" s="106" t="s">
        <v>206</v>
      </c>
      <c r="AV165" s="106" t="s">
        <v>206</v>
      </c>
      <c r="AW165" s="106" t="s">
        <v>35</v>
      </c>
      <c r="AX165" s="106" t="s">
        <v>206</v>
      </c>
      <c r="AY165" s="106" t="s">
        <v>206</v>
      </c>
      <c r="AZ165" s="1" t="s">
        <v>206</v>
      </c>
      <c r="BA165" s="106" t="s">
        <v>206</v>
      </c>
      <c r="BB165" s="106" t="s">
        <v>206</v>
      </c>
      <c r="BC165" s="106" t="s">
        <v>206</v>
      </c>
      <c r="BD165" s="106" t="s">
        <v>206</v>
      </c>
      <c r="BE165" s="106" t="s">
        <v>206</v>
      </c>
      <c r="BF165" s="107">
        <f>IF(AZ165="Não","Sim","Não")</f>
      </c>
      <c r="BG165" s="107">
        <f>IF(AZ165="NA","Sim","Não")</f>
      </c>
      <c r="BH165" s="106" t="s">
        <v>206</v>
      </c>
      <c r="BI165" s="1" t="s">
        <v>206</v>
      </c>
      <c r="BJ165" s="106" t="s">
        <v>206</v>
      </c>
      <c r="BK165" s="1" t="s">
        <v>441</v>
      </c>
      <c r="BL165" s="102">
        <v>60</v>
      </c>
      <c r="BM165" s="1" t="s">
        <v>208</v>
      </c>
      <c r="BN165" s="1" t="s">
        <v>208</v>
      </c>
      <c r="BO165" s="1" t="s">
        <v>441</v>
      </c>
      <c r="BP165" s="102">
        <v>60</v>
      </c>
      <c r="BQ165" s="1" t="s">
        <v>208</v>
      </c>
      <c r="BR165" s="1" t="s">
        <v>227</v>
      </c>
      <c r="BS165" s="106" t="s">
        <v>37</v>
      </c>
    </row>
    <row x14ac:dyDescent="0.25" r="166" customHeight="1" ht="17.25">
      <c r="A166" s="102">
        <v>165</v>
      </c>
      <c r="B166" s="1" t="s">
        <v>1325</v>
      </c>
      <c r="C166" s="102">
        <v>1</v>
      </c>
      <c r="D166" s="61">
        <v>42958</v>
      </c>
      <c r="E166" s="1" t="s">
        <v>89</v>
      </c>
      <c r="F166" s="1" t="s">
        <v>22</v>
      </c>
      <c r="G166" s="1" t="s">
        <v>38</v>
      </c>
      <c r="H166" s="1" t="s">
        <v>1329</v>
      </c>
      <c r="I166" s="102">
        <v>1</v>
      </c>
      <c r="J166" s="1" t="s">
        <v>158</v>
      </c>
      <c r="K166" s="1" t="s">
        <v>22</v>
      </c>
      <c r="L166" s="103">
        <v>33993</v>
      </c>
      <c r="M166" s="104">
        <v>24</v>
      </c>
      <c r="N166" s="1" t="s">
        <v>176</v>
      </c>
      <c r="O166" s="1" t="s">
        <v>182</v>
      </c>
      <c r="P166" s="1" t="s">
        <v>464</v>
      </c>
      <c r="Q166" s="1" t="s">
        <v>1330</v>
      </c>
      <c r="R166" s="54" t="s">
        <v>1331</v>
      </c>
      <c r="S166" s="105">
        <v>638.3</v>
      </c>
      <c r="T166" s="62">
        <v>0</v>
      </c>
      <c r="U166" s="102">
        <v>0</v>
      </c>
      <c r="V166" s="62">
        <v>0</v>
      </c>
      <c r="W166" s="102">
        <v>0</v>
      </c>
      <c r="X166" s="62">
        <v>0</v>
      </c>
      <c r="Y166" s="102">
        <v>0</v>
      </c>
      <c r="Z166" s="62">
        <v>0</v>
      </c>
      <c r="AA166" s="102">
        <v>0</v>
      </c>
      <c r="AB166" s="62">
        <v>0</v>
      </c>
      <c r="AC166" s="106" t="s">
        <v>206</v>
      </c>
      <c r="AD166" s="106" t="s">
        <v>206</v>
      </c>
      <c r="AE166" s="106" t="s">
        <v>206</v>
      </c>
      <c r="AF166" s="106" t="s">
        <v>206</v>
      </c>
      <c r="AG166" s="106" t="s">
        <v>206</v>
      </c>
      <c r="AH166" s="106" t="s">
        <v>206</v>
      </c>
      <c r="AI166" s="1" t="s">
        <v>357</v>
      </c>
      <c r="AJ166" s="1" t="s">
        <v>206</v>
      </c>
      <c r="AK166" s="1" t="s">
        <v>1332</v>
      </c>
      <c r="AL166" s="1" t="s">
        <v>198</v>
      </c>
      <c r="AM166" s="106" t="s">
        <v>27</v>
      </c>
      <c r="AN166" s="1" t="s">
        <v>357</v>
      </c>
      <c r="AO166" s="1" t="s">
        <v>208</v>
      </c>
      <c r="AP166" s="1" t="s">
        <v>206</v>
      </c>
      <c r="AQ166" s="1" t="s">
        <v>441</v>
      </c>
      <c r="AR166" s="1" t="s">
        <v>206</v>
      </c>
      <c r="AS166" s="106" t="s">
        <v>206</v>
      </c>
      <c r="AT166" s="1" t="s">
        <v>206</v>
      </c>
      <c r="AU166" s="106" t="s">
        <v>206</v>
      </c>
      <c r="AV166" s="106" t="s">
        <v>206</v>
      </c>
      <c r="AW166" s="106" t="s">
        <v>35</v>
      </c>
      <c r="AX166" s="106" t="s">
        <v>206</v>
      </c>
      <c r="AY166" s="106" t="s">
        <v>206</v>
      </c>
      <c r="AZ166" s="1" t="s">
        <v>206</v>
      </c>
      <c r="BA166" s="106" t="s">
        <v>206</v>
      </c>
      <c r="BB166" s="106" t="s">
        <v>206</v>
      </c>
      <c r="BC166" s="106" t="s">
        <v>206</v>
      </c>
      <c r="BD166" s="106" t="s">
        <v>206</v>
      </c>
      <c r="BE166" s="106" t="s">
        <v>206</v>
      </c>
      <c r="BF166" s="107">
        <f>IF(AZ166="Não","Sim","Não")</f>
      </c>
      <c r="BG166" s="107">
        <f>IF(AZ166="NA","Sim","Não")</f>
      </c>
      <c r="BH166" s="106" t="s">
        <v>206</v>
      </c>
      <c r="BI166" s="1" t="s">
        <v>206</v>
      </c>
      <c r="BJ166" s="106" t="s">
        <v>206</v>
      </c>
      <c r="BK166" s="1" t="s">
        <v>441</v>
      </c>
      <c r="BL166" s="102">
        <v>60</v>
      </c>
      <c r="BM166" s="1" t="s">
        <v>208</v>
      </c>
      <c r="BN166" s="1" t="s">
        <v>208</v>
      </c>
      <c r="BO166" s="1" t="s">
        <v>441</v>
      </c>
      <c r="BP166" s="102">
        <v>60</v>
      </c>
      <c r="BQ166" s="1" t="s">
        <v>208</v>
      </c>
      <c r="BR166" s="1" t="s">
        <v>227</v>
      </c>
      <c r="BS166" s="106" t="s">
        <v>37</v>
      </c>
    </row>
    <row x14ac:dyDescent="0.25" r="167" customHeight="1" ht="17.25">
      <c r="A167" s="102">
        <v>166</v>
      </c>
      <c r="B167" s="1" t="s">
        <v>1333</v>
      </c>
      <c r="C167" s="102">
        <v>1</v>
      </c>
      <c r="D167" s="61" t="s">
        <v>745</v>
      </c>
      <c r="E167" s="1" t="s">
        <v>107</v>
      </c>
      <c r="F167" s="1" t="s">
        <v>22</v>
      </c>
      <c r="G167" s="1" t="s">
        <v>62</v>
      </c>
      <c r="H167" s="1" t="s">
        <v>1334</v>
      </c>
      <c r="I167" s="102">
        <v>1</v>
      </c>
      <c r="J167" s="1" t="s">
        <v>158</v>
      </c>
      <c r="K167" s="1" t="s">
        <v>22</v>
      </c>
      <c r="L167" s="103">
        <v>32807</v>
      </c>
      <c r="M167" s="104">
        <v>27</v>
      </c>
      <c r="N167" s="1" t="s">
        <v>175</v>
      </c>
      <c r="O167" s="1" t="s">
        <v>24</v>
      </c>
      <c r="P167" s="1" t="s">
        <v>365</v>
      </c>
      <c r="Q167" s="1" t="s">
        <v>1335</v>
      </c>
      <c r="R167" s="54" t="s">
        <v>1336</v>
      </c>
      <c r="S167" s="105">
        <v>736.7</v>
      </c>
      <c r="T167" s="62">
        <v>0</v>
      </c>
      <c r="U167" s="102">
        <v>0</v>
      </c>
      <c r="V167" s="62">
        <v>0</v>
      </c>
      <c r="W167" s="102">
        <v>0</v>
      </c>
      <c r="X167" s="62">
        <v>0</v>
      </c>
      <c r="Y167" s="102">
        <v>0</v>
      </c>
      <c r="Z167" s="62">
        <v>0</v>
      </c>
      <c r="AA167" s="102">
        <v>0</v>
      </c>
      <c r="AB167" s="62">
        <v>0</v>
      </c>
      <c r="AC167" s="106" t="s">
        <v>206</v>
      </c>
      <c r="AD167" s="106" t="s">
        <v>206</v>
      </c>
      <c r="AE167" s="106" t="s">
        <v>206</v>
      </c>
      <c r="AF167" s="106" t="s">
        <v>206</v>
      </c>
      <c r="AG167" s="106" t="s">
        <v>206</v>
      </c>
      <c r="AH167" s="106" t="s">
        <v>206</v>
      </c>
      <c r="AI167" s="1" t="s">
        <v>357</v>
      </c>
      <c r="AJ167" s="1" t="s">
        <v>206</v>
      </c>
      <c r="AK167" s="1" t="s">
        <v>485</v>
      </c>
      <c r="AL167" s="1" t="s">
        <v>197</v>
      </c>
      <c r="AM167" s="106" t="s">
        <v>27</v>
      </c>
      <c r="AN167" s="1" t="s">
        <v>357</v>
      </c>
      <c r="AO167" s="1" t="s">
        <v>208</v>
      </c>
      <c r="AP167" s="1" t="s">
        <v>206</v>
      </c>
      <c r="AQ167" s="1" t="s">
        <v>441</v>
      </c>
      <c r="AR167" s="1" t="s">
        <v>206</v>
      </c>
      <c r="AS167" s="106" t="s">
        <v>206</v>
      </c>
      <c r="AT167" s="1" t="s">
        <v>206</v>
      </c>
      <c r="AU167" s="106" t="s">
        <v>206</v>
      </c>
      <c r="AV167" s="106" t="s">
        <v>206</v>
      </c>
      <c r="AW167" s="106" t="s">
        <v>35</v>
      </c>
      <c r="AX167" s="106" t="s">
        <v>206</v>
      </c>
      <c r="AY167" s="106" t="s">
        <v>206</v>
      </c>
      <c r="AZ167" s="1" t="s">
        <v>206</v>
      </c>
      <c r="BA167" s="106" t="s">
        <v>206</v>
      </c>
      <c r="BB167" s="106" t="s">
        <v>206</v>
      </c>
      <c r="BC167" s="106" t="s">
        <v>206</v>
      </c>
      <c r="BD167" s="106" t="s">
        <v>206</v>
      </c>
      <c r="BE167" s="106" t="s">
        <v>206</v>
      </c>
      <c r="BF167" s="107">
        <f>IF(AZ167="Não","Sim","Não")</f>
      </c>
      <c r="BG167" s="107">
        <f>IF(AZ167="NA","Sim","Não")</f>
      </c>
      <c r="BH167" s="106" t="s">
        <v>206</v>
      </c>
      <c r="BI167" s="1" t="s">
        <v>206</v>
      </c>
      <c r="BJ167" s="106" t="s">
        <v>206</v>
      </c>
      <c r="BK167" s="1" t="s">
        <v>441</v>
      </c>
      <c r="BL167" s="102">
        <v>60</v>
      </c>
      <c r="BM167" s="1" t="s">
        <v>208</v>
      </c>
      <c r="BN167" s="1" t="s">
        <v>208</v>
      </c>
      <c r="BO167" s="1" t="s">
        <v>441</v>
      </c>
      <c r="BP167" s="102">
        <v>60</v>
      </c>
      <c r="BQ167" s="1" t="s">
        <v>208</v>
      </c>
      <c r="BR167" s="1" t="s">
        <v>227</v>
      </c>
      <c r="BS167" s="106" t="s">
        <v>37</v>
      </c>
    </row>
    <row x14ac:dyDescent="0.25" r="168" customHeight="1" ht="17.25">
      <c r="A168" s="102">
        <v>167</v>
      </c>
      <c r="B168" s="1" t="s">
        <v>1337</v>
      </c>
      <c r="C168" s="102">
        <v>1</v>
      </c>
      <c r="D168" s="61" t="s">
        <v>1338</v>
      </c>
      <c r="E168" s="1" t="s">
        <v>79</v>
      </c>
      <c r="F168" s="1" t="s">
        <v>170</v>
      </c>
      <c r="G168" s="1" t="s">
        <v>66</v>
      </c>
      <c r="H168" s="1" t="s">
        <v>1339</v>
      </c>
      <c r="I168" s="102">
        <v>1</v>
      </c>
      <c r="J168" s="1" t="s">
        <v>158</v>
      </c>
      <c r="K168" s="1" t="s">
        <v>22</v>
      </c>
      <c r="L168" s="103">
        <v>36004</v>
      </c>
      <c r="M168" s="104">
        <v>19</v>
      </c>
      <c r="N168" s="1" t="s">
        <v>175</v>
      </c>
      <c r="O168" s="1" t="s">
        <v>24</v>
      </c>
      <c r="P168" s="1" t="s">
        <v>365</v>
      </c>
      <c r="Q168" s="1" t="s">
        <v>366</v>
      </c>
      <c r="R168" s="54" t="s">
        <v>1340</v>
      </c>
      <c r="S168" s="105">
        <v>853.3</v>
      </c>
      <c r="T168" s="62">
        <v>0</v>
      </c>
      <c r="U168" s="102">
        <v>0</v>
      </c>
      <c r="V168" s="62">
        <v>0</v>
      </c>
      <c r="W168" s="102">
        <v>0</v>
      </c>
      <c r="X168" s="62">
        <v>0</v>
      </c>
      <c r="Y168" s="102">
        <v>0</v>
      </c>
      <c r="Z168" s="62">
        <v>0</v>
      </c>
      <c r="AA168" s="102">
        <v>0</v>
      </c>
      <c r="AB168" s="62">
        <v>0</v>
      </c>
      <c r="AC168" s="106" t="s">
        <v>206</v>
      </c>
      <c r="AD168" s="106" t="s">
        <v>206</v>
      </c>
      <c r="AE168" s="106" t="s">
        <v>206</v>
      </c>
      <c r="AF168" s="106" t="s">
        <v>206</v>
      </c>
      <c r="AG168" s="106" t="s">
        <v>206</v>
      </c>
      <c r="AH168" s="106" t="s">
        <v>206</v>
      </c>
      <c r="AI168" s="1" t="s">
        <v>357</v>
      </c>
      <c r="AJ168" s="1" t="s">
        <v>206</v>
      </c>
      <c r="AK168" s="1" t="s">
        <v>28</v>
      </c>
      <c r="AL168" s="1" t="s">
        <v>197</v>
      </c>
      <c r="AM168" s="106" t="s">
        <v>27</v>
      </c>
      <c r="AN168" s="1" t="s">
        <v>357</v>
      </c>
      <c r="AO168" s="1" t="s">
        <v>208</v>
      </c>
      <c r="AP168" s="1" t="s">
        <v>406</v>
      </c>
      <c r="AQ168" s="1" t="s">
        <v>386</v>
      </c>
      <c r="AR168" s="1" t="s">
        <v>206</v>
      </c>
      <c r="AS168" s="106" t="s">
        <v>206</v>
      </c>
      <c r="AT168" s="1" t="s">
        <v>29</v>
      </c>
      <c r="AU168" s="106" t="s">
        <v>206</v>
      </c>
      <c r="AV168" s="106" t="s">
        <v>35</v>
      </c>
      <c r="AW168" s="106" t="s">
        <v>206</v>
      </c>
      <c r="AX168" s="106" t="s">
        <v>206</v>
      </c>
      <c r="AY168" s="106" t="s">
        <v>35</v>
      </c>
      <c r="AZ168" s="1" t="s">
        <v>206</v>
      </c>
      <c r="BA168" s="106" t="s">
        <v>206</v>
      </c>
      <c r="BB168" s="106" t="s">
        <v>206</v>
      </c>
      <c r="BC168" s="106" t="s">
        <v>206</v>
      </c>
      <c r="BD168" s="106" t="s">
        <v>206</v>
      </c>
      <c r="BE168" s="106" t="s">
        <v>206</v>
      </c>
      <c r="BF168" s="107">
        <f>IF(AZ168="Não","Sim","Não")</f>
      </c>
      <c r="BG168" s="107">
        <f>IF(AZ168="NA","Sim","Não")</f>
      </c>
      <c r="BH168" s="106" t="s">
        <v>206</v>
      </c>
      <c r="BI168" s="1" t="s">
        <v>206</v>
      </c>
      <c r="BJ168" s="106" t="s">
        <v>206</v>
      </c>
      <c r="BK168" s="1" t="s">
        <v>441</v>
      </c>
      <c r="BL168" s="102">
        <v>60</v>
      </c>
      <c r="BM168" s="1" t="s">
        <v>208</v>
      </c>
      <c r="BN168" s="1" t="s">
        <v>208</v>
      </c>
      <c r="BO168" s="1" t="s">
        <v>441</v>
      </c>
      <c r="BP168" s="102">
        <v>60</v>
      </c>
      <c r="BQ168" s="1" t="s">
        <v>208</v>
      </c>
      <c r="BR168" s="1" t="s">
        <v>227</v>
      </c>
      <c r="BS168" s="106" t="s">
        <v>37</v>
      </c>
    </row>
    <row x14ac:dyDescent="0.25" r="169" customHeight="1" ht="17.25">
      <c r="A169" s="102">
        <v>168</v>
      </c>
      <c r="B169" s="1" t="s">
        <v>1341</v>
      </c>
      <c r="C169" s="102">
        <v>0</v>
      </c>
      <c r="D169" s="61">
        <v>42871</v>
      </c>
      <c r="E169" s="1" t="s">
        <v>80</v>
      </c>
      <c r="F169" s="1" t="s">
        <v>170</v>
      </c>
      <c r="G169" s="1" t="s">
        <v>38</v>
      </c>
      <c r="H169" s="1" t="s">
        <v>1342</v>
      </c>
      <c r="I169" s="102">
        <v>1</v>
      </c>
      <c r="J169" s="1" t="s">
        <v>161</v>
      </c>
      <c r="K169" s="1" t="s">
        <v>22</v>
      </c>
      <c r="L169" s="103">
        <v>34325</v>
      </c>
      <c r="M169" s="104">
        <v>23</v>
      </c>
      <c r="N169" s="1" t="s">
        <v>176</v>
      </c>
      <c r="O169" s="1" t="s">
        <v>182</v>
      </c>
      <c r="P169" s="1" t="s">
        <v>464</v>
      </c>
      <c r="Q169" s="1" t="s">
        <v>1343</v>
      </c>
      <c r="R169" s="54" t="s">
        <v>1344</v>
      </c>
      <c r="S169" s="102">
        <v>7816</v>
      </c>
      <c r="T169" s="62">
        <v>0</v>
      </c>
      <c r="U169" s="102">
        <v>0</v>
      </c>
      <c r="V169" s="62">
        <v>0</v>
      </c>
      <c r="W169" s="102">
        <v>0</v>
      </c>
      <c r="X169" s="62">
        <v>0</v>
      </c>
      <c r="Y169" s="102">
        <v>0</v>
      </c>
      <c r="Z169" s="62">
        <v>0</v>
      </c>
      <c r="AA169" s="102">
        <v>0</v>
      </c>
      <c r="AB169" s="62">
        <v>0</v>
      </c>
      <c r="AC169" s="106" t="s">
        <v>206</v>
      </c>
      <c r="AD169" s="106" t="s">
        <v>206</v>
      </c>
      <c r="AE169" s="106" t="s">
        <v>206</v>
      </c>
      <c r="AF169" s="106" t="s">
        <v>206</v>
      </c>
      <c r="AG169" s="106" t="s">
        <v>206</v>
      </c>
      <c r="AH169" s="106" t="s">
        <v>206</v>
      </c>
      <c r="AI169" s="1" t="s">
        <v>371</v>
      </c>
      <c r="AJ169" s="1" t="s">
        <v>206</v>
      </c>
      <c r="AK169" s="1" t="s">
        <v>384</v>
      </c>
      <c r="AL169" s="1" t="s">
        <v>197</v>
      </c>
      <c r="AM169" s="106" t="s">
        <v>27</v>
      </c>
      <c r="AN169" s="1" t="s">
        <v>371</v>
      </c>
      <c r="AO169" s="1" t="s">
        <v>208</v>
      </c>
      <c r="AP169" s="1" t="s">
        <v>206</v>
      </c>
      <c r="AQ169" s="1" t="s">
        <v>441</v>
      </c>
      <c r="AR169" s="1" t="s">
        <v>206</v>
      </c>
      <c r="AS169" s="106" t="s">
        <v>206</v>
      </c>
      <c r="AT169" s="1" t="s">
        <v>206</v>
      </c>
      <c r="AU169" s="106" t="s">
        <v>206</v>
      </c>
      <c r="AV169" s="106" t="s">
        <v>206</v>
      </c>
      <c r="AW169" s="106" t="s">
        <v>35</v>
      </c>
      <c r="AX169" s="106" t="s">
        <v>206</v>
      </c>
      <c r="AY169" s="106" t="s">
        <v>206</v>
      </c>
      <c r="AZ169" s="1" t="s">
        <v>206</v>
      </c>
      <c r="BA169" s="106" t="s">
        <v>206</v>
      </c>
      <c r="BB169" s="106" t="s">
        <v>206</v>
      </c>
      <c r="BC169" s="106" t="s">
        <v>206</v>
      </c>
      <c r="BD169" s="106" t="s">
        <v>206</v>
      </c>
      <c r="BE169" s="106" t="s">
        <v>206</v>
      </c>
      <c r="BF169" s="107">
        <f>IF(AZ169="Não","Sim","Não")</f>
      </c>
      <c r="BG169" s="107">
        <f>IF(AZ169="NA","Sim","Não")</f>
      </c>
      <c r="BH169" s="106" t="s">
        <v>206</v>
      </c>
      <c r="BI169" s="1" t="s">
        <v>206</v>
      </c>
      <c r="BJ169" s="106" t="s">
        <v>206</v>
      </c>
      <c r="BK169" s="1" t="s">
        <v>441</v>
      </c>
      <c r="BL169" s="102">
        <v>60</v>
      </c>
      <c r="BM169" s="1" t="s">
        <v>1101</v>
      </c>
      <c r="BN169" s="1" t="s">
        <v>208</v>
      </c>
      <c r="BO169" s="1" t="s">
        <v>360</v>
      </c>
      <c r="BP169" s="102">
        <v>96</v>
      </c>
      <c r="BQ169" s="1" t="s">
        <v>208</v>
      </c>
      <c r="BR169" s="1" t="s">
        <v>227</v>
      </c>
      <c r="BS169" s="106" t="s">
        <v>37</v>
      </c>
    </row>
    <row x14ac:dyDescent="0.25" r="170" customHeight="1" ht="17.25">
      <c r="A170" s="102">
        <v>169</v>
      </c>
      <c r="B170" s="1" t="s">
        <v>1341</v>
      </c>
      <c r="C170" s="102">
        <v>0</v>
      </c>
      <c r="D170" s="61">
        <v>42871</v>
      </c>
      <c r="E170" s="1" t="s">
        <v>80</v>
      </c>
      <c r="F170" s="1" t="s">
        <v>170</v>
      </c>
      <c r="G170" s="1" t="s">
        <v>38</v>
      </c>
      <c r="H170" s="1" t="s">
        <v>1345</v>
      </c>
      <c r="I170" s="102">
        <v>1</v>
      </c>
      <c r="J170" s="1" t="s">
        <v>161</v>
      </c>
      <c r="K170" s="1" t="s">
        <v>22</v>
      </c>
      <c r="L170" s="103">
        <v>32255</v>
      </c>
      <c r="M170" s="104">
        <v>29</v>
      </c>
      <c r="N170" s="1" t="s">
        <v>176</v>
      </c>
      <c r="O170" s="1" t="s">
        <v>182</v>
      </c>
      <c r="P170" s="1" t="s">
        <v>365</v>
      </c>
      <c r="Q170" s="1" t="s">
        <v>1343</v>
      </c>
      <c r="R170" s="54" t="s">
        <v>1344</v>
      </c>
      <c r="S170" s="102">
        <v>7816</v>
      </c>
      <c r="T170" s="62">
        <v>0</v>
      </c>
      <c r="U170" s="102">
        <v>0</v>
      </c>
      <c r="V170" s="62">
        <v>0</v>
      </c>
      <c r="W170" s="102">
        <v>0</v>
      </c>
      <c r="X170" s="62">
        <v>0</v>
      </c>
      <c r="Y170" s="102">
        <v>0</v>
      </c>
      <c r="Z170" s="62">
        <v>0</v>
      </c>
      <c r="AA170" s="102">
        <v>0</v>
      </c>
      <c r="AB170" s="62">
        <v>0</v>
      </c>
      <c r="AC170" s="106" t="s">
        <v>206</v>
      </c>
      <c r="AD170" s="106" t="s">
        <v>206</v>
      </c>
      <c r="AE170" s="106" t="s">
        <v>206</v>
      </c>
      <c r="AF170" s="106" t="s">
        <v>206</v>
      </c>
      <c r="AG170" s="106" t="s">
        <v>206</v>
      </c>
      <c r="AH170" s="106" t="s">
        <v>206</v>
      </c>
      <c r="AI170" s="1" t="s">
        <v>371</v>
      </c>
      <c r="AJ170" s="1" t="s">
        <v>206</v>
      </c>
      <c r="AK170" s="1" t="s">
        <v>384</v>
      </c>
      <c r="AL170" s="1" t="s">
        <v>197</v>
      </c>
      <c r="AM170" s="106" t="s">
        <v>27</v>
      </c>
      <c r="AN170" s="1" t="s">
        <v>371</v>
      </c>
      <c r="AO170" s="1" t="s">
        <v>208</v>
      </c>
      <c r="AP170" s="1" t="s">
        <v>206</v>
      </c>
      <c r="AQ170" s="1" t="s">
        <v>441</v>
      </c>
      <c r="AR170" s="1" t="s">
        <v>206</v>
      </c>
      <c r="AS170" s="106" t="s">
        <v>206</v>
      </c>
      <c r="AT170" s="1" t="s">
        <v>206</v>
      </c>
      <c r="AU170" s="106" t="s">
        <v>206</v>
      </c>
      <c r="AV170" s="106" t="s">
        <v>206</v>
      </c>
      <c r="AW170" s="106" t="s">
        <v>35</v>
      </c>
      <c r="AX170" s="106" t="s">
        <v>206</v>
      </c>
      <c r="AY170" s="106" t="s">
        <v>206</v>
      </c>
      <c r="AZ170" s="1" t="s">
        <v>206</v>
      </c>
      <c r="BA170" s="106" t="s">
        <v>206</v>
      </c>
      <c r="BB170" s="106" t="s">
        <v>206</v>
      </c>
      <c r="BC170" s="106" t="s">
        <v>206</v>
      </c>
      <c r="BD170" s="106" t="s">
        <v>206</v>
      </c>
      <c r="BE170" s="106" t="s">
        <v>206</v>
      </c>
      <c r="BF170" s="107">
        <f>IF(AZ170="Não","Sim","Não")</f>
      </c>
      <c r="BG170" s="107">
        <f>IF(AZ170="NA","Sim","Não")</f>
      </c>
      <c r="BH170" s="106" t="s">
        <v>206</v>
      </c>
      <c r="BI170" s="1" t="s">
        <v>206</v>
      </c>
      <c r="BJ170" s="106" t="s">
        <v>206</v>
      </c>
      <c r="BK170" s="1" t="s">
        <v>441</v>
      </c>
      <c r="BL170" s="102">
        <v>60</v>
      </c>
      <c r="BM170" s="1" t="s">
        <v>1101</v>
      </c>
      <c r="BN170" s="1" t="s">
        <v>208</v>
      </c>
      <c r="BO170" s="1" t="s">
        <v>360</v>
      </c>
      <c r="BP170" s="102">
        <v>96</v>
      </c>
      <c r="BQ170" s="1" t="s">
        <v>208</v>
      </c>
      <c r="BR170" s="1" t="s">
        <v>227</v>
      </c>
      <c r="BS170" s="106" t="s">
        <v>37</v>
      </c>
    </row>
    <row x14ac:dyDescent="0.25" r="171" customHeight="1" ht="17.25">
      <c r="A171" s="102">
        <v>170</v>
      </c>
      <c r="B171" s="1" t="s">
        <v>1346</v>
      </c>
      <c r="C171" s="102">
        <v>1</v>
      </c>
      <c r="D171" s="61" t="s">
        <v>597</v>
      </c>
      <c r="E171" s="1" t="s">
        <v>84</v>
      </c>
      <c r="F171" s="1" t="s">
        <v>170</v>
      </c>
      <c r="G171" s="1" t="s">
        <v>55</v>
      </c>
      <c r="H171" s="1" t="s">
        <v>1347</v>
      </c>
      <c r="I171" s="102">
        <v>1</v>
      </c>
      <c r="J171" s="1" t="s">
        <v>158</v>
      </c>
      <c r="K171" s="1" t="s">
        <v>22</v>
      </c>
      <c r="L171" s="103">
        <v>35340</v>
      </c>
      <c r="M171" s="104">
        <v>20</v>
      </c>
      <c r="N171" s="1" t="s">
        <v>175</v>
      </c>
      <c r="O171" s="1" t="s">
        <v>24</v>
      </c>
      <c r="P171" s="1" t="s">
        <v>365</v>
      </c>
      <c r="Q171" s="1" t="s">
        <v>1348</v>
      </c>
      <c r="R171" s="54" t="s">
        <v>1349</v>
      </c>
      <c r="S171" s="105">
        <v>143.2</v>
      </c>
      <c r="T171" s="62">
        <v>0</v>
      </c>
      <c r="U171" s="102">
        <v>0</v>
      </c>
      <c r="V171" s="62">
        <v>0</v>
      </c>
      <c r="W171" s="102">
        <v>0</v>
      </c>
      <c r="X171" s="62">
        <v>0</v>
      </c>
      <c r="Y171" s="102">
        <v>0</v>
      </c>
      <c r="Z171" s="62">
        <v>0</v>
      </c>
      <c r="AA171" s="102">
        <v>0</v>
      </c>
      <c r="AB171" s="62">
        <v>0</v>
      </c>
      <c r="AC171" s="106" t="s">
        <v>206</v>
      </c>
      <c r="AD171" s="106" t="s">
        <v>206</v>
      </c>
      <c r="AE171" s="106" t="s">
        <v>206</v>
      </c>
      <c r="AF171" s="106" t="s">
        <v>206</v>
      </c>
      <c r="AG171" s="106" t="s">
        <v>206</v>
      </c>
      <c r="AH171" s="106" t="s">
        <v>206</v>
      </c>
      <c r="AI171" s="1" t="s">
        <v>357</v>
      </c>
      <c r="AJ171" s="1" t="s">
        <v>206</v>
      </c>
      <c r="AK171" s="1" t="s">
        <v>358</v>
      </c>
      <c r="AL171" s="1" t="s">
        <v>197</v>
      </c>
      <c r="AM171" s="106" t="s">
        <v>27</v>
      </c>
      <c r="AN171" s="1" t="s">
        <v>357</v>
      </c>
      <c r="AO171" s="1" t="s">
        <v>208</v>
      </c>
      <c r="AP171" s="1" t="s">
        <v>206</v>
      </c>
      <c r="AQ171" s="1" t="s">
        <v>441</v>
      </c>
      <c r="AR171" s="1" t="s">
        <v>206</v>
      </c>
      <c r="AS171" s="106" t="s">
        <v>206</v>
      </c>
      <c r="AT171" s="1" t="s">
        <v>206</v>
      </c>
      <c r="AU171" s="106" t="s">
        <v>206</v>
      </c>
      <c r="AV171" s="106" t="s">
        <v>206</v>
      </c>
      <c r="AW171" s="106" t="s">
        <v>35</v>
      </c>
      <c r="AX171" s="106" t="s">
        <v>206</v>
      </c>
      <c r="AY171" s="106" t="s">
        <v>206</v>
      </c>
      <c r="AZ171" s="1" t="s">
        <v>206</v>
      </c>
      <c r="BA171" s="106" t="s">
        <v>206</v>
      </c>
      <c r="BB171" s="106" t="s">
        <v>206</v>
      </c>
      <c r="BC171" s="106" t="s">
        <v>206</v>
      </c>
      <c r="BD171" s="106" t="s">
        <v>206</v>
      </c>
      <c r="BE171" s="106" t="s">
        <v>206</v>
      </c>
      <c r="BF171" s="107">
        <f>IF(AZ171="Não","Sim","Não")</f>
      </c>
      <c r="BG171" s="107">
        <f>IF(AZ171="NA","Sim","Não")</f>
      </c>
      <c r="BH171" s="106" t="s">
        <v>206</v>
      </c>
      <c r="BI171" s="1" t="s">
        <v>238</v>
      </c>
      <c r="BJ171" s="106" t="s">
        <v>241</v>
      </c>
      <c r="BK171" s="1" t="s">
        <v>441</v>
      </c>
      <c r="BL171" s="102">
        <v>60</v>
      </c>
      <c r="BM171" s="1" t="s">
        <v>208</v>
      </c>
      <c r="BN171" s="1" t="s">
        <v>208</v>
      </c>
      <c r="BO171" s="1" t="s">
        <v>441</v>
      </c>
      <c r="BP171" s="102">
        <v>60</v>
      </c>
      <c r="BQ171" s="1" t="s">
        <v>208</v>
      </c>
      <c r="BR171" s="1" t="s">
        <v>227</v>
      </c>
      <c r="BS171" s="106" t="s">
        <v>37</v>
      </c>
    </row>
    <row x14ac:dyDescent="0.25" r="172" customHeight="1" ht="17.25">
      <c r="A172" s="102">
        <v>171</v>
      </c>
      <c r="B172" s="1" t="s">
        <v>1350</v>
      </c>
      <c r="C172" s="102">
        <v>0</v>
      </c>
      <c r="D172" s="61">
        <v>42955</v>
      </c>
      <c r="E172" s="1" t="s">
        <v>91</v>
      </c>
      <c r="F172" s="1" t="s">
        <v>170</v>
      </c>
      <c r="G172" s="1" t="s">
        <v>61</v>
      </c>
      <c r="H172" s="1" t="s">
        <v>1351</v>
      </c>
      <c r="I172" s="102">
        <v>1</v>
      </c>
      <c r="J172" s="1" t="s">
        <v>158</v>
      </c>
      <c r="K172" s="1" t="s">
        <v>170</v>
      </c>
      <c r="L172" s="103">
        <v>34076</v>
      </c>
      <c r="M172" s="104">
        <v>24</v>
      </c>
      <c r="N172" s="1" t="s">
        <v>176</v>
      </c>
      <c r="O172" s="1" t="s">
        <v>182</v>
      </c>
      <c r="P172" s="1" t="s">
        <v>464</v>
      </c>
      <c r="Q172" s="1" t="s">
        <v>1352</v>
      </c>
      <c r="R172" s="54" t="s">
        <v>1353</v>
      </c>
      <c r="S172" s="102">
        <v>2700</v>
      </c>
      <c r="T172" s="62">
        <v>0</v>
      </c>
      <c r="U172" s="102">
        <v>0</v>
      </c>
      <c r="V172" s="62">
        <v>0</v>
      </c>
      <c r="W172" s="102">
        <v>0</v>
      </c>
      <c r="X172" s="62">
        <v>0</v>
      </c>
      <c r="Y172" s="102">
        <v>0</v>
      </c>
      <c r="Z172" s="62">
        <v>0</v>
      </c>
      <c r="AA172" s="102">
        <v>0</v>
      </c>
      <c r="AB172" s="62">
        <v>0</v>
      </c>
      <c r="AC172" s="106" t="s">
        <v>206</v>
      </c>
      <c r="AD172" s="106" t="s">
        <v>206</v>
      </c>
      <c r="AE172" s="106" t="s">
        <v>206</v>
      </c>
      <c r="AF172" s="106" t="s">
        <v>206</v>
      </c>
      <c r="AG172" s="106" t="s">
        <v>206</v>
      </c>
      <c r="AH172" s="106" t="s">
        <v>206</v>
      </c>
      <c r="AI172" s="1" t="s">
        <v>357</v>
      </c>
      <c r="AJ172" s="1" t="s">
        <v>674</v>
      </c>
      <c r="AK172" s="1" t="s">
        <v>405</v>
      </c>
      <c r="AL172" s="1" t="s">
        <v>197</v>
      </c>
      <c r="AM172" s="106" t="s">
        <v>27</v>
      </c>
      <c r="AN172" s="1" t="s">
        <v>357</v>
      </c>
      <c r="AO172" s="1" t="s">
        <v>674</v>
      </c>
      <c r="AP172" s="1" t="s">
        <v>206</v>
      </c>
      <c r="AQ172" s="1" t="s">
        <v>441</v>
      </c>
      <c r="AR172" s="1" t="s">
        <v>206</v>
      </c>
      <c r="AS172" s="106" t="s">
        <v>206</v>
      </c>
      <c r="AT172" s="1" t="s">
        <v>206</v>
      </c>
      <c r="AU172" s="106" t="s">
        <v>206</v>
      </c>
      <c r="AV172" s="106" t="s">
        <v>206</v>
      </c>
      <c r="AW172" s="106" t="s">
        <v>35</v>
      </c>
      <c r="AX172" s="106" t="s">
        <v>206</v>
      </c>
      <c r="AY172" s="106" t="s">
        <v>206</v>
      </c>
      <c r="AZ172" s="1" t="s">
        <v>206</v>
      </c>
      <c r="BA172" s="106" t="s">
        <v>206</v>
      </c>
      <c r="BB172" s="106" t="s">
        <v>206</v>
      </c>
      <c r="BC172" s="106" t="s">
        <v>206</v>
      </c>
      <c r="BD172" s="106" t="s">
        <v>206</v>
      </c>
      <c r="BE172" s="106" t="s">
        <v>206</v>
      </c>
      <c r="BF172" s="107">
        <f>IF(AZ172="Não","Sim","Não")</f>
      </c>
      <c r="BG172" s="107">
        <f>IF(AZ172="NA","Sim","Não")</f>
      </c>
      <c r="BH172" s="106" t="s">
        <v>206</v>
      </c>
      <c r="BI172" s="1" t="s">
        <v>206</v>
      </c>
      <c r="BJ172" s="106" t="s">
        <v>206</v>
      </c>
      <c r="BK172" s="1" t="s">
        <v>441</v>
      </c>
      <c r="BL172" s="102">
        <v>60</v>
      </c>
      <c r="BM172" s="1" t="s">
        <v>208</v>
      </c>
      <c r="BN172" s="1" t="s">
        <v>661</v>
      </c>
      <c r="BO172" s="1" t="s">
        <v>375</v>
      </c>
      <c r="BP172" s="102">
        <v>84</v>
      </c>
      <c r="BQ172" s="1" t="s">
        <v>208</v>
      </c>
      <c r="BR172" s="1" t="s">
        <v>227</v>
      </c>
      <c r="BS172" s="106" t="s">
        <v>37</v>
      </c>
    </row>
    <row x14ac:dyDescent="0.25" r="173" customHeight="1" ht="17.25">
      <c r="A173" s="102">
        <v>172</v>
      </c>
      <c r="B173" s="1" t="s">
        <v>1350</v>
      </c>
      <c r="C173" s="102">
        <v>1</v>
      </c>
      <c r="D173" s="61">
        <v>42955</v>
      </c>
      <c r="E173" s="1" t="s">
        <v>91</v>
      </c>
      <c r="F173" s="1" t="s">
        <v>170</v>
      </c>
      <c r="G173" s="1" t="s">
        <v>61</v>
      </c>
      <c r="H173" s="1" t="s">
        <v>1354</v>
      </c>
      <c r="I173" s="102">
        <v>1</v>
      </c>
      <c r="J173" s="1" t="s">
        <v>158</v>
      </c>
      <c r="K173" s="1" t="s">
        <v>22</v>
      </c>
      <c r="L173" s="103">
        <v>33715</v>
      </c>
      <c r="M173" s="104">
        <v>25</v>
      </c>
      <c r="N173" s="1" t="s">
        <v>175</v>
      </c>
      <c r="O173" s="1" t="s">
        <v>24</v>
      </c>
      <c r="P173" s="1" t="s">
        <v>354</v>
      </c>
      <c r="Q173" s="1" t="s">
        <v>1355</v>
      </c>
      <c r="R173" s="54" t="s">
        <v>1353</v>
      </c>
      <c r="S173" s="102">
        <v>2700</v>
      </c>
      <c r="T173" s="62">
        <v>0</v>
      </c>
      <c r="U173" s="102">
        <v>0</v>
      </c>
      <c r="V173" s="62">
        <v>0</v>
      </c>
      <c r="W173" s="102">
        <v>0</v>
      </c>
      <c r="X173" s="62">
        <v>0</v>
      </c>
      <c r="Y173" s="102">
        <v>0</v>
      </c>
      <c r="Z173" s="62">
        <v>0</v>
      </c>
      <c r="AA173" s="102">
        <v>0</v>
      </c>
      <c r="AB173" s="62">
        <v>0</v>
      </c>
      <c r="AC173" s="106" t="s">
        <v>206</v>
      </c>
      <c r="AD173" s="106" t="s">
        <v>206</v>
      </c>
      <c r="AE173" s="106" t="s">
        <v>206</v>
      </c>
      <c r="AF173" s="106" t="s">
        <v>206</v>
      </c>
      <c r="AG173" s="106" t="s">
        <v>206</v>
      </c>
      <c r="AH173" s="106" t="s">
        <v>206</v>
      </c>
      <c r="AI173" s="1" t="s">
        <v>357</v>
      </c>
      <c r="AJ173" s="1" t="s">
        <v>674</v>
      </c>
      <c r="AK173" s="1" t="s">
        <v>1356</v>
      </c>
      <c r="AL173" s="1" t="s">
        <v>197</v>
      </c>
      <c r="AM173" s="106" t="s">
        <v>27</v>
      </c>
      <c r="AN173" s="1" t="s">
        <v>357</v>
      </c>
      <c r="AO173" s="1" t="s">
        <v>674</v>
      </c>
      <c r="AP173" s="1" t="s">
        <v>206</v>
      </c>
      <c r="AQ173" s="1" t="s">
        <v>441</v>
      </c>
      <c r="AR173" s="1" t="s">
        <v>206</v>
      </c>
      <c r="AS173" s="106" t="s">
        <v>206</v>
      </c>
      <c r="AT173" s="1" t="s">
        <v>206</v>
      </c>
      <c r="AU173" s="106" t="s">
        <v>206</v>
      </c>
      <c r="AV173" s="106" t="s">
        <v>206</v>
      </c>
      <c r="AW173" s="106" t="s">
        <v>35</v>
      </c>
      <c r="AX173" s="106" t="s">
        <v>206</v>
      </c>
      <c r="AY173" s="106" t="s">
        <v>206</v>
      </c>
      <c r="AZ173" s="1" t="s">
        <v>206</v>
      </c>
      <c r="BA173" s="106" t="s">
        <v>206</v>
      </c>
      <c r="BB173" s="106" t="s">
        <v>206</v>
      </c>
      <c r="BC173" s="106" t="s">
        <v>206</v>
      </c>
      <c r="BD173" s="106" t="s">
        <v>206</v>
      </c>
      <c r="BE173" s="106" t="s">
        <v>206</v>
      </c>
      <c r="BF173" s="107">
        <f>IF(AZ173="Não","Sim","Não")</f>
      </c>
      <c r="BG173" s="107">
        <f>IF(AZ173="NA","Sim","Não")</f>
      </c>
      <c r="BH173" s="106" t="s">
        <v>206</v>
      </c>
      <c r="BI173" s="1" t="s">
        <v>206</v>
      </c>
      <c r="BJ173" s="106" t="s">
        <v>206</v>
      </c>
      <c r="BK173" s="1" t="s">
        <v>441</v>
      </c>
      <c r="BL173" s="102">
        <v>60</v>
      </c>
      <c r="BM173" s="1" t="s">
        <v>208</v>
      </c>
      <c r="BN173" s="1" t="s">
        <v>661</v>
      </c>
      <c r="BO173" s="1" t="s">
        <v>375</v>
      </c>
      <c r="BP173" s="102">
        <v>84</v>
      </c>
      <c r="BQ173" s="1" t="s">
        <v>208</v>
      </c>
      <c r="BR173" s="1" t="s">
        <v>227</v>
      </c>
      <c r="BS173" s="106" t="s">
        <v>37</v>
      </c>
    </row>
    <row x14ac:dyDescent="0.25" r="174" customHeight="1" ht="17.25">
      <c r="A174" s="102">
        <v>173</v>
      </c>
      <c r="B174" s="1" t="s">
        <v>1350</v>
      </c>
      <c r="C174" s="102">
        <v>0</v>
      </c>
      <c r="D174" s="61">
        <v>42955</v>
      </c>
      <c r="E174" s="1" t="s">
        <v>91</v>
      </c>
      <c r="F174" s="1" t="s">
        <v>170</v>
      </c>
      <c r="G174" s="1" t="s">
        <v>61</v>
      </c>
      <c r="H174" s="1" t="s">
        <v>1357</v>
      </c>
      <c r="I174" s="102">
        <v>1</v>
      </c>
      <c r="J174" s="1" t="s">
        <v>158</v>
      </c>
      <c r="K174" s="1" t="s">
        <v>22</v>
      </c>
      <c r="L174" s="103">
        <v>34376</v>
      </c>
      <c r="M174" s="104">
        <v>23</v>
      </c>
      <c r="N174" s="1" t="s">
        <v>175</v>
      </c>
      <c r="O174" s="1" t="s">
        <v>24</v>
      </c>
      <c r="P174" s="1" t="s">
        <v>354</v>
      </c>
      <c r="Q174" s="1" t="s">
        <v>1358</v>
      </c>
      <c r="R174" s="54" t="s">
        <v>1353</v>
      </c>
      <c r="S174" s="102">
        <v>2700</v>
      </c>
      <c r="T174" s="62">
        <v>0</v>
      </c>
      <c r="U174" s="102">
        <v>0</v>
      </c>
      <c r="V174" s="62">
        <v>0</v>
      </c>
      <c r="W174" s="102">
        <v>0</v>
      </c>
      <c r="X174" s="62">
        <v>0</v>
      </c>
      <c r="Y174" s="102">
        <v>0</v>
      </c>
      <c r="Z174" s="62">
        <v>0</v>
      </c>
      <c r="AA174" s="102">
        <v>0</v>
      </c>
      <c r="AB174" s="62">
        <v>0</v>
      </c>
      <c r="AC174" s="106" t="s">
        <v>206</v>
      </c>
      <c r="AD174" s="106" t="s">
        <v>206</v>
      </c>
      <c r="AE174" s="106" t="s">
        <v>206</v>
      </c>
      <c r="AF174" s="106" t="s">
        <v>206</v>
      </c>
      <c r="AG174" s="106" t="s">
        <v>206</v>
      </c>
      <c r="AH174" s="106" t="s">
        <v>206</v>
      </c>
      <c r="AI174" s="1" t="s">
        <v>357</v>
      </c>
      <c r="AJ174" s="1" t="s">
        <v>674</v>
      </c>
      <c r="AK174" s="1" t="s">
        <v>1356</v>
      </c>
      <c r="AL174" s="1" t="s">
        <v>197</v>
      </c>
      <c r="AM174" s="106" t="s">
        <v>27</v>
      </c>
      <c r="AN174" s="1" t="s">
        <v>357</v>
      </c>
      <c r="AO174" s="1" t="s">
        <v>674</v>
      </c>
      <c r="AP174" s="1" t="s">
        <v>206</v>
      </c>
      <c r="AQ174" s="1" t="s">
        <v>441</v>
      </c>
      <c r="AR174" s="1" t="s">
        <v>207</v>
      </c>
      <c r="AS174" s="106" t="s">
        <v>35</v>
      </c>
      <c r="AT174" s="1" t="s">
        <v>28</v>
      </c>
      <c r="AU174" s="106" t="s">
        <v>35</v>
      </c>
      <c r="AV174" s="106" t="s">
        <v>206</v>
      </c>
      <c r="AW174" s="106" t="s">
        <v>206</v>
      </c>
      <c r="AX174" s="106" t="s">
        <v>206</v>
      </c>
      <c r="AY174" s="106" t="s">
        <v>35</v>
      </c>
      <c r="AZ174" s="1" t="s">
        <v>206</v>
      </c>
      <c r="BA174" s="106" t="s">
        <v>206</v>
      </c>
      <c r="BB174" s="106" t="s">
        <v>206</v>
      </c>
      <c r="BC174" s="106" t="s">
        <v>206</v>
      </c>
      <c r="BD174" s="106" t="s">
        <v>206</v>
      </c>
      <c r="BE174" s="106" t="s">
        <v>206</v>
      </c>
      <c r="BF174" s="107">
        <f>IF(AZ174="Não","Sim","Não")</f>
      </c>
      <c r="BG174" s="107">
        <f>IF(AZ174="NA","Sim","Não")</f>
      </c>
      <c r="BH174" s="106" t="s">
        <v>206</v>
      </c>
      <c r="BI174" s="1" t="s">
        <v>206</v>
      </c>
      <c r="BJ174" s="106" t="s">
        <v>206</v>
      </c>
      <c r="BK174" s="1" t="s">
        <v>441</v>
      </c>
      <c r="BL174" s="102">
        <v>60</v>
      </c>
      <c r="BM174" s="1" t="s">
        <v>208</v>
      </c>
      <c r="BN174" s="1" t="s">
        <v>661</v>
      </c>
      <c r="BO174" s="1" t="s">
        <v>375</v>
      </c>
      <c r="BP174" s="102">
        <v>84</v>
      </c>
      <c r="BQ174" s="1" t="s">
        <v>208</v>
      </c>
      <c r="BR174" s="1" t="s">
        <v>227</v>
      </c>
      <c r="BS174" s="106" t="s">
        <v>37</v>
      </c>
    </row>
    <row x14ac:dyDescent="0.25" r="175" customHeight="1" ht="17.25">
      <c r="A175" s="102">
        <v>174</v>
      </c>
      <c r="B175" s="1" t="s">
        <v>1359</v>
      </c>
      <c r="C175" s="102">
        <v>1</v>
      </c>
      <c r="D175" s="61" t="s">
        <v>983</v>
      </c>
      <c r="E175" s="1" t="s">
        <v>109</v>
      </c>
      <c r="F175" s="1" t="s">
        <v>22</v>
      </c>
      <c r="G175" s="1" t="s">
        <v>69</v>
      </c>
      <c r="H175" s="1" t="s">
        <v>1360</v>
      </c>
      <c r="I175" s="102">
        <v>1</v>
      </c>
      <c r="J175" s="1" t="s">
        <v>159</v>
      </c>
      <c r="K175" s="1" t="s">
        <v>22</v>
      </c>
      <c r="L175" s="103">
        <v>31822</v>
      </c>
      <c r="M175" s="104">
        <v>30</v>
      </c>
      <c r="N175" s="1" t="s">
        <v>175</v>
      </c>
      <c r="O175" s="1" t="s">
        <v>24</v>
      </c>
      <c r="P175" s="1" t="s">
        <v>365</v>
      </c>
      <c r="Q175" s="1" t="s">
        <v>1361</v>
      </c>
      <c r="R175" s="54" t="s">
        <v>1362</v>
      </c>
      <c r="S175" s="102">
        <v>31331</v>
      </c>
      <c r="T175" s="62">
        <v>0</v>
      </c>
      <c r="U175" s="102">
        <v>0</v>
      </c>
      <c r="V175" s="62">
        <v>0</v>
      </c>
      <c r="W175" s="102">
        <v>0</v>
      </c>
      <c r="X175" s="62">
        <v>0</v>
      </c>
      <c r="Y175" s="102">
        <v>0</v>
      </c>
      <c r="Z175" s="62">
        <v>0</v>
      </c>
      <c r="AA175" s="102">
        <v>0</v>
      </c>
      <c r="AB175" s="62">
        <v>0</v>
      </c>
      <c r="AC175" s="106" t="s">
        <v>206</v>
      </c>
      <c r="AD175" s="106" t="s">
        <v>206</v>
      </c>
      <c r="AE175" s="106" t="s">
        <v>206</v>
      </c>
      <c r="AF175" s="106" t="s">
        <v>206</v>
      </c>
      <c r="AG175" s="106" t="s">
        <v>206</v>
      </c>
      <c r="AH175" s="106" t="s">
        <v>206</v>
      </c>
      <c r="AI175" s="1" t="s">
        <v>357</v>
      </c>
      <c r="AJ175" s="1" t="s">
        <v>206</v>
      </c>
      <c r="AK175" s="1" t="s">
        <v>1363</v>
      </c>
      <c r="AL175" s="1" t="s">
        <v>197</v>
      </c>
      <c r="AM175" s="106" t="s">
        <v>27</v>
      </c>
      <c r="AN175" s="1" t="s">
        <v>357</v>
      </c>
      <c r="AO175" s="1" t="s">
        <v>208</v>
      </c>
      <c r="AP175" s="1" t="s">
        <v>603</v>
      </c>
      <c r="AQ175" s="1" t="s">
        <v>492</v>
      </c>
      <c r="AR175" s="1" t="s">
        <v>207</v>
      </c>
      <c r="AS175" s="106" t="s">
        <v>35</v>
      </c>
      <c r="AT175" s="1" t="s">
        <v>28</v>
      </c>
      <c r="AU175" s="106" t="s">
        <v>35</v>
      </c>
      <c r="AV175" s="106" t="s">
        <v>206</v>
      </c>
      <c r="AW175" s="106" t="s">
        <v>206</v>
      </c>
      <c r="AX175" s="106" t="s">
        <v>206</v>
      </c>
      <c r="AY175" s="106" t="s">
        <v>35</v>
      </c>
      <c r="AZ175" s="1" t="s">
        <v>206</v>
      </c>
      <c r="BA175" s="106" t="s">
        <v>206</v>
      </c>
      <c r="BB175" s="106" t="s">
        <v>206</v>
      </c>
      <c r="BC175" s="106" t="s">
        <v>206</v>
      </c>
      <c r="BD175" s="106" t="s">
        <v>206</v>
      </c>
      <c r="BE175" s="106" t="s">
        <v>206</v>
      </c>
      <c r="BF175" s="107">
        <f>IF(AZ175="Não","Sim","Não")</f>
      </c>
      <c r="BG175" s="107">
        <f>IF(AZ175="NA","Sim","Não")</f>
      </c>
      <c r="BH175" s="106" t="s">
        <v>206</v>
      </c>
      <c r="BI175" s="1" t="s">
        <v>238</v>
      </c>
      <c r="BJ175" s="106" t="s">
        <v>241</v>
      </c>
      <c r="BK175" s="1" t="s">
        <v>441</v>
      </c>
      <c r="BL175" s="102">
        <v>60</v>
      </c>
      <c r="BM175" s="1" t="s">
        <v>208</v>
      </c>
      <c r="BN175" s="1" t="s">
        <v>208</v>
      </c>
      <c r="BO175" s="1" t="s">
        <v>441</v>
      </c>
      <c r="BP175" s="102">
        <v>60</v>
      </c>
      <c r="BQ175" s="1" t="s">
        <v>208</v>
      </c>
      <c r="BR175" s="1" t="s">
        <v>227</v>
      </c>
      <c r="BS175" s="106" t="s">
        <v>37</v>
      </c>
    </row>
    <row x14ac:dyDescent="0.25" r="176" customHeight="1" ht="17.25">
      <c r="A176" s="102">
        <v>175</v>
      </c>
      <c r="B176" s="1" t="s">
        <v>1364</v>
      </c>
      <c r="C176" s="102">
        <v>1</v>
      </c>
      <c r="D176" s="61" t="s">
        <v>1365</v>
      </c>
      <c r="E176" s="1" t="s">
        <v>80</v>
      </c>
      <c r="F176" s="1" t="s">
        <v>170</v>
      </c>
      <c r="G176" s="1" t="s">
        <v>41</v>
      </c>
      <c r="H176" s="1" t="s">
        <v>1366</v>
      </c>
      <c r="I176" s="102">
        <v>1</v>
      </c>
      <c r="J176" s="1" t="s">
        <v>158</v>
      </c>
      <c r="K176" s="1" t="s">
        <v>22</v>
      </c>
      <c r="L176" s="103">
        <v>29709</v>
      </c>
      <c r="M176" s="104">
        <v>35</v>
      </c>
      <c r="N176" s="1" t="s">
        <v>177</v>
      </c>
      <c r="O176" s="1" t="s">
        <v>24</v>
      </c>
      <c r="P176" s="1" t="s">
        <v>365</v>
      </c>
      <c r="Q176" s="1" t="s">
        <v>1367</v>
      </c>
      <c r="R176" s="54" t="s">
        <v>1368</v>
      </c>
      <c r="S176" s="105">
        <v>10.5</v>
      </c>
      <c r="T176" s="62">
        <v>0</v>
      </c>
      <c r="U176" s="102">
        <v>0</v>
      </c>
      <c r="V176" s="62">
        <v>0</v>
      </c>
      <c r="W176" s="102">
        <v>0</v>
      </c>
      <c r="X176" s="62">
        <v>0</v>
      </c>
      <c r="Y176" s="102">
        <v>0</v>
      </c>
      <c r="Z176" s="62">
        <v>0</v>
      </c>
      <c r="AA176" s="102">
        <v>0</v>
      </c>
      <c r="AB176" s="62">
        <v>0</v>
      </c>
      <c r="AC176" s="106" t="s">
        <v>206</v>
      </c>
      <c r="AD176" s="106" t="s">
        <v>206</v>
      </c>
      <c r="AE176" s="106" t="s">
        <v>206</v>
      </c>
      <c r="AF176" s="106" t="s">
        <v>206</v>
      </c>
      <c r="AG176" s="106" t="s">
        <v>206</v>
      </c>
      <c r="AH176" s="106" t="s">
        <v>206</v>
      </c>
      <c r="AI176" s="1" t="s">
        <v>357</v>
      </c>
      <c r="AJ176" s="1" t="s">
        <v>206</v>
      </c>
      <c r="AK176" s="1" t="s">
        <v>1136</v>
      </c>
      <c r="AL176" s="1" t="s">
        <v>197</v>
      </c>
      <c r="AM176" s="106" t="s">
        <v>27</v>
      </c>
      <c r="AN176" s="1" t="s">
        <v>357</v>
      </c>
      <c r="AO176" s="1" t="s">
        <v>208</v>
      </c>
      <c r="AP176" s="1" t="s">
        <v>206</v>
      </c>
      <c r="AQ176" s="1" t="s">
        <v>441</v>
      </c>
      <c r="AR176" s="1" t="s">
        <v>206</v>
      </c>
      <c r="AS176" s="106" t="s">
        <v>206</v>
      </c>
      <c r="AT176" s="1" t="s">
        <v>206</v>
      </c>
      <c r="AU176" s="106" t="s">
        <v>206</v>
      </c>
      <c r="AV176" s="106" t="s">
        <v>206</v>
      </c>
      <c r="AW176" s="106" t="s">
        <v>35</v>
      </c>
      <c r="AX176" s="106" t="s">
        <v>206</v>
      </c>
      <c r="AY176" s="106" t="s">
        <v>206</v>
      </c>
      <c r="AZ176" s="1" t="s">
        <v>206</v>
      </c>
      <c r="BA176" s="106" t="s">
        <v>206</v>
      </c>
      <c r="BB176" s="106" t="s">
        <v>206</v>
      </c>
      <c r="BC176" s="106" t="s">
        <v>206</v>
      </c>
      <c r="BD176" s="106" t="s">
        <v>206</v>
      </c>
      <c r="BE176" s="106" t="s">
        <v>206</v>
      </c>
      <c r="BF176" s="107">
        <f>IF(AZ176="Não","Sim","Não")</f>
      </c>
      <c r="BG176" s="107">
        <f>IF(AZ176="NA","Sim","Não")</f>
      </c>
      <c r="BH176" s="106" t="s">
        <v>206</v>
      </c>
      <c r="BI176" s="1" t="s">
        <v>206</v>
      </c>
      <c r="BJ176" s="106" t="s">
        <v>206</v>
      </c>
      <c r="BK176" s="1" t="s">
        <v>441</v>
      </c>
      <c r="BL176" s="102">
        <v>60</v>
      </c>
      <c r="BM176" s="1" t="s">
        <v>208</v>
      </c>
      <c r="BN176" s="1" t="s">
        <v>208</v>
      </c>
      <c r="BO176" s="1" t="s">
        <v>441</v>
      </c>
      <c r="BP176" s="102">
        <v>60</v>
      </c>
      <c r="BQ176" s="1" t="s">
        <v>208</v>
      </c>
      <c r="BR176" s="1" t="s">
        <v>227</v>
      </c>
      <c r="BS176" s="106" t="s">
        <v>37</v>
      </c>
    </row>
    <row x14ac:dyDescent="0.25" r="177" customHeight="1" ht="17.25">
      <c r="A177" s="102">
        <v>176</v>
      </c>
      <c r="B177" s="1" t="s">
        <v>1369</v>
      </c>
      <c r="C177" s="102">
        <v>1</v>
      </c>
      <c r="D177" s="61">
        <v>43061</v>
      </c>
      <c r="E177" s="1" t="s">
        <v>94</v>
      </c>
      <c r="F177" s="1" t="s">
        <v>170</v>
      </c>
      <c r="G177" s="1" t="s">
        <v>61</v>
      </c>
      <c r="H177" s="1" t="s">
        <v>1370</v>
      </c>
      <c r="I177" s="102">
        <v>1</v>
      </c>
      <c r="J177" s="1" t="s">
        <v>158</v>
      </c>
      <c r="K177" s="1" t="s">
        <v>22</v>
      </c>
      <c r="L177" s="103">
        <v>35577</v>
      </c>
      <c r="M177" s="104">
        <v>20</v>
      </c>
      <c r="N177" s="1" t="s">
        <v>175</v>
      </c>
      <c r="O177" s="1" t="s">
        <v>24</v>
      </c>
      <c r="P177" s="1" t="s">
        <v>354</v>
      </c>
      <c r="Q177" s="1" t="s">
        <v>1371</v>
      </c>
      <c r="R177" s="54" t="s">
        <v>1372</v>
      </c>
      <c r="S177" s="102">
        <v>10156</v>
      </c>
      <c r="T177" s="62">
        <v>0</v>
      </c>
      <c r="U177" s="102">
        <v>0</v>
      </c>
      <c r="V177" s="62">
        <v>0</v>
      </c>
      <c r="W177" s="102">
        <v>0</v>
      </c>
      <c r="X177" s="62">
        <v>0</v>
      </c>
      <c r="Y177" s="102">
        <v>0</v>
      </c>
      <c r="Z177" s="62">
        <v>0</v>
      </c>
      <c r="AA177" s="102">
        <v>0</v>
      </c>
      <c r="AB177" s="62">
        <v>0</v>
      </c>
      <c r="AC177" s="106" t="s">
        <v>206</v>
      </c>
      <c r="AD177" s="106" t="s">
        <v>206</v>
      </c>
      <c r="AE177" s="106" t="s">
        <v>206</v>
      </c>
      <c r="AF177" s="106" t="s">
        <v>206</v>
      </c>
      <c r="AG177" s="106" t="s">
        <v>206</v>
      </c>
      <c r="AH177" s="106" t="s">
        <v>206</v>
      </c>
      <c r="AI177" s="1" t="s">
        <v>357</v>
      </c>
      <c r="AJ177" s="1" t="s">
        <v>206</v>
      </c>
      <c r="AK177" s="1" t="s">
        <v>1373</v>
      </c>
      <c r="AL177" s="1" t="s">
        <v>197</v>
      </c>
      <c r="AM177" s="106" t="s">
        <v>27</v>
      </c>
      <c r="AN177" s="1" t="s">
        <v>357</v>
      </c>
      <c r="AO177" s="1" t="s">
        <v>208</v>
      </c>
      <c r="AP177" s="1" t="s">
        <v>406</v>
      </c>
      <c r="AQ177" s="1" t="s">
        <v>1374</v>
      </c>
      <c r="AR177" s="1" t="s">
        <v>206</v>
      </c>
      <c r="AS177" s="106" t="s">
        <v>206</v>
      </c>
      <c r="AT177" s="1" t="s">
        <v>212</v>
      </c>
      <c r="AU177" s="106" t="s">
        <v>35</v>
      </c>
      <c r="AV177" s="106" t="s">
        <v>35</v>
      </c>
      <c r="AW177" s="106" t="s">
        <v>206</v>
      </c>
      <c r="AX177" s="106" t="s">
        <v>206</v>
      </c>
      <c r="AY177" s="106" t="s">
        <v>35</v>
      </c>
      <c r="AZ177" s="1" t="s">
        <v>206</v>
      </c>
      <c r="BA177" s="106" t="s">
        <v>206</v>
      </c>
      <c r="BB177" s="106" t="s">
        <v>206</v>
      </c>
      <c r="BC177" s="106" t="s">
        <v>206</v>
      </c>
      <c r="BD177" s="106" t="s">
        <v>206</v>
      </c>
      <c r="BE177" s="106" t="s">
        <v>206</v>
      </c>
      <c r="BF177" s="107">
        <f>IF(AZ177="Não","Sim","Não")</f>
      </c>
      <c r="BG177" s="107">
        <f>IF(AZ177="NA","Sim","Não")</f>
      </c>
      <c r="BH177" s="106" t="s">
        <v>206</v>
      </c>
      <c r="BI177" s="1" t="s">
        <v>206</v>
      </c>
      <c r="BJ177" s="106" t="s">
        <v>206</v>
      </c>
      <c r="BK177" s="1" t="s">
        <v>441</v>
      </c>
      <c r="BL177" s="102">
        <v>60</v>
      </c>
      <c r="BM177" s="1" t="s">
        <v>208</v>
      </c>
      <c r="BN177" s="1" t="s">
        <v>208</v>
      </c>
      <c r="BO177" s="1" t="s">
        <v>441</v>
      </c>
      <c r="BP177" s="102">
        <v>60</v>
      </c>
      <c r="BQ177" s="1" t="s">
        <v>208</v>
      </c>
      <c r="BR177" s="1" t="s">
        <v>227</v>
      </c>
      <c r="BS177" s="106" t="s">
        <v>37</v>
      </c>
    </row>
    <row x14ac:dyDescent="0.25" r="178" customHeight="1" ht="17.25">
      <c r="A178" s="102">
        <v>177</v>
      </c>
      <c r="B178" s="1" t="s">
        <v>1375</v>
      </c>
      <c r="C178" s="102">
        <v>1</v>
      </c>
      <c r="D178" s="61">
        <v>43013</v>
      </c>
      <c r="E178" s="1" t="s">
        <v>95</v>
      </c>
      <c r="F178" s="1" t="s">
        <v>170</v>
      </c>
      <c r="G178" s="1" t="s">
        <v>53</v>
      </c>
      <c r="H178" s="1" t="s">
        <v>1376</v>
      </c>
      <c r="I178" s="102">
        <v>1</v>
      </c>
      <c r="J178" s="1" t="s">
        <v>158</v>
      </c>
      <c r="K178" s="1" t="s">
        <v>22</v>
      </c>
      <c r="L178" s="103">
        <v>34746</v>
      </c>
      <c r="M178" s="104">
        <v>22</v>
      </c>
      <c r="N178" s="1" t="s">
        <v>175</v>
      </c>
      <c r="O178" s="1" t="s">
        <v>24</v>
      </c>
      <c r="P178" s="1" t="s">
        <v>365</v>
      </c>
      <c r="Q178" s="1" t="s">
        <v>366</v>
      </c>
      <c r="R178" s="54" t="s">
        <v>1377</v>
      </c>
      <c r="S178" s="105">
        <v>4.5</v>
      </c>
      <c r="T178" s="54" t="s">
        <v>1378</v>
      </c>
      <c r="U178" s="105">
        <v>10.1</v>
      </c>
      <c r="V178" s="62">
        <v>0</v>
      </c>
      <c r="W178" s="102">
        <v>0</v>
      </c>
      <c r="X178" s="62">
        <v>0</v>
      </c>
      <c r="Y178" s="102">
        <v>0</v>
      </c>
      <c r="Z178" s="62">
        <v>0</v>
      </c>
      <c r="AA178" s="102">
        <v>0</v>
      </c>
      <c r="AB178" s="62">
        <v>0</v>
      </c>
      <c r="AC178" s="106" t="s">
        <v>206</v>
      </c>
      <c r="AD178" s="106" t="s">
        <v>206</v>
      </c>
      <c r="AE178" s="106" t="s">
        <v>206</v>
      </c>
      <c r="AF178" s="106" t="s">
        <v>206</v>
      </c>
      <c r="AG178" s="106" t="s">
        <v>206</v>
      </c>
      <c r="AH178" s="106" t="s">
        <v>206</v>
      </c>
      <c r="AI178" s="1" t="s">
        <v>357</v>
      </c>
      <c r="AJ178" s="1" t="s">
        <v>206</v>
      </c>
      <c r="AK178" s="1" t="s">
        <v>1379</v>
      </c>
      <c r="AL178" s="1" t="s">
        <v>197</v>
      </c>
      <c r="AM178" s="106" t="s">
        <v>27</v>
      </c>
      <c r="AN178" s="1" t="s">
        <v>357</v>
      </c>
      <c r="AO178" s="1" t="s">
        <v>208</v>
      </c>
      <c r="AP178" s="1" t="s">
        <v>206</v>
      </c>
      <c r="AQ178" s="1" t="s">
        <v>441</v>
      </c>
      <c r="AR178" s="1" t="s">
        <v>206</v>
      </c>
      <c r="AS178" s="106" t="s">
        <v>206</v>
      </c>
      <c r="AT178" s="1" t="s">
        <v>206</v>
      </c>
      <c r="AU178" s="106" t="s">
        <v>206</v>
      </c>
      <c r="AV178" s="106" t="s">
        <v>206</v>
      </c>
      <c r="AW178" s="106" t="s">
        <v>35</v>
      </c>
      <c r="AX178" s="106" t="s">
        <v>206</v>
      </c>
      <c r="AY178" s="106" t="s">
        <v>206</v>
      </c>
      <c r="AZ178" s="1" t="s">
        <v>206</v>
      </c>
      <c r="BA178" s="106" t="s">
        <v>206</v>
      </c>
      <c r="BB178" s="106" t="s">
        <v>206</v>
      </c>
      <c r="BC178" s="106" t="s">
        <v>206</v>
      </c>
      <c r="BD178" s="106" t="s">
        <v>206</v>
      </c>
      <c r="BE178" s="106" t="s">
        <v>206</v>
      </c>
      <c r="BF178" s="107">
        <f>IF(AZ178="Não","Sim","Não")</f>
      </c>
      <c r="BG178" s="107">
        <f>IF(AZ178="NA","Sim","Não")</f>
      </c>
      <c r="BH178" s="106" t="s">
        <v>206</v>
      </c>
      <c r="BI178" s="1" t="s">
        <v>238</v>
      </c>
      <c r="BJ178" s="106" t="s">
        <v>241</v>
      </c>
      <c r="BK178" s="1" t="s">
        <v>441</v>
      </c>
      <c r="BL178" s="102">
        <v>60</v>
      </c>
      <c r="BM178" s="1" t="s">
        <v>208</v>
      </c>
      <c r="BN178" s="1" t="s">
        <v>208</v>
      </c>
      <c r="BO178" s="1" t="s">
        <v>441</v>
      </c>
      <c r="BP178" s="102">
        <v>60</v>
      </c>
      <c r="BQ178" s="1" t="s">
        <v>208</v>
      </c>
      <c r="BR178" s="1" t="s">
        <v>227</v>
      </c>
      <c r="BS178" s="106" t="s">
        <v>37</v>
      </c>
    </row>
    <row x14ac:dyDescent="0.25" r="179" customHeight="1" ht="17.25">
      <c r="A179" s="102">
        <v>178</v>
      </c>
      <c r="B179" s="1" t="s">
        <v>1380</v>
      </c>
      <c r="C179" s="102">
        <v>1</v>
      </c>
      <c r="D179" s="61" t="s">
        <v>505</v>
      </c>
      <c r="E179" s="1" t="s">
        <v>117</v>
      </c>
      <c r="F179" s="1" t="s">
        <v>170</v>
      </c>
      <c r="G179" s="1" t="s">
        <v>47</v>
      </c>
      <c r="H179" s="1" t="s">
        <v>1381</v>
      </c>
      <c r="I179" s="102">
        <v>1</v>
      </c>
      <c r="J179" s="1" t="s">
        <v>158</v>
      </c>
      <c r="K179" s="1" t="s">
        <v>22</v>
      </c>
      <c r="L179" s="103">
        <v>35499</v>
      </c>
      <c r="M179" s="104">
        <v>20</v>
      </c>
      <c r="N179" s="1" t="s">
        <v>176</v>
      </c>
      <c r="O179" s="1" t="s">
        <v>182</v>
      </c>
      <c r="P179" s="1" t="s">
        <v>354</v>
      </c>
      <c r="Q179" s="1" t="s">
        <v>1382</v>
      </c>
      <c r="R179" s="54" t="s">
        <v>1383</v>
      </c>
      <c r="S179" s="105">
        <v>1832.5</v>
      </c>
      <c r="T179" s="54" t="s">
        <v>1384</v>
      </c>
      <c r="U179" s="105">
        <v>187.2</v>
      </c>
      <c r="V179" s="62">
        <v>0</v>
      </c>
      <c r="W179" s="102">
        <v>0</v>
      </c>
      <c r="X179" s="62">
        <v>0</v>
      </c>
      <c r="Y179" s="102">
        <v>0</v>
      </c>
      <c r="Z179" s="62">
        <v>0</v>
      </c>
      <c r="AA179" s="102">
        <v>0</v>
      </c>
      <c r="AB179" s="57" t="s">
        <v>1385</v>
      </c>
      <c r="AC179" s="106" t="s">
        <v>206</v>
      </c>
      <c r="AD179" s="106" t="s">
        <v>206</v>
      </c>
      <c r="AE179" s="106" t="s">
        <v>206</v>
      </c>
      <c r="AF179" s="106" t="s">
        <v>206</v>
      </c>
      <c r="AG179" s="106" t="s">
        <v>35</v>
      </c>
      <c r="AH179" s="106" t="s">
        <v>206</v>
      </c>
      <c r="AI179" s="1" t="s">
        <v>357</v>
      </c>
      <c r="AJ179" s="1" t="s">
        <v>206</v>
      </c>
      <c r="AK179" s="1" t="s">
        <v>1108</v>
      </c>
      <c r="AL179" s="1" t="s">
        <v>197</v>
      </c>
      <c r="AM179" s="106" t="s">
        <v>27</v>
      </c>
      <c r="AN179" s="1" t="s">
        <v>357</v>
      </c>
      <c r="AO179" s="1" t="s">
        <v>208</v>
      </c>
      <c r="AP179" s="1" t="s">
        <v>206</v>
      </c>
      <c r="AQ179" s="1" t="s">
        <v>441</v>
      </c>
      <c r="AR179" s="1" t="s">
        <v>206</v>
      </c>
      <c r="AS179" s="106" t="s">
        <v>206</v>
      </c>
      <c r="AT179" s="1" t="s">
        <v>206</v>
      </c>
      <c r="AU179" s="106" t="s">
        <v>206</v>
      </c>
      <c r="AV179" s="106" t="s">
        <v>206</v>
      </c>
      <c r="AW179" s="106" t="s">
        <v>35</v>
      </c>
      <c r="AX179" s="106" t="s">
        <v>206</v>
      </c>
      <c r="AY179" s="106" t="s">
        <v>206</v>
      </c>
      <c r="AZ179" s="1" t="s">
        <v>206</v>
      </c>
      <c r="BA179" s="106" t="s">
        <v>206</v>
      </c>
      <c r="BB179" s="106" t="s">
        <v>206</v>
      </c>
      <c r="BC179" s="106" t="s">
        <v>206</v>
      </c>
      <c r="BD179" s="106" t="s">
        <v>206</v>
      </c>
      <c r="BE179" s="106" t="s">
        <v>206</v>
      </c>
      <c r="BF179" s="107">
        <f>IF(AZ179="Não","Sim","Não")</f>
      </c>
      <c r="BG179" s="107">
        <f>IF(AZ179="NA","Sim","Não")</f>
      </c>
      <c r="BH179" s="106" t="s">
        <v>206</v>
      </c>
      <c r="BI179" s="1" t="s">
        <v>206</v>
      </c>
      <c r="BJ179" s="106" t="s">
        <v>206</v>
      </c>
      <c r="BK179" s="1" t="s">
        <v>441</v>
      </c>
      <c r="BL179" s="102">
        <v>60</v>
      </c>
      <c r="BM179" s="1" t="s">
        <v>208</v>
      </c>
      <c r="BN179" s="1" t="s">
        <v>208</v>
      </c>
      <c r="BO179" s="1" t="s">
        <v>441</v>
      </c>
      <c r="BP179" s="102">
        <v>60</v>
      </c>
      <c r="BQ179" s="1" t="s">
        <v>208</v>
      </c>
      <c r="BR179" s="1" t="s">
        <v>227</v>
      </c>
      <c r="BS179" s="106" t="s">
        <v>37</v>
      </c>
    </row>
    <row x14ac:dyDescent="0.25" r="180" customHeight="1" ht="17.25">
      <c r="A180" s="102">
        <v>179</v>
      </c>
      <c r="B180" s="1" t="s">
        <v>1386</v>
      </c>
      <c r="C180" s="102">
        <v>1</v>
      </c>
      <c r="D180" s="61" t="s">
        <v>400</v>
      </c>
      <c r="E180" s="1" t="s">
        <v>90</v>
      </c>
      <c r="F180" s="1" t="s">
        <v>170</v>
      </c>
      <c r="G180" s="1" t="s">
        <v>41</v>
      </c>
      <c r="H180" s="1" t="s">
        <v>1387</v>
      </c>
      <c r="I180" s="102">
        <v>1</v>
      </c>
      <c r="J180" s="1" t="s">
        <v>158</v>
      </c>
      <c r="K180" s="1" t="s">
        <v>22</v>
      </c>
      <c r="L180" s="103">
        <v>28418</v>
      </c>
      <c r="M180" s="104">
        <v>39</v>
      </c>
      <c r="N180" s="1" t="s">
        <v>175</v>
      </c>
      <c r="O180" s="1" t="s">
        <v>24</v>
      </c>
      <c r="P180" s="1" t="s">
        <v>464</v>
      </c>
      <c r="Q180" s="1" t="s">
        <v>1388</v>
      </c>
      <c r="R180" s="54" t="s">
        <v>1389</v>
      </c>
      <c r="S180" s="102">
        <v>109</v>
      </c>
      <c r="T180" s="54" t="s">
        <v>1390</v>
      </c>
      <c r="U180" s="105">
        <v>74.2</v>
      </c>
      <c r="V180" s="62">
        <v>0</v>
      </c>
      <c r="W180" s="102">
        <v>0</v>
      </c>
      <c r="X180" s="62">
        <v>0</v>
      </c>
      <c r="Y180" s="102">
        <v>0</v>
      </c>
      <c r="Z180" s="62">
        <v>0</v>
      </c>
      <c r="AA180" s="102">
        <v>0</v>
      </c>
      <c r="AB180" s="62">
        <v>0</v>
      </c>
      <c r="AC180" s="106" t="s">
        <v>206</v>
      </c>
      <c r="AD180" s="106" t="s">
        <v>206</v>
      </c>
      <c r="AE180" s="106" t="s">
        <v>206</v>
      </c>
      <c r="AF180" s="106" t="s">
        <v>206</v>
      </c>
      <c r="AG180" s="106" t="s">
        <v>206</v>
      </c>
      <c r="AH180" s="106" t="s">
        <v>206</v>
      </c>
      <c r="AI180" s="1" t="s">
        <v>357</v>
      </c>
      <c r="AJ180" s="1" t="s">
        <v>206</v>
      </c>
      <c r="AK180" s="1" t="s">
        <v>358</v>
      </c>
      <c r="AL180" s="1" t="s">
        <v>197</v>
      </c>
      <c r="AM180" s="106" t="s">
        <v>27</v>
      </c>
      <c r="AN180" s="1" t="s">
        <v>357</v>
      </c>
      <c r="AO180" s="1" t="s">
        <v>208</v>
      </c>
      <c r="AP180" s="1" t="s">
        <v>206</v>
      </c>
      <c r="AQ180" s="1" t="s">
        <v>441</v>
      </c>
      <c r="AR180" s="1" t="s">
        <v>206</v>
      </c>
      <c r="AS180" s="106" t="s">
        <v>206</v>
      </c>
      <c r="AT180" s="1" t="s">
        <v>206</v>
      </c>
      <c r="AU180" s="106" t="s">
        <v>206</v>
      </c>
      <c r="AV180" s="106" t="s">
        <v>206</v>
      </c>
      <c r="AW180" s="106" t="s">
        <v>35</v>
      </c>
      <c r="AX180" s="106" t="s">
        <v>206</v>
      </c>
      <c r="AY180" s="106" t="s">
        <v>206</v>
      </c>
      <c r="AZ180" s="1" t="s">
        <v>206</v>
      </c>
      <c r="BA180" s="106" t="s">
        <v>206</v>
      </c>
      <c r="BB180" s="106" t="s">
        <v>206</v>
      </c>
      <c r="BC180" s="106" t="s">
        <v>206</v>
      </c>
      <c r="BD180" s="106" t="s">
        <v>206</v>
      </c>
      <c r="BE180" s="106" t="s">
        <v>206</v>
      </c>
      <c r="BF180" s="107">
        <f>IF(AZ180="Não","Sim","Não")</f>
      </c>
      <c r="BG180" s="107">
        <f>IF(AZ180="NA","Sim","Não")</f>
      </c>
      <c r="BH180" s="106" t="s">
        <v>206</v>
      </c>
      <c r="BI180" s="1" t="s">
        <v>206</v>
      </c>
      <c r="BJ180" s="106" t="s">
        <v>206</v>
      </c>
      <c r="BK180" s="1" t="s">
        <v>441</v>
      </c>
      <c r="BL180" s="102">
        <v>60</v>
      </c>
      <c r="BM180" s="1" t="s">
        <v>208</v>
      </c>
      <c r="BN180" s="1" t="s">
        <v>208</v>
      </c>
      <c r="BO180" s="1" t="s">
        <v>441</v>
      </c>
      <c r="BP180" s="102">
        <v>60</v>
      </c>
      <c r="BQ180" s="1" t="s">
        <v>208</v>
      </c>
      <c r="BR180" s="1" t="s">
        <v>227</v>
      </c>
      <c r="BS180" s="106" t="s">
        <v>37</v>
      </c>
    </row>
    <row x14ac:dyDescent="0.25" r="181" customHeight="1" ht="17.25">
      <c r="A181" s="102">
        <v>180</v>
      </c>
      <c r="B181" s="1" t="s">
        <v>1391</v>
      </c>
      <c r="C181" s="102">
        <v>1</v>
      </c>
      <c r="D181" s="61" t="s">
        <v>1392</v>
      </c>
      <c r="E181" s="1" t="s">
        <v>114</v>
      </c>
      <c r="F181" s="1" t="s">
        <v>22</v>
      </c>
      <c r="G181" s="1" t="s">
        <v>51</v>
      </c>
      <c r="H181" s="1" t="s">
        <v>1393</v>
      </c>
      <c r="I181" s="102">
        <v>1</v>
      </c>
      <c r="J181" s="1" t="s">
        <v>158</v>
      </c>
      <c r="K181" s="1" t="s">
        <v>170</v>
      </c>
      <c r="L181" s="103">
        <v>31178</v>
      </c>
      <c r="M181" s="104">
        <v>32</v>
      </c>
      <c r="N181" s="1" t="s">
        <v>175</v>
      </c>
      <c r="O181" s="1" t="s">
        <v>24</v>
      </c>
      <c r="P181" s="1" t="s">
        <v>517</v>
      </c>
      <c r="Q181" s="1" t="s">
        <v>1394</v>
      </c>
      <c r="R181" s="54" t="s">
        <v>1395</v>
      </c>
      <c r="S181" s="105">
        <v>71.6</v>
      </c>
      <c r="T181" s="54" t="s">
        <v>1396</v>
      </c>
      <c r="U181" s="102">
        <v>6</v>
      </c>
      <c r="V181" s="62">
        <v>0</v>
      </c>
      <c r="W181" s="102">
        <v>0</v>
      </c>
      <c r="X181" s="62">
        <v>0</v>
      </c>
      <c r="Y181" s="102">
        <v>0</v>
      </c>
      <c r="Z181" s="62">
        <v>0</v>
      </c>
      <c r="AA181" s="102">
        <v>0</v>
      </c>
      <c r="AB181" s="62">
        <v>0</v>
      </c>
      <c r="AC181" s="106" t="s">
        <v>206</v>
      </c>
      <c r="AD181" s="106" t="s">
        <v>206</v>
      </c>
      <c r="AE181" s="106" t="s">
        <v>206</v>
      </c>
      <c r="AF181" s="106" t="s">
        <v>206</v>
      </c>
      <c r="AG181" s="106" t="s">
        <v>206</v>
      </c>
      <c r="AH181" s="106" t="s">
        <v>206</v>
      </c>
      <c r="AI181" s="1" t="s">
        <v>357</v>
      </c>
      <c r="AJ181" s="1" t="s">
        <v>206</v>
      </c>
      <c r="AK181" s="1" t="s">
        <v>358</v>
      </c>
      <c r="AL181" s="1" t="s">
        <v>197</v>
      </c>
      <c r="AM181" s="106" t="s">
        <v>27</v>
      </c>
      <c r="AN181" s="1" t="s">
        <v>357</v>
      </c>
      <c r="AO181" s="1" t="s">
        <v>208</v>
      </c>
      <c r="AP181" s="1" t="s">
        <v>206</v>
      </c>
      <c r="AQ181" s="1" t="s">
        <v>441</v>
      </c>
      <c r="AR181" s="1" t="s">
        <v>206</v>
      </c>
      <c r="AS181" s="106" t="s">
        <v>206</v>
      </c>
      <c r="AT181" s="1" t="s">
        <v>206</v>
      </c>
      <c r="AU181" s="106" t="s">
        <v>206</v>
      </c>
      <c r="AV181" s="106" t="s">
        <v>206</v>
      </c>
      <c r="AW181" s="106" t="s">
        <v>35</v>
      </c>
      <c r="AX181" s="106" t="s">
        <v>206</v>
      </c>
      <c r="AY181" s="106" t="s">
        <v>206</v>
      </c>
      <c r="AZ181" s="1" t="s">
        <v>206</v>
      </c>
      <c r="BA181" s="106" t="s">
        <v>206</v>
      </c>
      <c r="BB181" s="106" t="s">
        <v>206</v>
      </c>
      <c r="BC181" s="106" t="s">
        <v>206</v>
      </c>
      <c r="BD181" s="106" t="s">
        <v>206</v>
      </c>
      <c r="BE181" s="106" t="s">
        <v>206</v>
      </c>
      <c r="BF181" s="107">
        <f>IF(AZ181="Não","Sim","Não")</f>
      </c>
      <c r="BG181" s="107">
        <f>IF(AZ181="NA","Sim","Não")</f>
      </c>
      <c r="BH181" s="106" t="s">
        <v>206</v>
      </c>
      <c r="BI181" s="1" t="s">
        <v>206</v>
      </c>
      <c r="BJ181" s="106" t="s">
        <v>206</v>
      </c>
      <c r="BK181" s="1" t="s">
        <v>441</v>
      </c>
      <c r="BL181" s="102">
        <v>60</v>
      </c>
      <c r="BM181" s="1" t="s">
        <v>208</v>
      </c>
      <c r="BN181" s="1" t="s">
        <v>208</v>
      </c>
      <c r="BO181" s="1" t="s">
        <v>441</v>
      </c>
      <c r="BP181" s="102">
        <v>60</v>
      </c>
      <c r="BQ181" s="1" t="s">
        <v>208</v>
      </c>
      <c r="BR181" s="1" t="s">
        <v>227</v>
      </c>
      <c r="BS181" s="106" t="s">
        <v>37</v>
      </c>
    </row>
    <row x14ac:dyDescent="0.25" r="182" customHeight="1" ht="17.25">
      <c r="A182" s="102">
        <v>181</v>
      </c>
      <c r="B182" s="1" t="s">
        <v>1397</v>
      </c>
      <c r="C182" s="102">
        <v>1</v>
      </c>
      <c r="D182" s="61" t="s">
        <v>714</v>
      </c>
      <c r="E182" s="1" t="s">
        <v>117</v>
      </c>
      <c r="F182" s="1" t="s">
        <v>170</v>
      </c>
      <c r="G182" s="1" t="s">
        <v>47</v>
      </c>
      <c r="H182" s="1" t="s">
        <v>1398</v>
      </c>
      <c r="I182" s="102">
        <v>1</v>
      </c>
      <c r="J182" s="1" t="s">
        <v>163</v>
      </c>
      <c r="K182" s="1" t="s">
        <v>22</v>
      </c>
      <c r="L182" s="103">
        <v>34329</v>
      </c>
      <c r="M182" s="104">
        <v>23</v>
      </c>
      <c r="N182" s="1" t="s">
        <v>175</v>
      </c>
      <c r="O182" s="1" t="s">
        <v>24</v>
      </c>
      <c r="P182" s="1" t="s">
        <v>354</v>
      </c>
      <c r="Q182" s="1" t="s">
        <v>1399</v>
      </c>
      <c r="R182" s="54" t="s">
        <v>1400</v>
      </c>
      <c r="S182" s="102">
        <v>18</v>
      </c>
      <c r="T182" s="54" t="s">
        <v>1401</v>
      </c>
      <c r="U182" s="105">
        <v>1.1</v>
      </c>
      <c r="V182" s="62">
        <v>0</v>
      </c>
      <c r="W182" s="102">
        <v>0</v>
      </c>
      <c r="X182" s="62">
        <v>0</v>
      </c>
      <c r="Y182" s="102">
        <v>0</v>
      </c>
      <c r="Z182" s="62">
        <v>0</v>
      </c>
      <c r="AA182" s="102">
        <v>0</v>
      </c>
      <c r="AB182" s="62">
        <v>0</v>
      </c>
      <c r="AC182" s="106" t="s">
        <v>206</v>
      </c>
      <c r="AD182" s="106" t="s">
        <v>206</v>
      </c>
      <c r="AE182" s="106" t="s">
        <v>206</v>
      </c>
      <c r="AF182" s="106" t="s">
        <v>206</v>
      </c>
      <c r="AG182" s="106" t="s">
        <v>206</v>
      </c>
      <c r="AH182" s="106" t="s">
        <v>206</v>
      </c>
      <c r="AI182" s="1" t="s">
        <v>357</v>
      </c>
      <c r="AJ182" s="1" t="s">
        <v>206</v>
      </c>
      <c r="AK182" s="1" t="s">
        <v>520</v>
      </c>
      <c r="AL182" s="1" t="s">
        <v>197</v>
      </c>
      <c r="AM182" s="106" t="s">
        <v>27</v>
      </c>
      <c r="AN182" s="1" t="s">
        <v>357</v>
      </c>
      <c r="AO182" s="1" t="s">
        <v>208</v>
      </c>
      <c r="AP182" s="1" t="s">
        <v>206</v>
      </c>
      <c r="AQ182" s="1" t="s">
        <v>441</v>
      </c>
      <c r="AR182" s="1" t="s">
        <v>206</v>
      </c>
      <c r="AS182" s="106" t="s">
        <v>206</v>
      </c>
      <c r="AT182" s="1" t="s">
        <v>206</v>
      </c>
      <c r="AU182" s="106" t="s">
        <v>206</v>
      </c>
      <c r="AV182" s="106" t="s">
        <v>206</v>
      </c>
      <c r="AW182" s="106" t="s">
        <v>35</v>
      </c>
      <c r="AX182" s="106" t="s">
        <v>206</v>
      </c>
      <c r="AY182" s="106" t="s">
        <v>206</v>
      </c>
      <c r="AZ182" s="1" t="s">
        <v>206</v>
      </c>
      <c r="BA182" s="106" t="s">
        <v>206</v>
      </c>
      <c r="BB182" s="106" t="s">
        <v>206</v>
      </c>
      <c r="BC182" s="106" t="s">
        <v>206</v>
      </c>
      <c r="BD182" s="106" t="s">
        <v>206</v>
      </c>
      <c r="BE182" s="106" t="s">
        <v>206</v>
      </c>
      <c r="BF182" s="107">
        <f>IF(AZ182="Não","Sim","Não")</f>
      </c>
      <c r="BG182" s="107">
        <f>IF(AZ182="NA","Sim","Não")</f>
      </c>
      <c r="BH182" s="106" t="s">
        <v>206</v>
      </c>
      <c r="BI182" s="1" t="s">
        <v>206</v>
      </c>
      <c r="BJ182" s="106" t="s">
        <v>206</v>
      </c>
      <c r="BK182" s="1" t="s">
        <v>441</v>
      </c>
      <c r="BL182" s="102">
        <v>60</v>
      </c>
      <c r="BM182" s="1" t="s">
        <v>208</v>
      </c>
      <c r="BN182" s="1" t="s">
        <v>208</v>
      </c>
      <c r="BO182" s="1" t="s">
        <v>441</v>
      </c>
      <c r="BP182" s="102">
        <v>60</v>
      </c>
      <c r="BQ182" s="1" t="s">
        <v>208</v>
      </c>
      <c r="BR182" s="1" t="s">
        <v>227</v>
      </c>
      <c r="BS182" s="106" t="s">
        <v>37</v>
      </c>
    </row>
    <row x14ac:dyDescent="0.25" r="183" customHeight="1" ht="17.25">
      <c r="A183" s="102">
        <v>182</v>
      </c>
      <c r="B183" s="1" t="s">
        <v>1402</v>
      </c>
      <c r="C183" s="102">
        <v>1</v>
      </c>
      <c r="D183" s="61">
        <v>42801</v>
      </c>
      <c r="E183" s="1" t="s">
        <v>115</v>
      </c>
      <c r="F183" s="1" t="s">
        <v>170</v>
      </c>
      <c r="G183" s="1" t="s">
        <v>53</v>
      </c>
      <c r="H183" s="1" t="s">
        <v>1403</v>
      </c>
      <c r="I183" s="102">
        <v>1</v>
      </c>
      <c r="J183" s="1" t="s">
        <v>158</v>
      </c>
      <c r="K183" s="1" t="s">
        <v>22</v>
      </c>
      <c r="L183" s="103">
        <v>35359</v>
      </c>
      <c r="M183" s="104">
        <v>20</v>
      </c>
      <c r="N183" s="1" t="s">
        <v>177</v>
      </c>
      <c r="O183" s="1" t="s">
        <v>24</v>
      </c>
      <c r="P183" s="1" t="s">
        <v>354</v>
      </c>
      <c r="Q183" s="1" t="s">
        <v>355</v>
      </c>
      <c r="R183" s="54" t="s">
        <v>1404</v>
      </c>
      <c r="S183" s="105">
        <v>13.8</v>
      </c>
      <c r="T183" s="54" t="s">
        <v>1405</v>
      </c>
      <c r="U183" s="105">
        <v>8.2</v>
      </c>
      <c r="V183" s="62">
        <v>0</v>
      </c>
      <c r="W183" s="102">
        <v>0</v>
      </c>
      <c r="X183" s="62">
        <v>0</v>
      </c>
      <c r="Y183" s="102">
        <v>0</v>
      </c>
      <c r="Z183" s="62">
        <v>0</v>
      </c>
      <c r="AA183" s="102">
        <v>0</v>
      </c>
      <c r="AB183" s="62">
        <v>0</v>
      </c>
      <c r="AC183" s="106" t="s">
        <v>206</v>
      </c>
      <c r="AD183" s="106" t="s">
        <v>206</v>
      </c>
      <c r="AE183" s="106" t="s">
        <v>206</v>
      </c>
      <c r="AF183" s="106" t="s">
        <v>206</v>
      </c>
      <c r="AG183" s="106" t="s">
        <v>206</v>
      </c>
      <c r="AH183" s="106" t="s">
        <v>206</v>
      </c>
      <c r="AI183" s="1" t="s">
        <v>357</v>
      </c>
      <c r="AJ183" s="1" t="s">
        <v>206</v>
      </c>
      <c r="AK183" s="1" t="s">
        <v>1406</v>
      </c>
      <c r="AL183" s="1" t="s">
        <v>197</v>
      </c>
      <c r="AM183" s="106" t="s">
        <v>27</v>
      </c>
      <c r="AN183" s="1" t="s">
        <v>357</v>
      </c>
      <c r="AO183" s="1" t="s">
        <v>208</v>
      </c>
      <c r="AP183" s="1" t="s">
        <v>206</v>
      </c>
      <c r="AQ183" s="1" t="s">
        <v>441</v>
      </c>
      <c r="AR183" s="1" t="s">
        <v>206</v>
      </c>
      <c r="AS183" s="106" t="s">
        <v>206</v>
      </c>
      <c r="AT183" s="1" t="s">
        <v>206</v>
      </c>
      <c r="AU183" s="106" t="s">
        <v>206</v>
      </c>
      <c r="AV183" s="106" t="s">
        <v>206</v>
      </c>
      <c r="AW183" s="106" t="s">
        <v>35</v>
      </c>
      <c r="AX183" s="106" t="s">
        <v>206</v>
      </c>
      <c r="AY183" s="106" t="s">
        <v>206</v>
      </c>
      <c r="AZ183" s="1" t="s">
        <v>206</v>
      </c>
      <c r="BA183" s="106" t="s">
        <v>206</v>
      </c>
      <c r="BB183" s="106" t="s">
        <v>206</v>
      </c>
      <c r="BC183" s="106" t="s">
        <v>206</v>
      </c>
      <c r="BD183" s="106" t="s">
        <v>206</v>
      </c>
      <c r="BE183" s="106" t="s">
        <v>206</v>
      </c>
      <c r="BF183" s="107">
        <f>IF(AZ183="Não","Sim","Não")</f>
      </c>
      <c r="BG183" s="107">
        <f>IF(AZ183="NA","Sim","Não")</f>
      </c>
      <c r="BH183" s="106" t="s">
        <v>206</v>
      </c>
      <c r="BI183" s="1" t="s">
        <v>206</v>
      </c>
      <c r="BJ183" s="106" t="s">
        <v>206</v>
      </c>
      <c r="BK183" s="1" t="s">
        <v>441</v>
      </c>
      <c r="BL183" s="102">
        <v>60</v>
      </c>
      <c r="BM183" s="1" t="s">
        <v>208</v>
      </c>
      <c r="BN183" s="1" t="s">
        <v>208</v>
      </c>
      <c r="BO183" s="1" t="s">
        <v>441</v>
      </c>
      <c r="BP183" s="102">
        <v>60</v>
      </c>
      <c r="BQ183" s="1" t="s">
        <v>208</v>
      </c>
      <c r="BR183" s="1" t="s">
        <v>227</v>
      </c>
      <c r="BS183" s="106" t="s">
        <v>37</v>
      </c>
    </row>
    <row x14ac:dyDescent="0.25" r="184" customHeight="1" ht="17.25">
      <c r="A184" s="102">
        <v>183</v>
      </c>
      <c r="B184" s="1" t="s">
        <v>1407</v>
      </c>
      <c r="C184" s="102">
        <v>1</v>
      </c>
      <c r="D184" s="61" t="s">
        <v>1408</v>
      </c>
      <c r="E184" s="1" t="s">
        <v>139</v>
      </c>
      <c r="F184" s="1" t="s">
        <v>22</v>
      </c>
      <c r="G184" s="1" t="s">
        <v>49</v>
      </c>
      <c r="H184" s="1" t="s">
        <v>1409</v>
      </c>
      <c r="I184" s="102">
        <v>1</v>
      </c>
      <c r="J184" s="1" t="s">
        <v>159</v>
      </c>
      <c r="K184" s="1" t="s">
        <v>22</v>
      </c>
      <c r="L184" s="103">
        <v>31336</v>
      </c>
      <c r="M184" s="104">
        <v>31</v>
      </c>
      <c r="N184" s="1" t="s">
        <v>176</v>
      </c>
      <c r="O184" s="1" t="s">
        <v>182</v>
      </c>
      <c r="P184" s="1" t="s">
        <v>365</v>
      </c>
      <c r="Q184" s="1" t="s">
        <v>1410</v>
      </c>
      <c r="R184" s="54" t="s">
        <v>1411</v>
      </c>
      <c r="S184" s="105">
        <v>0.8</v>
      </c>
      <c r="T184" s="54" t="s">
        <v>1412</v>
      </c>
      <c r="U184" s="102">
        <v>216</v>
      </c>
      <c r="V184" s="62">
        <v>0</v>
      </c>
      <c r="W184" s="102">
        <v>0</v>
      </c>
      <c r="X184" s="62">
        <v>0</v>
      </c>
      <c r="Y184" s="102">
        <v>0</v>
      </c>
      <c r="Z184" s="62">
        <v>0</v>
      </c>
      <c r="AA184" s="102">
        <v>0</v>
      </c>
      <c r="AB184" s="57" t="s">
        <v>1413</v>
      </c>
      <c r="AC184" s="106" t="s">
        <v>206</v>
      </c>
      <c r="AD184" s="106" t="s">
        <v>206</v>
      </c>
      <c r="AE184" s="106" t="s">
        <v>206</v>
      </c>
      <c r="AF184" s="106" t="s">
        <v>206</v>
      </c>
      <c r="AG184" s="106" t="s">
        <v>35</v>
      </c>
      <c r="AH184" s="106" t="s">
        <v>206</v>
      </c>
      <c r="AI184" s="1" t="s">
        <v>357</v>
      </c>
      <c r="AJ184" s="1" t="s">
        <v>1265</v>
      </c>
      <c r="AK184" s="1" t="s">
        <v>1363</v>
      </c>
      <c r="AL184" s="1" t="s">
        <v>197</v>
      </c>
      <c r="AM184" s="106" t="s">
        <v>27</v>
      </c>
      <c r="AN184" s="1" t="s">
        <v>357</v>
      </c>
      <c r="AO184" s="1" t="s">
        <v>1265</v>
      </c>
      <c r="AP184" s="1" t="s">
        <v>206</v>
      </c>
      <c r="AQ184" s="1" t="s">
        <v>441</v>
      </c>
      <c r="AR184" s="1" t="s">
        <v>207</v>
      </c>
      <c r="AS184" s="106" t="s">
        <v>35</v>
      </c>
      <c r="AT184" s="1" t="s">
        <v>28</v>
      </c>
      <c r="AU184" s="106" t="s">
        <v>35</v>
      </c>
      <c r="AV184" s="106" t="s">
        <v>206</v>
      </c>
      <c r="AW184" s="106" t="s">
        <v>206</v>
      </c>
      <c r="AX184" s="106" t="s">
        <v>206</v>
      </c>
      <c r="AY184" s="106" t="s">
        <v>35</v>
      </c>
      <c r="AZ184" s="1" t="s">
        <v>206</v>
      </c>
      <c r="BA184" s="106" t="s">
        <v>206</v>
      </c>
      <c r="BB184" s="106" t="s">
        <v>206</v>
      </c>
      <c r="BC184" s="106" t="s">
        <v>206</v>
      </c>
      <c r="BD184" s="106" t="s">
        <v>206</v>
      </c>
      <c r="BE184" s="106" t="s">
        <v>206</v>
      </c>
      <c r="BF184" s="107">
        <f>IF(AZ184="Não","Sim","Não")</f>
      </c>
      <c r="BG184" s="107">
        <f>IF(AZ184="NA","Sim","Não")</f>
      </c>
      <c r="BH184" s="106" t="s">
        <v>206</v>
      </c>
      <c r="BI184" s="1" t="s">
        <v>238</v>
      </c>
      <c r="BJ184" s="106" t="s">
        <v>241</v>
      </c>
      <c r="BK184" s="1" t="s">
        <v>441</v>
      </c>
      <c r="BL184" s="102">
        <v>60</v>
      </c>
      <c r="BM184" s="1" t="s">
        <v>208</v>
      </c>
      <c r="BN184" s="1" t="s">
        <v>676</v>
      </c>
      <c r="BO184" s="1" t="s">
        <v>386</v>
      </c>
      <c r="BP184" s="102">
        <v>72</v>
      </c>
      <c r="BQ184" s="1" t="s">
        <v>208</v>
      </c>
      <c r="BR184" s="1" t="s">
        <v>227</v>
      </c>
      <c r="BS184" s="106" t="s">
        <v>37</v>
      </c>
    </row>
    <row x14ac:dyDescent="0.25" r="185" customHeight="1" ht="17.25">
      <c r="A185" s="102">
        <v>184</v>
      </c>
      <c r="B185" s="1" t="s">
        <v>1414</v>
      </c>
      <c r="C185" s="102">
        <v>0</v>
      </c>
      <c r="D185" s="61">
        <v>42913</v>
      </c>
      <c r="E185" s="1" t="s">
        <v>95</v>
      </c>
      <c r="F185" s="1" t="s">
        <v>170</v>
      </c>
      <c r="G185" s="1" t="s">
        <v>53</v>
      </c>
      <c r="H185" s="1" t="s">
        <v>1415</v>
      </c>
      <c r="I185" s="102">
        <v>1</v>
      </c>
      <c r="J185" s="1" t="s">
        <v>158</v>
      </c>
      <c r="K185" s="1" t="s">
        <v>22</v>
      </c>
      <c r="L185" s="103">
        <v>35563</v>
      </c>
      <c r="M185" s="104">
        <v>20</v>
      </c>
      <c r="N185" s="1" t="s">
        <v>176</v>
      </c>
      <c r="O185" s="1" t="s">
        <v>182</v>
      </c>
      <c r="P185" s="1" t="s">
        <v>365</v>
      </c>
      <c r="Q185" s="1" t="s">
        <v>1242</v>
      </c>
      <c r="R185" s="54" t="s">
        <v>1416</v>
      </c>
      <c r="S185" s="105">
        <v>23.5</v>
      </c>
      <c r="T185" s="54" t="s">
        <v>1417</v>
      </c>
      <c r="U185" s="102">
        <v>1061</v>
      </c>
      <c r="V185" s="62">
        <v>0</v>
      </c>
      <c r="W185" s="102">
        <v>0</v>
      </c>
      <c r="X185" s="62">
        <v>0</v>
      </c>
      <c r="Y185" s="102">
        <v>0</v>
      </c>
      <c r="Z185" s="62">
        <v>0</v>
      </c>
      <c r="AA185" s="102">
        <v>0</v>
      </c>
      <c r="AB185" s="62">
        <v>0</v>
      </c>
      <c r="AC185" s="106" t="s">
        <v>206</v>
      </c>
      <c r="AD185" s="106" t="s">
        <v>206</v>
      </c>
      <c r="AE185" s="106" t="s">
        <v>206</v>
      </c>
      <c r="AF185" s="106" t="s">
        <v>206</v>
      </c>
      <c r="AG185" s="106" t="s">
        <v>206</v>
      </c>
      <c r="AH185" s="106" t="s">
        <v>206</v>
      </c>
      <c r="AI185" s="1" t="s">
        <v>371</v>
      </c>
      <c r="AJ185" s="1" t="s">
        <v>206</v>
      </c>
      <c r="AK185" s="1" t="s">
        <v>455</v>
      </c>
      <c r="AL185" s="1" t="s">
        <v>197</v>
      </c>
      <c r="AM185" s="106" t="s">
        <v>27</v>
      </c>
      <c r="AN185" s="1" t="s">
        <v>371</v>
      </c>
      <c r="AO185" s="1" t="s">
        <v>208</v>
      </c>
      <c r="AP185" s="1" t="s">
        <v>206</v>
      </c>
      <c r="AQ185" s="1" t="s">
        <v>441</v>
      </c>
      <c r="AR185" s="1" t="s">
        <v>206</v>
      </c>
      <c r="AS185" s="106" t="s">
        <v>206</v>
      </c>
      <c r="AT185" s="1" t="s">
        <v>206</v>
      </c>
      <c r="AU185" s="106" t="s">
        <v>206</v>
      </c>
      <c r="AV185" s="106" t="s">
        <v>206</v>
      </c>
      <c r="AW185" s="106" t="s">
        <v>35</v>
      </c>
      <c r="AX185" s="106" t="s">
        <v>206</v>
      </c>
      <c r="AY185" s="106" t="s">
        <v>206</v>
      </c>
      <c r="AZ185" s="1" t="s">
        <v>206</v>
      </c>
      <c r="BA185" s="106" t="s">
        <v>206</v>
      </c>
      <c r="BB185" s="106" t="s">
        <v>206</v>
      </c>
      <c r="BC185" s="106" t="s">
        <v>206</v>
      </c>
      <c r="BD185" s="106" t="s">
        <v>206</v>
      </c>
      <c r="BE185" s="106" t="s">
        <v>206</v>
      </c>
      <c r="BF185" s="107">
        <f>IF(AZ185="Não","Sim","Não")</f>
      </c>
      <c r="BG185" s="107">
        <f>IF(AZ185="NA","Sim","Não")</f>
      </c>
      <c r="BH185" s="106" t="s">
        <v>206</v>
      </c>
      <c r="BI185" s="1" t="s">
        <v>206</v>
      </c>
      <c r="BJ185" s="106" t="s">
        <v>206</v>
      </c>
      <c r="BK185" s="1" t="s">
        <v>441</v>
      </c>
      <c r="BL185" s="102">
        <v>60</v>
      </c>
      <c r="BM185" s="1" t="s">
        <v>1101</v>
      </c>
      <c r="BN185" s="1" t="s">
        <v>208</v>
      </c>
      <c r="BO185" s="1" t="s">
        <v>360</v>
      </c>
      <c r="BP185" s="102">
        <v>96</v>
      </c>
      <c r="BQ185" s="1" t="s">
        <v>208</v>
      </c>
      <c r="BR185" s="1" t="s">
        <v>227</v>
      </c>
      <c r="BS185" s="106" t="s">
        <v>37</v>
      </c>
    </row>
    <row x14ac:dyDescent="0.25" r="186" customHeight="1" ht="17.25">
      <c r="A186" s="102">
        <v>185</v>
      </c>
      <c r="B186" s="1" t="s">
        <v>1414</v>
      </c>
      <c r="C186" s="102">
        <v>1</v>
      </c>
      <c r="D186" s="61">
        <v>42913</v>
      </c>
      <c r="E186" s="1" t="s">
        <v>95</v>
      </c>
      <c r="F186" s="1" t="s">
        <v>170</v>
      </c>
      <c r="G186" s="1" t="s">
        <v>53</v>
      </c>
      <c r="H186" s="1" t="s">
        <v>1418</v>
      </c>
      <c r="I186" s="102">
        <v>1</v>
      </c>
      <c r="J186" s="1" t="s">
        <v>158</v>
      </c>
      <c r="K186" s="1" t="s">
        <v>22</v>
      </c>
      <c r="L186" s="103">
        <v>34342</v>
      </c>
      <c r="M186" s="104">
        <v>23</v>
      </c>
      <c r="N186" s="1" t="s">
        <v>176</v>
      </c>
      <c r="O186" s="1" t="s">
        <v>182</v>
      </c>
      <c r="P186" s="1" t="s">
        <v>365</v>
      </c>
      <c r="Q186" s="1" t="s">
        <v>1419</v>
      </c>
      <c r="R186" s="54" t="s">
        <v>1416</v>
      </c>
      <c r="S186" s="105">
        <v>23.5</v>
      </c>
      <c r="T186" s="54" t="s">
        <v>1417</v>
      </c>
      <c r="U186" s="102">
        <v>1061</v>
      </c>
      <c r="V186" s="62">
        <v>0</v>
      </c>
      <c r="W186" s="102">
        <v>0</v>
      </c>
      <c r="X186" s="62">
        <v>0</v>
      </c>
      <c r="Y186" s="102">
        <v>0</v>
      </c>
      <c r="Z186" s="62">
        <v>0</v>
      </c>
      <c r="AA186" s="102">
        <v>0</v>
      </c>
      <c r="AB186" s="62">
        <v>0</v>
      </c>
      <c r="AC186" s="106" t="s">
        <v>206</v>
      </c>
      <c r="AD186" s="106" t="s">
        <v>206</v>
      </c>
      <c r="AE186" s="106" t="s">
        <v>206</v>
      </c>
      <c r="AF186" s="106" t="s">
        <v>206</v>
      </c>
      <c r="AG186" s="106" t="s">
        <v>206</v>
      </c>
      <c r="AH186" s="106" t="s">
        <v>206</v>
      </c>
      <c r="AI186" s="1" t="s">
        <v>371</v>
      </c>
      <c r="AJ186" s="1" t="s">
        <v>206</v>
      </c>
      <c r="AK186" s="1" t="s">
        <v>1420</v>
      </c>
      <c r="AL186" s="1" t="s">
        <v>197</v>
      </c>
      <c r="AM186" s="106" t="s">
        <v>27</v>
      </c>
      <c r="AN186" s="1" t="s">
        <v>371</v>
      </c>
      <c r="AO186" s="1" t="s">
        <v>208</v>
      </c>
      <c r="AP186" s="1" t="s">
        <v>206</v>
      </c>
      <c r="AQ186" s="1" t="s">
        <v>441</v>
      </c>
      <c r="AR186" s="1" t="s">
        <v>206</v>
      </c>
      <c r="AS186" s="106" t="s">
        <v>206</v>
      </c>
      <c r="AT186" s="1" t="s">
        <v>206</v>
      </c>
      <c r="AU186" s="106" t="s">
        <v>206</v>
      </c>
      <c r="AV186" s="106" t="s">
        <v>206</v>
      </c>
      <c r="AW186" s="106" t="s">
        <v>35</v>
      </c>
      <c r="AX186" s="106" t="s">
        <v>206</v>
      </c>
      <c r="AY186" s="106" t="s">
        <v>206</v>
      </c>
      <c r="AZ186" s="1" t="s">
        <v>206</v>
      </c>
      <c r="BA186" s="106" t="s">
        <v>206</v>
      </c>
      <c r="BB186" s="106" t="s">
        <v>206</v>
      </c>
      <c r="BC186" s="106" t="s">
        <v>206</v>
      </c>
      <c r="BD186" s="106" t="s">
        <v>206</v>
      </c>
      <c r="BE186" s="106" t="s">
        <v>206</v>
      </c>
      <c r="BF186" s="107">
        <f>IF(AZ186="Não","Sim","Não")</f>
      </c>
      <c r="BG186" s="107">
        <f>IF(AZ186="NA","Sim","Não")</f>
      </c>
      <c r="BH186" s="106" t="s">
        <v>206</v>
      </c>
      <c r="BI186" s="1" t="s">
        <v>206</v>
      </c>
      <c r="BJ186" s="106" t="s">
        <v>206</v>
      </c>
      <c r="BK186" s="1" t="s">
        <v>441</v>
      </c>
      <c r="BL186" s="102">
        <v>60</v>
      </c>
      <c r="BM186" s="1" t="s">
        <v>1101</v>
      </c>
      <c r="BN186" s="1" t="s">
        <v>208</v>
      </c>
      <c r="BO186" s="1" t="s">
        <v>360</v>
      </c>
      <c r="BP186" s="102">
        <v>96</v>
      </c>
      <c r="BQ186" s="1" t="s">
        <v>208</v>
      </c>
      <c r="BR186" s="1" t="s">
        <v>227</v>
      </c>
      <c r="BS186" s="106" t="s">
        <v>37</v>
      </c>
    </row>
    <row x14ac:dyDescent="0.25" r="187" customHeight="1" ht="17.25">
      <c r="A187" s="102">
        <v>186</v>
      </c>
      <c r="B187" s="1" t="s">
        <v>1421</v>
      </c>
      <c r="C187" s="102">
        <v>1</v>
      </c>
      <c r="D187" s="61" t="s">
        <v>1422</v>
      </c>
      <c r="E187" s="1" t="s">
        <v>79</v>
      </c>
      <c r="F187" s="1" t="s">
        <v>170</v>
      </c>
      <c r="G187" s="1" t="s">
        <v>66</v>
      </c>
      <c r="H187" s="1" t="s">
        <v>1423</v>
      </c>
      <c r="I187" s="102">
        <v>1</v>
      </c>
      <c r="J187" s="1" t="s">
        <v>160</v>
      </c>
      <c r="K187" s="1" t="s">
        <v>22</v>
      </c>
      <c r="L187" s="103">
        <v>31844</v>
      </c>
      <c r="M187" s="104">
        <v>30</v>
      </c>
      <c r="N187" s="1" t="s">
        <v>175</v>
      </c>
      <c r="O187" s="1" t="s">
        <v>24</v>
      </c>
      <c r="P187" s="1" t="s">
        <v>517</v>
      </c>
      <c r="Q187" s="1" t="s">
        <v>1424</v>
      </c>
      <c r="R187" s="54" t="s">
        <v>1425</v>
      </c>
      <c r="S187" s="105">
        <v>118.6</v>
      </c>
      <c r="T187" s="54" t="s">
        <v>1426</v>
      </c>
      <c r="U187" s="105">
        <v>82.5</v>
      </c>
      <c r="V187" s="62">
        <v>0</v>
      </c>
      <c r="W187" s="102">
        <v>0</v>
      </c>
      <c r="X187" s="62">
        <v>0</v>
      </c>
      <c r="Y187" s="102">
        <v>0</v>
      </c>
      <c r="Z187" s="62">
        <v>0</v>
      </c>
      <c r="AA187" s="102">
        <v>0</v>
      </c>
      <c r="AB187" s="62">
        <v>0</v>
      </c>
      <c r="AC187" s="106" t="s">
        <v>206</v>
      </c>
      <c r="AD187" s="106" t="s">
        <v>206</v>
      </c>
      <c r="AE187" s="106" t="s">
        <v>206</v>
      </c>
      <c r="AF187" s="106" t="s">
        <v>206</v>
      </c>
      <c r="AG187" s="106" t="s">
        <v>206</v>
      </c>
      <c r="AH187" s="106" t="s">
        <v>206</v>
      </c>
      <c r="AI187" s="1" t="s">
        <v>357</v>
      </c>
      <c r="AJ187" s="1" t="s">
        <v>206</v>
      </c>
      <c r="AK187" s="1" t="s">
        <v>1427</v>
      </c>
      <c r="AL187" s="1" t="s">
        <v>197</v>
      </c>
      <c r="AM187" s="106" t="s">
        <v>27</v>
      </c>
      <c r="AN187" s="1" t="s">
        <v>357</v>
      </c>
      <c r="AO187" s="1" t="s">
        <v>208</v>
      </c>
      <c r="AP187" s="1" t="s">
        <v>374</v>
      </c>
      <c r="AQ187" s="1" t="s">
        <v>386</v>
      </c>
      <c r="AR187" s="1" t="s">
        <v>206</v>
      </c>
      <c r="AS187" s="106" t="s">
        <v>206</v>
      </c>
      <c r="AT187" s="1" t="s">
        <v>28</v>
      </c>
      <c r="AU187" s="106" t="s">
        <v>35</v>
      </c>
      <c r="AV187" s="106" t="s">
        <v>206</v>
      </c>
      <c r="AW187" s="106" t="s">
        <v>206</v>
      </c>
      <c r="AX187" s="106" t="s">
        <v>206</v>
      </c>
      <c r="AY187" s="106" t="s">
        <v>35</v>
      </c>
      <c r="AZ187" s="1" t="s">
        <v>206</v>
      </c>
      <c r="BA187" s="106" t="s">
        <v>206</v>
      </c>
      <c r="BB187" s="106" t="s">
        <v>206</v>
      </c>
      <c r="BC187" s="106" t="s">
        <v>206</v>
      </c>
      <c r="BD187" s="106" t="s">
        <v>206</v>
      </c>
      <c r="BE187" s="106" t="s">
        <v>206</v>
      </c>
      <c r="BF187" s="107">
        <f>IF(AZ187="Não","Sim","Não")</f>
      </c>
      <c r="BG187" s="107">
        <f>IF(AZ187="NA","Sim","Não")</f>
      </c>
      <c r="BH187" s="106" t="s">
        <v>206</v>
      </c>
      <c r="BI187" s="1" t="s">
        <v>206</v>
      </c>
      <c r="BJ187" s="106" t="s">
        <v>206</v>
      </c>
      <c r="BK187" s="1" t="s">
        <v>441</v>
      </c>
      <c r="BL187" s="102">
        <v>60</v>
      </c>
      <c r="BM187" s="1" t="s">
        <v>208</v>
      </c>
      <c r="BN187" s="1" t="s">
        <v>208</v>
      </c>
      <c r="BO187" s="1" t="s">
        <v>441</v>
      </c>
      <c r="BP187" s="102">
        <v>60</v>
      </c>
      <c r="BQ187" s="1" t="s">
        <v>208</v>
      </c>
      <c r="BR187" s="1" t="s">
        <v>227</v>
      </c>
      <c r="BS187" s="106" t="s">
        <v>37</v>
      </c>
    </row>
    <row x14ac:dyDescent="0.25" r="188" customHeight="1" ht="17.25">
      <c r="A188" s="102">
        <v>187</v>
      </c>
      <c r="B188" s="1" t="s">
        <v>1428</v>
      </c>
      <c r="C188" s="102">
        <v>1</v>
      </c>
      <c r="D188" s="61" t="s">
        <v>1429</v>
      </c>
      <c r="E188" s="1" t="s">
        <v>103</v>
      </c>
      <c r="F188" s="1" t="s">
        <v>22</v>
      </c>
      <c r="G188" s="1" t="s">
        <v>54</v>
      </c>
      <c r="H188" s="1" t="s">
        <v>1430</v>
      </c>
      <c r="I188" s="102">
        <v>1</v>
      </c>
      <c r="J188" s="1" t="s">
        <v>158</v>
      </c>
      <c r="K188" s="1" t="s">
        <v>22</v>
      </c>
      <c r="L188" s="103">
        <v>35549</v>
      </c>
      <c r="M188" s="104">
        <v>19</v>
      </c>
      <c r="N188" s="1" t="s">
        <v>175</v>
      </c>
      <c r="O188" s="1" t="s">
        <v>24</v>
      </c>
      <c r="P188" s="1" t="s">
        <v>354</v>
      </c>
      <c r="Q188" s="1" t="s">
        <v>1431</v>
      </c>
      <c r="R188" s="54" t="s">
        <v>1432</v>
      </c>
      <c r="S188" s="105">
        <v>12.1</v>
      </c>
      <c r="T188" s="54" t="s">
        <v>1433</v>
      </c>
      <c r="U188" s="105">
        <v>19.1</v>
      </c>
      <c r="V188" s="62">
        <v>0</v>
      </c>
      <c r="W188" s="102">
        <v>0</v>
      </c>
      <c r="X188" s="62">
        <v>0</v>
      </c>
      <c r="Y188" s="102">
        <v>0</v>
      </c>
      <c r="Z188" s="62">
        <v>0</v>
      </c>
      <c r="AA188" s="102">
        <v>0</v>
      </c>
      <c r="AB188" s="62">
        <v>0</v>
      </c>
      <c r="AC188" s="106" t="s">
        <v>206</v>
      </c>
      <c r="AD188" s="106" t="s">
        <v>206</v>
      </c>
      <c r="AE188" s="106" t="s">
        <v>206</v>
      </c>
      <c r="AF188" s="106" t="s">
        <v>206</v>
      </c>
      <c r="AG188" s="106" t="s">
        <v>206</v>
      </c>
      <c r="AH188" s="106" t="s">
        <v>206</v>
      </c>
      <c r="AI188" s="1" t="s">
        <v>357</v>
      </c>
      <c r="AJ188" s="1" t="s">
        <v>206</v>
      </c>
      <c r="AK188" s="1" t="s">
        <v>1100</v>
      </c>
      <c r="AL188" s="1" t="s">
        <v>197</v>
      </c>
      <c r="AM188" s="106" t="s">
        <v>27</v>
      </c>
      <c r="AN188" s="1" t="s">
        <v>357</v>
      </c>
      <c r="AO188" s="1" t="s">
        <v>208</v>
      </c>
      <c r="AP188" s="1" t="s">
        <v>206</v>
      </c>
      <c r="AQ188" s="1" t="s">
        <v>441</v>
      </c>
      <c r="AR188" s="1" t="s">
        <v>207</v>
      </c>
      <c r="AS188" s="106" t="s">
        <v>35</v>
      </c>
      <c r="AT188" s="1" t="s">
        <v>29</v>
      </c>
      <c r="AU188" s="106" t="s">
        <v>206</v>
      </c>
      <c r="AV188" s="106" t="s">
        <v>35</v>
      </c>
      <c r="AW188" s="106" t="s">
        <v>206</v>
      </c>
      <c r="AX188" s="106" t="s">
        <v>206</v>
      </c>
      <c r="AY188" s="106" t="s">
        <v>35</v>
      </c>
      <c r="AZ188" s="1" t="s">
        <v>206</v>
      </c>
      <c r="BA188" s="106" t="s">
        <v>206</v>
      </c>
      <c r="BB188" s="106" t="s">
        <v>206</v>
      </c>
      <c r="BC188" s="106" t="s">
        <v>206</v>
      </c>
      <c r="BD188" s="106" t="s">
        <v>206</v>
      </c>
      <c r="BE188" s="106" t="s">
        <v>206</v>
      </c>
      <c r="BF188" s="107">
        <f>IF(AZ188="Não","Sim","Não")</f>
      </c>
      <c r="BG188" s="107">
        <f>IF(AZ188="NA","Sim","Não")</f>
      </c>
      <c r="BH188" s="106" t="s">
        <v>206</v>
      </c>
      <c r="BI188" s="1" t="s">
        <v>238</v>
      </c>
      <c r="BJ188" s="106" t="s">
        <v>241</v>
      </c>
      <c r="BK188" s="1" t="s">
        <v>441</v>
      </c>
      <c r="BL188" s="102">
        <v>60</v>
      </c>
      <c r="BM188" s="1" t="s">
        <v>208</v>
      </c>
      <c r="BN188" s="1" t="s">
        <v>208</v>
      </c>
      <c r="BO188" s="1" t="s">
        <v>441</v>
      </c>
      <c r="BP188" s="102">
        <v>60</v>
      </c>
      <c r="BQ188" s="1" t="s">
        <v>208</v>
      </c>
      <c r="BR188" s="1" t="s">
        <v>227</v>
      </c>
      <c r="BS188" s="106" t="s">
        <v>37</v>
      </c>
    </row>
    <row x14ac:dyDescent="0.25" r="189" customHeight="1" ht="17.25">
      <c r="A189" s="102">
        <v>188</v>
      </c>
      <c r="B189" s="1" t="s">
        <v>1053</v>
      </c>
      <c r="C189" s="102">
        <v>0</v>
      </c>
      <c r="D189" s="61" t="s">
        <v>1054</v>
      </c>
      <c r="E189" s="1" t="s">
        <v>96</v>
      </c>
      <c r="F189" s="1" t="s">
        <v>170</v>
      </c>
      <c r="G189" s="1" t="s">
        <v>67</v>
      </c>
      <c r="H189" s="1" t="s">
        <v>1434</v>
      </c>
      <c r="I189" s="102">
        <v>1</v>
      </c>
      <c r="J189" s="1" t="s">
        <v>160</v>
      </c>
      <c r="K189" s="1" t="s">
        <v>22</v>
      </c>
      <c r="L189" s="103">
        <v>35432</v>
      </c>
      <c r="M189" s="104">
        <v>20</v>
      </c>
      <c r="N189" s="1" t="s">
        <v>175</v>
      </c>
      <c r="O189" s="1" t="s">
        <v>24</v>
      </c>
      <c r="P189" s="1" t="s">
        <v>354</v>
      </c>
      <c r="Q189" s="1" t="s">
        <v>366</v>
      </c>
      <c r="R189" s="62">
        <v>0</v>
      </c>
      <c r="S189" s="102">
        <v>0</v>
      </c>
      <c r="T189" s="54" t="s">
        <v>1435</v>
      </c>
      <c r="U189" s="102">
        <v>23</v>
      </c>
      <c r="V189" s="62">
        <v>0</v>
      </c>
      <c r="W189" s="102">
        <v>0</v>
      </c>
      <c r="X189" s="62">
        <v>0</v>
      </c>
      <c r="Y189" s="102">
        <v>0</v>
      </c>
      <c r="Z189" s="62">
        <v>0</v>
      </c>
      <c r="AA189" s="102">
        <v>0</v>
      </c>
      <c r="AB189" s="62">
        <v>0</v>
      </c>
      <c r="AC189" s="106" t="s">
        <v>206</v>
      </c>
      <c r="AD189" s="106" t="s">
        <v>206</v>
      </c>
      <c r="AE189" s="106" t="s">
        <v>206</v>
      </c>
      <c r="AF189" s="106" t="s">
        <v>206</v>
      </c>
      <c r="AG189" s="106" t="s">
        <v>206</v>
      </c>
      <c r="AH189" s="106" t="s">
        <v>206</v>
      </c>
      <c r="AI189" s="1" t="s">
        <v>357</v>
      </c>
      <c r="AJ189" s="1" t="s">
        <v>206</v>
      </c>
      <c r="AK189" s="1" t="s">
        <v>1056</v>
      </c>
      <c r="AL189" s="1" t="s">
        <v>197</v>
      </c>
      <c r="AM189" s="106" t="s">
        <v>27</v>
      </c>
      <c r="AN189" s="1" t="s">
        <v>357</v>
      </c>
      <c r="AO189" s="1" t="s">
        <v>208</v>
      </c>
      <c r="AP189" s="1" t="s">
        <v>206</v>
      </c>
      <c r="AQ189" s="1" t="s">
        <v>441</v>
      </c>
      <c r="AR189" s="1" t="s">
        <v>207</v>
      </c>
      <c r="AS189" s="106" t="s">
        <v>35</v>
      </c>
      <c r="AT189" s="1" t="s">
        <v>29</v>
      </c>
      <c r="AU189" s="106" t="s">
        <v>206</v>
      </c>
      <c r="AV189" s="106" t="s">
        <v>35</v>
      </c>
      <c r="AW189" s="106" t="s">
        <v>206</v>
      </c>
      <c r="AX189" s="106" t="s">
        <v>206</v>
      </c>
      <c r="AY189" s="106" t="s">
        <v>35</v>
      </c>
      <c r="AZ189" s="1" t="s">
        <v>206</v>
      </c>
      <c r="BA189" s="106" t="s">
        <v>206</v>
      </c>
      <c r="BB189" s="106" t="s">
        <v>206</v>
      </c>
      <c r="BC189" s="106" t="s">
        <v>206</v>
      </c>
      <c r="BD189" s="106" t="s">
        <v>206</v>
      </c>
      <c r="BE189" s="106" t="s">
        <v>206</v>
      </c>
      <c r="BF189" s="107">
        <f>IF(AZ189="Não","Sim","Não")</f>
      </c>
      <c r="BG189" s="107">
        <f>IF(AZ189="NA","Sim","Não")</f>
      </c>
      <c r="BH189" s="106" t="s">
        <v>206</v>
      </c>
      <c r="BI189" s="1" t="s">
        <v>238</v>
      </c>
      <c r="BJ189" s="106" t="s">
        <v>241</v>
      </c>
      <c r="BK189" s="1" t="s">
        <v>441</v>
      </c>
      <c r="BL189" s="102">
        <v>60</v>
      </c>
      <c r="BM189" s="1" t="s">
        <v>208</v>
      </c>
      <c r="BN189" s="1" t="s">
        <v>208</v>
      </c>
      <c r="BO189" s="1" t="s">
        <v>441</v>
      </c>
      <c r="BP189" s="102">
        <v>60</v>
      </c>
      <c r="BQ189" s="1" t="s">
        <v>208</v>
      </c>
      <c r="BR189" s="1" t="s">
        <v>227</v>
      </c>
      <c r="BS189" s="106" t="s">
        <v>37</v>
      </c>
    </row>
    <row x14ac:dyDescent="0.25" r="190" customHeight="1" ht="17.25">
      <c r="A190" s="102">
        <v>189</v>
      </c>
      <c r="B190" s="1" t="s">
        <v>1436</v>
      </c>
      <c r="C190" s="102">
        <v>1</v>
      </c>
      <c r="D190" s="61">
        <v>42958</v>
      </c>
      <c r="E190" s="1" t="s">
        <v>95</v>
      </c>
      <c r="F190" s="1" t="s">
        <v>170</v>
      </c>
      <c r="G190" s="1" t="s">
        <v>53</v>
      </c>
      <c r="H190" s="1" t="s">
        <v>1437</v>
      </c>
      <c r="I190" s="102">
        <v>1</v>
      </c>
      <c r="J190" s="1" t="s">
        <v>158</v>
      </c>
      <c r="K190" s="1" t="s">
        <v>22</v>
      </c>
      <c r="L190" s="103">
        <v>30548</v>
      </c>
      <c r="M190" s="104">
        <v>34</v>
      </c>
      <c r="N190" s="1" t="s">
        <v>176</v>
      </c>
      <c r="O190" s="1" t="s">
        <v>182</v>
      </c>
      <c r="P190" s="1" t="s">
        <v>464</v>
      </c>
      <c r="Q190" s="1" t="s">
        <v>1438</v>
      </c>
      <c r="R190" s="62">
        <v>0</v>
      </c>
      <c r="S190" s="102">
        <v>0</v>
      </c>
      <c r="T190" s="54" t="s">
        <v>1439</v>
      </c>
      <c r="U190" s="105">
        <v>2464.8</v>
      </c>
      <c r="V190" s="62">
        <v>0</v>
      </c>
      <c r="W190" s="102">
        <v>0</v>
      </c>
      <c r="X190" s="62">
        <v>0</v>
      </c>
      <c r="Y190" s="102">
        <v>0</v>
      </c>
      <c r="Z190" s="62">
        <v>0</v>
      </c>
      <c r="AA190" s="102">
        <v>0</v>
      </c>
      <c r="AB190" s="62">
        <v>0</v>
      </c>
      <c r="AC190" s="106" t="s">
        <v>206</v>
      </c>
      <c r="AD190" s="106" t="s">
        <v>206</v>
      </c>
      <c r="AE190" s="106" t="s">
        <v>206</v>
      </c>
      <c r="AF190" s="106" t="s">
        <v>206</v>
      </c>
      <c r="AG190" s="106" t="s">
        <v>206</v>
      </c>
      <c r="AH190" s="106" t="s">
        <v>206</v>
      </c>
      <c r="AI190" s="1" t="s">
        <v>371</v>
      </c>
      <c r="AJ190" s="1" t="s">
        <v>206</v>
      </c>
      <c r="AK190" s="1" t="s">
        <v>1440</v>
      </c>
      <c r="AL190" s="1" t="s">
        <v>197</v>
      </c>
      <c r="AM190" s="106" t="s">
        <v>27</v>
      </c>
      <c r="AN190" s="1" t="s">
        <v>371</v>
      </c>
      <c r="AO190" s="1" t="s">
        <v>208</v>
      </c>
      <c r="AP190" s="1" t="s">
        <v>206</v>
      </c>
      <c r="AQ190" s="1" t="s">
        <v>441</v>
      </c>
      <c r="AR190" s="1" t="s">
        <v>206</v>
      </c>
      <c r="AS190" s="106" t="s">
        <v>206</v>
      </c>
      <c r="AT190" s="1" t="s">
        <v>206</v>
      </c>
      <c r="AU190" s="106" t="s">
        <v>206</v>
      </c>
      <c r="AV190" s="106" t="s">
        <v>206</v>
      </c>
      <c r="AW190" s="106" t="s">
        <v>35</v>
      </c>
      <c r="AX190" s="106" t="s">
        <v>206</v>
      </c>
      <c r="AY190" s="106" t="s">
        <v>206</v>
      </c>
      <c r="AZ190" s="1" t="s">
        <v>206</v>
      </c>
      <c r="BA190" s="106" t="s">
        <v>206</v>
      </c>
      <c r="BB190" s="106" t="s">
        <v>206</v>
      </c>
      <c r="BC190" s="106" t="s">
        <v>206</v>
      </c>
      <c r="BD190" s="106" t="s">
        <v>206</v>
      </c>
      <c r="BE190" s="106" t="s">
        <v>206</v>
      </c>
      <c r="BF190" s="107">
        <f>IF(AZ190="Não","Sim","Não")</f>
      </c>
      <c r="BG190" s="107">
        <f>IF(AZ190="NA","Sim","Não")</f>
      </c>
      <c r="BH190" s="106" t="s">
        <v>206</v>
      </c>
      <c r="BI190" s="1" t="s">
        <v>206</v>
      </c>
      <c r="BJ190" s="106" t="s">
        <v>206</v>
      </c>
      <c r="BK190" s="1" t="s">
        <v>441</v>
      </c>
      <c r="BL190" s="102">
        <v>60</v>
      </c>
      <c r="BM190" s="1" t="s">
        <v>1101</v>
      </c>
      <c r="BN190" s="1" t="s">
        <v>208</v>
      </c>
      <c r="BO190" s="1" t="s">
        <v>360</v>
      </c>
      <c r="BP190" s="102">
        <v>96</v>
      </c>
      <c r="BQ190" s="1" t="s">
        <v>208</v>
      </c>
      <c r="BR190" s="1" t="s">
        <v>227</v>
      </c>
      <c r="BS190" s="106" t="s">
        <v>37</v>
      </c>
    </row>
    <row x14ac:dyDescent="0.25" r="191" customHeight="1" ht="17.25">
      <c r="A191" s="102">
        <v>190</v>
      </c>
      <c r="B191" s="1" t="s">
        <v>1436</v>
      </c>
      <c r="C191" s="102">
        <v>0</v>
      </c>
      <c r="D191" s="61">
        <v>42958</v>
      </c>
      <c r="E191" s="1" t="s">
        <v>95</v>
      </c>
      <c r="F191" s="1" t="s">
        <v>170</v>
      </c>
      <c r="G191" s="1" t="s">
        <v>53</v>
      </c>
      <c r="H191" s="1" t="s">
        <v>1441</v>
      </c>
      <c r="I191" s="102">
        <v>1</v>
      </c>
      <c r="J191" s="1" t="s">
        <v>158</v>
      </c>
      <c r="K191" s="1" t="s">
        <v>22</v>
      </c>
      <c r="L191" s="103">
        <v>30891</v>
      </c>
      <c r="M191" s="104">
        <v>33</v>
      </c>
      <c r="N191" s="1" t="s">
        <v>177</v>
      </c>
      <c r="O191" s="1" t="s">
        <v>24</v>
      </c>
      <c r="P191" s="1" t="s">
        <v>354</v>
      </c>
      <c r="Q191" s="1" t="s">
        <v>1442</v>
      </c>
      <c r="R191" s="62">
        <v>0</v>
      </c>
      <c r="S191" s="102">
        <v>0</v>
      </c>
      <c r="T191" s="54" t="s">
        <v>1439</v>
      </c>
      <c r="U191" s="105">
        <v>2464.8</v>
      </c>
      <c r="V191" s="62">
        <v>0</v>
      </c>
      <c r="W191" s="102">
        <v>0</v>
      </c>
      <c r="X191" s="62">
        <v>0</v>
      </c>
      <c r="Y191" s="102">
        <v>0</v>
      </c>
      <c r="Z191" s="62">
        <v>0</v>
      </c>
      <c r="AA191" s="102">
        <v>0</v>
      </c>
      <c r="AB191" s="62">
        <v>0</v>
      </c>
      <c r="AC191" s="106" t="s">
        <v>206</v>
      </c>
      <c r="AD191" s="106" t="s">
        <v>206</v>
      </c>
      <c r="AE191" s="106" t="s">
        <v>206</v>
      </c>
      <c r="AF191" s="106" t="s">
        <v>206</v>
      </c>
      <c r="AG191" s="106" t="s">
        <v>206</v>
      </c>
      <c r="AH191" s="106" t="s">
        <v>206</v>
      </c>
      <c r="AI191" s="1" t="s">
        <v>371</v>
      </c>
      <c r="AJ191" s="1" t="s">
        <v>206</v>
      </c>
      <c r="AK191" s="1" t="s">
        <v>1440</v>
      </c>
      <c r="AL191" s="1" t="s">
        <v>197</v>
      </c>
      <c r="AM191" s="106" t="s">
        <v>27</v>
      </c>
      <c r="AN191" s="1" t="s">
        <v>371</v>
      </c>
      <c r="AO191" s="1" t="s">
        <v>208</v>
      </c>
      <c r="AP191" s="1" t="s">
        <v>206</v>
      </c>
      <c r="AQ191" s="1" t="s">
        <v>441</v>
      </c>
      <c r="AR191" s="1" t="s">
        <v>206</v>
      </c>
      <c r="AS191" s="106" t="s">
        <v>206</v>
      </c>
      <c r="AT191" s="1" t="s">
        <v>206</v>
      </c>
      <c r="AU191" s="106" t="s">
        <v>206</v>
      </c>
      <c r="AV191" s="106" t="s">
        <v>206</v>
      </c>
      <c r="AW191" s="106" t="s">
        <v>35</v>
      </c>
      <c r="AX191" s="106" t="s">
        <v>206</v>
      </c>
      <c r="AY191" s="106" t="s">
        <v>206</v>
      </c>
      <c r="AZ191" s="1" t="s">
        <v>206</v>
      </c>
      <c r="BA191" s="106" t="s">
        <v>206</v>
      </c>
      <c r="BB191" s="106" t="s">
        <v>206</v>
      </c>
      <c r="BC191" s="106" t="s">
        <v>206</v>
      </c>
      <c r="BD191" s="106" t="s">
        <v>206</v>
      </c>
      <c r="BE191" s="106" t="s">
        <v>206</v>
      </c>
      <c r="BF191" s="107">
        <f>IF(AZ191="Não","Sim","Não")</f>
      </c>
      <c r="BG191" s="107">
        <f>IF(AZ191="NA","Sim","Não")</f>
      </c>
      <c r="BH191" s="106" t="s">
        <v>206</v>
      </c>
      <c r="BI191" s="1" t="s">
        <v>206</v>
      </c>
      <c r="BJ191" s="106" t="s">
        <v>206</v>
      </c>
      <c r="BK191" s="1" t="s">
        <v>441</v>
      </c>
      <c r="BL191" s="102">
        <v>60</v>
      </c>
      <c r="BM191" s="1" t="s">
        <v>1101</v>
      </c>
      <c r="BN191" s="1" t="s">
        <v>208</v>
      </c>
      <c r="BO191" s="1" t="s">
        <v>360</v>
      </c>
      <c r="BP191" s="102">
        <v>96</v>
      </c>
      <c r="BQ191" s="1" t="s">
        <v>208</v>
      </c>
      <c r="BR191" s="1" t="s">
        <v>227</v>
      </c>
      <c r="BS191" s="106" t="s">
        <v>37</v>
      </c>
    </row>
    <row x14ac:dyDescent="0.25" r="192" customHeight="1" ht="17.25">
      <c r="A192" s="102">
        <v>191</v>
      </c>
      <c r="B192" s="1" t="s">
        <v>1436</v>
      </c>
      <c r="C192" s="102">
        <v>0</v>
      </c>
      <c r="D192" s="61">
        <v>42958</v>
      </c>
      <c r="E192" s="1" t="s">
        <v>95</v>
      </c>
      <c r="F192" s="1" t="s">
        <v>170</v>
      </c>
      <c r="G192" s="1" t="s">
        <v>53</v>
      </c>
      <c r="H192" s="1" t="s">
        <v>1443</v>
      </c>
      <c r="I192" s="102">
        <v>1</v>
      </c>
      <c r="J192" s="1" t="s">
        <v>158</v>
      </c>
      <c r="K192" s="1" t="s">
        <v>22</v>
      </c>
      <c r="L192" s="103">
        <v>32577</v>
      </c>
      <c r="M192" s="104">
        <v>28</v>
      </c>
      <c r="N192" s="1" t="s">
        <v>177</v>
      </c>
      <c r="O192" s="1" t="s">
        <v>24</v>
      </c>
      <c r="P192" s="1" t="s">
        <v>354</v>
      </c>
      <c r="Q192" s="1" t="s">
        <v>1444</v>
      </c>
      <c r="R192" s="62">
        <v>0</v>
      </c>
      <c r="S192" s="102">
        <v>0</v>
      </c>
      <c r="T192" s="54" t="s">
        <v>1439</v>
      </c>
      <c r="U192" s="105">
        <v>2464.8</v>
      </c>
      <c r="V192" s="62">
        <v>0</v>
      </c>
      <c r="W192" s="102">
        <v>0</v>
      </c>
      <c r="X192" s="62">
        <v>0</v>
      </c>
      <c r="Y192" s="102">
        <v>0</v>
      </c>
      <c r="Z192" s="62">
        <v>0</v>
      </c>
      <c r="AA192" s="102">
        <v>0</v>
      </c>
      <c r="AB192" s="62">
        <v>0</v>
      </c>
      <c r="AC192" s="106" t="s">
        <v>206</v>
      </c>
      <c r="AD192" s="106" t="s">
        <v>206</v>
      </c>
      <c r="AE192" s="106" t="s">
        <v>206</v>
      </c>
      <c r="AF192" s="106" t="s">
        <v>206</v>
      </c>
      <c r="AG192" s="106" t="s">
        <v>206</v>
      </c>
      <c r="AH192" s="106" t="s">
        <v>206</v>
      </c>
      <c r="AI192" s="1" t="s">
        <v>371</v>
      </c>
      <c r="AJ192" s="1" t="s">
        <v>206</v>
      </c>
      <c r="AK192" s="1" t="s">
        <v>1445</v>
      </c>
      <c r="AL192" s="1" t="s">
        <v>197</v>
      </c>
      <c r="AM192" s="106" t="s">
        <v>27</v>
      </c>
      <c r="AN192" s="1" t="s">
        <v>371</v>
      </c>
      <c r="AO192" s="1" t="s">
        <v>208</v>
      </c>
      <c r="AP192" s="1" t="s">
        <v>206</v>
      </c>
      <c r="AQ192" s="1" t="s">
        <v>441</v>
      </c>
      <c r="AR192" s="1" t="s">
        <v>206</v>
      </c>
      <c r="AS192" s="106" t="s">
        <v>206</v>
      </c>
      <c r="AT192" s="1" t="s">
        <v>206</v>
      </c>
      <c r="AU192" s="106" t="s">
        <v>206</v>
      </c>
      <c r="AV192" s="106" t="s">
        <v>206</v>
      </c>
      <c r="AW192" s="106" t="s">
        <v>35</v>
      </c>
      <c r="AX192" s="106" t="s">
        <v>206</v>
      </c>
      <c r="AY192" s="106" t="s">
        <v>206</v>
      </c>
      <c r="AZ192" s="1" t="s">
        <v>206</v>
      </c>
      <c r="BA192" s="106" t="s">
        <v>206</v>
      </c>
      <c r="BB192" s="106" t="s">
        <v>206</v>
      </c>
      <c r="BC192" s="106" t="s">
        <v>206</v>
      </c>
      <c r="BD192" s="106" t="s">
        <v>206</v>
      </c>
      <c r="BE192" s="106" t="s">
        <v>206</v>
      </c>
      <c r="BF192" s="107">
        <f>IF(AZ192="Não","Sim","Não")</f>
      </c>
      <c r="BG192" s="107">
        <f>IF(AZ192="NA","Sim","Não")</f>
      </c>
      <c r="BH192" s="106" t="s">
        <v>206</v>
      </c>
      <c r="BI192" s="1" t="s">
        <v>206</v>
      </c>
      <c r="BJ192" s="106" t="s">
        <v>206</v>
      </c>
      <c r="BK192" s="1" t="s">
        <v>441</v>
      </c>
      <c r="BL192" s="102">
        <v>60</v>
      </c>
      <c r="BM192" s="1" t="s">
        <v>1101</v>
      </c>
      <c r="BN192" s="1" t="s">
        <v>208</v>
      </c>
      <c r="BO192" s="1" t="s">
        <v>360</v>
      </c>
      <c r="BP192" s="102">
        <v>96</v>
      </c>
      <c r="BQ192" s="1" t="s">
        <v>208</v>
      </c>
      <c r="BR192" s="1" t="s">
        <v>227</v>
      </c>
      <c r="BS192" s="106" t="s">
        <v>37</v>
      </c>
    </row>
    <row x14ac:dyDescent="0.25" r="193" customHeight="1" ht="17.25">
      <c r="A193" s="102">
        <v>192</v>
      </c>
      <c r="B193" s="1" t="s">
        <v>1446</v>
      </c>
      <c r="C193" s="102">
        <v>1</v>
      </c>
      <c r="D193" s="61" t="s">
        <v>1016</v>
      </c>
      <c r="E193" s="1" t="s">
        <v>127</v>
      </c>
      <c r="F193" s="1" t="s">
        <v>170</v>
      </c>
      <c r="G193" s="1" t="s">
        <v>60</v>
      </c>
      <c r="H193" s="1" t="s">
        <v>1447</v>
      </c>
      <c r="I193" s="102">
        <v>1</v>
      </c>
      <c r="J193" s="1" t="s">
        <v>160</v>
      </c>
      <c r="K193" s="1" t="s">
        <v>22</v>
      </c>
      <c r="L193" s="103">
        <v>32618</v>
      </c>
      <c r="M193" s="104">
        <v>28</v>
      </c>
      <c r="N193" s="1" t="s">
        <v>176</v>
      </c>
      <c r="O193" s="1" t="s">
        <v>182</v>
      </c>
      <c r="P193" s="1" t="s">
        <v>615</v>
      </c>
      <c r="Q193" s="1" t="s">
        <v>1448</v>
      </c>
      <c r="R193" s="62">
        <v>0</v>
      </c>
      <c r="S193" s="102">
        <v>0</v>
      </c>
      <c r="T193" s="54" t="s">
        <v>1449</v>
      </c>
      <c r="U193" s="105">
        <v>19.1</v>
      </c>
      <c r="V193" s="62">
        <v>0</v>
      </c>
      <c r="W193" s="102">
        <v>0</v>
      </c>
      <c r="X193" s="62">
        <v>0</v>
      </c>
      <c r="Y193" s="102">
        <v>0</v>
      </c>
      <c r="Z193" s="62">
        <v>0</v>
      </c>
      <c r="AA193" s="102">
        <v>0</v>
      </c>
      <c r="AB193" s="62">
        <v>0</v>
      </c>
      <c r="AC193" s="106" t="s">
        <v>206</v>
      </c>
      <c r="AD193" s="106" t="s">
        <v>206</v>
      </c>
      <c r="AE193" s="106" t="s">
        <v>206</v>
      </c>
      <c r="AF193" s="106" t="s">
        <v>206</v>
      </c>
      <c r="AG193" s="106" t="s">
        <v>206</v>
      </c>
      <c r="AH193" s="106" t="s">
        <v>206</v>
      </c>
      <c r="AI193" s="1" t="s">
        <v>357</v>
      </c>
      <c r="AJ193" s="1" t="s">
        <v>206</v>
      </c>
      <c r="AK193" s="1" t="s">
        <v>476</v>
      </c>
      <c r="AL193" s="1" t="s">
        <v>197</v>
      </c>
      <c r="AM193" s="106" t="s">
        <v>27</v>
      </c>
      <c r="AN193" s="1" t="s">
        <v>357</v>
      </c>
      <c r="AO193" s="1" t="s">
        <v>208</v>
      </c>
      <c r="AP193" s="1" t="s">
        <v>206</v>
      </c>
      <c r="AQ193" s="1" t="s">
        <v>441</v>
      </c>
      <c r="AR193" s="1" t="s">
        <v>206</v>
      </c>
      <c r="AS193" s="106" t="s">
        <v>206</v>
      </c>
      <c r="AT193" s="1" t="s">
        <v>206</v>
      </c>
      <c r="AU193" s="106" t="s">
        <v>206</v>
      </c>
      <c r="AV193" s="106" t="s">
        <v>206</v>
      </c>
      <c r="AW193" s="106" t="s">
        <v>35</v>
      </c>
      <c r="AX193" s="106" t="s">
        <v>206</v>
      </c>
      <c r="AY193" s="106" t="s">
        <v>206</v>
      </c>
      <c r="AZ193" s="1" t="s">
        <v>206</v>
      </c>
      <c r="BA193" s="106" t="s">
        <v>206</v>
      </c>
      <c r="BB193" s="106" t="s">
        <v>206</v>
      </c>
      <c r="BC193" s="106" t="s">
        <v>206</v>
      </c>
      <c r="BD193" s="106" t="s">
        <v>206</v>
      </c>
      <c r="BE193" s="106" t="s">
        <v>206</v>
      </c>
      <c r="BF193" s="107">
        <f>IF(AZ193="Não","Sim","Não")</f>
      </c>
      <c r="BG193" s="107">
        <f>IF(AZ193="NA","Sim","Não")</f>
      </c>
      <c r="BH193" s="106" t="s">
        <v>206</v>
      </c>
      <c r="BI193" s="1" t="s">
        <v>206</v>
      </c>
      <c r="BJ193" s="106" t="s">
        <v>206</v>
      </c>
      <c r="BK193" s="1" t="s">
        <v>441</v>
      </c>
      <c r="BL193" s="102">
        <v>60</v>
      </c>
      <c r="BM193" s="1" t="s">
        <v>208</v>
      </c>
      <c r="BN193" s="1" t="s">
        <v>208</v>
      </c>
      <c r="BO193" s="1" t="s">
        <v>441</v>
      </c>
      <c r="BP193" s="102">
        <v>60</v>
      </c>
      <c r="BQ193" s="1" t="s">
        <v>208</v>
      </c>
      <c r="BR193" s="1" t="s">
        <v>227</v>
      </c>
      <c r="BS193" s="106" t="s">
        <v>37</v>
      </c>
    </row>
    <row x14ac:dyDescent="0.25" r="194" customHeight="1" ht="17.25">
      <c r="A194" s="102">
        <v>193</v>
      </c>
      <c r="B194" s="1" t="s">
        <v>1450</v>
      </c>
      <c r="C194" s="102">
        <v>1</v>
      </c>
      <c r="D194" s="61" t="s">
        <v>817</v>
      </c>
      <c r="E194" s="1" t="s">
        <v>101</v>
      </c>
      <c r="F194" s="1" t="s">
        <v>22</v>
      </c>
      <c r="G194" s="1" t="s">
        <v>59</v>
      </c>
      <c r="H194" s="1" t="s">
        <v>1451</v>
      </c>
      <c r="I194" s="102">
        <v>1</v>
      </c>
      <c r="J194" s="1" t="s">
        <v>158</v>
      </c>
      <c r="K194" s="1" t="s">
        <v>22</v>
      </c>
      <c r="L194" s="103">
        <v>34914</v>
      </c>
      <c r="M194" s="104">
        <v>22</v>
      </c>
      <c r="N194" s="1" t="s">
        <v>176</v>
      </c>
      <c r="O194" s="1" t="s">
        <v>182</v>
      </c>
      <c r="P194" s="1" t="s">
        <v>365</v>
      </c>
      <c r="Q194" s="1" t="s">
        <v>1452</v>
      </c>
      <c r="R194" s="54" t="s">
        <v>1453</v>
      </c>
      <c r="S194" s="105">
        <v>2003.4</v>
      </c>
      <c r="T194" s="54" t="s">
        <v>1454</v>
      </c>
      <c r="U194" s="105">
        <v>326.8</v>
      </c>
      <c r="V194" s="62">
        <v>0</v>
      </c>
      <c r="W194" s="102">
        <v>0</v>
      </c>
      <c r="X194" s="62">
        <v>0</v>
      </c>
      <c r="Y194" s="102">
        <v>0</v>
      </c>
      <c r="Z194" s="62">
        <v>0</v>
      </c>
      <c r="AA194" s="102">
        <v>0</v>
      </c>
      <c r="AB194" s="62">
        <v>0</v>
      </c>
      <c r="AC194" s="106" t="s">
        <v>206</v>
      </c>
      <c r="AD194" s="106" t="s">
        <v>206</v>
      </c>
      <c r="AE194" s="106" t="s">
        <v>206</v>
      </c>
      <c r="AF194" s="106" t="s">
        <v>206</v>
      </c>
      <c r="AG194" s="106" t="s">
        <v>206</v>
      </c>
      <c r="AH194" s="106" t="s">
        <v>206</v>
      </c>
      <c r="AI194" s="1" t="s">
        <v>357</v>
      </c>
      <c r="AJ194" s="1" t="s">
        <v>674</v>
      </c>
      <c r="AK194" s="1" t="s">
        <v>1108</v>
      </c>
      <c r="AL194" s="1" t="s">
        <v>198</v>
      </c>
      <c r="AM194" s="106" t="s">
        <v>27</v>
      </c>
      <c r="AN194" s="1" t="s">
        <v>357</v>
      </c>
      <c r="AO194" s="1" t="s">
        <v>206</v>
      </c>
      <c r="AP194" s="1" t="s">
        <v>406</v>
      </c>
      <c r="AQ194" s="1" t="s">
        <v>386</v>
      </c>
      <c r="AR194" s="1" t="s">
        <v>206</v>
      </c>
      <c r="AS194" s="106" t="s">
        <v>206</v>
      </c>
      <c r="AT194" s="1" t="s">
        <v>28</v>
      </c>
      <c r="AU194" s="106" t="s">
        <v>35</v>
      </c>
      <c r="AV194" s="106" t="s">
        <v>206</v>
      </c>
      <c r="AW194" s="106" t="s">
        <v>206</v>
      </c>
      <c r="AX194" s="106" t="s">
        <v>206</v>
      </c>
      <c r="AY194" s="106" t="s">
        <v>35</v>
      </c>
      <c r="AZ194" s="1" t="s">
        <v>206</v>
      </c>
      <c r="BA194" s="106" t="s">
        <v>206</v>
      </c>
      <c r="BB194" s="106" t="s">
        <v>206</v>
      </c>
      <c r="BC194" s="106" t="s">
        <v>206</v>
      </c>
      <c r="BD194" s="106" t="s">
        <v>206</v>
      </c>
      <c r="BE194" s="106" t="s">
        <v>206</v>
      </c>
      <c r="BF194" s="107">
        <f>IF(AZ194="Não","Sim","Não")</f>
      </c>
      <c r="BG194" s="107">
        <f>IF(AZ194="NA","Sim","Não")</f>
      </c>
      <c r="BH194" s="106" t="s">
        <v>206</v>
      </c>
      <c r="BI194" s="1" t="s">
        <v>206</v>
      </c>
      <c r="BJ194" s="106" t="s">
        <v>206</v>
      </c>
      <c r="BK194" s="1" t="s">
        <v>441</v>
      </c>
      <c r="BL194" s="102">
        <v>60</v>
      </c>
      <c r="BM194" s="1" t="s">
        <v>208</v>
      </c>
      <c r="BN194" s="1" t="s">
        <v>208</v>
      </c>
      <c r="BO194" s="1" t="s">
        <v>441</v>
      </c>
      <c r="BP194" s="102">
        <v>60</v>
      </c>
      <c r="BQ194" s="1" t="s">
        <v>208</v>
      </c>
      <c r="BR194" s="1" t="s">
        <v>227</v>
      </c>
      <c r="BS194" s="106" t="s">
        <v>37</v>
      </c>
    </row>
    <row x14ac:dyDescent="0.25" r="195" customHeight="1" ht="17.25">
      <c r="A195" s="102">
        <v>194</v>
      </c>
      <c r="B195" s="1" t="s">
        <v>1455</v>
      </c>
      <c r="C195" s="102">
        <v>1</v>
      </c>
      <c r="D195" s="61">
        <v>42894</v>
      </c>
      <c r="E195" s="1" t="s">
        <v>94</v>
      </c>
      <c r="F195" s="1" t="s">
        <v>170</v>
      </c>
      <c r="G195" s="1" t="s">
        <v>65</v>
      </c>
      <c r="H195" s="1" t="s">
        <v>1456</v>
      </c>
      <c r="I195" s="102">
        <v>1</v>
      </c>
      <c r="J195" s="1" t="s">
        <v>158</v>
      </c>
      <c r="K195" s="1" t="s">
        <v>170</v>
      </c>
      <c r="L195" s="103">
        <v>29777</v>
      </c>
      <c r="M195" s="104">
        <v>35</v>
      </c>
      <c r="N195" s="1" t="s">
        <v>175</v>
      </c>
      <c r="O195" s="1" t="s">
        <v>24</v>
      </c>
      <c r="P195" s="1" t="s">
        <v>615</v>
      </c>
      <c r="Q195" s="1" t="s">
        <v>366</v>
      </c>
      <c r="R195" s="62">
        <v>0</v>
      </c>
      <c r="S195" s="102">
        <v>0</v>
      </c>
      <c r="T195" s="54" t="s">
        <v>1457</v>
      </c>
      <c r="U195" s="105">
        <v>42.4</v>
      </c>
      <c r="V195" s="62">
        <v>0</v>
      </c>
      <c r="W195" s="102">
        <v>0</v>
      </c>
      <c r="X195" s="62">
        <v>0</v>
      </c>
      <c r="Y195" s="102">
        <v>0</v>
      </c>
      <c r="Z195" s="62">
        <v>0</v>
      </c>
      <c r="AA195" s="102">
        <v>0</v>
      </c>
      <c r="AB195" s="62">
        <v>0</v>
      </c>
      <c r="AC195" s="106" t="s">
        <v>206</v>
      </c>
      <c r="AD195" s="106" t="s">
        <v>206</v>
      </c>
      <c r="AE195" s="106" t="s">
        <v>206</v>
      </c>
      <c r="AF195" s="106" t="s">
        <v>206</v>
      </c>
      <c r="AG195" s="106" t="s">
        <v>206</v>
      </c>
      <c r="AH195" s="106" t="s">
        <v>206</v>
      </c>
      <c r="AI195" s="1" t="s">
        <v>357</v>
      </c>
      <c r="AJ195" s="1" t="s">
        <v>206</v>
      </c>
      <c r="AK195" s="1" t="s">
        <v>1458</v>
      </c>
      <c r="AL195" s="1" t="s">
        <v>197</v>
      </c>
      <c r="AM195" s="106" t="s">
        <v>27</v>
      </c>
      <c r="AN195" s="1" t="s">
        <v>357</v>
      </c>
      <c r="AO195" s="1" t="s">
        <v>208</v>
      </c>
      <c r="AP195" s="1" t="s">
        <v>206</v>
      </c>
      <c r="AQ195" s="1" t="s">
        <v>441</v>
      </c>
      <c r="AR195" s="1" t="s">
        <v>206</v>
      </c>
      <c r="AS195" s="106" t="s">
        <v>206</v>
      </c>
      <c r="AT195" s="1" t="s">
        <v>206</v>
      </c>
      <c r="AU195" s="106" t="s">
        <v>206</v>
      </c>
      <c r="AV195" s="106" t="s">
        <v>206</v>
      </c>
      <c r="AW195" s="106" t="s">
        <v>35</v>
      </c>
      <c r="AX195" s="106" t="s">
        <v>206</v>
      </c>
      <c r="AY195" s="106" t="s">
        <v>206</v>
      </c>
      <c r="AZ195" s="1" t="s">
        <v>206</v>
      </c>
      <c r="BA195" s="106" t="s">
        <v>206</v>
      </c>
      <c r="BB195" s="106" t="s">
        <v>206</v>
      </c>
      <c r="BC195" s="106" t="s">
        <v>206</v>
      </c>
      <c r="BD195" s="106" t="s">
        <v>206</v>
      </c>
      <c r="BE195" s="106" t="s">
        <v>206</v>
      </c>
      <c r="BF195" s="107">
        <f>IF(AZ195="Não","Sim","Não")</f>
      </c>
      <c r="BG195" s="107">
        <f>IF(AZ195="NA","Sim","Não")</f>
      </c>
      <c r="BH195" s="106" t="s">
        <v>206</v>
      </c>
      <c r="BI195" s="1" t="s">
        <v>206</v>
      </c>
      <c r="BJ195" s="106" t="s">
        <v>206</v>
      </c>
      <c r="BK195" s="1" t="s">
        <v>441</v>
      </c>
      <c r="BL195" s="102">
        <v>60</v>
      </c>
      <c r="BM195" s="1" t="s">
        <v>208</v>
      </c>
      <c r="BN195" s="1" t="s">
        <v>208</v>
      </c>
      <c r="BO195" s="1" t="s">
        <v>441</v>
      </c>
      <c r="BP195" s="102">
        <v>60</v>
      </c>
      <c r="BQ195" s="1" t="s">
        <v>208</v>
      </c>
      <c r="BR195" s="1" t="s">
        <v>227</v>
      </c>
      <c r="BS195" s="106" t="s">
        <v>37</v>
      </c>
    </row>
    <row x14ac:dyDescent="0.25" r="196" customHeight="1" ht="17.25">
      <c r="A196" s="102">
        <v>195</v>
      </c>
      <c r="B196" s="1" t="s">
        <v>1459</v>
      </c>
      <c r="C196" s="102">
        <v>1</v>
      </c>
      <c r="D196" s="61" t="s">
        <v>551</v>
      </c>
      <c r="E196" s="1" t="s">
        <v>86</v>
      </c>
      <c r="F196" s="1" t="s">
        <v>22</v>
      </c>
      <c r="G196" s="1" t="s">
        <v>50</v>
      </c>
      <c r="H196" s="1" t="s">
        <v>1460</v>
      </c>
      <c r="I196" s="102">
        <v>1</v>
      </c>
      <c r="J196" s="1" t="s">
        <v>158</v>
      </c>
      <c r="K196" s="1" t="s">
        <v>22</v>
      </c>
      <c r="L196" s="103">
        <v>35679</v>
      </c>
      <c r="M196" s="104">
        <v>20</v>
      </c>
      <c r="N196" s="1" t="s">
        <v>175</v>
      </c>
      <c r="O196" s="1" t="s">
        <v>24</v>
      </c>
      <c r="P196" s="1" t="s">
        <v>354</v>
      </c>
      <c r="Q196" s="1" t="s">
        <v>355</v>
      </c>
      <c r="R196" s="54" t="s">
        <v>1461</v>
      </c>
      <c r="S196" s="105">
        <v>74.9</v>
      </c>
      <c r="T196" s="54" t="s">
        <v>1462</v>
      </c>
      <c r="U196" s="105">
        <v>25.4</v>
      </c>
      <c r="V196" s="62">
        <v>0</v>
      </c>
      <c r="W196" s="102">
        <v>0</v>
      </c>
      <c r="X196" s="62">
        <v>0</v>
      </c>
      <c r="Y196" s="102">
        <v>0</v>
      </c>
      <c r="Z196" s="62">
        <v>0</v>
      </c>
      <c r="AA196" s="102">
        <v>0</v>
      </c>
      <c r="AB196" s="62">
        <v>0</v>
      </c>
      <c r="AC196" s="106" t="s">
        <v>206</v>
      </c>
      <c r="AD196" s="106" t="s">
        <v>206</v>
      </c>
      <c r="AE196" s="106" t="s">
        <v>206</v>
      </c>
      <c r="AF196" s="106" t="s">
        <v>206</v>
      </c>
      <c r="AG196" s="106" t="s">
        <v>206</v>
      </c>
      <c r="AH196" s="106" t="s">
        <v>206</v>
      </c>
      <c r="AI196" s="1" t="s">
        <v>357</v>
      </c>
      <c r="AJ196" s="1" t="s">
        <v>206</v>
      </c>
      <c r="AK196" s="1" t="s">
        <v>1463</v>
      </c>
      <c r="AL196" s="1" t="s">
        <v>197</v>
      </c>
      <c r="AM196" s="106" t="s">
        <v>27</v>
      </c>
      <c r="AN196" s="1" t="s">
        <v>357</v>
      </c>
      <c r="AO196" s="1" t="s">
        <v>208</v>
      </c>
      <c r="AP196" s="1" t="s">
        <v>206</v>
      </c>
      <c r="AQ196" s="1" t="s">
        <v>441</v>
      </c>
      <c r="AR196" s="1" t="s">
        <v>206</v>
      </c>
      <c r="AS196" s="106" t="s">
        <v>206</v>
      </c>
      <c r="AT196" s="1" t="s">
        <v>206</v>
      </c>
      <c r="AU196" s="106" t="s">
        <v>206</v>
      </c>
      <c r="AV196" s="106" t="s">
        <v>206</v>
      </c>
      <c r="AW196" s="106" t="s">
        <v>35</v>
      </c>
      <c r="AX196" s="106" t="s">
        <v>206</v>
      </c>
      <c r="AY196" s="106" t="s">
        <v>206</v>
      </c>
      <c r="AZ196" s="1" t="s">
        <v>206</v>
      </c>
      <c r="BA196" s="106" t="s">
        <v>206</v>
      </c>
      <c r="BB196" s="106" t="s">
        <v>206</v>
      </c>
      <c r="BC196" s="106" t="s">
        <v>206</v>
      </c>
      <c r="BD196" s="106" t="s">
        <v>206</v>
      </c>
      <c r="BE196" s="106" t="s">
        <v>206</v>
      </c>
      <c r="BF196" s="107">
        <f>IF(AZ196="Não","Sim","Não")</f>
      </c>
      <c r="BG196" s="107">
        <f>IF(AZ196="NA","Sim","Não")</f>
      </c>
      <c r="BH196" s="106" t="s">
        <v>206</v>
      </c>
      <c r="BI196" s="1" t="s">
        <v>206</v>
      </c>
      <c r="BJ196" s="106" t="s">
        <v>206</v>
      </c>
      <c r="BK196" s="1" t="s">
        <v>441</v>
      </c>
      <c r="BL196" s="102">
        <v>60</v>
      </c>
      <c r="BM196" s="1" t="s">
        <v>208</v>
      </c>
      <c r="BN196" s="1" t="s">
        <v>208</v>
      </c>
      <c r="BO196" s="1" t="s">
        <v>441</v>
      </c>
      <c r="BP196" s="102">
        <v>60</v>
      </c>
      <c r="BQ196" s="1" t="s">
        <v>208</v>
      </c>
      <c r="BR196" s="1" t="s">
        <v>228</v>
      </c>
      <c r="BS196" s="106" t="s">
        <v>228</v>
      </c>
    </row>
    <row x14ac:dyDescent="0.25" r="197" customHeight="1" ht="17.25">
      <c r="A197" s="102">
        <v>196</v>
      </c>
      <c r="B197" s="1" t="s">
        <v>1464</v>
      </c>
      <c r="C197" s="102">
        <v>1</v>
      </c>
      <c r="D197" s="61" t="s">
        <v>1465</v>
      </c>
      <c r="E197" s="1" t="s">
        <v>81</v>
      </c>
      <c r="F197" s="1" t="s">
        <v>22</v>
      </c>
      <c r="G197" s="1" t="s">
        <v>44</v>
      </c>
      <c r="H197" s="1" t="s">
        <v>1466</v>
      </c>
      <c r="I197" s="102">
        <v>1</v>
      </c>
      <c r="J197" s="1" t="s">
        <v>158</v>
      </c>
      <c r="K197" s="1" t="s">
        <v>22</v>
      </c>
      <c r="L197" s="103">
        <v>30337</v>
      </c>
      <c r="M197" s="104">
        <v>34</v>
      </c>
      <c r="N197" s="1" t="s">
        <v>175</v>
      </c>
      <c r="O197" s="1" t="s">
        <v>24</v>
      </c>
      <c r="P197" s="1" t="s">
        <v>365</v>
      </c>
      <c r="Q197" s="1" t="s">
        <v>547</v>
      </c>
      <c r="R197" s="54" t="s">
        <v>1467</v>
      </c>
      <c r="S197" s="105">
        <v>30.3</v>
      </c>
      <c r="T197" s="54" t="s">
        <v>1468</v>
      </c>
      <c r="U197" s="105">
        <v>2.1</v>
      </c>
      <c r="V197" s="62">
        <v>0</v>
      </c>
      <c r="W197" s="102">
        <v>0</v>
      </c>
      <c r="X197" s="62">
        <v>0</v>
      </c>
      <c r="Y197" s="102">
        <v>0</v>
      </c>
      <c r="Z197" s="62">
        <v>0</v>
      </c>
      <c r="AA197" s="102">
        <v>0</v>
      </c>
      <c r="AB197" s="62">
        <v>0</v>
      </c>
      <c r="AC197" s="106" t="s">
        <v>206</v>
      </c>
      <c r="AD197" s="106" t="s">
        <v>206</v>
      </c>
      <c r="AE197" s="106" t="s">
        <v>206</v>
      </c>
      <c r="AF197" s="106" t="s">
        <v>206</v>
      </c>
      <c r="AG197" s="106" t="s">
        <v>206</v>
      </c>
      <c r="AH197" s="106" t="s">
        <v>206</v>
      </c>
      <c r="AI197" s="1" t="s">
        <v>357</v>
      </c>
      <c r="AJ197" s="1" t="s">
        <v>206</v>
      </c>
      <c r="AK197" s="1" t="s">
        <v>776</v>
      </c>
      <c r="AL197" s="1" t="s">
        <v>197</v>
      </c>
      <c r="AM197" s="106" t="s">
        <v>27</v>
      </c>
      <c r="AN197" s="1" t="s">
        <v>357</v>
      </c>
      <c r="AO197" s="1" t="s">
        <v>208</v>
      </c>
      <c r="AP197" s="1" t="s">
        <v>206</v>
      </c>
      <c r="AQ197" s="1" t="s">
        <v>441</v>
      </c>
      <c r="AR197" s="1" t="s">
        <v>206</v>
      </c>
      <c r="AS197" s="106" t="s">
        <v>206</v>
      </c>
      <c r="AT197" s="1" t="s">
        <v>206</v>
      </c>
      <c r="AU197" s="106" t="s">
        <v>206</v>
      </c>
      <c r="AV197" s="106" t="s">
        <v>206</v>
      </c>
      <c r="AW197" s="106" t="s">
        <v>35</v>
      </c>
      <c r="AX197" s="106" t="s">
        <v>206</v>
      </c>
      <c r="AY197" s="106" t="s">
        <v>206</v>
      </c>
      <c r="AZ197" s="1" t="s">
        <v>206</v>
      </c>
      <c r="BA197" s="106" t="s">
        <v>206</v>
      </c>
      <c r="BB197" s="106" t="s">
        <v>206</v>
      </c>
      <c r="BC197" s="106" t="s">
        <v>206</v>
      </c>
      <c r="BD197" s="106" t="s">
        <v>206</v>
      </c>
      <c r="BE197" s="106" t="s">
        <v>206</v>
      </c>
      <c r="BF197" s="107">
        <f>IF(AZ197="Não","Sim","Não")</f>
      </c>
      <c r="BG197" s="107">
        <f>IF(AZ197="NA","Sim","Não")</f>
      </c>
      <c r="BH197" s="106" t="s">
        <v>206</v>
      </c>
      <c r="BI197" s="1" t="s">
        <v>238</v>
      </c>
      <c r="BJ197" s="106" t="s">
        <v>241</v>
      </c>
      <c r="BK197" s="1" t="s">
        <v>441</v>
      </c>
      <c r="BL197" s="102">
        <v>60</v>
      </c>
      <c r="BM197" s="1" t="s">
        <v>208</v>
      </c>
      <c r="BN197" s="1" t="s">
        <v>208</v>
      </c>
      <c r="BO197" s="1" t="s">
        <v>441</v>
      </c>
      <c r="BP197" s="102">
        <v>60</v>
      </c>
      <c r="BQ197" s="1" t="s">
        <v>208</v>
      </c>
      <c r="BR197" s="1" t="s">
        <v>227</v>
      </c>
      <c r="BS197" s="106" t="s">
        <v>37</v>
      </c>
    </row>
    <row x14ac:dyDescent="0.25" r="198" customHeight="1" ht="17.25">
      <c r="A198" s="102">
        <v>197</v>
      </c>
      <c r="B198" s="1" t="s">
        <v>1469</v>
      </c>
      <c r="C198" s="102">
        <v>0</v>
      </c>
      <c r="D198" s="61" t="s">
        <v>1470</v>
      </c>
      <c r="E198" s="1" t="s">
        <v>82</v>
      </c>
      <c r="F198" s="1" t="s">
        <v>22</v>
      </c>
      <c r="G198" s="1" t="s">
        <v>59</v>
      </c>
      <c r="H198" s="1" t="s">
        <v>1471</v>
      </c>
      <c r="I198" s="102">
        <v>1</v>
      </c>
      <c r="J198" s="1" t="s">
        <v>158</v>
      </c>
      <c r="K198" s="1" t="s">
        <v>22</v>
      </c>
      <c r="L198" s="103">
        <v>24993</v>
      </c>
      <c r="M198" s="104">
        <v>49</v>
      </c>
      <c r="N198" s="1" t="s">
        <v>176</v>
      </c>
      <c r="O198" s="1" t="s">
        <v>182</v>
      </c>
      <c r="P198" s="1" t="s">
        <v>464</v>
      </c>
      <c r="Q198" s="1" t="s">
        <v>1472</v>
      </c>
      <c r="R198" s="62">
        <v>0</v>
      </c>
      <c r="S198" s="102">
        <v>0</v>
      </c>
      <c r="T198" s="54" t="s">
        <v>1473</v>
      </c>
      <c r="U198" s="102">
        <v>45962</v>
      </c>
      <c r="V198" s="62">
        <v>0</v>
      </c>
      <c r="W198" s="102">
        <v>0</v>
      </c>
      <c r="X198" s="62">
        <v>0</v>
      </c>
      <c r="Y198" s="102">
        <v>0</v>
      </c>
      <c r="Z198" s="62">
        <v>0</v>
      </c>
      <c r="AA198" s="102">
        <v>0</v>
      </c>
      <c r="AB198" s="62">
        <v>0</v>
      </c>
      <c r="AC198" s="106" t="s">
        <v>206</v>
      </c>
      <c r="AD198" s="106" t="s">
        <v>206</v>
      </c>
      <c r="AE198" s="106" t="s">
        <v>206</v>
      </c>
      <c r="AF198" s="106" t="s">
        <v>206</v>
      </c>
      <c r="AG198" s="106" t="s">
        <v>206</v>
      </c>
      <c r="AH198" s="106" t="s">
        <v>206</v>
      </c>
      <c r="AI198" s="1" t="s">
        <v>371</v>
      </c>
      <c r="AJ198" s="1" t="s">
        <v>206</v>
      </c>
      <c r="AK198" s="1" t="s">
        <v>1474</v>
      </c>
      <c r="AL198" s="1" t="s">
        <v>198</v>
      </c>
      <c r="AM198" s="106" t="s">
        <v>27</v>
      </c>
      <c r="AN198" s="1" t="s">
        <v>357</v>
      </c>
      <c r="AO198" s="1" t="s">
        <v>208</v>
      </c>
      <c r="AP198" s="1" t="s">
        <v>206</v>
      </c>
      <c r="AQ198" s="1" t="s">
        <v>441</v>
      </c>
      <c r="AR198" s="1" t="s">
        <v>207</v>
      </c>
      <c r="AS198" s="106" t="s">
        <v>35</v>
      </c>
      <c r="AT198" s="1" t="s">
        <v>28</v>
      </c>
      <c r="AU198" s="106" t="s">
        <v>35</v>
      </c>
      <c r="AV198" s="106" t="s">
        <v>206</v>
      </c>
      <c r="AW198" s="106" t="s">
        <v>206</v>
      </c>
      <c r="AX198" s="106" t="s">
        <v>206</v>
      </c>
      <c r="AY198" s="106" t="s">
        <v>35</v>
      </c>
      <c r="AZ198" s="1" t="s">
        <v>206</v>
      </c>
      <c r="BA198" s="106" t="s">
        <v>206</v>
      </c>
      <c r="BB198" s="106" t="s">
        <v>206</v>
      </c>
      <c r="BC198" s="106" t="s">
        <v>206</v>
      </c>
      <c r="BD198" s="106" t="s">
        <v>206</v>
      </c>
      <c r="BE198" s="106" t="s">
        <v>206</v>
      </c>
      <c r="BF198" s="107">
        <f>IF(AZ198="Não","Sim","Não")</f>
      </c>
      <c r="BG198" s="107">
        <f>IF(AZ198="NA","Sim","Não")</f>
      </c>
      <c r="BH198" s="106" t="s">
        <v>206</v>
      </c>
      <c r="BI198" s="1" t="s">
        <v>238</v>
      </c>
      <c r="BJ198" s="106" t="s">
        <v>241</v>
      </c>
      <c r="BK198" s="1" t="s">
        <v>441</v>
      </c>
      <c r="BL198" s="102">
        <v>60</v>
      </c>
      <c r="BM198" s="1" t="s">
        <v>208</v>
      </c>
      <c r="BN198" s="1" t="s">
        <v>208</v>
      </c>
      <c r="BO198" s="1" t="s">
        <v>441</v>
      </c>
      <c r="BP198" s="102">
        <v>60</v>
      </c>
      <c r="BQ198" s="1" t="s">
        <v>208</v>
      </c>
      <c r="BR198" s="1" t="s">
        <v>227</v>
      </c>
      <c r="BS198" s="106" t="s">
        <v>37</v>
      </c>
    </row>
    <row x14ac:dyDescent="0.25" r="199" customHeight="1" ht="17.25">
      <c r="A199" s="102">
        <v>198</v>
      </c>
      <c r="B199" s="1" t="s">
        <v>1475</v>
      </c>
      <c r="C199" s="102">
        <v>1</v>
      </c>
      <c r="D199" s="61" t="s">
        <v>1476</v>
      </c>
      <c r="E199" s="1" t="s">
        <v>133</v>
      </c>
      <c r="F199" s="1" t="s">
        <v>170</v>
      </c>
      <c r="G199" s="1" t="s">
        <v>48</v>
      </c>
      <c r="H199" s="1" t="s">
        <v>1477</v>
      </c>
      <c r="I199" s="102">
        <v>1</v>
      </c>
      <c r="J199" s="1" t="s">
        <v>158</v>
      </c>
      <c r="K199" s="1" t="s">
        <v>22</v>
      </c>
      <c r="L199" s="103">
        <v>26584</v>
      </c>
      <c r="M199" s="104">
        <v>44</v>
      </c>
      <c r="N199" s="1" t="s">
        <v>177</v>
      </c>
      <c r="O199" s="1" t="s">
        <v>24</v>
      </c>
      <c r="P199" s="1" t="s">
        <v>354</v>
      </c>
      <c r="Q199" s="1" t="s">
        <v>1478</v>
      </c>
      <c r="R199" s="62">
        <v>0</v>
      </c>
      <c r="S199" s="102">
        <v>0</v>
      </c>
      <c r="T199" s="54" t="s">
        <v>1479</v>
      </c>
      <c r="U199" s="105">
        <v>39.6</v>
      </c>
      <c r="V199" s="62">
        <v>0</v>
      </c>
      <c r="W199" s="102">
        <v>0</v>
      </c>
      <c r="X199" s="62">
        <v>0</v>
      </c>
      <c r="Y199" s="102">
        <v>0</v>
      </c>
      <c r="Z199" s="62">
        <v>0</v>
      </c>
      <c r="AA199" s="102">
        <v>0</v>
      </c>
      <c r="AB199" s="62">
        <v>0</v>
      </c>
      <c r="AC199" s="106" t="s">
        <v>206</v>
      </c>
      <c r="AD199" s="106" t="s">
        <v>206</v>
      </c>
      <c r="AE199" s="106" t="s">
        <v>206</v>
      </c>
      <c r="AF199" s="106" t="s">
        <v>206</v>
      </c>
      <c r="AG199" s="106" t="s">
        <v>206</v>
      </c>
      <c r="AH199" s="106" t="s">
        <v>206</v>
      </c>
      <c r="AI199" s="1" t="s">
        <v>357</v>
      </c>
      <c r="AJ199" s="1" t="s">
        <v>206</v>
      </c>
      <c r="AK199" s="1" t="s">
        <v>1480</v>
      </c>
      <c r="AL199" s="1" t="s">
        <v>197</v>
      </c>
      <c r="AM199" s="106" t="s">
        <v>27</v>
      </c>
      <c r="AN199" s="1" t="s">
        <v>357</v>
      </c>
      <c r="AO199" s="1" t="s">
        <v>208</v>
      </c>
      <c r="AP199" s="1" t="s">
        <v>206</v>
      </c>
      <c r="AQ199" s="1" t="s">
        <v>441</v>
      </c>
      <c r="AR199" s="1" t="s">
        <v>206</v>
      </c>
      <c r="AS199" s="106" t="s">
        <v>206</v>
      </c>
      <c r="AT199" s="1" t="s">
        <v>206</v>
      </c>
      <c r="AU199" s="106" t="s">
        <v>206</v>
      </c>
      <c r="AV199" s="106" t="s">
        <v>206</v>
      </c>
      <c r="AW199" s="106" t="s">
        <v>35</v>
      </c>
      <c r="AX199" s="106" t="s">
        <v>206</v>
      </c>
      <c r="AY199" s="106" t="s">
        <v>206</v>
      </c>
      <c r="AZ199" s="1" t="s">
        <v>206</v>
      </c>
      <c r="BA199" s="106" t="s">
        <v>206</v>
      </c>
      <c r="BB199" s="106" t="s">
        <v>206</v>
      </c>
      <c r="BC199" s="106" t="s">
        <v>206</v>
      </c>
      <c r="BD199" s="106" t="s">
        <v>206</v>
      </c>
      <c r="BE199" s="106" t="s">
        <v>206</v>
      </c>
      <c r="BF199" s="107">
        <f>IF(AZ199="Não","Sim","Não")</f>
      </c>
      <c r="BG199" s="107">
        <f>IF(AZ199="NA","Sim","Não")</f>
      </c>
      <c r="BH199" s="106" t="s">
        <v>206</v>
      </c>
      <c r="BI199" s="1" t="s">
        <v>238</v>
      </c>
      <c r="BJ199" s="106" t="s">
        <v>241</v>
      </c>
      <c r="BK199" s="1" t="s">
        <v>441</v>
      </c>
      <c r="BL199" s="102">
        <v>60</v>
      </c>
      <c r="BM199" s="1" t="s">
        <v>208</v>
      </c>
      <c r="BN199" s="1" t="s">
        <v>208</v>
      </c>
      <c r="BO199" s="1" t="s">
        <v>441</v>
      </c>
      <c r="BP199" s="102">
        <v>60</v>
      </c>
      <c r="BQ199" s="1" t="s">
        <v>208</v>
      </c>
      <c r="BR199" s="1" t="s">
        <v>227</v>
      </c>
      <c r="BS199" s="106" t="s">
        <v>37</v>
      </c>
    </row>
    <row x14ac:dyDescent="0.25" r="200" customHeight="1" ht="17.25">
      <c r="A200" s="102">
        <v>199</v>
      </c>
      <c r="B200" s="1" t="s">
        <v>1481</v>
      </c>
      <c r="C200" s="102">
        <v>1</v>
      </c>
      <c r="D200" s="61">
        <v>43069</v>
      </c>
      <c r="E200" s="1" t="s">
        <v>89</v>
      </c>
      <c r="F200" s="1" t="s">
        <v>22</v>
      </c>
      <c r="G200" s="1" t="s">
        <v>38</v>
      </c>
      <c r="H200" s="1" t="s">
        <v>1482</v>
      </c>
      <c r="I200" s="102">
        <v>1</v>
      </c>
      <c r="J200" s="1" t="s">
        <v>158</v>
      </c>
      <c r="K200" s="1" t="s">
        <v>22</v>
      </c>
      <c r="L200" s="103">
        <v>35694</v>
      </c>
      <c r="M200" s="104">
        <v>20</v>
      </c>
      <c r="N200" s="1" t="s">
        <v>176</v>
      </c>
      <c r="O200" s="1" t="s">
        <v>182</v>
      </c>
      <c r="P200" s="1" t="s">
        <v>365</v>
      </c>
      <c r="Q200" s="1" t="s">
        <v>1483</v>
      </c>
      <c r="R200" s="54" t="s">
        <v>1484</v>
      </c>
      <c r="S200" s="105">
        <v>2072.3</v>
      </c>
      <c r="T200" s="54" t="s">
        <v>1485</v>
      </c>
      <c r="U200" s="105">
        <v>59.8</v>
      </c>
      <c r="V200" s="62">
        <v>0</v>
      </c>
      <c r="W200" s="102">
        <v>0</v>
      </c>
      <c r="X200" s="62">
        <v>0</v>
      </c>
      <c r="Y200" s="102">
        <v>0</v>
      </c>
      <c r="Z200" s="62">
        <v>0</v>
      </c>
      <c r="AA200" s="102">
        <v>0</v>
      </c>
      <c r="AB200" s="62">
        <v>0</v>
      </c>
      <c r="AC200" s="106" t="s">
        <v>206</v>
      </c>
      <c r="AD200" s="106" t="s">
        <v>206</v>
      </c>
      <c r="AE200" s="106" t="s">
        <v>206</v>
      </c>
      <c r="AF200" s="106" t="s">
        <v>206</v>
      </c>
      <c r="AG200" s="106" t="s">
        <v>206</v>
      </c>
      <c r="AH200" s="106" t="s">
        <v>206</v>
      </c>
      <c r="AI200" s="1" t="s">
        <v>357</v>
      </c>
      <c r="AJ200" s="1" t="s">
        <v>206</v>
      </c>
      <c r="AK200" s="1" t="s">
        <v>476</v>
      </c>
      <c r="AL200" s="1" t="s">
        <v>197</v>
      </c>
      <c r="AM200" s="106" t="s">
        <v>27</v>
      </c>
      <c r="AN200" s="1" t="s">
        <v>357</v>
      </c>
      <c r="AO200" s="1" t="s">
        <v>208</v>
      </c>
      <c r="AP200" s="1" t="s">
        <v>206</v>
      </c>
      <c r="AQ200" s="1" t="s">
        <v>441</v>
      </c>
      <c r="AR200" s="1" t="s">
        <v>206</v>
      </c>
      <c r="AS200" s="106" t="s">
        <v>206</v>
      </c>
      <c r="AT200" s="1" t="s">
        <v>206</v>
      </c>
      <c r="AU200" s="106" t="s">
        <v>206</v>
      </c>
      <c r="AV200" s="106" t="s">
        <v>206</v>
      </c>
      <c r="AW200" s="106" t="s">
        <v>35</v>
      </c>
      <c r="AX200" s="106" t="s">
        <v>206</v>
      </c>
      <c r="AY200" s="106" t="s">
        <v>206</v>
      </c>
      <c r="AZ200" s="1" t="s">
        <v>206</v>
      </c>
      <c r="BA200" s="106" t="s">
        <v>206</v>
      </c>
      <c r="BB200" s="106" t="s">
        <v>206</v>
      </c>
      <c r="BC200" s="106" t="s">
        <v>206</v>
      </c>
      <c r="BD200" s="106" t="s">
        <v>206</v>
      </c>
      <c r="BE200" s="106" t="s">
        <v>206</v>
      </c>
      <c r="BF200" s="107">
        <f>IF(AZ200="Não","Sim","Não")</f>
      </c>
      <c r="BG200" s="107">
        <f>IF(AZ200="NA","Sim","Não")</f>
      </c>
      <c r="BH200" s="106" t="s">
        <v>206</v>
      </c>
      <c r="BI200" s="1" t="s">
        <v>206</v>
      </c>
      <c r="BJ200" s="106" t="s">
        <v>206</v>
      </c>
      <c r="BK200" s="1" t="s">
        <v>441</v>
      </c>
      <c r="BL200" s="102">
        <v>60</v>
      </c>
      <c r="BM200" s="1" t="s">
        <v>208</v>
      </c>
      <c r="BN200" s="1" t="s">
        <v>208</v>
      </c>
      <c r="BO200" s="1" t="s">
        <v>441</v>
      </c>
      <c r="BP200" s="102">
        <v>60</v>
      </c>
      <c r="BQ200" s="1" t="s">
        <v>208</v>
      </c>
      <c r="BR200" s="1" t="s">
        <v>227</v>
      </c>
      <c r="BS200" s="106" t="s">
        <v>37</v>
      </c>
    </row>
    <row x14ac:dyDescent="0.25" r="201" customHeight="1" ht="17.25">
      <c r="A201" s="102">
        <v>200</v>
      </c>
      <c r="B201" s="1" t="s">
        <v>1010</v>
      </c>
      <c r="C201" s="102">
        <v>1</v>
      </c>
      <c r="D201" s="61" t="s">
        <v>1011</v>
      </c>
      <c r="E201" s="1" t="s">
        <v>106</v>
      </c>
      <c r="F201" s="1" t="s">
        <v>22</v>
      </c>
      <c r="G201" s="1" t="s">
        <v>55</v>
      </c>
      <c r="H201" s="1" t="s">
        <v>1486</v>
      </c>
      <c r="I201" s="102">
        <v>1</v>
      </c>
      <c r="J201" s="1" t="s">
        <v>160</v>
      </c>
      <c r="K201" s="1" t="s">
        <v>22</v>
      </c>
      <c r="L201" s="103">
        <v>31363</v>
      </c>
      <c r="M201" s="104">
        <v>31</v>
      </c>
      <c r="N201" s="1" t="s">
        <v>175</v>
      </c>
      <c r="O201" s="1" t="s">
        <v>24</v>
      </c>
      <c r="P201" s="1" t="s">
        <v>178</v>
      </c>
      <c r="Q201" s="1" t="s">
        <v>1013</v>
      </c>
      <c r="R201" s="62">
        <v>0</v>
      </c>
      <c r="S201" s="102">
        <v>0</v>
      </c>
      <c r="T201" s="54" t="s">
        <v>1014</v>
      </c>
      <c r="U201" s="105">
        <v>142.4</v>
      </c>
      <c r="V201" s="62">
        <v>0</v>
      </c>
      <c r="W201" s="102">
        <v>0</v>
      </c>
      <c r="X201" s="62">
        <v>0</v>
      </c>
      <c r="Y201" s="102">
        <v>0</v>
      </c>
      <c r="Z201" s="62">
        <v>0</v>
      </c>
      <c r="AA201" s="102">
        <v>0</v>
      </c>
      <c r="AB201" s="62">
        <v>0</v>
      </c>
      <c r="AC201" s="106" t="s">
        <v>206</v>
      </c>
      <c r="AD201" s="106" t="s">
        <v>206</v>
      </c>
      <c r="AE201" s="106" t="s">
        <v>206</v>
      </c>
      <c r="AF201" s="106" t="s">
        <v>206</v>
      </c>
      <c r="AG201" s="106" t="s">
        <v>206</v>
      </c>
      <c r="AH201" s="106" t="s">
        <v>206</v>
      </c>
      <c r="AI201" s="1" t="s">
        <v>371</v>
      </c>
      <c r="AJ201" s="1" t="s">
        <v>206</v>
      </c>
      <c r="AK201" s="1" t="s">
        <v>520</v>
      </c>
      <c r="AL201" s="1" t="s">
        <v>198</v>
      </c>
      <c r="AM201" s="106" t="s">
        <v>27</v>
      </c>
      <c r="AN201" s="1" t="s">
        <v>357</v>
      </c>
      <c r="AO201" s="1" t="s">
        <v>208</v>
      </c>
      <c r="AP201" s="1" t="s">
        <v>206</v>
      </c>
      <c r="AQ201" s="1" t="s">
        <v>441</v>
      </c>
      <c r="AR201" s="1" t="s">
        <v>206</v>
      </c>
      <c r="AS201" s="106" t="s">
        <v>206</v>
      </c>
      <c r="AT201" s="1" t="s">
        <v>206</v>
      </c>
      <c r="AU201" s="106" t="s">
        <v>206</v>
      </c>
      <c r="AV201" s="106" t="s">
        <v>206</v>
      </c>
      <c r="AW201" s="106" t="s">
        <v>35</v>
      </c>
      <c r="AX201" s="106" t="s">
        <v>206</v>
      </c>
      <c r="AY201" s="106" t="s">
        <v>206</v>
      </c>
      <c r="AZ201" s="1" t="s">
        <v>206</v>
      </c>
      <c r="BA201" s="106" t="s">
        <v>206</v>
      </c>
      <c r="BB201" s="106" t="s">
        <v>206</v>
      </c>
      <c r="BC201" s="106" t="s">
        <v>206</v>
      </c>
      <c r="BD201" s="106" t="s">
        <v>206</v>
      </c>
      <c r="BE201" s="106" t="s">
        <v>206</v>
      </c>
      <c r="BF201" s="107">
        <f>IF(AZ201="Não","Sim","Não")</f>
      </c>
      <c r="BG201" s="107">
        <f>IF(AZ201="NA","Sim","Não")</f>
      </c>
      <c r="BH201" s="106" t="s">
        <v>206</v>
      </c>
      <c r="BI201" s="1" t="s">
        <v>238</v>
      </c>
      <c r="BJ201" s="106" t="s">
        <v>241</v>
      </c>
      <c r="BK201" s="1" t="s">
        <v>441</v>
      </c>
      <c r="BL201" s="102">
        <v>60</v>
      </c>
      <c r="BM201" s="1" t="s">
        <v>208</v>
      </c>
      <c r="BN201" s="1" t="s">
        <v>208</v>
      </c>
      <c r="BO201" s="1" t="s">
        <v>441</v>
      </c>
      <c r="BP201" s="102">
        <v>60</v>
      </c>
      <c r="BQ201" s="1" t="s">
        <v>208</v>
      </c>
      <c r="BR201" s="1" t="s">
        <v>227</v>
      </c>
      <c r="BS201" s="106" t="s">
        <v>37</v>
      </c>
    </row>
    <row x14ac:dyDescent="0.25" r="202" customHeight="1" ht="17.25">
      <c r="A202" s="102">
        <v>201</v>
      </c>
      <c r="B202" s="1" t="s">
        <v>1487</v>
      </c>
      <c r="C202" s="102">
        <v>1</v>
      </c>
      <c r="D202" s="61" t="s">
        <v>948</v>
      </c>
      <c r="E202" s="1" t="s">
        <v>116</v>
      </c>
      <c r="F202" s="1" t="s">
        <v>170</v>
      </c>
      <c r="G202" s="1" t="s">
        <v>46</v>
      </c>
      <c r="H202" s="1" t="s">
        <v>1488</v>
      </c>
      <c r="I202" s="102">
        <v>1</v>
      </c>
      <c r="J202" s="1" t="s">
        <v>158</v>
      </c>
      <c r="K202" s="1" t="s">
        <v>22</v>
      </c>
      <c r="L202" s="103">
        <v>35923</v>
      </c>
      <c r="M202" s="104">
        <v>19</v>
      </c>
      <c r="N202" s="1" t="s">
        <v>175</v>
      </c>
      <c r="O202" s="1" t="s">
        <v>24</v>
      </c>
      <c r="P202" s="1" t="s">
        <v>365</v>
      </c>
      <c r="Q202" s="1" t="s">
        <v>1161</v>
      </c>
      <c r="R202" s="54" t="s">
        <v>1489</v>
      </c>
      <c r="S202" s="105">
        <v>66.1</v>
      </c>
      <c r="T202" s="54" t="s">
        <v>1490</v>
      </c>
      <c r="U202" s="105">
        <v>3.2</v>
      </c>
      <c r="V202" s="62">
        <v>0</v>
      </c>
      <c r="W202" s="102">
        <v>0</v>
      </c>
      <c r="X202" s="62">
        <v>0</v>
      </c>
      <c r="Y202" s="102">
        <v>0</v>
      </c>
      <c r="Z202" s="62">
        <v>0</v>
      </c>
      <c r="AA202" s="102">
        <v>0</v>
      </c>
      <c r="AB202" s="62">
        <v>0</v>
      </c>
      <c r="AC202" s="106" t="s">
        <v>206</v>
      </c>
      <c r="AD202" s="106" t="s">
        <v>206</v>
      </c>
      <c r="AE202" s="106" t="s">
        <v>206</v>
      </c>
      <c r="AF202" s="106" t="s">
        <v>206</v>
      </c>
      <c r="AG202" s="106" t="s">
        <v>206</v>
      </c>
      <c r="AH202" s="106" t="s">
        <v>206</v>
      </c>
      <c r="AI202" s="1" t="s">
        <v>357</v>
      </c>
      <c r="AJ202" s="1" t="s">
        <v>206</v>
      </c>
      <c r="AK202" s="1" t="s">
        <v>373</v>
      </c>
      <c r="AL202" s="1" t="s">
        <v>197</v>
      </c>
      <c r="AM202" s="106" t="s">
        <v>27</v>
      </c>
      <c r="AN202" s="1" t="s">
        <v>357</v>
      </c>
      <c r="AO202" s="1" t="s">
        <v>208</v>
      </c>
      <c r="AP202" s="1" t="s">
        <v>206</v>
      </c>
      <c r="AQ202" s="1" t="s">
        <v>441</v>
      </c>
      <c r="AR202" s="1" t="s">
        <v>206</v>
      </c>
      <c r="AS202" s="106" t="s">
        <v>206</v>
      </c>
      <c r="AT202" s="1" t="s">
        <v>206</v>
      </c>
      <c r="AU202" s="106" t="s">
        <v>206</v>
      </c>
      <c r="AV202" s="106" t="s">
        <v>206</v>
      </c>
      <c r="AW202" s="106" t="s">
        <v>35</v>
      </c>
      <c r="AX202" s="106" t="s">
        <v>206</v>
      </c>
      <c r="AY202" s="106" t="s">
        <v>206</v>
      </c>
      <c r="AZ202" s="1" t="s">
        <v>206</v>
      </c>
      <c r="BA202" s="106" t="s">
        <v>206</v>
      </c>
      <c r="BB202" s="106" t="s">
        <v>206</v>
      </c>
      <c r="BC202" s="106" t="s">
        <v>206</v>
      </c>
      <c r="BD202" s="106" t="s">
        <v>206</v>
      </c>
      <c r="BE202" s="106" t="s">
        <v>206</v>
      </c>
      <c r="BF202" s="107">
        <f>IF(AZ202="Não","Sim","Não")</f>
      </c>
      <c r="BG202" s="107">
        <f>IF(AZ202="NA","Sim","Não")</f>
      </c>
      <c r="BH202" s="106" t="s">
        <v>206</v>
      </c>
      <c r="BI202" s="1" t="s">
        <v>206</v>
      </c>
      <c r="BJ202" s="106" t="s">
        <v>206</v>
      </c>
      <c r="BK202" s="1" t="s">
        <v>441</v>
      </c>
      <c r="BL202" s="102">
        <v>60</v>
      </c>
      <c r="BM202" s="1" t="s">
        <v>208</v>
      </c>
      <c r="BN202" s="1" t="s">
        <v>208</v>
      </c>
      <c r="BO202" s="1" t="s">
        <v>441</v>
      </c>
      <c r="BP202" s="102">
        <v>60</v>
      </c>
      <c r="BQ202" s="1" t="s">
        <v>208</v>
      </c>
      <c r="BR202" s="1" t="s">
        <v>227</v>
      </c>
      <c r="BS202" s="106" t="s">
        <v>37</v>
      </c>
    </row>
    <row x14ac:dyDescent="0.25" r="203" customHeight="1" ht="17.25">
      <c r="A203" s="102">
        <v>202</v>
      </c>
      <c r="B203" s="1" t="s">
        <v>1491</v>
      </c>
      <c r="C203" s="102">
        <v>1</v>
      </c>
      <c r="D203" s="61" t="s">
        <v>1492</v>
      </c>
      <c r="E203" s="1" t="s">
        <v>109</v>
      </c>
      <c r="F203" s="1" t="s">
        <v>22</v>
      </c>
      <c r="G203" s="1" t="s">
        <v>69</v>
      </c>
      <c r="H203" s="1" t="s">
        <v>1493</v>
      </c>
      <c r="I203" s="102">
        <v>1</v>
      </c>
      <c r="J203" s="1" t="s">
        <v>158</v>
      </c>
      <c r="K203" s="1" t="s">
        <v>22</v>
      </c>
      <c r="L203" s="103">
        <v>34734</v>
      </c>
      <c r="M203" s="104">
        <v>22</v>
      </c>
      <c r="N203" s="1" t="s">
        <v>176</v>
      </c>
      <c r="O203" s="1" t="s">
        <v>182</v>
      </c>
      <c r="P203" s="1" t="s">
        <v>464</v>
      </c>
      <c r="Q203" s="1" t="s">
        <v>1494</v>
      </c>
      <c r="R203" s="62">
        <v>0</v>
      </c>
      <c r="S203" s="102">
        <v>0</v>
      </c>
      <c r="T203" s="54" t="s">
        <v>1495</v>
      </c>
      <c r="U203" s="105">
        <v>60.4</v>
      </c>
      <c r="V203" s="62">
        <v>0</v>
      </c>
      <c r="W203" s="102">
        <v>0</v>
      </c>
      <c r="X203" s="62">
        <v>0</v>
      </c>
      <c r="Y203" s="102">
        <v>0</v>
      </c>
      <c r="Z203" s="62">
        <v>0</v>
      </c>
      <c r="AA203" s="102">
        <v>0</v>
      </c>
      <c r="AB203" s="62">
        <v>0</v>
      </c>
      <c r="AC203" s="106" t="s">
        <v>206</v>
      </c>
      <c r="AD203" s="106" t="s">
        <v>206</v>
      </c>
      <c r="AE203" s="106" t="s">
        <v>206</v>
      </c>
      <c r="AF203" s="106" t="s">
        <v>206</v>
      </c>
      <c r="AG203" s="106" t="s">
        <v>206</v>
      </c>
      <c r="AH203" s="106" t="s">
        <v>206</v>
      </c>
      <c r="AI203" s="1" t="s">
        <v>357</v>
      </c>
      <c r="AJ203" s="1" t="s">
        <v>206</v>
      </c>
      <c r="AK203" s="1" t="s">
        <v>1275</v>
      </c>
      <c r="AL203" s="1" t="s">
        <v>197</v>
      </c>
      <c r="AM203" s="106" t="s">
        <v>27</v>
      </c>
      <c r="AN203" s="1" t="s">
        <v>357</v>
      </c>
      <c r="AO203" s="1" t="s">
        <v>208</v>
      </c>
      <c r="AP203" s="1" t="s">
        <v>206</v>
      </c>
      <c r="AQ203" s="1" t="s">
        <v>441</v>
      </c>
      <c r="AR203" s="1" t="s">
        <v>206</v>
      </c>
      <c r="AS203" s="106" t="s">
        <v>206</v>
      </c>
      <c r="AT203" s="1" t="s">
        <v>206</v>
      </c>
      <c r="AU203" s="106" t="s">
        <v>206</v>
      </c>
      <c r="AV203" s="106" t="s">
        <v>206</v>
      </c>
      <c r="AW203" s="106" t="s">
        <v>35</v>
      </c>
      <c r="AX203" s="106" t="s">
        <v>206</v>
      </c>
      <c r="AY203" s="106" t="s">
        <v>206</v>
      </c>
      <c r="AZ203" s="1" t="s">
        <v>206</v>
      </c>
      <c r="BA203" s="106" t="s">
        <v>206</v>
      </c>
      <c r="BB203" s="106" t="s">
        <v>206</v>
      </c>
      <c r="BC203" s="106" t="s">
        <v>206</v>
      </c>
      <c r="BD203" s="106" t="s">
        <v>206</v>
      </c>
      <c r="BE203" s="106" t="s">
        <v>206</v>
      </c>
      <c r="BF203" s="107">
        <f>IF(AZ203="Não","Sim","Não")</f>
      </c>
      <c r="BG203" s="107">
        <f>IF(AZ203="NA","Sim","Não")</f>
      </c>
      <c r="BH203" s="106" t="s">
        <v>206</v>
      </c>
      <c r="BI203" s="1" t="s">
        <v>238</v>
      </c>
      <c r="BJ203" s="106" t="s">
        <v>241</v>
      </c>
      <c r="BK203" s="1" t="s">
        <v>441</v>
      </c>
      <c r="BL203" s="102">
        <v>60</v>
      </c>
      <c r="BM203" s="1" t="s">
        <v>208</v>
      </c>
      <c r="BN203" s="1" t="s">
        <v>208</v>
      </c>
      <c r="BO203" s="1" t="s">
        <v>441</v>
      </c>
      <c r="BP203" s="102">
        <v>60</v>
      </c>
      <c r="BQ203" s="1" t="s">
        <v>208</v>
      </c>
      <c r="BR203" s="1" t="s">
        <v>227</v>
      </c>
      <c r="BS203" s="106" t="s">
        <v>37</v>
      </c>
    </row>
    <row x14ac:dyDescent="0.25" r="204" customHeight="1" ht="17.25">
      <c r="A204" s="102">
        <v>203</v>
      </c>
      <c r="B204" s="1" t="s">
        <v>1496</v>
      </c>
      <c r="C204" s="102">
        <v>1</v>
      </c>
      <c r="D204" s="61" t="s">
        <v>876</v>
      </c>
      <c r="E204" s="1" t="s">
        <v>114</v>
      </c>
      <c r="F204" s="1" t="s">
        <v>22</v>
      </c>
      <c r="G204" s="1" t="s">
        <v>51</v>
      </c>
      <c r="H204" s="1" t="s">
        <v>1497</v>
      </c>
      <c r="I204" s="102">
        <v>1</v>
      </c>
      <c r="J204" s="1" t="s">
        <v>158</v>
      </c>
      <c r="K204" s="1" t="s">
        <v>22</v>
      </c>
      <c r="L204" s="103">
        <v>35947</v>
      </c>
      <c r="M204" s="104">
        <v>19</v>
      </c>
      <c r="N204" s="1" t="s">
        <v>176</v>
      </c>
      <c r="O204" s="1" t="s">
        <v>182</v>
      </c>
      <c r="P204" s="1" t="s">
        <v>354</v>
      </c>
      <c r="Q204" s="1" t="s">
        <v>1498</v>
      </c>
      <c r="R204" s="54" t="s">
        <v>1499</v>
      </c>
      <c r="S204" s="105">
        <v>41.6</v>
      </c>
      <c r="T204" s="54" t="s">
        <v>1500</v>
      </c>
      <c r="U204" s="105">
        <v>99.6</v>
      </c>
      <c r="V204" s="62">
        <v>0</v>
      </c>
      <c r="W204" s="102">
        <v>0</v>
      </c>
      <c r="X204" s="62">
        <v>0</v>
      </c>
      <c r="Y204" s="102">
        <v>0</v>
      </c>
      <c r="Z204" s="62">
        <v>0</v>
      </c>
      <c r="AA204" s="102">
        <v>0</v>
      </c>
      <c r="AB204" s="62">
        <v>0</v>
      </c>
      <c r="AC204" s="106" t="s">
        <v>206</v>
      </c>
      <c r="AD204" s="106" t="s">
        <v>206</v>
      </c>
      <c r="AE204" s="106" t="s">
        <v>206</v>
      </c>
      <c r="AF204" s="106" t="s">
        <v>206</v>
      </c>
      <c r="AG204" s="106" t="s">
        <v>206</v>
      </c>
      <c r="AH204" s="106" t="s">
        <v>206</v>
      </c>
      <c r="AI204" s="1" t="s">
        <v>357</v>
      </c>
      <c r="AJ204" s="1" t="s">
        <v>206</v>
      </c>
      <c r="AK204" s="1" t="s">
        <v>520</v>
      </c>
      <c r="AL204" s="1" t="s">
        <v>197</v>
      </c>
      <c r="AM204" s="106" t="s">
        <v>27</v>
      </c>
      <c r="AN204" s="1" t="s">
        <v>357</v>
      </c>
      <c r="AO204" s="1" t="s">
        <v>208</v>
      </c>
      <c r="AP204" s="1" t="s">
        <v>374</v>
      </c>
      <c r="AQ204" s="1" t="s">
        <v>1501</v>
      </c>
      <c r="AR204" s="1" t="s">
        <v>206</v>
      </c>
      <c r="AS204" s="106" t="s">
        <v>206</v>
      </c>
      <c r="AT204" s="1" t="s">
        <v>212</v>
      </c>
      <c r="AU204" s="106" t="s">
        <v>35</v>
      </c>
      <c r="AV204" s="106" t="s">
        <v>35</v>
      </c>
      <c r="AW204" s="106" t="s">
        <v>206</v>
      </c>
      <c r="AX204" s="106" t="s">
        <v>206</v>
      </c>
      <c r="AY204" s="106" t="s">
        <v>35</v>
      </c>
      <c r="AZ204" s="1" t="s">
        <v>206</v>
      </c>
      <c r="BA204" s="106" t="s">
        <v>206</v>
      </c>
      <c r="BB204" s="106" t="s">
        <v>206</v>
      </c>
      <c r="BC204" s="106" t="s">
        <v>206</v>
      </c>
      <c r="BD204" s="106" t="s">
        <v>206</v>
      </c>
      <c r="BE204" s="106" t="s">
        <v>206</v>
      </c>
      <c r="BF204" s="107">
        <f>IF(AZ204="Não","Sim","Não")</f>
      </c>
      <c r="BG204" s="107">
        <f>IF(AZ204="NA","Sim","Não")</f>
      </c>
      <c r="BH204" s="106" t="s">
        <v>206</v>
      </c>
      <c r="BI204" s="1" t="s">
        <v>206</v>
      </c>
      <c r="BJ204" s="106" t="s">
        <v>206</v>
      </c>
      <c r="BK204" s="1" t="s">
        <v>441</v>
      </c>
      <c r="BL204" s="102">
        <v>60</v>
      </c>
      <c r="BM204" s="1" t="s">
        <v>208</v>
      </c>
      <c r="BN204" s="1" t="s">
        <v>208</v>
      </c>
      <c r="BO204" s="1" t="s">
        <v>441</v>
      </c>
      <c r="BP204" s="102">
        <v>60</v>
      </c>
      <c r="BQ204" s="1" t="s">
        <v>208</v>
      </c>
      <c r="BR204" s="1" t="s">
        <v>227</v>
      </c>
      <c r="BS204" s="106" t="s">
        <v>37</v>
      </c>
    </row>
    <row x14ac:dyDescent="0.25" r="205" customHeight="1" ht="17.25">
      <c r="A205" s="102">
        <v>204</v>
      </c>
      <c r="B205" s="1" t="s">
        <v>1502</v>
      </c>
      <c r="C205" s="102">
        <v>1</v>
      </c>
      <c r="D205" s="61" t="s">
        <v>1503</v>
      </c>
      <c r="E205" s="1" t="s">
        <v>84</v>
      </c>
      <c r="F205" s="1" t="s">
        <v>170</v>
      </c>
      <c r="G205" s="1" t="s">
        <v>55</v>
      </c>
      <c r="H205" s="1" t="s">
        <v>1504</v>
      </c>
      <c r="I205" s="102">
        <v>1</v>
      </c>
      <c r="J205" s="1" t="s">
        <v>158</v>
      </c>
      <c r="K205" s="1" t="s">
        <v>22</v>
      </c>
      <c r="L205" s="103">
        <v>34363</v>
      </c>
      <c r="M205" s="104">
        <v>23</v>
      </c>
      <c r="N205" s="1" t="s">
        <v>177</v>
      </c>
      <c r="O205" s="1" t="s">
        <v>24</v>
      </c>
      <c r="P205" s="1" t="s">
        <v>354</v>
      </c>
      <c r="Q205" s="1" t="s">
        <v>1419</v>
      </c>
      <c r="R205" s="54" t="s">
        <v>1505</v>
      </c>
      <c r="S205" s="105">
        <v>288.7</v>
      </c>
      <c r="T205" s="54" t="s">
        <v>1506</v>
      </c>
      <c r="U205" s="105">
        <v>46.5</v>
      </c>
      <c r="V205" s="54" t="s">
        <v>1507</v>
      </c>
      <c r="W205" s="105">
        <v>26.5</v>
      </c>
      <c r="X205" s="62">
        <v>0</v>
      </c>
      <c r="Y205" s="102">
        <v>0</v>
      </c>
      <c r="Z205" s="62">
        <v>0</v>
      </c>
      <c r="AA205" s="102">
        <v>0</v>
      </c>
      <c r="AB205" s="62">
        <v>0</v>
      </c>
      <c r="AC205" s="106" t="s">
        <v>206</v>
      </c>
      <c r="AD205" s="106" t="s">
        <v>206</v>
      </c>
      <c r="AE205" s="106" t="s">
        <v>206</v>
      </c>
      <c r="AF205" s="106" t="s">
        <v>206</v>
      </c>
      <c r="AG205" s="106" t="s">
        <v>206</v>
      </c>
      <c r="AH205" s="106" t="s">
        <v>206</v>
      </c>
      <c r="AI205" s="1" t="s">
        <v>357</v>
      </c>
      <c r="AJ205" s="1" t="s">
        <v>206</v>
      </c>
      <c r="AK205" s="1" t="s">
        <v>503</v>
      </c>
      <c r="AL205" s="1" t="s">
        <v>197</v>
      </c>
      <c r="AM205" s="106" t="s">
        <v>27</v>
      </c>
      <c r="AN205" s="1" t="s">
        <v>357</v>
      </c>
      <c r="AO205" s="1" t="s">
        <v>208</v>
      </c>
      <c r="AP205" s="1" t="s">
        <v>206</v>
      </c>
      <c r="AQ205" s="1" t="s">
        <v>441</v>
      </c>
      <c r="AR205" s="1" t="s">
        <v>206</v>
      </c>
      <c r="AS205" s="106" t="s">
        <v>206</v>
      </c>
      <c r="AT205" s="1" t="s">
        <v>206</v>
      </c>
      <c r="AU205" s="106" t="s">
        <v>206</v>
      </c>
      <c r="AV205" s="106" t="s">
        <v>206</v>
      </c>
      <c r="AW205" s="106" t="s">
        <v>35</v>
      </c>
      <c r="AX205" s="106" t="s">
        <v>206</v>
      </c>
      <c r="AY205" s="106" t="s">
        <v>206</v>
      </c>
      <c r="AZ205" s="1" t="s">
        <v>206</v>
      </c>
      <c r="BA205" s="106" t="s">
        <v>206</v>
      </c>
      <c r="BB205" s="106" t="s">
        <v>206</v>
      </c>
      <c r="BC205" s="106" t="s">
        <v>206</v>
      </c>
      <c r="BD205" s="106" t="s">
        <v>206</v>
      </c>
      <c r="BE205" s="106" t="s">
        <v>206</v>
      </c>
      <c r="BF205" s="107">
        <f>IF(AZ205="Não","Sim","Não")</f>
      </c>
      <c r="BG205" s="107">
        <f>IF(AZ205="NA","Sim","Não")</f>
      </c>
      <c r="BH205" s="106" t="s">
        <v>206</v>
      </c>
      <c r="BI205" s="1" t="s">
        <v>206</v>
      </c>
      <c r="BJ205" s="106" t="s">
        <v>206</v>
      </c>
      <c r="BK205" s="1" t="s">
        <v>441</v>
      </c>
      <c r="BL205" s="102">
        <v>60</v>
      </c>
      <c r="BM205" s="1" t="s">
        <v>208</v>
      </c>
      <c r="BN205" s="1" t="s">
        <v>208</v>
      </c>
      <c r="BO205" s="1" t="s">
        <v>441</v>
      </c>
      <c r="BP205" s="102">
        <v>60</v>
      </c>
      <c r="BQ205" s="1" t="s">
        <v>208</v>
      </c>
      <c r="BR205" s="1" t="s">
        <v>227</v>
      </c>
      <c r="BS205" s="106" t="s">
        <v>37</v>
      </c>
    </row>
    <row x14ac:dyDescent="0.25" r="206" customHeight="1" ht="17.25">
      <c r="A206" s="102">
        <v>205</v>
      </c>
      <c r="B206" s="1" t="s">
        <v>1508</v>
      </c>
      <c r="C206" s="102">
        <v>1</v>
      </c>
      <c r="D206" s="61" t="s">
        <v>1144</v>
      </c>
      <c r="E206" s="1" t="s">
        <v>99</v>
      </c>
      <c r="F206" s="1" t="s">
        <v>170</v>
      </c>
      <c r="G206" s="1" t="s">
        <v>54</v>
      </c>
      <c r="H206" s="1" t="s">
        <v>1509</v>
      </c>
      <c r="I206" s="102">
        <v>1</v>
      </c>
      <c r="J206" s="1" t="s">
        <v>158</v>
      </c>
      <c r="K206" s="1" t="s">
        <v>22</v>
      </c>
      <c r="L206" s="103">
        <v>35041</v>
      </c>
      <c r="M206" s="104">
        <v>21</v>
      </c>
      <c r="N206" s="1" t="s">
        <v>177</v>
      </c>
      <c r="O206" s="1" t="s">
        <v>24</v>
      </c>
      <c r="P206" s="1" t="s">
        <v>365</v>
      </c>
      <c r="Q206" s="1" t="s">
        <v>511</v>
      </c>
      <c r="R206" s="54" t="s">
        <v>1510</v>
      </c>
      <c r="S206" s="102">
        <v>17</v>
      </c>
      <c r="T206" s="54" t="s">
        <v>837</v>
      </c>
      <c r="U206" s="105">
        <v>3.7</v>
      </c>
      <c r="V206" s="54" t="s">
        <v>1511</v>
      </c>
      <c r="W206" s="105">
        <v>2.7</v>
      </c>
      <c r="X206" s="62">
        <v>0</v>
      </c>
      <c r="Y206" s="102">
        <v>0</v>
      </c>
      <c r="Z206" s="62">
        <v>0</v>
      </c>
      <c r="AA206" s="102">
        <v>0</v>
      </c>
      <c r="AB206" s="62">
        <v>0</v>
      </c>
      <c r="AC206" s="106" t="s">
        <v>206</v>
      </c>
      <c r="AD206" s="106" t="s">
        <v>206</v>
      </c>
      <c r="AE206" s="106" t="s">
        <v>206</v>
      </c>
      <c r="AF206" s="106" t="s">
        <v>206</v>
      </c>
      <c r="AG206" s="106" t="s">
        <v>206</v>
      </c>
      <c r="AH206" s="106" t="s">
        <v>206</v>
      </c>
      <c r="AI206" s="1" t="s">
        <v>357</v>
      </c>
      <c r="AJ206" s="1" t="s">
        <v>206</v>
      </c>
      <c r="AK206" s="1" t="s">
        <v>1512</v>
      </c>
      <c r="AL206" s="1" t="s">
        <v>197</v>
      </c>
      <c r="AM206" s="106" t="s">
        <v>27</v>
      </c>
      <c r="AN206" s="1" t="s">
        <v>357</v>
      </c>
      <c r="AO206" s="1" t="s">
        <v>208</v>
      </c>
      <c r="AP206" s="1" t="s">
        <v>206</v>
      </c>
      <c r="AQ206" s="1" t="s">
        <v>441</v>
      </c>
      <c r="AR206" s="1" t="s">
        <v>206</v>
      </c>
      <c r="AS206" s="106" t="s">
        <v>206</v>
      </c>
      <c r="AT206" s="1" t="s">
        <v>206</v>
      </c>
      <c r="AU206" s="106" t="s">
        <v>206</v>
      </c>
      <c r="AV206" s="106" t="s">
        <v>206</v>
      </c>
      <c r="AW206" s="106" t="s">
        <v>35</v>
      </c>
      <c r="AX206" s="106" t="s">
        <v>206</v>
      </c>
      <c r="AY206" s="106" t="s">
        <v>206</v>
      </c>
      <c r="AZ206" s="1" t="s">
        <v>206</v>
      </c>
      <c r="BA206" s="106" t="s">
        <v>206</v>
      </c>
      <c r="BB206" s="106" t="s">
        <v>206</v>
      </c>
      <c r="BC206" s="106" t="s">
        <v>206</v>
      </c>
      <c r="BD206" s="106" t="s">
        <v>206</v>
      </c>
      <c r="BE206" s="106" t="s">
        <v>206</v>
      </c>
      <c r="BF206" s="107">
        <f>IF(AZ206="Não","Sim","Não")</f>
      </c>
      <c r="BG206" s="107">
        <f>IF(AZ206="NA","Sim","Não")</f>
      </c>
      <c r="BH206" s="106" t="s">
        <v>206</v>
      </c>
      <c r="BI206" s="1" t="s">
        <v>206</v>
      </c>
      <c r="BJ206" s="106" t="s">
        <v>206</v>
      </c>
      <c r="BK206" s="1" t="s">
        <v>441</v>
      </c>
      <c r="BL206" s="102">
        <v>60</v>
      </c>
      <c r="BM206" s="1" t="s">
        <v>208</v>
      </c>
      <c r="BN206" s="1" t="s">
        <v>208</v>
      </c>
      <c r="BO206" s="1" t="s">
        <v>441</v>
      </c>
      <c r="BP206" s="102">
        <v>60</v>
      </c>
      <c r="BQ206" s="1" t="s">
        <v>208</v>
      </c>
      <c r="BR206" s="1" t="s">
        <v>227</v>
      </c>
      <c r="BS206" s="106" t="s">
        <v>37</v>
      </c>
    </row>
    <row x14ac:dyDescent="0.25" r="207" customHeight="1" ht="17.25">
      <c r="A207" s="102">
        <v>206</v>
      </c>
      <c r="B207" s="1" t="s">
        <v>1513</v>
      </c>
      <c r="C207" s="102">
        <v>1</v>
      </c>
      <c r="D207" s="61" t="s">
        <v>1422</v>
      </c>
      <c r="E207" s="1" t="s">
        <v>84</v>
      </c>
      <c r="F207" s="1" t="s">
        <v>170</v>
      </c>
      <c r="G207" s="1" t="s">
        <v>55</v>
      </c>
      <c r="H207" s="1" t="s">
        <v>1514</v>
      </c>
      <c r="I207" s="102">
        <v>1</v>
      </c>
      <c r="J207" s="1" t="s">
        <v>158</v>
      </c>
      <c r="K207" s="1" t="s">
        <v>22</v>
      </c>
      <c r="L207" s="103">
        <v>29509</v>
      </c>
      <c r="M207" s="104">
        <v>37</v>
      </c>
      <c r="N207" s="1" t="s">
        <v>175</v>
      </c>
      <c r="O207" s="1" t="s">
        <v>24</v>
      </c>
      <c r="P207" s="1" t="s">
        <v>354</v>
      </c>
      <c r="Q207" s="1" t="s">
        <v>1515</v>
      </c>
      <c r="R207" s="54" t="s">
        <v>1516</v>
      </c>
      <c r="S207" s="102">
        <v>16</v>
      </c>
      <c r="T207" s="54" t="s">
        <v>1517</v>
      </c>
      <c r="U207" s="105">
        <v>2.4</v>
      </c>
      <c r="V207" s="54" t="s">
        <v>1518</v>
      </c>
      <c r="W207" s="102">
        <v>3</v>
      </c>
      <c r="X207" s="62">
        <v>0</v>
      </c>
      <c r="Y207" s="102">
        <v>0</v>
      </c>
      <c r="Z207" s="62">
        <v>0</v>
      </c>
      <c r="AA207" s="102">
        <v>0</v>
      </c>
      <c r="AB207" s="62">
        <v>0</v>
      </c>
      <c r="AC207" s="106" t="s">
        <v>206</v>
      </c>
      <c r="AD207" s="106" t="s">
        <v>206</v>
      </c>
      <c r="AE207" s="106" t="s">
        <v>206</v>
      </c>
      <c r="AF207" s="106" t="s">
        <v>206</v>
      </c>
      <c r="AG207" s="106" t="s">
        <v>206</v>
      </c>
      <c r="AH207" s="106" t="s">
        <v>206</v>
      </c>
      <c r="AI207" s="1" t="s">
        <v>357</v>
      </c>
      <c r="AJ207" s="1" t="s">
        <v>206</v>
      </c>
      <c r="AK207" s="1" t="s">
        <v>1519</v>
      </c>
      <c r="AL207" s="1" t="s">
        <v>197</v>
      </c>
      <c r="AM207" s="106" t="s">
        <v>27</v>
      </c>
      <c r="AN207" s="1" t="s">
        <v>357</v>
      </c>
      <c r="AO207" s="1" t="s">
        <v>208</v>
      </c>
      <c r="AP207" s="1" t="s">
        <v>206</v>
      </c>
      <c r="AQ207" s="1" t="s">
        <v>441</v>
      </c>
      <c r="AR207" s="1" t="s">
        <v>207</v>
      </c>
      <c r="AS207" s="106" t="s">
        <v>35</v>
      </c>
      <c r="AT207" s="1" t="s">
        <v>28</v>
      </c>
      <c r="AU207" s="106" t="s">
        <v>35</v>
      </c>
      <c r="AV207" s="106" t="s">
        <v>206</v>
      </c>
      <c r="AW207" s="106" t="s">
        <v>206</v>
      </c>
      <c r="AX207" s="106" t="s">
        <v>206</v>
      </c>
      <c r="AY207" s="106" t="s">
        <v>35</v>
      </c>
      <c r="AZ207" s="1" t="s">
        <v>206</v>
      </c>
      <c r="BA207" s="106" t="s">
        <v>206</v>
      </c>
      <c r="BB207" s="106" t="s">
        <v>206</v>
      </c>
      <c r="BC207" s="106" t="s">
        <v>206</v>
      </c>
      <c r="BD207" s="106" t="s">
        <v>206</v>
      </c>
      <c r="BE207" s="106" t="s">
        <v>206</v>
      </c>
      <c r="BF207" s="107">
        <f>IF(AZ207="Não","Sim","Não")</f>
      </c>
      <c r="BG207" s="107">
        <f>IF(AZ207="NA","Sim","Não")</f>
      </c>
      <c r="BH207" s="106" t="s">
        <v>206</v>
      </c>
      <c r="BI207" s="1" t="s">
        <v>238</v>
      </c>
      <c r="BJ207" s="106" t="s">
        <v>241</v>
      </c>
      <c r="BK207" s="1" t="s">
        <v>441</v>
      </c>
      <c r="BL207" s="102">
        <v>60</v>
      </c>
      <c r="BM207" s="1" t="s">
        <v>208</v>
      </c>
      <c r="BN207" s="1" t="s">
        <v>208</v>
      </c>
      <c r="BO207" s="1" t="s">
        <v>441</v>
      </c>
      <c r="BP207" s="102">
        <v>60</v>
      </c>
      <c r="BQ207" s="1" t="s">
        <v>208</v>
      </c>
      <c r="BR207" s="1" t="s">
        <v>227</v>
      </c>
      <c r="BS207" s="106" t="s">
        <v>37</v>
      </c>
    </row>
    <row x14ac:dyDescent="0.25" r="208" customHeight="1" ht="17.25">
      <c r="A208" s="102">
        <v>207</v>
      </c>
      <c r="B208" s="1" t="s">
        <v>1520</v>
      </c>
      <c r="C208" s="102">
        <v>1</v>
      </c>
      <c r="D208" s="61" t="s">
        <v>721</v>
      </c>
      <c r="E208" s="1" t="s">
        <v>94</v>
      </c>
      <c r="F208" s="1" t="s">
        <v>170</v>
      </c>
      <c r="G208" s="1" t="s">
        <v>69</v>
      </c>
      <c r="H208" s="1" t="s">
        <v>1521</v>
      </c>
      <c r="I208" s="102">
        <v>1</v>
      </c>
      <c r="J208" s="1" t="s">
        <v>158</v>
      </c>
      <c r="K208" s="1" t="s">
        <v>22</v>
      </c>
      <c r="L208" s="103">
        <v>35681</v>
      </c>
      <c r="M208" s="104">
        <v>20</v>
      </c>
      <c r="N208" s="1" t="s">
        <v>175</v>
      </c>
      <c r="O208" s="1" t="s">
        <v>24</v>
      </c>
      <c r="P208" s="1" t="s">
        <v>365</v>
      </c>
      <c r="Q208" s="1" t="s">
        <v>1522</v>
      </c>
      <c r="R208" s="54" t="s">
        <v>1523</v>
      </c>
      <c r="S208" s="105">
        <v>24.3</v>
      </c>
      <c r="T208" s="54" t="s">
        <v>1524</v>
      </c>
      <c r="U208" s="105">
        <v>67.8</v>
      </c>
      <c r="V208" s="54" t="s">
        <v>813</v>
      </c>
      <c r="W208" s="105">
        <v>2.5</v>
      </c>
      <c r="X208" s="62">
        <v>0</v>
      </c>
      <c r="Y208" s="102">
        <v>0</v>
      </c>
      <c r="Z208" s="62">
        <v>0</v>
      </c>
      <c r="AA208" s="102">
        <v>0</v>
      </c>
      <c r="AB208" s="62">
        <v>0</v>
      </c>
      <c r="AC208" s="106" t="s">
        <v>206</v>
      </c>
      <c r="AD208" s="106" t="s">
        <v>206</v>
      </c>
      <c r="AE208" s="106" t="s">
        <v>206</v>
      </c>
      <c r="AF208" s="106" t="s">
        <v>206</v>
      </c>
      <c r="AG208" s="106" t="s">
        <v>206</v>
      </c>
      <c r="AH208" s="106" t="s">
        <v>206</v>
      </c>
      <c r="AI208" s="1" t="s">
        <v>357</v>
      </c>
      <c r="AJ208" s="1" t="s">
        <v>206</v>
      </c>
      <c r="AK208" s="1" t="s">
        <v>520</v>
      </c>
      <c r="AL208" s="1" t="s">
        <v>197</v>
      </c>
      <c r="AM208" s="106" t="s">
        <v>27</v>
      </c>
      <c r="AN208" s="1" t="s">
        <v>357</v>
      </c>
      <c r="AO208" s="1" t="s">
        <v>208</v>
      </c>
      <c r="AP208" s="1" t="s">
        <v>206</v>
      </c>
      <c r="AQ208" s="1" t="s">
        <v>441</v>
      </c>
      <c r="AR208" s="1" t="s">
        <v>206</v>
      </c>
      <c r="AS208" s="106" t="s">
        <v>206</v>
      </c>
      <c r="AT208" s="1" t="s">
        <v>206</v>
      </c>
      <c r="AU208" s="106" t="s">
        <v>206</v>
      </c>
      <c r="AV208" s="106" t="s">
        <v>206</v>
      </c>
      <c r="AW208" s="106" t="s">
        <v>35</v>
      </c>
      <c r="AX208" s="106" t="s">
        <v>206</v>
      </c>
      <c r="AY208" s="106" t="s">
        <v>206</v>
      </c>
      <c r="AZ208" s="1" t="s">
        <v>206</v>
      </c>
      <c r="BA208" s="106" t="s">
        <v>206</v>
      </c>
      <c r="BB208" s="106" t="s">
        <v>206</v>
      </c>
      <c r="BC208" s="106" t="s">
        <v>206</v>
      </c>
      <c r="BD208" s="106" t="s">
        <v>206</v>
      </c>
      <c r="BE208" s="106" t="s">
        <v>206</v>
      </c>
      <c r="BF208" s="107">
        <f>IF(AZ208="Não","Sim","Não")</f>
      </c>
      <c r="BG208" s="107">
        <f>IF(AZ208="NA","Sim","Não")</f>
      </c>
      <c r="BH208" s="106" t="s">
        <v>206</v>
      </c>
      <c r="BI208" s="1" t="s">
        <v>206</v>
      </c>
      <c r="BJ208" s="106" t="s">
        <v>206</v>
      </c>
      <c r="BK208" s="1" t="s">
        <v>441</v>
      </c>
      <c r="BL208" s="102">
        <v>60</v>
      </c>
      <c r="BM208" s="1" t="s">
        <v>208</v>
      </c>
      <c r="BN208" s="1" t="s">
        <v>208</v>
      </c>
      <c r="BO208" s="1" t="s">
        <v>441</v>
      </c>
      <c r="BP208" s="102">
        <v>60</v>
      </c>
      <c r="BQ208" s="1" t="s">
        <v>208</v>
      </c>
      <c r="BR208" s="1" t="s">
        <v>227</v>
      </c>
      <c r="BS208" s="106" t="s">
        <v>37</v>
      </c>
    </row>
    <row x14ac:dyDescent="0.25" r="209" customHeight="1" ht="17.25">
      <c r="A209" s="102">
        <v>208</v>
      </c>
      <c r="B209" s="1" t="s">
        <v>1525</v>
      </c>
      <c r="C209" s="102">
        <v>1</v>
      </c>
      <c r="D209" s="61" t="s">
        <v>876</v>
      </c>
      <c r="E209" s="1" t="s">
        <v>90</v>
      </c>
      <c r="F209" s="1" t="s">
        <v>170</v>
      </c>
      <c r="G209" s="1" t="s">
        <v>41</v>
      </c>
      <c r="H209" s="1" t="s">
        <v>1526</v>
      </c>
      <c r="I209" s="102">
        <v>1</v>
      </c>
      <c r="J209" s="1" t="s">
        <v>158</v>
      </c>
      <c r="K209" s="1" t="s">
        <v>22</v>
      </c>
      <c r="L209" s="103">
        <v>30287</v>
      </c>
      <c r="M209" s="104">
        <v>34</v>
      </c>
      <c r="N209" s="1" t="s">
        <v>176</v>
      </c>
      <c r="O209" s="1" t="s">
        <v>182</v>
      </c>
      <c r="P209" s="1" t="s">
        <v>615</v>
      </c>
      <c r="Q209" s="1" t="s">
        <v>1527</v>
      </c>
      <c r="R209" s="54" t="s">
        <v>1528</v>
      </c>
      <c r="S209" s="105">
        <v>43.9</v>
      </c>
      <c r="T209" s="62">
        <v>0</v>
      </c>
      <c r="U209" s="102">
        <v>0</v>
      </c>
      <c r="V209" s="54" t="s">
        <v>1529</v>
      </c>
      <c r="W209" s="105">
        <v>2.7</v>
      </c>
      <c r="X209" s="62">
        <v>0</v>
      </c>
      <c r="Y209" s="102">
        <v>0</v>
      </c>
      <c r="Z209" s="62">
        <v>0</v>
      </c>
      <c r="AA209" s="102">
        <v>0</v>
      </c>
      <c r="AB209" s="62">
        <v>0</v>
      </c>
      <c r="AC209" s="106" t="s">
        <v>206</v>
      </c>
      <c r="AD209" s="106" t="s">
        <v>206</v>
      </c>
      <c r="AE209" s="106" t="s">
        <v>206</v>
      </c>
      <c r="AF209" s="106" t="s">
        <v>206</v>
      </c>
      <c r="AG209" s="106" t="s">
        <v>206</v>
      </c>
      <c r="AH209" s="106" t="s">
        <v>206</v>
      </c>
      <c r="AI209" s="1" t="s">
        <v>357</v>
      </c>
      <c r="AJ209" s="1" t="s">
        <v>206</v>
      </c>
      <c r="AK209" s="1" t="s">
        <v>520</v>
      </c>
      <c r="AL209" s="1" t="s">
        <v>197</v>
      </c>
      <c r="AM209" s="106" t="s">
        <v>27</v>
      </c>
      <c r="AN209" s="1" t="s">
        <v>357</v>
      </c>
      <c r="AO209" s="1" t="s">
        <v>208</v>
      </c>
      <c r="AP209" s="1" t="s">
        <v>206</v>
      </c>
      <c r="AQ209" s="1" t="s">
        <v>441</v>
      </c>
      <c r="AR209" s="1" t="s">
        <v>206</v>
      </c>
      <c r="AS209" s="106" t="s">
        <v>206</v>
      </c>
      <c r="AT209" s="1" t="s">
        <v>206</v>
      </c>
      <c r="AU209" s="106" t="s">
        <v>206</v>
      </c>
      <c r="AV209" s="106" t="s">
        <v>206</v>
      </c>
      <c r="AW209" s="106" t="s">
        <v>35</v>
      </c>
      <c r="AX209" s="106" t="s">
        <v>206</v>
      </c>
      <c r="AY209" s="106" t="s">
        <v>206</v>
      </c>
      <c r="AZ209" s="1" t="s">
        <v>206</v>
      </c>
      <c r="BA209" s="106" t="s">
        <v>206</v>
      </c>
      <c r="BB209" s="106" t="s">
        <v>206</v>
      </c>
      <c r="BC209" s="106" t="s">
        <v>206</v>
      </c>
      <c r="BD209" s="106" t="s">
        <v>206</v>
      </c>
      <c r="BE209" s="106" t="s">
        <v>206</v>
      </c>
      <c r="BF209" s="107">
        <f>IF(AZ209="Não","Sim","Não")</f>
      </c>
      <c r="BG209" s="107">
        <f>IF(AZ209="NA","Sim","Não")</f>
      </c>
      <c r="BH209" s="106" t="s">
        <v>206</v>
      </c>
      <c r="BI209" s="1" t="s">
        <v>206</v>
      </c>
      <c r="BJ209" s="106" t="s">
        <v>206</v>
      </c>
      <c r="BK209" s="1" t="s">
        <v>441</v>
      </c>
      <c r="BL209" s="102">
        <v>60</v>
      </c>
      <c r="BM209" s="1" t="s">
        <v>208</v>
      </c>
      <c r="BN209" s="1" t="s">
        <v>208</v>
      </c>
      <c r="BO209" s="1" t="s">
        <v>441</v>
      </c>
      <c r="BP209" s="102">
        <v>60</v>
      </c>
      <c r="BQ209" s="1" t="s">
        <v>208</v>
      </c>
      <c r="BR209" s="1" t="s">
        <v>227</v>
      </c>
      <c r="BS209" s="106" t="s">
        <v>37</v>
      </c>
    </row>
    <row x14ac:dyDescent="0.25" r="210" customHeight="1" ht="17.25">
      <c r="A210" s="102">
        <v>209</v>
      </c>
      <c r="B210" s="1" t="s">
        <v>1530</v>
      </c>
      <c r="C210" s="102">
        <v>1</v>
      </c>
      <c r="D210" s="61" t="s">
        <v>1531</v>
      </c>
      <c r="E210" s="1" t="s">
        <v>106</v>
      </c>
      <c r="F210" s="1" t="s">
        <v>22</v>
      </c>
      <c r="G210" s="1" t="s">
        <v>55</v>
      </c>
      <c r="H210" s="1" t="s">
        <v>1532</v>
      </c>
      <c r="I210" s="102">
        <v>1</v>
      </c>
      <c r="J210" s="1" t="s">
        <v>158</v>
      </c>
      <c r="K210" s="1" t="s">
        <v>22</v>
      </c>
      <c r="L210" s="103">
        <v>33734</v>
      </c>
      <c r="M210" s="104">
        <v>24</v>
      </c>
      <c r="N210" s="1" t="s">
        <v>177</v>
      </c>
      <c r="O210" s="1" t="s">
        <v>24</v>
      </c>
      <c r="P210" s="1" t="s">
        <v>365</v>
      </c>
      <c r="Q210" s="1" t="s">
        <v>1533</v>
      </c>
      <c r="R210" s="54" t="s">
        <v>1534</v>
      </c>
      <c r="S210" s="102">
        <v>56</v>
      </c>
      <c r="T210" s="54" t="s">
        <v>1535</v>
      </c>
      <c r="U210" s="105">
        <v>42.8</v>
      </c>
      <c r="V210" s="54" t="s">
        <v>1536</v>
      </c>
      <c r="W210" s="105">
        <v>6.3</v>
      </c>
      <c r="X210" s="62">
        <v>0</v>
      </c>
      <c r="Y210" s="102">
        <v>0</v>
      </c>
      <c r="Z210" s="62">
        <v>0</v>
      </c>
      <c r="AA210" s="102">
        <v>0</v>
      </c>
      <c r="AB210" s="62">
        <v>0</v>
      </c>
      <c r="AC210" s="106" t="s">
        <v>206</v>
      </c>
      <c r="AD210" s="106" t="s">
        <v>206</v>
      </c>
      <c r="AE210" s="106" t="s">
        <v>206</v>
      </c>
      <c r="AF210" s="106" t="s">
        <v>206</v>
      </c>
      <c r="AG210" s="106" t="s">
        <v>206</v>
      </c>
      <c r="AH210" s="106" t="s">
        <v>206</v>
      </c>
      <c r="AI210" s="1" t="s">
        <v>357</v>
      </c>
      <c r="AJ210" s="1" t="s">
        <v>206</v>
      </c>
      <c r="AK210" s="1" t="s">
        <v>776</v>
      </c>
      <c r="AL210" s="1" t="s">
        <v>197</v>
      </c>
      <c r="AM210" s="106" t="s">
        <v>27</v>
      </c>
      <c r="AN210" s="1" t="s">
        <v>357</v>
      </c>
      <c r="AO210" s="1" t="s">
        <v>208</v>
      </c>
      <c r="AP210" s="1" t="s">
        <v>206</v>
      </c>
      <c r="AQ210" s="1" t="s">
        <v>441</v>
      </c>
      <c r="AR210" s="1" t="s">
        <v>206</v>
      </c>
      <c r="AS210" s="106" t="s">
        <v>206</v>
      </c>
      <c r="AT210" s="1" t="s">
        <v>206</v>
      </c>
      <c r="AU210" s="106" t="s">
        <v>206</v>
      </c>
      <c r="AV210" s="106" t="s">
        <v>206</v>
      </c>
      <c r="AW210" s="106" t="s">
        <v>35</v>
      </c>
      <c r="AX210" s="106" t="s">
        <v>206</v>
      </c>
      <c r="AY210" s="106" t="s">
        <v>206</v>
      </c>
      <c r="AZ210" s="1" t="s">
        <v>206</v>
      </c>
      <c r="BA210" s="106" t="s">
        <v>206</v>
      </c>
      <c r="BB210" s="106" t="s">
        <v>206</v>
      </c>
      <c r="BC210" s="106" t="s">
        <v>206</v>
      </c>
      <c r="BD210" s="106" t="s">
        <v>206</v>
      </c>
      <c r="BE210" s="106" t="s">
        <v>206</v>
      </c>
      <c r="BF210" s="107">
        <f>IF(AZ210="Não","Sim","Não")</f>
      </c>
      <c r="BG210" s="107">
        <f>IF(AZ210="NA","Sim","Não")</f>
      </c>
      <c r="BH210" s="106" t="s">
        <v>206</v>
      </c>
      <c r="BI210" s="1" t="s">
        <v>238</v>
      </c>
      <c r="BJ210" s="106" t="s">
        <v>241</v>
      </c>
      <c r="BK210" s="1" t="s">
        <v>441</v>
      </c>
      <c r="BL210" s="102">
        <v>60</v>
      </c>
      <c r="BM210" s="1" t="s">
        <v>208</v>
      </c>
      <c r="BN210" s="1" t="s">
        <v>208</v>
      </c>
      <c r="BO210" s="1" t="s">
        <v>441</v>
      </c>
      <c r="BP210" s="102">
        <v>60</v>
      </c>
      <c r="BQ210" s="1" t="s">
        <v>208</v>
      </c>
      <c r="BR210" s="1" t="s">
        <v>227</v>
      </c>
      <c r="BS210" s="106" t="s">
        <v>37</v>
      </c>
    </row>
    <row x14ac:dyDescent="0.25" r="211" customHeight="1" ht="17.25">
      <c r="A211" s="102">
        <v>210</v>
      </c>
      <c r="B211" s="1" t="s">
        <v>1537</v>
      </c>
      <c r="C211" s="102">
        <v>1</v>
      </c>
      <c r="D211" s="61">
        <v>42769</v>
      </c>
      <c r="E211" s="1" t="s">
        <v>115</v>
      </c>
      <c r="F211" s="1" t="s">
        <v>170</v>
      </c>
      <c r="G211" s="1" t="s">
        <v>53</v>
      </c>
      <c r="H211" s="1" t="s">
        <v>1538</v>
      </c>
      <c r="I211" s="102">
        <v>1</v>
      </c>
      <c r="J211" s="1" t="s">
        <v>158</v>
      </c>
      <c r="K211" s="1" t="s">
        <v>22</v>
      </c>
      <c r="L211" s="103">
        <v>35082</v>
      </c>
      <c r="M211" s="104">
        <v>21</v>
      </c>
      <c r="N211" s="1" t="s">
        <v>175</v>
      </c>
      <c r="O211" s="1" t="s">
        <v>24</v>
      </c>
      <c r="P211" s="1" t="s">
        <v>365</v>
      </c>
      <c r="Q211" s="1" t="s">
        <v>1539</v>
      </c>
      <c r="R211" s="62">
        <v>0</v>
      </c>
      <c r="S211" s="102">
        <v>0</v>
      </c>
      <c r="T211" s="62">
        <v>0</v>
      </c>
      <c r="U211" s="102">
        <v>0</v>
      </c>
      <c r="V211" s="54" t="s">
        <v>1540</v>
      </c>
      <c r="W211" s="105">
        <v>3.8</v>
      </c>
      <c r="X211" s="62">
        <v>0</v>
      </c>
      <c r="Y211" s="102">
        <v>0</v>
      </c>
      <c r="Z211" s="62">
        <v>0</v>
      </c>
      <c r="AA211" s="102">
        <v>0</v>
      </c>
      <c r="AB211" s="62">
        <v>0</v>
      </c>
      <c r="AC211" s="106" t="s">
        <v>206</v>
      </c>
      <c r="AD211" s="106" t="s">
        <v>206</v>
      </c>
      <c r="AE211" s="106" t="s">
        <v>206</v>
      </c>
      <c r="AF211" s="106" t="s">
        <v>206</v>
      </c>
      <c r="AG211" s="106" t="s">
        <v>206</v>
      </c>
      <c r="AH211" s="106" t="s">
        <v>206</v>
      </c>
      <c r="AI211" s="1" t="s">
        <v>357</v>
      </c>
      <c r="AJ211" s="1" t="s">
        <v>206</v>
      </c>
      <c r="AK211" s="1" t="s">
        <v>1541</v>
      </c>
      <c r="AL211" s="1" t="s">
        <v>197</v>
      </c>
      <c r="AM211" s="106" t="s">
        <v>27</v>
      </c>
      <c r="AN211" s="1" t="s">
        <v>357</v>
      </c>
      <c r="AO211" s="1" t="s">
        <v>208</v>
      </c>
      <c r="AP211" s="1" t="s">
        <v>1542</v>
      </c>
      <c r="AQ211" s="1" t="s">
        <v>1102</v>
      </c>
      <c r="AR211" s="1" t="s">
        <v>206</v>
      </c>
      <c r="AS211" s="106" t="s">
        <v>206</v>
      </c>
      <c r="AT211" s="1" t="s">
        <v>28</v>
      </c>
      <c r="AU211" s="106" t="s">
        <v>35</v>
      </c>
      <c r="AV211" s="106" t="s">
        <v>206</v>
      </c>
      <c r="AW211" s="106" t="s">
        <v>206</v>
      </c>
      <c r="AX211" s="106" t="s">
        <v>206</v>
      </c>
      <c r="AY211" s="106" t="s">
        <v>35</v>
      </c>
      <c r="AZ211" s="1" t="s">
        <v>206</v>
      </c>
      <c r="BA211" s="106" t="s">
        <v>206</v>
      </c>
      <c r="BB211" s="106" t="s">
        <v>206</v>
      </c>
      <c r="BC211" s="106" t="s">
        <v>206</v>
      </c>
      <c r="BD211" s="106" t="s">
        <v>206</v>
      </c>
      <c r="BE211" s="106" t="s">
        <v>206</v>
      </c>
      <c r="BF211" s="107">
        <f>IF(AZ211="Não","Sim","Não")</f>
      </c>
      <c r="BG211" s="107">
        <f>IF(AZ211="NA","Sim","Não")</f>
      </c>
      <c r="BH211" s="106" t="s">
        <v>206</v>
      </c>
      <c r="BI211" s="1" t="s">
        <v>206</v>
      </c>
      <c r="BJ211" s="106" t="s">
        <v>206</v>
      </c>
      <c r="BK211" s="1" t="s">
        <v>441</v>
      </c>
      <c r="BL211" s="102">
        <v>60</v>
      </c>
      <c r="BM211" s="1" t="s">
        <v>208</v>
      </c>
      <c r="BN211" s="1" t="s">
        <v>208</v>
      </c>
      <c r="BO211" s="1" t="s">
        <v>441</v>
      </c>
      <c r="BP211" s="102">
        <v>60</v>
      </c>
      <c r="BQ211" s="1" t="s">
        <v>208</v>
      </c>
      <c r="BR211" s="1" t="s">
        <v>227</v>
      </c>
      <c r="BS211" s="106" t="s">
        <v>37</v>
      </c>
    </row>
    <row x14ac:dyDescent="0.25" r="212" customHeight="1" ht="17.25">
      <c r="A212" s="102">
        <v>211</v>
      </c>
      <c r="B212" s="1" t="s">
        <v>1543</v>
      </c>
      <c r="C212" s="102">
        <v>1</v>
      </c>
      <c r="D212" s="61" t="s">
        <v>1544</v>
      </c>
      <c r="E212" s="1" t="s">
        <v>135</v>
      </c>
      <c r="F212" s="1" t="s">
        <v>22</v>
      </c>
      <c r="G212" s="1" t="s">
        <v>42</v>
      </c>
      <c r="H212" s="1" t="s">
        <v>1545</v>
      </c>
      <c r="I212" s="102">
        <v>1</v>
      </c>
      <c r="J212" s="1" t="s">
        <v>158</v>
      </c>
      <c r="K212" s="1" t="s">
        <v>170</v>
      </c>
      <c r="L212" s="103">
        <v>33816</v>
      </c>
      <c r="M212" s="104">
        <v>24</v>
      </c>
      <c r="N212" s="1" t="s">
        <v>175</v>
      </c>
      <c r="O212" s="1" t="s">
        <v>24</v>
      </c>
      <c r="P212" s="1" t="s">
        <v>178</v>
      </c>
      <c r="Q212" s="1" t="s">
        <v>366</v>
      </c>
      <c r="R212" s="62">
        <v>0</v>
      </c>
      <c r="S212" s="102">
        <v>0</v>
      </c>
      <c r="T212" s="62">
        <v>0</v>
      </c>
      <c r="U212" s="102">
        <v>0</v>
      </c>
      <c r="V212" s="54" t="s">
        <v>1546</v>
      </c>
      <c r="W212" s="105">
        <v>4.7</v>
      </c>
      <c r="X212" s="62">
        <v>0</v>
      </c>
      <c r="Y212" s="102">
        <v>0</v>
      </c>
      <c r="Z212" s="62">
        <v>0</v>
      </c>
      <c r="AA212" s="102">
        <v>0</v>
      </c>
      <c r="AB212" s="62">
        <v>0</v>
      </c>
      <c r="AC212" s="106" t="s">
        <v>206</v>
      </c>
      <c r="AD212" s="106" t="s">
        <v>206</v>
      </c>
      <c r="AE212" s="106" t="s">
        <v>206</v>
      </c>
      <c r="AF212" s="106" t="s">
        <v>206</v>
      </c>
      <c r="AG212" s="106" t="s">
        <v>206</v>
      </c>
      <c r="AH212" s="106" t="s">
        <v>206</v>
      </c>
      <c r="AI212" s="1" t="s">
        <v>357</v>
      </c>
      <c r="AJ212" s="1" t="s">
        <v>206</v>
      </c>
      <c r="AK212" s="1" t="s">
        <v>373</v>
      </c>
      <c r="AL212" s="1" t="s">
        <v>197</v>
      </c>
      <c r="AM212" s="106" t="s">
        <v>27</v>
      </c>
      <c r="AN212" s="1" t="s">
        <v>357</v>
      </c>
      <c r="AO212" s="1" t="s">
        <v>208</v>
      </c>
      <c r="AP212" s="1" t="s">
        <v>206</v>
      </c>
      <c r="AQ212" s="1" t="s">
        <v>441</v>
      </c>
      <c r="AR212" s="1" t="s">
        <v>206</v>
      </c>
      <c r="AS212" s="106" t="s">
        <v>206</v>
      </c>
      <c r="AT212" s="1" t="s">
        <v>206</v>
      </c>
      <c r="AU212" s="106" t="s">
        <v>206</v>
      </c>
      <c r="AV212" s="106" t="s">
        <v>206</v>
      </c>
      <c r="AW212" s="106" t="s">
        <v>35</v>
      </c>
      <c r="AX212" s="106" t="s">
        <v>206</v>
      </c>
      <c r="AY212" s="106" t="s">
        <v>206</v>
      </c>
      <c r="AZ212" s="1" t="s">
        <v>206</v>
      </c>
      <c r="BA212" s="106" t="s">
        <v>206</v>
      </c>
      <c r="BB212" s="106" t="s">
        <v>206</v>
      </c>
      <c r="BC212" s="106" t="s">
        <v>206</v>
      </c>
      <c r="BD212" s="106" t="s">
        <v>206</v>
      </c>
      <c r="BE212" s="106" t="s">
        <v>206</v>
      </c>
      <c r="BF212" s="107">
        <f>IF(AZ212="Não","Sim","Não")</f>
      </c>
      <c r="BG212" s="107">
        <f>IF(AZ212="NA","Sim","Não")</f>
      </c>
      <c r="BH212" s="106" t="s">
        <v>206</v>
      </c>
      <c r="BI212" s="1" t="s">
        <v>238</v>
      </c>
      <c r="BJ212" s="106" t="s">
        <v>241</v>
      </c>
      <c r="BK212" s="1" t="s">
        <v>441</v>
      </c>
      <c r="BL212" s="102">
        <v>60</v>
      </c>
      <c r="BM212" s="1" t="s">
        <v>208</v>
      </c>
      <c r="BN212" s="1" t="s">
        <v>208</v>
      </c>
      <c r="BO212" s="1" t="s">
        <v>441</v>
      </c>
      <c r="BP212" s="102">
        <v>60</v>
      </c>
      <c r="BQ212" s="1" t="s">
        <v>208</v>
      </c>
      <c r="BR212" s="1" t="s">
        <v>227</v>
      </c>
      <c r="BS212" s="106" t="s">
        <v>37</v>
      </c>
    </row>
    <row x14ac:dyDescent="0.25" r="213" customHeight="1" ht="17.25">
      <c r="A213" s="102">
        <v>212</v>
      </c>
      <c r="B213" s="1" t="s">
        <v>1547</v>
      </c>
      <c r="C213" s="102">
        <v>0</v>
      </c>
      <c r="D213" s="61" t="s">
        <v>1548</v>
      </c>
      <c r="E213" s="1" t="s">
        <v>94</v>
      </c>
      <c r="F213" s="1" t="s">
        <v>170</v>
      </c>
      <c r="G213" s="1" t="s">
        <v>69</v>
      </c>
      <c r="H213" s="1" t="s">
        <v>1549</v>
      </c>
      <c r="I213" s="102">
        <v>1</v>
      </c>
      <c r="J213" s="1" t="s">
        <v>158</v>
      </c>
      <c r="K213" s="1" t="s">
        <v>22</v>
      </c>
      <c r="L213" s="103">
        <v>35096</v>
      </c>
      <c r="M213" s="104">
        <v>21</v>
      </c>
      <c r="N213" s="1" t="s">
        <v>177</v>
      </c>
      <c r="O213" s="1" t="s">
        <v>24</v>
      </c>
      <c r="P213" s="1" t="s">
        <v>365</v>
      </c>
      <c r="Q213" s="1" t="s">
        <v>1550</v>
      </c>
      <c r="R213" s="54" t="s">
        <v>1551</v>
      </c>
      <c r="S213" s="105">
        <v>40.3</v>
      </c>
      <c r="T213" s="54" t="s">
        <v>1552</v>
      </c>
      <c r="U213" s="105">
        <v>5.1</v>
      </c>
      <c r="V213" s="54" t="s">
        <v>1553</v>
      </c>
      <c r="W213" s="105">
        <v>0.6</v>
      </c>
      <c r="X213" s="62">
        <v>0</v>
      </c>
      <c r="Y213" s="102">
        <v>0</v>
      </c>
      <c r="Z213" s="62">
        <v>0</v>
      </c>
      <c r="AA213" s="102">
        <v>0</v>
      </c>
      <c r="AB213" s="62">
        <v>0</v>
      </c>
      <c r="AC213" s="106" t="s">
        <v>206</v>
      </c>
      <c r="AD213" s="106" t="s">
        <v>206</v>
      </c>
      <c r="AE213" s="106" t="s">
        <v>206</v>
      </c>
      <c r="AF213" s="106" t="s">
        <v>206</v>
      </c>
      <c r="AG213" s="106" t="s">
        <v>206</v>
      </c>
      <c r="AH213" s="106" t="s">
        <v>206</v>
      </c>
      <c r="AI213" s="1" t="s">
        <v>371</v>
      </c>
      <c r="AJ213" s="1" t="s">
        <v>674</v>
      </c>
      <c r="AK213" s="1" t="s">
        <v>1554</v>
      </c>
      <c r="AL213" s="1" t="s">
        <v>198</v>
      </c>
      <c r="AM213" s="106" t="s">
        <v>27</v>
      </c>
      <c r="AN213" s="1" t="s">
        <v>357</v>
      </c>
      <c r="AO213" s="1" t="s">
        <v>206</v>
      </c>
      <c r="AP213" s="1" t="s">
        <v>206</v>
      </c>
      <c r="AQ213" s="1" t="s">
        <v>441</v>
      </c>
      <c r="AR213" s="1" t="s">
        <v>206</v>
      </c>
      <c r="AS213" s="106" t="s">
        <v>206</v>
      </c>
      <c r="AT213" s="1" t="s">
        <v>206</v>
      </c>
      <c r="AU213" s="106" t="s">
        <v>206</v>
      </c>
      <c r="AV213" s="106" t="s">
        <v>206</v>
      </c>
      <c r="AW213" s="106" t="s">
        <v>35</v>
      </c>
      <c r="AX213" s="106" t="s">
        <v>206</v>
      </c>
      <c r="AY213" s="106" t="s">
        <v>206</v>
      </c>
      <c r="AZ213" s="1" t="s">
        <v>206</v>
      </c>
      <c r="BA213" s="106" t="s">
        <v>206</v>
      </c>
      <c r="BB213" s="106" t="s">
        <v>206</v>
      </c>
      <c r="BC213" s="106" t="s">
        <v>206</v>
      </c>
      <c r="BD213" s="106" t="s">
        <v>206</v>
      </c>
      <c r="BE213" s="106" t="s">
        <v>206</v>
      </c>
      <c r="BF213" s="107">
        <f>IF(AZ213="Não","Sim","Não")</f>
      </c>
      <c r="BG213" s="107">
        <f>IF(AZ213="NA","Sim","Não")</f>
      </c>
      <c r="BH213" s="106" t="s">
        <v>206</v>
      </c>
      <c r="BI213" s="1" t="s">
        <v>206</v>
      </c>
      <c r="BJ213" s="106" t="s">
        <v>206</v>
      </c>
      <c r="BK213" s="1" t="s">
        <v>441</v>
      </c>
      <c r="BL213" s="102">
        <v>60</v>
      </c>
      <c r="BM213" s="1" t="s">
        <v>208</v>
      </c>
      <c r="BN213" s="1" t="s">
        <v>208</v>
      </c>
      <c r="BO213" s="1" t="s">
        <v>441</v>
      </c>
      <c r="BP213" s="102">
        <v>60</v>
      </c>
      <c r="BQ213" s="1" t="s">
        <v>208</v>
      </c>
      <c r="BR213" s="1" t="s">
        <v>227</v>
      </c>
      <c r="BS213" s="106" t="s">
        <v>37</v>
      </c>
    </row>
    <row x14ac:dyDescent="0.25" r="214" customHeight="1" ht="17.25">
      <c r="A214" s="102">
        <v>213</v>
      </c>
      <c r="B214" s="1" t="s">
        <v>1555</v>
      </c>
      <c r="C214" s="102">
        <v>1</v>
      </c>
      <c r="D214" s="61" t="s">
        <v>1556</v>
      </c>
      <c r="E214" s="1" t="s">
        <v>81</v>
      </c>
      <c r="F214" s="1" t="s">
        <v>22</v>
      </c>
      <c r="G214" s="1" t="s">
        <v>44</v>
      </c>
      <c r="H214" s="1" t="s">
        <v>1557</v>
      </c>
      <c r="I214" s="102">
        <v>1</v>
      </c>
      <c r="J214" s="1" t="s">
        <v>160</v>
      </c>
      <c r="K214" s="1" t="s">
        <v>22</v>
      </c>
      <c r="L214" s="103">
        <v>35222</v>
      </c>
      <c r="M214" s="104">
        <v>20</v>
      </c>
      <c r="N214" s="1" t="s">
        <v>175</v>
      </c>
      <c r="O214" s="1" t="s">
        <v>24</v>
      </c>
      <c r="P214" s="1" t="s">
        <v>354</v>
      </c>
      <c r="Q214" s="1" t="s">
        <v>1419</v>
      </c>
      <c r="R214" s="54" t="s">
        <v>1558</v>
      </c>
      <c r="S214" s="102">
        <v>106</v>
      </c>
      <c r="T214" s="54" t="s">
        <v>1559</v>
      </c>
      <c r="U214" s="102">
        <v>167</v>
      </c>
      <c r="V214" s="54" t="s">
        <v>1560</v>
      </c>
      <c r="W214" s="102">
        <v>154</v>
      </c>
      <c r="X214" s="62">
        <v>0</v>
      </c>
      <c r="Y214" s="102">
        <v>0</v>
      </c>
      <c r="Z214" s="62">
        <v>0</v>
      </c>
      <c r="AA214" s="102">
        <v>0</v>
      </c>
      <c r="AB214" s="62">
        <v>0</v>
      </c>
      <c r="AC214" s="106" t="s">
        <v>206</v>
      </c>
      <c r="AD214" s="106" t="s">
        <v>206</v>
      </c>
      <c r="AE214" s="106" t="s">
        <v>206</v>
      </c>
      <c r="AF214" s="106" t="s">
        <v>206</v>
      </c>
      <c r="AG214" s="106" t="s">
        <v>206</v>
      </c>
      <c r="AH214" s="106" t="s">
        <v>206</v>
      </c>
      <c r="AI214" s="1" t="s">
        <v>371</v>
      </c>
      <c r="AJ214" s="1" t="s">
        <v>206</v>
      </c>
      <c r="AK214" s="1" t="s">
        <v>953</v>
      </c>
      <c r="AL214" s="1" t="s">
        <v>198</v>
      </c>
      <c r="AM214" s="106" t="s">
        <v>27</v>
      </c>
      <c r="AN214" s="1" t="s">
        <v>357</v>
      </c>
      <c r="AO214" s="1" t="s">
        <v>208</v>
      </c>
      <c r="AP214" s="1" t="s">
        <v>206</v>
      </c>
      <c r="AQ214" s="1" t="s">
        <v>441</v>
      </c>
      <c r="AR214" s="1" t="s">
        <v>207</v>
      </c>
      <c r="AS214" s="106" t="s">
        <v>35</v>
      </c>
      <c r="AT214" s="1" t="s">
        <v>29</v>
      </c>
      <c r="AU214" s="106" t="s">
        <v>206</v>
      </c>
      <c r="AV214" s="106" t="s">
        <v>35</v>
      </c>
      <c r="AW214" s="106" t="s">
        <v>206</v>
      </c>
      <c r="AX214" s="106" t="s">
        <v>206</v>
      </c>
      <c r="AY214" s="106" t="s">
        <v>35</v>
      </c>
      <c r="AZ214" s="1" t="s">
        <v>206</v>
      </c>
      <c r="BA214" s="106" t="s">
        <v>206</v>
      </c>
      <c r="BB214" s="106" t="s">
        <v>206</v>
      </c>
      <c r="BC214" s="106" t="s">
        <v>206</v>
      </c>
      <c r="BD214" s="106" t="s">
        <v>206</v>
      </c>
      <c r="BE214" s="106" t="s">
        <v>206</v>
      </c>
      <c r="BF214" s="107">
        <f>IF(AZ214="Não","Sim","Não")</f>
      </c>
      <c r="BG214" s="107">
        <f>IF(AZ214="NA","Sim","Não")</f>
      </c>
      <c r="BH214" s="106" t="s">
        <v>206</v>
      </c>
      <c r="BI214" s="1" t="s">
        <v>238</v>
      </c>
      <c r="BJ214" s="106" t="s">
        <v>241</v>
      </c>
      <c r="BK214" s="1" t="s">
        <v>441</v>
      </c>
      <c r="BL214" s="102">
        <v>60</v>
      </c>
      <c r="BM214" s="1" t="s">
        <v>208</v>
      </c>
      <c r="BN214" s="1" t="s">
        <v>208</v>
      </c>
      <c r="BO214" s="1" t="s">
        <v>441</v>
      </c>
      <c r="BP214" s="102">
        <v>60</v>
      </c>
      <c r="BQ214" s="1" t="s">
        <v>208</v>
      </c>
      <c r="BR214" s="1" t="s">
        <v>227</v>
      </c>
      <c r="BS214" s="106" t="s">
        <v>37</v>
      </c>
    </row>
    <row x14ac:dyDescent="0.25" r="215" customHeight="1" ht="17.25">
      <c r="A215" s="102">
        <v>214</v>
      </c>
      <c r="B215" s="1" t="s">
        <v>1555</v>
      </c>
      <c r="C215" s="102">
        <v>0</v>
      </c>
      <c r="D215" s="61" t="s">
        <v>1556</v>
      </c>
      <c r="E215" s="1" t="s">
        <v>81</v>
      </c>
      <c r="F215" s="1" t="s">
        <v>22</v>
      </c>
      <c r="G215" s="1" t="s">
        <v>44</v>
      </c>
      <c r="H215" s="1" t="s">
        <v>1561</v>
      </c>
      <c r="I215" s="102">
        <v>1</v>
      </c>
      <c r="J215" s="1" t="s">
        <v>160</v>
      </c>
      <c r="K215" s="1" t="s">
        <v>22</v>
      </c>
      <c r="L215" s="103">
        <v>35665</v>
      </c>
      <c r="M215" s="104">
        <v>19</v>
      </c>
      <c r="N215" s="1" t="s">
        <v>177</v>
      </c>
      <c r="O215" s="1" t="s">
        <v>24</v>
      </c>
      <c r="P215" s="1" t="s">
        <v>354</v>
      </c>
      <c r="Q215" s="1" t="s">
        <v>1562</v>
      </c>
      <c r="R215" s="54" t="s">
        <v>1558</v>
      </c>
      <c r="S215" s="102">
        <v>106</v>
      </c>
      <c r="T215" s="54" t="s">
        <v>1559</v>
      </c>
      <c r="U215" s="102">
        <v>167</v>
      </c>
      <c r="V215" s="54" t="s">
        <v>1560</v>
      </c>
      <c r="W215" s="102">
        <v>154</v>
      </c>
      <c r="X215" s="62">
        <v>0</v>
      </c>
      <c r="Y215" s="102">
        <v>0</v>
      </c>
      <c r="Z215" s="62">
        <v>0</v>
      </c>
      <c r="AA215" s="102">
        <v>0</v>
      </c>
      <c r="AB215" s="62">
        <v>0</v>
      </c>
      <c r="AC215" s="106" t="s">
        <v>206</v>
      </c>
      <c r="AD215" s="106" t="s">
        <v>206</v>
      </c>
      <c r="AE215" s="106" t="s">
        <v>206</v>
      </c>
      <c r="AF215" s="106" t="s">
        <v>206</v>
      </c>
      <c r="AG215" s="106" t="s">
        <v>206</v>
      </c>
      <c r="AH215" s="106" t="s">
        <v>206</v>
      </c>
      <c r="AI215" s="1" t="s">
        <v>371</v>
      </c>
      <c r="AJ215" s="1" t="s">
        <v>526</v>
      </c>
      <c r="AK215" s="1" t="s">
        <v>953</v>
      </c>
      <c r="AL215" s="1" t="s">
        <v>198</v>
      </c>
      <c r="AM215" s="106" t="s">
        <v>27</v>
      </c>
      <c r="AN215" s="1" t="s">
        <v>357</v>
      </c>
      <c r="AO215" s="1" t="s">
        <v>526</v>
      </c>
      <c r="AP215" s="1" t="s">
        <v>206</v>
      </c>
      <c r="AQ215" s="1" t="s">
        <v>441</v>
      </c>
      <c r="AR215" s="1" t="s">
        <v>206</v>
      </c>
      <c r="AS215" s="106" t="s">
        <v>206</v>
      </c>
      <c r="AT215" s="1" t="s">
        <v>206</v>
      </c>
      <c r="AU215" s="106" t="s">
        <v>206</v>
      </c>
      <c r="AV215" s="106" t="s">
        <v>206</v>
      </c>
      <c r="AW215" s="106" t="s">
        <v>35</v>
      </c>
      <c r="AX215" s="106" t="s">
        <v>206</v>
      </c>
      <c r="AY215" s="106" t="s">
        <v>206</v>
      </c>
      <c r="AZ215" s="1" t="s">
        <v>206</v>
      </c>
      <c r="BA215" s="106" t="s">
        <v>206</v>
      </c>
      <c r="BB215" s="106" t="s">
        <v>206</v>
      </c>
      <c r="BC215" s="106" t="s">
        <v>206</v>
      </c>
      <c r="BD215" s="106" t="s">
        <v>206</v>
      </c>
      <c r="BE215" s="106" t="s">
        <v>206</v>
      </c>
      <c r="BF215" s="107">
        <f>IF(AZ215="Não","Sim","Não")</f>
      </c>
      <c r="BG215" s="107">
        <f>IF(AZ215="NA","Sim","Não")</f>
      </c>
      <c r="BH215" s="106" t="s">
        <v>206</v>
      </c>
      <c r="BI215" s="1" t="s">
        <v>206</v>
      </c>
      <c r="BJ215" s="106" t="s">
        <v>206</v>
      </c>
      <c r="BK215" s="1" t="s">
        <v>441</v>
      </c>
      <c r="BL215" s="102">
        <v>60</v>
      </c>
      <c r="BM215" s="1" t="s">
        <v>208</v>
      </c>
      <c r="BN215" s="1" t="s">
        <v>1101</v>
      </c>
      <c r="BO215" s="1" t="s">
        <v>360</v>
      </c>
      <c r="BP215" s="102">
        <v>96</v>
      </c>
      <c r="BQ215" s="1" t="s">
        <v>208</v>
      </c>
      <c r="BR215" s="1" t="s">
        <v>227</v>
      </c>
      <c r="BS215" s="106" t="s">
        <v>37</v>
      </c>
    </row>
    <row x14ac:dyDescent="0.25" r="216" customHeight="1" ht="17.25">
      <c r="A216" s="102">
        <v>215</v>
      </c>
      <c r="B216" s="1" t="s">
        <v>1563</v>
      </c>
      <c r="C216" s="102">
        <v>1</v>
      </c>
      <c r="D216" s="61" t="s">
        <v>613</v>
      </c>
      <c r="E216" s="1" t="s">
        <v>135</v>
      </c>
      <c r="F216" s="1" t="s">
        <v>22</v>
      </c>
      <c r="G216" s="1" t="s">
        <v>42</v>
      </c>
      <c r="H216" s="1" t="s">
        <v>1564</v>
      </c>
      <c r="I216" s="102">
        <v>1</v>
      </c>
      <c r="J216" s="1" t="s">
        <v>158</v>
      </c>
      <c r="K216" s="1" t="s">
        <v>22</v>
      </c>
      <c r="L216" s="103">
        <v>35973</v>
      </c>
      <c r="M216" s="104">
        <v>19</v>
      </c>
      <c r="N216" s="1" t="s">
        <v>176</v>
      </c>
      <c r="O216" s="1" t="s">
        <v>182</v>
      </c>
      <c r="P216" s="1" t="s">
        <v>354</v>
      </c>
      <c r="Q216" s="1" t="s">
        <v>366</v>
      </c>
      <c r="R216" s="54" t="s">
        <v>1565</v>
      </c>
      <c r="S216" s="102">
        <v>195</v>
      </c>
      <c r="T216" s="54" t="s">
        <v>1566</v>
      </c>
      <c r="U216" s="105">
        <v>5.5</v>
      </c>
      <c r="V216" s="54" t="s">
        <v>1567</v>
      </c>
      <c r="W216" s="105">
        <v>6.4</v>
      </c>
      <c r="X216" s="62">
        <v>0</v>
      </c>
      <c r="Y216" s="102">
        <v>0</v>
      </c>
      <c r="Z216" s="62">
        <v>0</v>
      </c>
      <c r="AA216" s="102">
        <v>0</v>
      </c>
      <c r="AB216" s="62">
        <v>0</v>
      </c>
      <c r="AC216" s="106" t="s">
        <v>206</v>
      </c>
      <c r="AD216" s="106" t="s">
        <v>206</v>
      </c>
      <c r="AE216" s="106" t="s">
        <v>206</v>
      </c>
      <c r="AF216" s="106" t="s">
        <v>206</v>
      </c>
      <c r="AG216" s="106" t="s">
        <v>206</v>
      </c>
      <c r="AH216" s="106" t="s">
        <v>206</v>
      </c>
      <c r="AI216" s="1" t="s">
        <v>357</v>
      </c>
      <c r="AJ216" s="1" t="s">
        <v>206</v>
      </c>
      <c r="AK216" s="1" t="s">
        <v>447</v>
      </c>
      <c r="AL216" s="1" t="s">
        <v>197</v>
      </c>
      <c r="AM216" s="106" t="s">
        <v>27</v>
      </c>
      <c r="AN216" s="1" t="s">
        <v>357</v>
      </c>
      <c r="AO216" s="1" t="s">
        <v>208</v>
      </c>
      <c r="AP216" s="1" t="s">
        <v>206</v>
      </c>
      <c r="AQ216" s="1" t="s">
        <v>441</v>
      </c>
      <c r="AR216" s="1" t="s">
        <v>206</v>
      </c>
      <c r="AS216" s="106" t="s">
        <v>206</v>
      </c>
      <c r="AT216" s="1" t="s">
        <v>206</v>
      </c>
      <c r="AU216" s="106" t="s">
        <v>206</v>
      </c>
      <c r="AV216" s="106" t="s">
        <v>206</v>
      </c>
      <c r="AW216" s="106" t="s">
        <v>35</v>
      </c>
      <c r="AX216" s="106" t="s">
        <v>206</v>
      </c>
      <c r="AY216" s="106" t="s">
        <v>206</v>
      </c>
      <c r="AZ216" s="1" t="s">
        <v>206</v>
      </c>
      <c r="BA216" s="106" t="s">
        <v>206</v>
      </c>
      <c r="BB216" s="106" t="s">
        <v>206</v>
      </c>
      <c r="BC216" s="106" t="s">
        <v>206</v>
      </c>
      <c r="BD216" s="106" t="s">
        <v>206</v>
      </c>
      <c r="BE216" s="106" t="s">
        <v>206</v>
      </c>
      <c r="BF216" s="107">
        <f>IF(AZ216="Não","Sim","Não")</f>
      </c>
      <c r="BG216" s="107">
        <f>IF(AZ216="NA","Sim","Não")</f>
      </c>
      <c r="BH216" s="106" t="s">
        <v>206</v>
      </c>
      <c r="BI216" s="1" t="s">
        <v>206</v>
      </c>
      <c r="BJ216" s="106" t="s">
        <v>206</v>
      </c>
      <c r="BK216" s="1" t="s">
        <v>441</v>
      </c>
      <c r="BL216" s="102">
        <v>60</v>
      </c>
      <c r="BM216" s="1" t="s">
        <v>208</v>
      </c>
      <c r="BN216" s="1" t="s">
        <v>208</v>
      </c>
      <c r="BO216" s="1" t="s">
        <v>441</v>
      </c>
      <c r="BP216" s="102">
        <v>60</v>
      </c>
      <c r="BQ216" s="1" t="s">
        <v>208</v>
      </c>
      <c r="BR216" s="1" t="s">
        <v>227</v>
      </c>
      <c r="BS216" s="106" t="s">
        <v>37</v>
      </c>
    </row>
    <row x14ac:dyDescent="0.25" r="217" customHeight="1" ht="17.25">
      <c r="A217" s="102">
        <v>216</v>
      </c>
      <c r="B217" s="1" t="s">
        <v>1568</v>
      </c>
      <c r="C217" s="102">
        <v>0</v>
      </c>
      <c r="D217" s="61">
        <v>42892</v>
      </c>
      <c r="E217" s="1" t="s">
        <v>98</v>
      </c>
      <c r="F217" s="1" t="s">
        <v>170</v>
      </c>
      <c r="G217" s="1" t="s">
        <v>63</v>
      </c>
      <c r="H217" s="1" t="s">
        <v>1569</v>
      </c>
      <c r="I217" s="102">
        <v>1</v>
      </c>
      <c r="J217" s="1" t="s">
        <v>158</v>
      </c>
      <c r="K217" s="1" t="s">
        <v>22</v>
      </c>
      <c r="L217" s="103">
        <v>35717</v>
      </c>
      <c r="M217" s="104">
        <v>19</v>
      </c>
      <c r="N217" s="1" t="s">
        <v>175</v>
      </c>
      <c r="O217" s="1" t="s">
        <v>24</v>
      </c>
      <c r="P217" s="1" t="s">
        <v>517</v>
      </c>
      <c r="Q217" s="1" t="s">
        <v>773</v>
      </c>
      <c r="R217" s="54" t="s">
        <v>1570</v>
      </c>
      <c r="S217" s="105">
        <v>996.7</v>
      </c>
      <c r="T217" s="54" t="s">
        <v>1571</v>
      </c>
      <c r="U217" s="105">
        <v>143.5</v>
      </c>
      <c r="V217" s="54" t="s">
        <v>1572</v>
      </c>
      <c r="W217" s="105">
        <v>56.1</v>
      </c>
      <c r="X217" s="62">
        <v>0</v>
      </c>
      <c r="Y217" s="102">
        <v>0</v>
      </c>
      <c r="Z217" s="62">
        <v>0</v>
      </c>
      <c r="AA217" s="102">
        <v>0</v>
      </c>
      <c r="AB217" s="62">
        <v>0</v>
      </c>
      <c r="AC217" s="106" t="s">
        <v>206</v>
      </c>
      <c r="AD217" s="106" t="s">
        <v>206</v>
      </c>
      <c r="AE217" s="106" t="s">
        <v>206</v>
      </c>
      <c r="AF217" s="106" t="s">
        <v>206</v>
      </c>
      <c r="AG217" s="106" t="s">
        <v>206</v>
      </c>
      <c r="AH217" s="106" t="s">
        <v>206</v>
      </c>
      <c r="AI217" s="1" t="s">
        <v>371</v>
      </c>
      <c r="AJ217" s="1" t="s">
        <v>206</v>
      </c>
      <c r="AK217" s="1" t="s">
        <v>946</v>
      </c>
      <c r="AL217" s="1" t="s">
        <v>197</v>
      </c>
      <c r="AM217" s="106" t="s">
        <v>27</v>
      </c>
      <c r="AN217" s="1" t="s">
        <v>371</v>
      </c>
      <c r="AO217" s="1" t="s">
        <v>208</v>
      </c>
      <c r="AP217" s="1" t="s">
        <v>653</v>
      </c>
      <c r="AQ217" s="1" t="s">
        <v>492</v>
      </c>
      <c r="AR217" s="1" t="s">
        <v>206</v>
      </c>
      <c r="AS217" s="106" t="s">
        <v>206</v>
      </c>
      <c r="AT217" s="1" t="s">
        <v>29</v>
      </c>
      <c r="AU217" s="106" t="s">
        <v>206</v>
      </c>
      <c r="AV217" s="106" t="s">
        <v>35</v>
      </c>
      <c r="AW217" s="106" t="s">
        <v>206</v>
      </c>
      <c r="AX217" s="106" t="s">
        <v>206</v>
      </c>
      <c r="AY217" s="106" t="s">
        <v>35</v>
      </c>
      <c r="AZ217" s="1" t="s">
        <v>206</v>
      </c>
      <c r="BA217" s="106" t="s">
        <v>206</v>
      </c>
      <c r="BB217" s="106" t="s">
        <v>206</v>
      </c>
      <c r="BC217" s="106" t="s">
        <v>206</v>
      </c>
      <c r="BD217" s="106" t="s">
        <v>206</v>
      </c>
      <c r="BE217" s="106" t="s">
        <v>206</v>
      </c>
      <c r="BF217" s="107">
        <f>IF(AZ217="Não","Sim","Não")</f>
      </c>
      <c r="BG217" s="107">
        <f>IF(AZ217="NA","Sim","Não")</f>
      </c>
      <c r="BH217" s="106" t="s">
        <v>206</v>
      </c>
      <c r="BI217" s="1" t="s">
        <v>206</v>
      </c>
      <c r="BJ217" s="106" t="s">
        <v>206</v>
      </c>
      <c r="BK217" s="1" t="s">
        <v>441</v>
      </c>
      <c r="BL217" s="102">
        <v>60</v>
      </c>
      <c r="BM217" s="1" t="s">
        <v>1101</v>
      </c>
      <c r="BN217" s="1" t="s">
        <v>208</v>
      </c>
      <c r="BO217" s="1" t="s">
        <v>360</v>
      </c>
      <c r="BP217" s="102">
        <v>96</v>
      </c>
      <c r="BQ217" s="1" t="s">
        <v>208</v>
      </c>
      <c r="BR217" s="1" t="s">
        <v>227</v>
      </c>
      <c r="BS217" s="106" t="s">
        <v>37</v>
      </c>
    </row>
    <row x14ac:dyDescent="0.25" r="218" customHeight="1" ht="17.25">
      <c r="A218" s="102">
        <v>217</v>
      </c>
      <c r="B218" s="1" t="s">
        <v>1573</v>
      </c>
      <c r="C218" s="102">
        <v>1</v>
      </c>
      <c r="D218" s="61" t="s">
        <v>409</v>
      </c>
      <c r="E218" s="1" t="s">
        <v>111</v>
      </c>
      <c r="F218" s="1" t="s">
        <v>22</v>
      </c>
      <c r="G218" s="1" t="s">
        <v>47</v>
      </c>
      <c r="H218" s="1" t="s">
        <v>1574</v>
      </c>
      <c r="I218" s="102">
        <v>1</v>
      </c>
      <c r="J218" s="1" t="s">
        <v>158</v>
      </c>
      <c r="K218" s="1" t="s">
        <v>22</v>
      </c>
      <c r="L218" s="103">
        <v>31129</v>
      </c>
      <c r="M218" s="104">
        <v>32</v>
      </c>
      <c r="N218" s="1" t="s">
        <v>175</v>
      </c>
      <c r="O218" s="1" t="s">
        <v>24</v>
      </c>
      <c r="P218" s="1" t="s">
        <v>354</v>
      </c>
      <c r="Q218" s="1" t="s">
        <v>1575</v>
      </c>
      <c r="R218" s="54" t="s">
        <v>1576</v>
      </c>
      <c r="S218" s="102">
        <v>7</v>
      </c>
      <c r="T218" s="62">
        <v>0</v>
      </c>
      <c r="U218" s="102">
        <v>0</v>
      </c>
      <c r="V218" s="54" t="s">
        <v>1577</v>
      </c>
      <c r="W218" s="105">
        <v>15.8</v>
      </c>
      <c r="X218" s="62">
        <v>0</v>
      </c>
      <c r="Y218" s="102">
        <v>0</v>
      </c>
      <c r="Z218" s="62">
        <v>0</v>
      </c>
      <c r="AA218" s="102">
        <v>0</v>
      </c>
      <c r="AB218" s="62">
        <v>0</v>
      </c>
      <c r="AC218" s="106" t="s">
        <v>206</v>
      </c>
      <c r="AD218" s="106" t="s">
        <v>206</v>
      </c>
      <c r="AE218" s="106" t="s">
        <v>206</v>
      </c>
      <c r="AF218" s="106" t="s">
        <v>206</v>
      </c>
      <c r="AG218" s="106" t="s">
        <v>206</v>
      </c>
      <c r="AH218" s="106" t="s">
        <v>206</v>
      </c>
      <c r="AI218" s="1" t="s">
        <v>357</v>
      </c>
      <c r="AJ218" s="1" t="s">
        <v>206</v>
      </c>
      <c r="AK218" s="1" t="s">
        <v>405</v>
      </c>
      <c r="AL218" s="1" t="s">
        <v>197</v>
      </c>
      <c r="AM218" s="106" t="s">
        <v>27</v>
      </c>
      <c r="AN218" s="1" t="s">
        <v>357</v>
      </c>
      <c r="AO218" s="1" t="s">
        <v>208</v>
      </c>
      <c r="AP218" s="1" t="s">
        <v>206</v>
      </c>
      <c r="AQ218" s="1" t="s">
        <v>441</v>
      </c>
      <c r="AR218" s="1" t="s">
        <v>206</v>
      </c>
      <c r="AS218" s="106" t="s">
        <v>206</v>
      </c>
      <c r="AT218" s="1" t="s">
        <v>206</v>
      </c>
      <c r="AU218" s="106" t="s">
        <v>206</v>
      </c>
      <c r="AV218" s="106" t="s">
        <v>206</v>
      </c>
      <c r="AW218" s="106" t="s">
        <v>35</v>
      </c>
      <c r="AX218" s="106" t="s">
        <v>206</v>
      </c>
      <c r="AY218" s="106" t="s">
        <v>206</v>
      </c>
      <c r="AZ218" s="1" t="s">
        <v>206</v>
      </c>
      <c r="BA218" s="106" t="s">
        <v>206</v>
      </c>
      <c r="BB218" s="106" t="s">
        <v>206</v>
      </c>
      <c r="BC218" s="106" t="s">
        <v>206</v>
      </c>
      <c r="BD218" s="106" t="s">
        <v>206</v>
      </c>
      <c r="BE218" s="106" t="s">
        <v>206</v>
      </c>
      <c r="BF218" s="107">
        <f>IF(AZ218="Não","Sim","Não")</f>
      </c>
      <c r="BG218" s="107">
        <f>IF(AZ218="NA","Sim","Não")</f>
      </c>
      <c r="BH218" s="106" t="s">
        <v>206</v>
      </c>
      <c r="BI218" s="1" t="s">
        <v>206</v>
      </c>
      <c r="BJ218" s="106" t="s">
        <v>206</v>
      </c>
      <c r="BK218" s="1" t="s">
        <v>441</v>
      </c>
      <c r="BL218" s="102">
        <v>60</v>
      </c>
      <c r="BM218" s="1" t="s">
        <v>208</v>
      </c>
      <c r="BN218" s="1" t="s">
        <v>208</v>
      </c>
      <c r="BO218" s="1" t="s">
        <v>441</v>
      </c>
      <c r="BP218" s="102">
        <v>60</v>
      </c>
      <c r="BQ218" s="1" t="s">
        <v>208</v>
      </c>
      <c r="BR218" s="1" t="s">
        <v>227</v>
      </c>
      <c r="BS218" s="106" t="s">
        <v>37</v>
      </c>
    </row>
    <row x14ac:dyDescent="0.25" r="219" customHeight="1" ht="17.25">
      <c r="A219" s="102">
        <v>218</v>
      </c>
      <c r="B219" s="1" t="s">
        <v>1137</v>
      </c>
      <c r="C219" s="102">
        <v>0</v>
      </c>
      <c r="D219" s="61" t="s">
        <v>790</v>
      </c>
      <c r="E219" s="1" t="s">
        <v>84</v>
      </c>
      <c r="F219" s="1" t="s">
        <v>170</v>
      </c>
      <c r="G219" s="1" t="s">
        <v>55</v>
      </c>
      <c r="H219" s="1" t="s">
        <v>1578</v>
      </c>
      <c r="I219" s="102">
        <v>1</v>
      </c>
      <c r="J219" s="1" t="s">
        <v>160</v>
      </c>
      <c r="K219" s="1" t="s">
        <v>22</v>
      </c>
      <c r="L219" s="103">
        <v>31639</v>
      </c>
      <c r="M219" s="104">
        <v>30</v>
      </c>
      <c r="N219" s="1" t="s">
        <v>177</v>
      </c>
      <c r="O219" s="1" t="s">
        <v>24</v>
      </c>
      <c r="P219" s="1" t="s">
        <v>354</v>
      </c>
      <c r="Q219" s="1" t="s">
        <v>1139</v>
      </c>
      <c r="R219" s="54" t="s">
        <v>1140</v>
      </c>
      <c r="S219" s="102">
        <v>14</v>
      </c>
      <c r="T219" s="54" t="s">
        <v>1141</v>
      </c>
      <c r="U219" s="105">
        <v>45.9</v>
      </c>
      <c r="V219" s="54" t="s">
        <v>1142</v>
      </c>
      <c r="W219" s="102">
        <v>14</v>
      </c>
      <c r="X219" s="62">
        <v>0</v>
      </c>
      <c r="Y219" s="102">
        <v>0</v>
      </c>
      <c r="Z219" s="62">
        <v>0</v>
      </c>
      <c r="AA219" s="102">
        <v>0</v>
      </c>
      <c r="AB219" s="62">
        <v>0</v>
      </c>
      <c r="AC219" s="106" t="s">
        <v>206</v>
      </c>
      <c r="AD219" s="106" t="s">
        <v>206</v>
      </c>
      <c r="AE219" s="106" t="s">
        <v>206</v>
      </c>
      <c r="AF219" s="106" t="s">
        <v>206</v>
      </c>
      <c r="AG219" s="106" t="s">
        <v>206</v>
      </c>
      <c r="AH219" s="106" t="s">
        <v>206</v>
      </c>
      <c r="AI219" s="1" t="s">
        <v>371</v>
      </c>
      <c r="AJ219" s="1" t="s">
        <v>206</v>
      </c>
      <c r="AK219" s="1" t="s">
        <v>1579</v>
      </c>
      <c r="AL219" s="1" t="s">
        <v>198</v>
      </c>
      <c r="AM219" s="106" t="s">
        <v>27</v>
      </c>
      <c r="AN219" s="1" t="s">
        <v>357</v>
      </c>
      <c r="AO219" s="1" t="s">
        <v>208</v>
      </c>
      <c r="AP219" s="1" t="s">
        <v>206</v>
      </c>
      <c r="AQ219" s="1" t="s">
        <v>441</v>
      </c>
      <c r="AR219" s="1" t="s">
        <v>207</v>
      </c>
      <c r="AS219" s="106" t="s">
        <v>35</v>
      </c>
      <c r="AT219" s="1" t="s">
        <v>28</v>
      </c>
      <c r="AU219" s="106" t="s">
        <v>35</v>
      </c>
      <c r="AV219" s="106" t="s">
        <v>206</v>
      </c>
      <c r="AW219" s="106" t="s">
        <v>206</v>
      </c>
      <c r="AX219" s="106" t="s">
        <v>206</v>
      </c>
      <c r="AY219" s="106" t="s">
        <v>35</v>
      </c>
      <c r="AZ219" s="1" t="s">
        <v>206</v>
      </c>
      <c r="BA219" s="106" t="s">
        <v>206</v>
      </c>
      <c r="BB219" s="106" t="s">
        <v>206</v>
      </c>
      <c r="BC219" s="106" t="s">
        <v>206</v>
      </c>
      <c r="BD219" s="106" t="s">
        <v>206</v>
      </c>
      <c r="BE219" s="106" t="s">
        <v>206</v>
      </c>
      <c r="BF219" s="107">
        <f>IF(AZ219="Não","Sim","Não")</f>
      </c>
      <c r="BG219" s="107">
        <f>IF(AZ219="NA","Sim","Não")</f>
      </c>
      <c r="BH219" s="106" t="s">
        <v>206</v>
      </c>
      <c r="BI219" s="1" t="s">
        <v>238</v>
      </c>
      <c r="BJ219" s="106" t="s">
        <v>241</v>
      </c>
      <c r="BK219" s="1" t="s">
        <v>441</v>
      </c>
      <c r="BL219" s="102">
        <v>60</v>
      </c>
      <c r="BM219" s="1" t="s">
        <v>208</v>
      </c>
      <c r="BN219" s="1" t="s">
        <v>208</v>
      </c>
      <c r="BO219" s="1" t="s">
        <v>441</v>
      </c>
      <c r="BP219" s="102">
        <v>60</v>
      </c>
      <c r="BQ219" s="1" t="s">
        <v>208</v>
      </c>
      <c r="BR219" s="1" t="s">
        <v>227</v>
      </c>
      <c r="BS219" s="106" t="s">
        <v>37</v>
      </c>
    </row>
    <row x14ac:dyDescent="0.25" r="220" customHeight="1" ht="17.25">
      <c r="A220" s="102">
        <v>219</v>
      </c>
      <c r="B220" s="1" t="s">
        <v>1215</v>
      </c>
      <c r="C220" s="102">
        <v>1</v>
      </c>
      <c r="D220" s="61">
        <v>42884</v>
      </c>
      <c r="E220" s="1" t="s">
        <v>78</v>
      </c>
      <c r="F220" s="1" t="s">
        <v>22</v>
      </c>
      <c r="G220" s="1" t="s">
        <v>64</v>
      </c>
      <c r="H220" s="1" t="s">
        <v>1580</v>
      </c>
      <c r="I220" s="102">
        <v>1</v>
      </c>
      <c r="J220" s="1" t="s">
        <v>159</v>
      </c>
      <c r="K220" s="1" t="s">
        <v>22</v>
      </c>
      <c r="L220" s="103">
        <v>29074</v>
      </c>
      <c r="M220" s="104">
        <v>37</v>
      </c>
      <c r="N220" s="1" t="s">
        <v>177</v>
      </c>
      <c r="O220" s="1" t="s">
        <v>24</v>
      </c>
      <c r="P220" s="1" t="s">
        <v>365</v>
      </c>
      <c r="Q220" s="1" t="s">
        <v>1581</v>
      </c>
      <c r="R220" s="54" t="s">
        <v>1217</v>
      </c>
      <c r="S220" s="102">
        <v>80000</v>
      </c>
      <c r="T220" s="54" t="s">
        <v>1218</v>
      </c>
      <c r="U220" s="102">
        <v>2500</v>
      </c>
      <c r="V220" s="54" t="s">
        <v>1219</v>
      </c>
      <c r="W220" s="105">
        <v>382.4</v>
      </c>
      <c r="X220" s="62">
        <v>0</v>
      </c>
      <c r="Y220" s="102">
        <v>0</v>
      </c>
      <c r="Z220" s="62">
        <v>0</v>
      </c>
      <c r="AA220" s="102">
        <v>0</v>
      </c>
      <c r="AB220" s="62">
        <v>0</v>
      </c>
      <c r="AC220" s="106" t="s">
        <v>206</v>
      </c>
      <c r="AD220" s="106" t="s">
        <v>206</v>
      </c>
      <c r="AE220" s="106" t="s">
        <v>206</v>
      </c>
      <c r="AF220" s="106" t="s">
        <v>206</v>
      </c>
      <c r="AG220" s="106" t="s">
        <v>206</v>
      </c>
      <c r="AH220" s="106" t="s">
        <v>206</v>
      </c>
      <c r="AI220" s="1" t="s">
        <v>1220</v>
      </c>
      <c r="AJ220" s="1" t="s">
        <v>1221</v>
      </c>
      <c r="AK220" s="1" t="s">
        <v>770</v>
      </c>
      <c r="AL220" s="1" t="s">
        <v>198</v>
      </c>
      <c r="AM220" s="106" t="s">
        <v>27</v>
      </c>
      <c r="AN220" s="1" t="s">
        <v>357</v>
      </c>
      <c r="AO220" s="1" t="s">
        <v>1221</v>
      </c>
      <c r="AP220" s="1" t="s">
        <v>406</v>
      </c>
      <c r="AQ220" s="1" t="s">
        <v>492</v>
      </c>
      <c r="AR220" s="1" t="s">
        <v>206</v>
      </c>
      <c r="AS220" s="106" t="s">
        <v>206</v>
      </c>
      <c r="AT220" s="1" t="s">
        <v>28</v>
      </c>
      <c r="AU220" s="106" t="s">
        <v>35</v>
      </c>
      <c r="AV220" s="106" t="s">
        <v>206</v>
      </c>
      <c r="AW220" s="106" t="s">
        <v>206</v>
      </c>
      <c r="AX220" s="106" t="s">
        <v>206</v>
      </c>
      <c r="AY220" s="106" t="s">
        <v>35</v>
      </c>
      <c r="AZ220" s="1" t="s">
        <v>206</v>
      </c>
      <c r="BA220" s="106" t="s">
        <v>206</v>
      </c>
      <c r="BB220" s="106" t="s">
        <v>206</v>
      </c>
      <c r="BC220" s="106" t="s">
        <v>206</v>
      </c>
      <c r="BD220" s="106" t="s">
        <v>206</v>
      </c>
      <c r="BE220" s="106" t="s">
        <v>206</v>
      </c>
      <c r="BF220" s="107">
        <f>IF(AZ220="Não","Sim","Não")</f>
      </c>
      <c r="BG220" s="107">
        <f>IF(AZ220="NA","Sim","Não")</f>
      </c>
      <c r="BH220" s="106" t="s">
        <v>206</v>
      </c>
      <c r="BI220" s="1" t="s">
        <v>238</v>
      </c>
      <c r="BJ220" s="106" t="s">
        <v>241</v>
      </c>
      <c r="BK220" s="1" t="s">
        <v>441</v>
      </c>
      <c r="BL220" s="102">
        <v>60</v>
      </c>
      <c r="BM220" s="1" t="s">
        <v>208</v>
      </c>
      <c r="BN220" s="1" t="s">
        <v>661</v>
      </c>
      <c r="BO220" s="1" t="s">
        <v>375</v>
      </c>
      <c r="BP220" s="102">
        <v>84</v>
      </c>
      <c r="BQ220" s="1" t="s">
        <v>208</v>
      </c>
      <c r="BR220" s="1" t="s">
        <v>227</v>
      </c>
      <c r="BS220" s="106" t="s">
        <v>37</v>
      </c>
    </row>
    <row x14ac:dyDescent="0.25" r="221" customHeight="1" ht="17.25">
      <c r="A221" s="102">
        <v>220</v>
      </c>
      <c r="B221" s="1" t="s">
        <v>1582</v>
      </c>
      <c r="C221" s="102">
        <v>1</v>
      </c>
      <c r="D221" s="61" t="s">
        <v>606</v>
      </c>
      <c r="E221" s="1" t="s">
        <v>79</v>
      </c>
      <c r="F221" s="1" t="s">
        <v>170</v>
      </c>
      <c r="G221" s="1" t="s">
        <v>66</v>
      </c>
      <c r="H221" s="1" t="s">
        <v>1583</v>
      </c>
      <c r="I221" s="102">
        <v>1</v>
      </c>
      <c r="J221" s="1" t="s">
        <v>158</v>
      </c>
      <c r="K221" s="1" t="s">
        <v>22</v>
      </c>
      <c r="L221" s="103">
        <v>33284</v>
      </c>
      <c r="M221" s="104">
        <v>26</v>
      </c>
      <c r="N221" s="1" t="s">
        <v>175</v>
      </c>
      <c r="O221" s="1" t="s">
        <v>24</v>
      </c>
      <c r="P221" s="1" t="s">
        <v>354</v>
      </c>
      <c r="Q221" s="1" t="s">
        <v>1584</v>
      </c>
      <c r="R221" s="54" t="s">
        <v>1585</v>
      </c>
      <c r="S221" s="105">
        <v>64.7</v>
      </c>
      <c r="T221" s="54" t="s">
        <v>1586</v>
      </c>
      <c r="U221" s="105">
        <v>10.6</v>
      </c>
      <c r="V221" s="54" t="s">
        <v>1587</v>
      </c>
      <c r="W221" s="105">
        <v>15.3</v>
      </c>
      <c r="X221" s="62">
        <v>0</v>
      </c>
      <c r="Y221" s="102">
        <v>0</v>
      </c>
      <c r="Z221" s="62">
        <v>0</v>
      </c>
      <c r="AA221" s="102">
        <v>0</v>
      </c>
      <c r="AB221" s="62">
        <v>0</v>
      </c>
      <c r="AC221" s="106" t="s">
        <v>206</v>
      </c>
      <c r="AD221" s="106" t="s">
        <v>206</v>
      </c>
      <c r="AE221" s="106" t="s">
        <v>206</v>
      </c>
      <c r="AF221" s="106" t="s">
        <v>206</v>
      </c>
      <c r="AG221" s="106" t="s">
        <v>206</v>
      </c>
      <c r="AH221" s="106" t="s">
        <v>206</v>
      </c>
      <c r="AI221" s="1" t="s">
        <v>357</v>
      </c>
      <c r="AJ221" s="1" t="s">
        <v>206</v>
      </c>
      <c r="AK221" s="1" t="s">
        <v>1108</v>
      </c>
      <c r="AL221" s="1" t="s">
        <v>197</v>
      </c>
      <c r="AM221" s="106" t="s">
        <v>27</v>
      </c>
      <c r="AN221" s="1" t="s">
        <v>357</v>
      </c>
      <c r="AO221" s="1" t="s">
        <v>208</v>
      </c>
      <c r="AP221" s="1" t="s">
        <v>653</v>
      </c>
      <c r="AQ221" s="1" t="s">
        <v>386</v>
      </c>
      <c r="AR221" s="1" t="s">
        <v>206</v>
      </c>
      <c r="AS221" s="106" t="s">
        <v>206</v>
      </c>
      <c r="AT221" s="1" t="s">
        <v>28</v>
      </c>
      <c r="AU221" s="106" t="s">
        <v>35</v>
      </c>
      <c r="AV221" s="106" t="s">
        <v>206</v>
      </c>
      <c r="AW221" s="106" t="s">
        <v>206</v>
      </c>
      <c r="AX221" s="106" t="s">
        <v>206</v>
      </c>
      <c r="AY221" s="106" t="s">
        <v>35</v>
      </c>
      <c r="AZ221" s="1" t="s">
        <v>206</v>
      </c>
      <c r="BA221" s="106" t="s">
        <v>206</v>
      </c>
      <c r="BB221" s="106" t="s">
        <v>206</v>
      </c>
      <c r="BC221" s="106" t="s">
        <v>206</v>
      </c>
      <c r="BD221" s="106" t="s">
        <v>206</v>
      </c>
      <c r="BE221" s="106" t="s">
        <v>206</v>
      </c>
      <c r="BF221" s="107">
        <f>IF(AZ221="Não","Sim","Não")</f>
      </c>
      <c r="BG221" s="107">
        <f>IF(AZ221="NA","Sim","Não")</f>
      </c>
      <c r="BH221" s="106" t="s">
        <v>206</v>
      </c>
      <c r="BI221" s="1" t="s">
        <v>206</v>
      </c>
      <c r="BJ221" s="106" t="s">
        <v>206</v>
      </c>
      <c r="BK221" s="1" t="s">
        <v>441</v>
      </c>
      <c r="BL221" s="102">
        <v>60</v>
      </c>
      <c r="BM221" s="1" t="s">
        <v>208</v>
      </c>
      <c r="BN221" s="1" t="s">
        <v>208</v>
      </c>
      <c r="BO221" s="1" t="s">
        <v>441</v>
      </c>
      <c r="BP221" s="102">
        <v>60</v>
      </c>
      <c r="BQ221" s="1" t="s">
        <v>208</v>
      </c>
      <c r="BR221" s="1" t="s">
        <v>227</v>
      </c>
      <c r="BS221" s="106" t="s">
        <v>37</v>
      </c>
    </row>
    <row x14ac:dyDescent="0.25" r="222" customHeight="1" ht="17.25">
      <c r="A222" s="102">
        <v>221</v>
      </c>
      <c r="B222" s="1" t="s">
        <v>1588</v>
      </c>
      <c r="C222" s="102">
        <v>1</v>
      </c>
      <c r="D222" s="61" t="s">
        <v>1589</v>
      </c>
      <c r="E222" s="1" t="s">
        <v>149</v>
      </c>
      <c r="F222" s="1" t="s">
        <v>170</v>
      </c>
      <c r="G222" s="1" t="s">
        <v>47</v>
      </c>
      <c r="H222" s="1" t="s">
        <v>1590</v>
      </c>
      <c r="I222" s="102">
        <v>1</v>
      </c>
      <c r="J222" s="1" t="s">
        <v>159</v>
      </c>
      <c r="K222" s="1" t="s">
        <v>22</v>
      </c>
      <c r="L222" s="103">
        <v>30801</v>
      </c>
      <c r="M222" s="104">
        <v>33</v>
      </c>
      <c r="N222" s="1" t="s">
        <v>175</v>
      </c>
      <c r="O222" s="1" t="s">
        <v>24</v>
      </c>
      <c r="P222" s="1" t="s">
        <v>365</v>
      </c>
      <c r="Q222" s="1" t="s">
        <v>1591</v>
      </c>
      <c r="R222" s="54" t="s">
        <v>1592</v>
      </c>
      <c r="S222" s="105">
        <v>66.3</v>
      </c>
      <c r="T222" s="54" t="s">
        <v>1593</v>
      </c>
      <c r="U222" s="105">
        <v>17.8</v>
      </c>
      <c r="V222" s="54" t="s">
        <v>1594</v>
      </c>
      <c r="W222" s="105">
        <v>11.7</v>
      </c>
      <c r="X222" s="62">
        <v>0</v>
      </c>
      <c r="Y222" s="102">
        <v>0</v>
      </c>
      <c r="Z222" s="62">
        <v>0</v>
      </c>
      <c r="AA222" s="102">
        <v>0</v>
      </c>
      <c r="AB222" s="62">
        <v>0</v>
      </c>
      <c r="AC222" s="106" t="s">
        <v>206</v>
      </c>
      <c r="AD222" s="106" t="s">
        <v>206</v>
      </c>
      <c r="AE222" s="106" t="s">
        <v>206</v>
      </c>
      <c r="AF222" s="106" t="s">
        <v>206</v>
      </c>
      <c r="AG222" s="106" t="s">
        <v>206</v>
      </c>
      <c r="AH222" s="106" t="s">
        <v>206</v>
      </c>
      <c r="AI222" s="1" t="s">
        <v>357</v>
      </c>
      <c r="AJ222" s="1" t="s">
        <v>206</v>
      </c>
      <c r="AK222" s="1" t="s">
        <v>1579</v>
      </c>
      <c r="AL222" s="1" t="s">
        <v>197</v>
      </c>
      <c r="AM222" s="106" t="s">
        <v>27</v>
      </c>
      <c r="AN222" s="1" t="s">
        <v>357</v>
      </c>
      <c r="AO222" s="1" t="s">
        <v>208</v>
      </c>
      <c r="AP222" s="1" t="s">
        <v>620</v>
      </c>
      <c r="AQ222" s="1" t="s">
        <v>492</v>
      </c>
      <c r="AR222" s="1" t="s">
        <v>206</v>
      </c>
      <c r="AS222" s="106" t="s">
        <v>206</v>
      </c>
      <c r="AT222" s="1" t="s">
        <v>28</v>
      </c>
      <c r="AU222" s="106" t="s">
        <v>35</v>
      </c>
      <c r="AV222" s="106" t="s">
        <v>206</v>
      </c>
      <c r="AW222" s="106" t="s">
        <v>206</v>
      </c>
      <c r="AX222" s="106" t="s">
        <v>206</v>
      </c>
      <c r="AY222" s="106" t="s">
        <v>35</v>
      </c>
      <c r="AZ222" s="1" t="s">
        <v>206</v>
      </c>
      <c r="BA222" s="106" t="s">
        <v>206</v>
      </c>
      <c r="BB222" s="106" t="s">
        <v>206</v>
      </c>
      <c r="BC222" s="106" t="s">
        <v>206</v>
      </c>
      <c r="BD222" s="106" t="s">
        <v>206</v>
      </c>
      <c r="BE222" s="106" t="s">
        <v>206</v>
      </c>
      <c r="BF222" s="107">
        <f>IF(AZ222="Não","Sim","Não")</f>
      </c>
      <c r="BG222" s="107">
        <f>IF(AZ222="NA","Sim","Não")</f>
      </c>
      <c r="BH222" s="106" t="s">
        <v>206</v>
      </c>
      <c r="BI222" s="1" t="s">
        <v>206</v>
      </c>
      <c r="BJ222" s="106" t="s">
        <v>206</v>
      </c>
      <c r="BK222" s="1" t="s">
        <v>441</v>
      </c>
      <c r="BL222" s="102">
        <v>60</v>
      </c>
      <c r="BM222" s="1" t="s">
        <v>208</v>
      </c>
      <c r="BN222" s="1" t="s">
        <v>208</v>
      </c>
      <c r="BO222" s="1" t="s">
        <v>441</v>
      </c>
      <c r="BP222" s="102">
        <v>60</v>
      </c>
      <c r="BQ222" s="1" t="s">
        <v>208</v>
      </c>
      <c r="BR222" s="1" t="s">
        <v>227</v>
      </c>
      <c r="BS222" s="106" t="s">
        <v>37</v>
      </c>
    </row>
    <row x14ac:dyDescent="0.25" r="223" customHeight="1" ht="17.25">
      <c r="A223" s="102">
        <v>222</v>
      </c>
      <c r="B223" s="1" t="s">
        <v>1595</v>
      </c>
      <c r="C223" s="102">
        <v>1</v>
      </c>
      <c r="D223" s="61" t="s">
        <v>817</v>
      </c>
      <c r="E223" s="1" t="s">
        <v>80</v>
      </c>
      <c r="F223" s="1" t="s">
        <v>170</v>
      </c>
      <c r="G223" s="1" t="s">
        <v>41</v>
      </c>
      <c r="H223" s="1" t="s">
        <v>1596</v>
      </c>
      <c r="I223" s="102">
        <v>1</v>
      </c>
      <c r="J223" s="1" t="s">
        <v>165</v>
      </c>
      <c r="K223" s="1" t="s">
        <v>22</v>
      </c>
      <c r="L223" s="103">
        <v>23196</v>
      </c>
      <c r="M223" s="104">
        <v>54</v>
      </c>
      <c r="N223" s="1" t="s">
        <v>175</v>
      </c>
      <c r="O223" s="1" t="s">
        <v>24</v>
      </c>
      <c r="P223" s="1" t="s">
        <v>365</v>
      </c>
      <c r="Q223" s="1" t="s">
        <v>1597</v>
      </c>
      <c r="R223" s="54" t="s">
        <v>1598</v>
      </c>
      <c r="S223" s="105">
        <v>278.09999999999997</v>
      </c>
      <c r="T223" s="54" t="s">
        <v>1599</v>
      </c>
      <c r="U223" s="105">
        <v>2.3</v>
      </c>
      <c r="V223" s="54" t="s">
        <v>1600</v>
      </c>
      <c r="W223" s="105">
        <v>0.8</v>
      </c>
      <c r="X223" s="62">
        <v>0</v>
      </c>
      <c r="Y223" s="102">
        <v>0</v>
      </c>
      <c r="Z223" s="62">
        <v>0</v>
      </c>
      <c r="AA223" s="102">
        <v>0</v>
      </c>
      <c r="AB223" s="62">
        <v>0</v>
      </c>
      <c r="AC223" s="106" t="s">
        <v>206</v>
      </c>
      <c r="AD223" s="106" t="s">
        <v>206</v>
      </c>
      <c r="AE223" s="106" t="s">
        <v>206</v>
      </c>
      <c r="AF223" s="106" t="s">
        <v>206</v>
      </c>
      <c r="AG223" s="106" t="s">
        <v>206</v>
      </c>
      <c r="AH223" s="106" t="s">
        <v>206</v>
      </c>
      <c r="AI223" s="1" t="s">
        <v>357</v>
      </c>
      <c r="AJ223" s="1" t="s">
        <v>1221</v>
      </c>
      <c r="AK223" s="1" t="s">
        <v>1601</v>
      </c>
      <c r="AL223" s="1" t="s">
        <v>197</v>
      </c>
      <c r="AM223" s="106" t="s">
        <v>27</v>
      </c>
      <c r="AN223" s="1" t="s">
        <v>357</v>
      </c>
      <c r="AO223" s="1" t="s">
        <v>1221</v>
      </c>
      <c r="AP223" s="1" t="s">
        <v>206</v>
      </c>
      <c r="AQ223" s="1" t="s">
        <v>441</v>
      </c>
      <c r="AR223" s="1" t="s">
        <v>206</v>
      </c>
      <c r="AS223" s="106" t="s">
        <v>206</v>
      </c>
      <c r="AT223" s="1" t="s">
        <v>206</v>
      </c>
      <c r="AU223" s="106" t="s">
        <v>206</v>
      </c>
      <c r="AV223" s="106" t="s">
        <v>206</v>
      </c>
      <c r="AW223" s="106" t="s">
        <v>35</v>
      </c>
      <c r="AX223" s="106" t="s">
        <v>206</v>
      </c>
      <c r="AY223" s="106" t="s">
        <v>206</v>
      </c>
      <c r="AZ223" s="1" t="s">
        <v>206</v>
      </c>
      <c r="BA223" s="106" t="s">
        <v>206</v>
      </c>
      <c r="BB223" s="106" t="s">
        <v>206</v>
      </c>
      <c r="BC223" s="106" t="s">
        <v>206</v>
      </c>
      <c r="BD223" s="106" t="s">
        <v>206</v>
      </c>
      <c r="BE223" s="106" t="s">
        <v>206</v>
      </c>
      <c r="BF223" s="107">
        <f>IF(AZ223="Não","Sim","Não")</f>
      </c>
      <c r="BG223" s="107">
        <f>IF(AZ223="NA","Sim","Não")</f>
      </c>
      <c r="BH223" s="106" t="s">
        <v>206</v>
      </c>
      <c r="BI223" s="1" t="s">
        <v>206</v>
      </c>
      <c r="BJ223" s="106" t="s">
        <v>206</v>
      </c>
      <c r="BK223" s="1" t="s">
        <v>441</v>
      </c>
      <c r="BL223" s="102">
        <v>60</v>
      </c>
      <c r="BM223" s="1" t="s">
        <v>208</v>
      </c>
      <c r="BN223" s="1" t="s">
        <v>661</v>
      </c>
      <c r="BO223" s="1" t="s">
        <v>375</v>
      </c>
      <c r="BP223" s="102">
        <v>84</v>
      </c>
      <c r="BQ223" s="1" t="s">
        <v>208</v>
      </c>
      <c r="BR223" s="1" t="s">
        <v>227</v>
      </c>
      <c r="BS223" s="106" t="s">
        <v>37</v>
      </c>
    </row>
    <row x14ac:dyDescent="0.25" r="224" customHeight="1" ht="17.25">
      <c r="A224" s="102">
        <v>223</v>
      </c>
      <c r="B224" s="1" t="s">
        <v>1602</v>
      </c>
      <c r="C224" s="102">
        <v>1</v>
      </c>
      <c r="D224" s="61">
        <v>42975</v>
      </c>
      <c r="E224" s="1" t="s">
        <v>91</v>
      </c>
      <c r="F224" s="1" t="s">
        <v>170</v>
      </c>
      <c r="G224" s="1" t="s">
        <v>61</v>
      </c>
      <c r="H224" s="1" t="s">
        <v>1603</v>
      </c>
      <c r="I224" s="102">
        <v>1</v>
      </c>
      <c r="J224" s="1" t="s">
        <v>158</v>
      </c>
      <c r="K224" s="1" t="s">
        <v>22</v>
      </c>
      <c r="L224" s="103">
        <v>35986</v>
      </c>
      <c r="M224" s="104">
        <v>19</v>
      </c>
      <c r="N224" s="1" t="s">
        <v>175</v>
      </c>
      <c r="O224" s="1" t="s">
        <v>24</v>
      </c>
      <c r="P224" s="1" t="s">
        <v>365</v>
      </c>
      <c r="Q224" s="1" t="s">
        <v>366</v>
      </c>
      <c r="R224" s="54" t="s">
        <v>1604</v>
      </c>
      <c r="S224" s="102">
        <v>196</v>
      </c>
      <c r="T224" s="54" t="s">
        <v>1605</v>
      </c>
      <c r="U224" s="105">
        <v>28.2</v>
      </c>
      <c r="V224" s="54" t="s">
        <v>1606</v>
      </c>
      <c r="W224" s="105">
        <v>14.1</v>
      </c>
      <c r="X224" s="62">
        <v>0</v>
      </c>
      <c r="Y224" s="102">
        <v>0</v>
      </c>
      <c r="Z224" s="62">
        <v>0</v>
      </c>
      <c r="AA224" s="102">
        <v>0</v>
      </c>
      <c r="AB224" s="62">
        <v>0</v>
      </c>
      <c r="AC224" s="106" t="s">
        <v>206</v>
      </c>
      <c r="AD224" s="106" t="s">
        <v>206</v>
      </c>
      <c r="AE224" s="106" t="s">
        <v>206</v>
      </c>
      <c r="AF224" s="106" t="s">
        <v>206</v>
      </c>
      <c r="AG224" s="106" t="s">
        <v>206</v>
      </c>
      <c r="AH224" s="106" t="s">
        <v>206</v>
      </c>
      <c r="AI224" s="1" t="s">
        <v>357</v>
      </c>
      <c r="AJ224" s="1" t="s">
        <v>206</v>
      </c>
      <c r="AK224" s="1" t="s">
        <v>1607</v>
      </c>
      <c r="AL224" s="1" t="s">
        <v>197</v>
      </c>
      <c r="AM224" s="106" t="s">
        <v>27</v>
      </c>
      <c r="AN224" s="1" t="s">
        <v>357</v>
      </c>
      <c r="AO224" s="1" t="s">
        <v>208</v>
      </c>
      <c r="AP224" s="1" t="s">
        <v>1608</v>
      </c>
      <c r="AQ224" s="1" t="s">
        <v>386</v>
      </c>
      <c r="AR224" s="1" t="s">
        <v>206</v>
      </c>
      <c r="AS224" s="106" t="s">
        <v>206</v>
      </c>
      <c r="AT224" s="1" t="s">
        <v>29</v>
      </c>
      <c r="AU224" s="106" t="s">
        <v>206</v>
      </c>
      <c r="AV224" s="106" t="s">
        <v>35</v>
      </c>
      <c r="AW224" s="106" t="s">
        <v>206</v>
      </c>
      <c r="AX224" s="106" t="s">
        <v>206</v>
      </c>
      <c r="AY224" s="106" t="s">
        <v>35</v>
      </c>
      <c r="AZ224" s="1" t="s">
        <v>206</v>
      </c>
      <c r="BA224" s="106" t="s">
        <v>206</v>
      </c>
      <c r="BB224" s="106" t="s">
        <v>206</v>
      </c>
      <c r="BC224" s="106" t="s">
        <v>206</v>
      </c>
      <c r="BD224" s="106" t="s">
        <v>206</v>
      </c>
      <c r="BE224" s="106" t="s">
        <v>206</v>
      </c>
      <c r="BF224" s="107">
        <f>IF(AZ224="Não","Sim","Não")</f>
      </c>
      <c r="BG224" s="107">
        <f>IF(AZ224="NA","Sim","Não")</f>
      </c>
      <c r="BH224" s="106" t="s">
        <v>206</v>
      </c>
      <c r="BI224" s="1" t="s">
        <v>206</v>
      </c>
      <c r="BJ224" s="106" t="s">
        <v>206</v>
      </c>
      <c r="BK224" s="1" t="s">
        <v>441</v>
      </c>
      <c r="BL224" s="102">
        <v>60</v>
      </c>
      <c r="BM224" s="1" t="s">
        <v>208</v>
      </c>
      <c r="BN224" s="1" t="s">
        <v>208</v>
      </c>
      <c r="BO224" s="1" t="s">
        <v>441</v>
      </c>
      <c r="BP224" s="102">
        <v>60</v>
      </c>
      <c r="BQ224" s="1" t="s">
        <v>208</v>
      </c>
      <c r="BR224" s="1" t="s">
        <v>227</v>
      </c>
      <c r="BS224" s="106" t="s">
        <v>37</v>
      </c>
    </row>
    <row x14ac:dyDescent="0.25" r="225" customHeight="1" ht="17.25">
      <c r="A225" s="102">
        <v>224</v>
      </c>
      <c r="B225" s="1" t="s">
        <v>1609</v>
      </c>
      <c r="C225" s="102">
        <v>1</v>
      </c>
      <c r="D225" s="61" t="s">
        <v>962</v>
      </c>
      <c r="E225" s="1" t="s">
        <v>80</v>
      </c>
      <c r="F225" s="1" t="s">
        <v>170</v>
      </c>
      <c r="G225" s="1" t="s">
        <v>41</v>
      </c>
      <c r="H225" s="1" t="s">
        <v>1610</v>
      </c>
      <c r="I225" s="102">
        <v>1</v>
      </c>
      <c r="J225" s="1" t="s">
        <v>158</v>
      </c>
      <c r="K225" s="1" t="s">
        <v>170</v>
      </c>
      <c r="L225" s="103">
        <v>33396</v>
      </c>
      <c r="M225" s="104">
        <v>26</v>
      </c>
      <c r="N225" s="1" t="s">
        <v>176</v>
      </c>
      <c r="O225" s="1" t="s">
        <v>182</v>
      </c>
      <c r="P225" s="1" t="s">
        <v>615</v>
      </c>
      <c r="Q225" s="1" t="s">
        <v>1611</v>
      </c>
      <c r="R225" s="54" t="s">
        <v>1612</v>
      </c>
      <c r="S225" s="105">
        <v>70.9</v>
      </c>
      <c r="T225" s="54" t="s">
        <v>1613</v>
      </c>
      <c r="U225" s="105">
        <v>32.7</v>
      </c>
      <c r="V225" s="54" t="s">
        <v>1614</v>
      </c>
      <c r="W225" s="105">
        <v>10.9</v>
      </c>
      <c r="X225" s="62">
        <v>0</v>
      </c>
      <c r="Y225" s="102">
        <v>0</v>
      </c>
      <c r="Z225" s="62">
        <v>0</v>
      </c>
      <c r="AA225" s="102">
        <v>0</v>
      </c>
      <c r="AB225" s="62">
        <v>0</v>
      </c>
      <c r="AC225" s="106" t="s">
        <v>206</v>
      </c>
      <c r="AD225" s="106" t="s">
        <v>206</v>
      </c>
      <c r="AE225" s="106" t="s">
        <v>206</v>
      </c>
      <c r="AF225" s="106" t="s">
        <v>206</v>
      </c>
      <c r="AG225" s="106" t="s">
        <v>206</v>
      </c>
      <c r="AH225" s="106" t="s">
        <v>206</v>
      </c>
      <c r="AI225" s="1" t="s">
        <v>357</v>
      </c>
      <c r="AJ225" s="1" t="s">
        <v>206</v>
      </c>
      <c r="AK225" s="1" t="s">
        <v>1615</v>
      </c>
      <c r="AL225" s="1" t="s">
        <v>197</v>
      </c>
      <c r="AM225" s="106" t="s">
        <v>27</v>
      </c>
      <c r="AN225" s="1" t="s">
        <v>357</v>
      </c>
      <c r="AO225" s="1" t="s">
        <v>208</v>
      </c>
      <c r="AP225" s="1" t="s">
        <v>206</v>
      </c>
      <c r="AQ225" s="1" t="s">
        <v>441</v>
      </c>
      <c r="AR225" s="1" t="s">
        <v>206</v>
      </c>
      <c r="AS225" s="106" t="s">
        <v>206</v>
      </c>
      <c r="AT225" s="1" t="s">
        <v>206</v>
      </c>
      <c r="AU225" s="106" t="s">
        <v>206</v>
      </c>
      <c r="AV225" s="106" t="s">
        <v>206</v>
      </c>
      <c r="AW225" s="106" t="s">
        <v>35</v>
      </c>
      <c r="AX225" s="106" t="s">
        <v>206</v>
      </c>
      <c r="AY225" s="106" t="s">
        <v>206</v>
      </c>
      <c r="AZ225" s="1" t="s">
        <v>206</v>
      </c>
      <c r="BA225" s="106" t="s">
        <v>206</v>
      </c>
      <c r="BB225" s="106" t="s">
        <v>206</v>
      </c>
      <c r="BC225" s="106" t="s">
        <v>206</v>
      </c>
      <c r="BD225" s="106" t="s">
        <v>206</v>
      </c>
      <c r="BE225" s="106" t="s">
        <v>206</v>
      </c>
      <c r="BF225" s="107">
        <f>IF(AZ225="Não","Sim","Não")</f>
      </c>
      <c r="BG225" s="107">
        <f>IF(AZ225="NA","Sim","Não")</f>
      </c>
      <c r="BH225" s="106" t="s">
        <v>206</v>
      </c>
      <c r="BI225" s="1" t="s">
        <v>206</v>
      </c>
      <c r="BJ225" s="106" t="s">
        <v>206</v>
      </c>
      <c r="BK225" s="1" t="s">
        <v>441</v>
      </c>
      <c r="BL225" s="102">
        <v>60</v>
      </c>
      <c r="BM225" s="1" t="s">
        <v>208</v>
      </c>
      <c r="BN225" s="1" t="s">
        <v>208</v>
      </c>
      <c r="BO225" s="1" t="s">
        <v>441</v>
      </c>
      <c r="BP225" s="102">
        <v>60</v>
      </c>
      <c r="BQ225" s="1" t="s">
        <v>208</v>
      </c>
      <c r="BR225" s="1" t="s">
        <v>227</v>
      </c>
      <c r="BS225" s="106" t="s">
        <v>37</v>
      </c>
    </row>
    <row x14ac:dyDescent="0.25" r="226" customHeight="1" ht="17.25">
      <c r="A226" s="102">
        <v>225</v>
      </c>
      <c r="B226" s="1" t="s">
        <v>1616</v>
      </c>
      <c r="C226" s="102">
        <v>0</v>
      </c>
      <c r="D226" s="61" t="s">
        <v>1617</v>
      </c>
      <c r="E226" s="1" t="s">
        <v>103</v>
      </c>
      <c r="F226" s="1" t="s">
        <v>22</v>
      </c>
      <c r="G226" s="1" t="s">
        <v>54</v>
      </c>
      <c r="H226" s="1" t="s">
        <v>1618</v>
      </c>
      <c r="I226" s="102">
        <v>1</v>
      </c>
      <c r="J226" s="1" t="s">
        <v>158</v>
      </c>
      <c r="K226" s="1" t="s">
        <v>170</v>
      </c>
      <c r="L226" s="103">
        <v>29881</v>
      </c>
      <c r="M226" s="104">
        <v>35</v>
      </c>
      <c r="N226" s="1" t="s">
        <v>176</v>
      </c>
      <c r="O226" s="1" t="s">
        <v>182</v>
      </c>
      <c r="P226" s="1" t="s">
        <v>464</v>
      </c>
      <c r="Q226" s="1" t="s">
        <v>1619</v>
      </c>
      <c r="R226" s="62">
        <v>0</v>
      </c>
      <c r="S226" s="102">
        <v>0</v>
      </c>
      <c r="T226" s="62">
        <v>0</v>
      </c>
      <c r="U226" s="102">
        <v>0</v>
      </c>
      <c r="V226" s="54" t="s">
        <v>1620</v>
      </c>
      <c r="W226" s="102">
        <v>60</v>
      </c>
      <c r="X226" s="62">
        <v>0</v>
      </c>
      <c r="Y226" s="102">
        <v>0</v>
      </c>
      <c r="Z226" s="62">
        <v>0</v>
      </c>
      <c r="AA226" s="102">
        <v>0</v>
      </c>
      <c r="AB226" s="62">
        <v>0</v>
      </c>
      <c r="AC226" s="106" t="s">
        <v>206</v>
      </c>
      <c r="AD226" s="106" t="s">
        <v>206</v>
      </c>
      <c r="AE226" s="106" t="s">
        <v>206</v>
      </c>
      <c r="AF226" s="106" t="s">
        <v>206</v>
      </c>
      <c r="AG226" s="106" t="s">
        <v>206</v>
      </c>
      <c r="AH226" s="106" t="s">
        <v>206</v>
      </c>
      <c r="AI226" s="1" t="s">
        <v>357</v>
      </c>
      <c r="AJ226" s="1" t="s">
        <v>206</v>
      </c>
      <c r="AK226" s="1" t="s">
        <v>1621</v>
      </c>
      <c r="AL226" s="1" t="s">
        <v>197</v>
      </c>
      <c r="AM226" s="106" t="s">
        <v>27</v>
      </c>
      <c r="AN226" s="1" t="s">
        <v>357</v>
      </c>
      <c r="AO226" s="1" t="s">
        <v>208</v>
      </c>
      <c r="AP226" s="1" t="s">
        <v>206</v>
      </c>
      <c r="AQ226" s="1" t="s">
        <v>441</v>
      </c>
      <c r="AR226" s="1" t="s">
        <v>206</v>
      </c>
      <c r="AS226" s="106" t="s">
        <v>206</v>
      </c>
      <c r="AT226" s="1" t="s">
        <v>206</v>
      </c>
      <c r="AU226" s="106" t="s">
        <v>206</v>
      </c>
      <c r="AV226" s="106" t="s">
        <v>206</v>
      </c>
      <c r="AW226" s="106" t="s">
        <v>35</v>
      </c>
      <c r="AX226" s="106" t="s">
        <v>206</v>
      </c>
      <c r="AY226" s="106" t="s">
        <v>206</v>
      </c>
      <c r="AZ226" s="1" t="s">
        <v>206</v>
      </c>
      <c r="BA226" s="106" t="s">
        <v>206</v>
      </c>
      <c r="BB226" s="106" t="s">
        <v>206</v>
      </c>
      <c r="BC226" s="106" t="s">
        <v>206</v>
      </c>
      <c r="BD226" s="106" t="s">
        <v>206</v>
      </c>
      <c r="BE226" s="106" t="s">
        <v>206</v>
      </c>
      <c r="BF226" s="107">
        <f>IF(AZ226="Não","Sim","Não")</f>
      </c>
      <c r="BG226" s="107">
        <f>IF(AZ226="NA","Sim","Não")</f>
      </c>
      <c r="BH226" s="106" t="s">
        <v>206</v>
      </c>
      <c r="BI226" s="1" t="s">
        <v>206</v>
      </c>
      <c r="BJ226" s="106" t="s">
        <v>206</v>
      </c>
      <c r="BK226" s="1" t="s">
        <v>441</v>
      </c>
      <c r="BL226" s="102">
        <v>60</v>
      </c>
      <c r="BM226" s="1" t="s">
        <v>208</v>
      </c>
      <c r="BN226" s="1" t="s">
        <v>208</v>
      </c>
      <c r="BO226" s="1" t="s">
        <v>441</v>
      </c>
      <c r="BP226" s="102">
        <v>60</v>
      </c>
      <c r="BQ226" s="1" t="s">
        <v>208</v>
      </c>
      <c r="BR226" s="1" t="s">
        <v>227</v>
      </c>
      <c r="BS226" s="106" t="s">
        <v>37</v>
      </c>
    </row>
    <row x14ac:dyDescent="0.25" r="227" customHeight="1" ht="17.25">
      <c r="A227" s="102">
        <v>226</v>
      </c>
      <c r="B227" s="1" t="s">
        <v>1622</v>
      </c>
      <c r="C227" s="102">
        <v>1</v>
      </c>
      <c r="D227" s="61" t="s">
        <v>378</v>
      </c>
      <c r="E227" s="1" t="s">
        <v>102</v>
      </c>
      <c r="F227" s="1" t="s">
        <v>22</v>
      </c>
      <c r="G227" s="1" t="s">
        <v>56</v>
      </c>
      <c r="H227" s="1" t="s">
        <v>1623</v>
      </c>
      <c r="I227" s="102">
        <v>1</v>
      </c>
      <c r="J227" s="1" t="s">
        <v>159</v>
      </c>
      <c r="K227" s="1" t="s">
        <v>22</v>
      </c>
      <c r="L227" s="103">
        <v>32087</v>
      </c>
      <c r="M227" s="104">
        <v>29</v>
      </c>
      <c r="N227" s="1" t="s">
        <v>176</v>
      </c>
      <c r="O227" s="1" t="s">
        <v>182</v>
      </c>
      <c r="P227" s="1" t="s">
        <v>365</v>
      </c>
      <c r="Q227" s="1" t="s">
        <v>1624</v>
      </c>
      <c r="R227" s="54" t="s">
        <v>1625</v>
      </c>
      <c r="S227" s="105">
        <v>34.2</v>
      </c>
      <c r="T227" s="54" t="s">
        <v>1626</v>
      </c>
      <c r="U227" s="105">
        <v>4.1</v>
      </c>
      <c r="V227" s="54" t="s">
        <v>1627</v>
      </c>
      <c r="W227" s="105">
        <v>2.3</v>
      </c>
      <c r="X227" s="62">
        <v>0</v>
      </c>
      <c r="Y227" s="102">
        <v>0</v>
      </c>
      <c r="Z227" s="62">
        <v>0</v>
      </c>
      <c r="AA227" s="102">
        <v>0</v>
      </c>
      <c r="AB227" s="62">
        <v>0</v>
      </c>
      <c r="AC227" s="106" t="s">
        <v>206</v>
      </c>
      <c r="AD227" s="106" t="s">
        <v>206</v>
      </c>
      <c r="AE227" s="106" t="s">
        <v>206</v>
      </c>
      <c r="AF227" s="106" t="s">
        <v>206</v>
      </c>
      <c r="AG227" s="106" t="s">
        <v>206</v>
      </c>
      <c r="AH227" s="106" t="s">
        <v>206</v>
      </c>
      <c r="AI227" s="1" t="s">
        <v>357</v>
      </c>
      <c r="AJ227" s="1" t="s">
        <v>206</v>
      </c>
      <c r="AK227" s="1" t="s">
        <v>358</v>
      </c>
      <c r="AL227" s="1" t="s">
        <v>197</v>
      </c>
      <c r="AM227" s="106" t="s">
        <v>27</v>
      </c>
      <c r="AN227" s="1" t="s">
        <v>357</v>
      </c>
      <c r="AO227" s="1" t="s">
        <v>208</v>
      </c>
      <c r="AP227" s="1" t="s">
        <v>206</v>
      </c>
      <c r="AQ227" s="1" t="s">
        <v>441</v>
      </c>
      <c r="AR227" s="1" t="s">
        <v>206</v>
      </c>
      <c r="AS227" s="106" t="s">
        <v>206</v>
      </c>
      <c r="AT227" s="1" t="s">
        <v>206</v>
      </c>
      <c r="AU227" s="106" t="s">
        <v>206</v>
      </c>
      <c r="AV227" s="106" t="s">
        <v>206</v>
      </c>
      <c r="AW227" s="106" t="s">
        <v>35</v>
      </c>
      <c r="AX227" s="106" t="s">
        <v>206</v>
      </c>
      <c r="AY227" s="106" t="s">
        <v>206</v>
      </c>
      <c r="AZ227" s="1" t="s">
        <v>206</v>
      </c>
      <c r="BA227" s="106" t="s">
        <v>206</v>
      </c>
      <c r="BB227" s="106" t="s">
        <v>206</v>
      </c>
      <c r="BC227" s="106" t="s">
        <v>206</v>
      </c>
      <c r="BD227" s="106" t="s">
        <v>206</v>
      </c>
      <c r="BE227" s="106" t="s">
        <v>206</v>
      </c>
      <c r="BF227" s="107">
        <f>IF(AZ227="Não","Sim","Não")</f>
      </c>
      <c r="BG227" s="107">
        <f>IF(AZ227="NA","Sim","Não")</f>
      </c>
      <c r="BH227" s="106" t="s">
        <v>206</v>
      </c>
      <c r="BI227" s="1" t="s">
        <v>238</v>
      </c>
      <c r="BJ227" s="106" t="s">
        <v>241</v>
      </c>
      <c r="BK227" s="1" t="s">
        <v>441</v>
      </c>
      <c r="BL227" s="102">
        <v>60</v>
      </c>
      <c r="BM227" s="1" t="s">
        <v>208</v>
      </c>
      <c r="BN227" s="1" t="s">
        <v>208</v>
      </c>
      <c r="BO227" s="1" t="s">
        <v>441</v>
      </c>
      <c r="BP227" s="102">
        <v>60</v>
      </c>
      <c r="BQ227" s="1" t="s">
        <v>208</v>
      </c>
      <c r="BR227" s="1" t="s">
        <v>227</v>
      </c>
      <c r="BS227" s="106" t="s">
        <v>37</v>
      </c>
    </row>
    <row x14ac:dyDescent="0.25" r="228" customHeight="1" ht="17.25">
      <c r="A228" s="102">
        <v>227</v>
      </c>
      <c r="B228" s="1" t="s">
        <v>1628</v>
      </c>
      <c r="C228" s="102">
        <v>1</v>
      </c>
      <c r="D228" s="61" t="s">
        <v>531</v>
      </c>
      <c r="E228" s="1" t="s">
        <v>106</v>
      </c>
      <c r="F228" s="1" t="s">
        <v>22</v>
      </c>
      <c r="G228" s="1" t="s">
        <v>55</v>
      </c>
      <c r="H228" s="1" t="s">
        <v>1629</v>
      </c>
      <c r="I228" s="102">
        <v>1</v>
      </c>
      <c r="J228" s="1" t="s">
        <v>158</v>
      </c>
      <c r="K228" s="1" t="s">
        <v>22</v>
      </c>
      <c r="L228" s="103">
        <v>33584</v>
      </c>
      <c r="M228" s="104">
        <v>25</v>
      </c>
      <c r="N228" s="1" t="s">
        <v>177</v>
      </c>
      <c r="O228" s="1" t="s">
        <v>24</v>
      </c>
      <c r="P228" s="1" t="s">
        <v>354</v>
      </c>
      <c r="Q228" s="1" t="s">
        <v>1630</v>
      </c>
      <c r="R228" s="62">
        <v>0</v>
      </c>
      <c r="S228" s="102">
        <v>0</v>
      </c>
      <c r="T228" s="54" t="s">
        <v>1631</v>
      </c>
      <c r="U228" s="105">
        <v>68.3</v>
      </c>
      <c r="V228" s="54" t="s">
        <v>1632</v>
      </c>
      <c r="W228" s="105">
        <v>18.5</v>
      </c>
      <c r="X228" s="62">
        <v>0</v>
      </c>
      <c r="Y228" s="102">
        <v>0</v>
      </c>
      <c r="Z228" s="62">
        <v>0</v>
      </c>
      <c r="AA228" s="102">
        <v>0</v>
      </c>
      <c r="AB228" s="62">
        <v>0</v>
      </c>
      <c r="AC228" s="106" t="s">
        <v>206</v>
      </c>
      <c r="AD228" s="106" t="s">
        <v>206</v>
      </c>
      <c r="AE228" s="106" t="s">
        <v>206</v>
      </c>
      <c r="AF228" s="106" t="s">
        <v>206</v>
      </c>
      <c r="AG228" s="106" t="s">
        <v>206</v>
      </c>
      <c r="AH228" s="106" t="s">
        <v>206</v>
      </c>
      <c r="AI228" s="1" t="s">
        <v>357</v>
      </c>
      <c r="AJ228" s="1" t="s">
        <v>206</v>
      </c>
      <c r="AK228" s="1" t="s">
        <v>1633</v>
      </c>
      <c r="AL228" s="1" t="s">
        <v>197</v>
      </c>
      <c r="AM228" s="106" t="s">
        <v>27</v>
      </c>
      <c r="AN228" s="1" t="s">
        <v>357</v>
      </c>
      <c r="AO228" s="1" t="s">
        <v>208</v>
      </c>
      <c r="AP228" s="1" t="s">
        <v>206</v>
      </c>
      <c r="AQ228" s="1" t="s">
        <v>441</v>
      </c>
      <c r="AR228" s="1" t="s">
        <v>206</v>
      </c>
      <c r="AS228" s="106" t="s">
        <v>206</v>
      </c>
      <c r="AT228" s="1" t="s">
        <v>206</v>
      </c>
      <c r="AU228" s="106" t="s">
        <v>206</v>
      </c>
      <c r="AV228" s="106" t="s">
        <v>206</v>
      </c>
      <c r="AW228" s="106" t="s">
        <v>35</v>
      </c>
      <c r="AX228" s="106" t="s">
        <v>206</v>
      </c>
      <c r="AY228" s="106" t="s">
        <v>206</v>
      </c>
      <c r="AZ228" s="1" t="s">
        <v>206</v>
      </c>
      <c r="BA228" s="106" t="s">
        <v>206</v>
      </c>
      <c r="BB228" s="106" t="s">
        <v>206</v>
      </c>
      <c r="BC228" s="106" t="s">
        <v>206</v>
      </c>
      <c r="BD228" s="106" t="s">
        <v>206</v>
      </c>
      <c r="BE228" s="106" t="s">
        <v>206</v>
      </c>
      <c r="BF228" s="107">
        <f>IF(AZ228="Não","Sim","Não")</f>
      </c>
      <c r="BG228" s="107">
        <f>IF(AZ228="NA","Sim","Não")</f>
      </c>
      <c r="BH228" s="106" t="s">
        <v>206</v>
      </c>
      <c r="BI228" s="1" t="s">
        <v>238</v>
      </c>
      <c r="BJ228" s="106" t="s">
        <v>241</v>
      </c>
      <c r="BK228" s="1" t="s">
        <v>441</v>
      </c>
      <c r="BL228" s="102">
        <v>60</v>
      </c>
      <c r="BM228" s="1" t="s">
        <v>208</v>
      </c>
      <c r="BN228" s="1" t="s">
        <v>208</v>
      </c>
      <c r="BO228" s="1" t="s">
        <v>441</v>
      </c>
      <c r="BP228" s="102">
        <v>60</v>
      </c>
      <c r="BQ228" s="1" t="s">
        <v>208</v>
      </c>
      <c r="BR228" s="1" t="s">
        <v>227</v>
      </c>
      <c r="BS228" s="106" t="s">
        <v>37</v>
      </c>
    </row>
    <row x14ac:dyDescent="0.25" r="229" customHeight="1" ht="17.25">
      <c r="A229" s="102">
        <v>228</v>
      </c>
      <c r="B229" s="1" t="s">
        <v>1634</v>
      </c>
      <c r="C229" s="102">
        <v>1</v>
      </c>
      <c r="D229" s="61" t="s">
        <v>1635</v>
      </c>
      <c r="E229" s="1" t="s">
        <v>86</v>
      </c>
      <c r="F229" s="1" t="s">
        <v>22</v>
      </c>
      <c r="G229" s="1" t="s">
        <v>50</v>
      </c>
      <c r="H229" s="1" t="s">
        <v>1636</v>
      </c>
      <c r="I229" s="102">
        <v>1</v>
      </c>
      <c r="J229" s="1" t="s">
        <v>158</v>
      </c>
      <c r="K229" s="1" t="s">
        <v>22</v>
      </c>
      <c r="L229" s="103">
        <v>35522</v>
      </c>
      <c r="M229" s="104">
        <v>20</v>
      </c>
      <c r="N229" s="1" t="s">
        <v>175</v>
      </c>
      <c r="O229" s="1" t="s">
        <v>24</v>
      </c>
      <c r="P229" s="1" t="s">
        <v>365</v>
      </c>
      <c r="Q229" s="1" t="s">
        <v>1637</v>
      </c>
      <c r="R229" s="54" t="s">
        <v>1638</v>
      </c>
      <c r="S229" s="102">
        <v>21</v>
      </c>
      <c r="T229" s="62">
        <v>0</v>
      </c>
      <c r="U229" s="102">
        <v>0</v>
      </c>
      <c r="V229" s="62">
        <v>0</v>
      </c>
      <c r="W229" s="102">
        <v>0</v>
      </c>
      <c r="X229" s="54" t="s">
        <v>1639</v>
      </c>
      <c r="Y229" s="105">
        <v>3.2</v>
      </c>
      <c r="Z229" s="62">
        <v>0</v>
      </c>
      <c r="AA229" s="102">
        <v>0</v>
      </c>
      <c r="AB229" s="62">
        <v>0</v>
      </c>
      <c r="AC229" s="106" t="s">
        <v>206</v>
      </c>
      <c r="AD229" s="106" t="s">
        <v>206</v>
      </c>
      <c r="AE229" s="106" t="s">
        <v>206</v>
      </c>
      <c r="AF229" s="106" t="s">
        <v>206</v>
      </c>
      <c r="AG229" s="106" t="s">
        <v>206</v>
      </c>
      <c r="AH229" s="106" t="s">
        <v>206</v>
      </c>
      <c r="AI229" s="1" t="s">
        <v>357</v>
      </c>
      <c r="AJ229" s="1" t="s">
        <v>206</v>
      </c>
      <c r="AK229" s="1" t="s">
        <v>1640</v>
      </c>
      <c r="AL229" s="1" t="s">
        <v>197</v>
      </c>
      <c r="AM229" s="106" t="s">
        <v>27</v>
      </c>
      <c r="AN229" s="1" t="s">
        <v>357</v>
      </c>
      <c r="AO229" s="1" t="s">
        <v>208</v>
      </c>
      <c r="AP229" s="1" t="s">
        <v>206</v>
      </c>
      <c r="AQ229" s="1" t="s">
        <v>441</v>
      </c>
      <c r="AR229" s="1" t="s">
        <v>206</v>
      </c>
      <c r="AS229" s="106" t="s">
        <v>206</v>
      </c>
      <c r="AT229" s="1" t="s">
        <v>206</v>
      </c>
      <c r="AU229" s="106" t="s">
        <v>206</v>
      </c>
      <c r="AV229" s="106" t="s">
        <v>206</v>
      </c>
      <c r="AW229" s="106" t="s">
        <v>35</v>
      </c>
      <c r="AX229" s="106" t="s">
        <v>206</v>
      </c>
      <c r="AY229" s="106" t="s">
        <v>206</v>
      </c>
      <c r="AZ229" s="1" t="s">
        <v>206</v>
      </c>
      <c r="BA229" s="106" t="s">
        <v>206</v>
      </c>
      <c r="BB229" s="106" t="s">
        <v>206</v>
      </c>
      <c r="BC229" s="106" t="s">
        <v>206</v>
      </c>
      <c r="BD229" s="106" t="s">
        <v>206</v>
      </c>
      <c r="BE229" s="106" t="s">
        <v>206</v>
      </c>
      <c r="BF229" s="107">
        <f>IF(AZ229="Não","Sim","Não")</f>
      </c>
      <c r="BG229" s="107">
        <f>IF(AZ229="NA","Sim","Não")</f>
      </c>
      <c r="BH229" s="106" t="s">
        <v>206</v>
      </c>
      <c r="BI229" s="1" t="s">
        <v>206</v>
      </c>
      <c r="BJ229" s="106" t="s">
        <v>206</v>
      </c>
      <c r="BK229" s="1" t="s">
        <v>441</v>
      </c>
      <c r="BL229" s="102">
        <v>60</v>
      </c>
      <c r="BM229" s="1" t="s">
        <v>208</v>
      </c>
      <c r="BN229" s="1" t="s">
        <v>208</v>
      </c>
      <c r="BO229" s="1" t="s">
        <v>441</v>
      </c>
      <c r="BP229" s="102">
        <v>60</v>
      </c>
      <c r="BQ229" s="1" t="s">
        <v>208</v>
      </c>
      <c r="BR229" s="1" t="s">
        <v>227</v>
      </c>
      <c r="BS229" s="106" t="s">
        <v>37</v>
      </c>
    </row>
    <row x14ac:dyDescent="0.25" r="230" customHeight="1" ht="17.25">
      <c r="A230" s="102">
        <v>229</v>
      </c>
      <c r="B230" s="1" t="s">
        <v>1641</v>
      </c>
      <c r="C230" s="102">
        <v>1</v>
      </c>
      <c r="D230" s="61">
        <v>42776</v>
      </c>
      <c r="E230" s="1" t="s">
        <v>91</v>
      </c>
      <c r="F230" s="1" t="s">
        <v>170</v>
      </c>
      <c r="G230" s="1" t="s">
        <v>61</v>
      </c>
      <c r="H230" s="1" t="s">
        <v>1642</v>
      </c>
      <c r="I230" s="102">
        <v>1</v>
      </c>
      <c r="J230" s="1" t="s">
        <v>158</v>
      </c>
      <c r="K230" s="1" t="s">
        <v>22</v>
      </c>
      <c r="L230" s="103">
        <v>31796</v>
      </c>
      <c r="M230" s="104">
        <v>30</v>
      </c>
      <c r="N230" s="1" t="s">
        <v>175</v>
      </c>
      <c r="O230" s="1" t="s">
        <v>24</v>
      </c>
      <c r="P230" s="1" t="s">
        <v>365</v>
      </c>
      <c r="Q230" s="1" t="s">
        <v>1643</v>
      </c>
      <c r="R230" s="62">
        <v>0</v>
      </c>
      <c r="S230" s="102">
        <v>0</v>
      </c>
      <c r="T230" s="62">
        <v>0</v>
      </c>
      <c r="U230" s="102">
        <v>0</v>
      </c>
      <c r="V230" s="54"/>
      <c r="W230" s="102">
        <v>0</v>
      </c>
      <c r="X230" s="54" t="s">
        <v>1644</v>
      </c>
      <c r="Y230" s="105">
        <v>5.3</v>
      </c>
      <c r="Z230" s="62">
        <v>0</v>
      </c>
      <c r="AA230" s="102">
        <v>0</v>
      </c>
      <c r="AB230" s="62">
        <v>0</v>
      </c>
      <c r="AC230" s="106" t="s">
        <v>206</v>
      </c>
      <c r="AD230" s="106" t="s">
        <v>206</v>
      </c>
      <c r="AE230" s="106" t="s">
        <v>206</v>
      </c>
      <c r="AF230" s="106" t="s">
        <v>206</v>
      </c>
      <c r="AG230" s="106" t="s">
        <v>206</v>
      </c>
      <c r="AH230" s="106" t="s">
        <v>206</v>
      </c>
      <c r="AI230" s="1" t="s">
        <v>357</v>
      </c>
      <c r="AJ230" s="1" t="s">
        <v>206</v>
      </c>
      <c r="AK230" s="1" t="s">
        <v>513</v>
      </c>
      <c r="AL230" s="1" t="s">
        <v>197</v>
      </c>
      <c r="AM230" s="106" t="s">
        <v>27</v>
      </c>
      <c r="AN230" s="1" t="s">
        <v>357</v>
      </c>
      <c r="AO230" s="1" t="s">
        <v>208</v>
      </c>
      <c r="AP230" s="1" t="s">
        <v>1645</v>
      </c>
      <c r="AQ230" s="1" t="s">
        <v>386</v>
      </c>
      <c r="AR230" s="1" t="s">
        <v>206</v>
      </c>
      <c r="AS230" s="106" t="s">
        <v>206</v>
      </c>
      <c r="AT230" s="1" t="s">
        <v>206</v>
      </c>
      <c r="AU230" s="106" t="s">
        <v>206</v>
      </c>
      <c r="AV230" s="106" t="s">
        <v>206</v>
      </c>
      <c r="AW230" s="106" t="s">
        <v>35</v>
      </c>
      <c r="AX230" s="106" t="s">
        <v>206</v>
      </c>
      <c r="AY230" s="106" t="s">
        <v>206</v>
      </c>
      <c r="AZ230" s="1" t="s">
        <v>206</v>
      </c>
      <c r="BA230" s="106" t="s">
        <v>206</v>
      </c>
      <c r="BB230" s="106" t="s">
        <v>206</v>
      </c>
      <c r="BC230" s="106" t="s">
        <v>206</v>
      </c>
      <c r="BD230" s="106" t="s">
        <v>206</v>
      </c>
      <c r="BE230" s="106" t="s">
        <v>206</v>
      </c>
      <c r="BF230" s="107">
        <f>IF(AZ230="Não","Sim","Não")</f>
      </c>
      <c r="BG230" s="107">
        <f>IF(AZ230="NA","Sim","Não")</f>
      </c>
      <c r="BH230" s="106" t="s">
        <v>206</v>
      </c>
      <c r="BI230" s="1" t="s">
        <v>237</v>
      </c>
      <c r="BJ230" s="106" t="s">
        <v>36</v>
      </c>
      <c r="BK230" s="1" t="s">
        <v>441</v>
      </c>
      <c r="BL230" s="102">
        <v>60</v>
      </c>
      <c r="BM230" s="1" t="s">
        <v>208</v>
      </c>
      <c r="BN230" s="1" t="s">
        <v>208</v>
      </c>
      <c r="BO230" s="1" t="s">
        <v>441</v>
      </c>
      <c r="BP230" s="102">
        <v>60</v>
      </c>
      <c r="BQ230" s="1" t="s">
        <v>208</v>
      </c>
      <c r="BR230" s="1" t="s">
        <v>227</v>
      </c>
      <c r="BS230" s="106" t="s">
        <v>37</v>
      </c>
    </row>
    <row x14ac:dyDescent="0.25" r="231" customHeight="1" ht="17.25">
      <c r="A231" s="102">
        <v>230</v>
      </c>
      <c r="B231" s="1" t="s">
        <v>1646</v>
      </c>
      <c r="C231" s="102">
        <v>1</v>
      </c>
      <c r="D231" s="61">
        <v>42997</v>
      </c>
      <c r="E231" s="1" t="s">
        <v>96</v>
      </c>
      <c r="F231" s="1" t="s">
        <v>170</v>
      </c>
      <c r="G231" s="1" t="s">
        <v>67</v>
      </c>
      <c r="H231" s="1" t="s">
        <v>1647</v>
      </c>
      <c r="I231" s="102">
        <v>1</v>
      </c>
      <c r="J231" s="1" t="s">
        <v>158</v>
      </c>
      <c r="K231" s="1" t="s">
        <v>22</v>
      </c>
      <c r="L231" s="103">
        <v>35680</v>
      </c>
      <c r="M231" s="104">
        <v>20</v>
      </c>
      <c r="N231" s="1" t="s">
        <v>175</v>
      </c>
      <c r="O231" s="1" t="s">
        <v>24</v>
      </c>
      <c r="P231" s="1" t="s">
        <v>354</v>
      </c>
      <c r="Q231" s="1" t="s">
        <v>1648</v>
      </c>
      <c r="R231" s="54" t="s">
        <v>1649</v>
      </c>
      <c r="S231" s="102">
        <v>569</v>
      </c>
      <c r="T231" s="54" t="s">
        <v>1650</v>
      </c>
      <c r="U231" s="105">
        <v>328.4</v>
      </c>
      <c r="V231" s="54" t="s">
        <v>1651</v>
      </c>
      <c r="W231" s="105">
        <v>15.3</v>
      </c>
      <c r="X231" s="54" t="s">
        <v>1652</v>
      </c>
      <c r="Y231" s="105">
        <v>5.3</v>
      </c>
      <c r="Z231" s="57" t="s">
        <v>1653</v>
      </c>
      <c r="AA231" s="105">
        <v>0.5</v>
      </c>
      <c r="AB231" s="57" t="s">
        <v>1654</v>
      </c>
      <c r="AC231" s="106" t="s">
        <v>206</v>
      </c>
      <c r="AD231" s="106" t="s">
        <v>206</v>
      </c>
      <c r="AE231" s="106" t="s">
        <v>35</v>
      </c>
      <c r="AF231" s="106" t="s">
        <v>206</v>
      </c>
      <c r="AG231" s="106" t="s">
        <v>35</v>
      </c>
      <c r="AH231" s="106" t="s">
        <v>206</v>
      </c>
      <c r="AI231" s="1" t="s">
        <v>357</v>
      </c>
      <c r="AJ231" s="1" t="s">
        <v>206</v>
      </c>
      <c r="AK231" s="1" t="s">
        <v>1655</v>
      </c>
      <c r="AL231" s="1" t="s">
        <v>197</v>
      </c>
      <c r="AM231" s="106" t="s">
        <v>27</v>
      </c>
      <c r="AN231" s="1" t="s">
        <v>357</v>
      </c>
      <c r="AO231" s="1" t="s">
        <v>208</v>
      </c>
      <c r="AP231" s="1" t="s">
        <v>374</v>
      </c>
      <c r="AQ231" s="1" t="s">
        <v>492</v>
      </c>
      <c r="AR231" s="1" t="s">
        <v>206</v>
      </c>
      <c r="AS231" s="106" t="s">
        <v>206</v>
      </c>
      <c r="AT231" s="1" t="s">
        <v>212</v>
      </c>
      <c r="AU231" s="106" t="s">
        <v>35</v>
      </c>
      <c r="AV231" s="106" t="s">
        <v>35</v>
      </c>
      <c r="AW231" s="106" t="s">
        <v>206</v>
      </c>
      <c r="AX231" s="106" t="s">
        <v>206</v>
      </c>
      <c r="AY231" s="106" t="s">
        <v>35</v>
      </c>
      <c r="AZ231" s="1" t="s">
        <v>206</v>
      </c>
      <c r="BA231" s="106" t="s">
        <v>206</v>
      </c>
      <c r="BB231" s="106" t="s">
        <v>206</v>
      </c>
      <c r="BC231" s="106" t="s">
        <v>206</v>
      </c>
      <c r="BD231" s="106" t="s">
        <v>206</v>
      </c>
      <c r="BE231" s="106" t="s">
        <v>206</v>
      </c>
      <c r="BF231" s="107">
        <f>IF(AZ231="Não","Sim","Não")</f>
      </c>
      <c r="BG231" s="107">
        <f>IF(AZ231="NA","Sim","Não")</f>
      </c>
      <c r="BH231" s="106" t="s">
        <v>206</v>
      </c>
      <c r="BI231" s="1" t="s">
        <v>206</v>
      </c>
      <c r="BJ231" s="106" t="s">
        <v>206</v>
      </c>
      <c r="BK231" s="1" t="s">
        <v>441</v>
      </c>
      <c r="BL231" s="102">
        <v>60</v>
      </c>
      <c r="BM231" s="1" t="s">
        <v>208</v>
      </c>
      <c r="BN231" s="1" t="s">
        <v>208</v>
      </c>
      <c r="BO231" s="1" t="s">
        <v>441</v>
      </c>
      <c r="BP231" s="102">
        <v>60</v>
      </c>
      <c r="BQ231" s="1" t="s">
        <v>208</v>
      </c>
      <c r="BR231" s="1" t="s">
        <v>227</v>
      </c>
      <c r="BS231" s="106" t="s">
        <v>37</v>
      </c>
    </row>
    <row x14ac:dyDescent="0.25" r="232" customHeight="1" ht="17.25">
      <c r="A232" s="102">
        <v>231</v>
      </c>
      <c r="B232" s="1" t="s">
        <v>1656</v>
      </c>
      <c r="C232" s="102">
        <v>1</v>
      </c>
      <c r="D232" s="61" t="s">
        <v>1657</v>
      </c>
      <c r="E232" s="1" t="s">
        <v>80</v>
      </c>
      <c r="F232" s="1" t="s">
        <v>170</v>
      </c>
      <c r="G232" s="1" t="s">
        <v>41</v>
      </c>
      <c r="H232" s="1" t="s">
        <v>1658</v>
      </c>
      <c r="I232" s="102">
        <v>1</v>
      </c>
      <c r="J232" s="1" t="s">
        <v>167</v>
      </c>
      <c r="K232" s="1" t="s">
        <v>22</v>
      </c>
      <c r="L232" s="103">
        <v>34331</v>
      </c>
      <c r="M232" s="104">
        <v>23</v>
      </c>
      <c r="N232" s="1" t="s">
        <v>175</v>
      </c>
      <c r="O232" s="1" t="s">
        <v>24</v>
      </c>
      <c r="P232" s="1" t="s">
        <v>517</v>
      </c>
      <c r="Q232" s="1" t="s">
        <v>445</v>
      </c>
      <c r="R232" s="62">
        <v>0</v>
      </c>
      <c r="S232" s="102">
        <v>0</v>
      </c>
      <c r="T232" s="54" t="s">
        <v>1659</v>
      </c>
      <c r="U232" s="105">
        <v>6.4</v>
      </c>
      <c r="V232" s="62">
        <v>0</v>
      </c>
      <c r="W232" s="102">
        <v>0</v>
      </c>
      <c r="X232" s="62">
        <v>0</v>
      </c>
      <c r="Y232" s="102">
        <v>0</v>
      </c>
      <c r="Z232" s="62">
        <v>0</v>
      </c>
      <c r="AA232" s="102">
        <v>0</v>
      </c>
      <c r="AB232" s="62">
        <v>0</v>
      </c>
      <c r="AC232" s="106" t="s">
        <v>206</v>
      </c>
      <c r="AD232" s="106" t="s">
        <v>206</v>
      </c>
      <c r="AE232" s="106" t="s">
        <v>206</v>
      </c>
      <c r="AF232" s="106" t="s">
        <v>206</v>
      </c>
      <c r="AG232" s="106" t="s">
        <v>206</v>
      </c>
      <c r="AH232" s="106" t="s">
        <v>206</v>
      </c>
      <c r="AI232" s="1" t="s">
        <v>357</v>
      </c>
      <c r="AJ232" s="1" t="s">
        <v>206</v>
      </c>
      <c r="AK232" s="1" t="s">
        <v>575</v>
      </c>
      <c r="AL232" s="1" t="s">
        <v>197</v>
      </c>
      <c r="AM232" s="106" t="s">
        <v>27</v>
      </c>
      <c r="AN232" s="1" t="s">
        <v>357</v>
      </c>
      <c r="AO232" s="1" t="s">
        <v>208</v>
      </c>
      <c r="AP232" s="1" t="s">
        <v>206</v>
      </c>
      <c r="AQ232" s="1" t="s">
        <v>441</v>
      </c>
      <c r="AR232" s="1" t="s">
        <v>206</v>
      </c>
      <c r="AS232" s="106" t="s">
        <v>206</v>
      </c>
      <c r="AT232" s="1" t="s">
        <v>206</v>
      </c>
      <c r="AU232" s="106" t="s">
        <v>206</v>
      </c>
      <c r="AV232" s="106" t="s">
        <v>206</v>
      </c>
      <c r="AW232" s="106" t="s">
        <v>35</v>
      </c>
      <c r="AX232" s="106" t="s">
        <v>206</v>
      </c>
      <c r="AY232" s="106" t="s">
        <v>206</v>
      </c>
      <c r="AZ232" s="1" t="s">
        <v>206</v>
      </c>
      <c r="BA232" s="106" t="s">
        <v>206</v>
      </c>
      <c r="BB232" s="106" t="s">
        <v>206</v>
      </c>
      <c r="BC232" s="106" t="s">
        <v>206</v>
      </c>
      <c r="BD232" s="106" t="s">
        <v>206</v>
      </c>
      <c r="BE232" s="106" t="s">
        <v>206</v>
      </c>
      <c r="BF232" s="107">
        <f>IF(AZ232="Não","Sim","Não")</f>
      </c>
      <c r="BG232" s="107">
        <f>IF(AZ232="NA","Sim","Não")</f>
      </c>
      <c r="BH232" s="106" t="s">
        <v>206</v>
      </c>
      <c r="BI232" s="1" t="s">
        <v>206</v>
      </c>
      <c r="BJ232" s="106" t="s">
        <v>206</v>
      </c>
      <c r="BK232" s="1" t="s">
        <v>1660</v>
      </c>
      <c r="BL232" s="102">
        <v>60</v>
      </c>
      <c r="BM232" s="1" t="s">
        <v>208</v>
      </c>
      <c r="BN232" s="1" t="s">
        <v>208</v>
      </c>
      <c r="BO232" s="1" t="s">
        <v>1660</v>
      </c>
      <c r="BP232" s="102">
        <v>60</v>
      </c>
      <c r="BQ232" s="1" t="s">
        <v>208</v>
      </c>
      <c r="BR232" s="1" t="s">
        <v>227</v>
      </c>
      <c r="BS232" s="106" t="s">
        <v>37</v>
      </c>
    </row>
    <row x14ac:dyDescent="0.25" r="233" customHeight="1" ht="17.25">
      <c r="A233" s="102">
        <v>232</v>
      </c>
      <c r="B233" s="1" t="s">
        <v>1661</v>
      </c>
      <c r="C233" s="102">
        <v>1</v>
      </c>
      <c r="D233" s="61" t="s">
        <v>1662</v>
      </c>
      <c r="E233" s="1" t="s">
        <v>99</v>
      </c>
      <c r="F233" s="1" t="s">
        <v>170</v>
      </c>
      <c r="G233" s="1" t="s">
        <v>54</v>
      </c>
      <c r="H233" s="1" t="s">
        <v>1663</v>
      </c>
      <c r="I233" s="102">
        <v>1</v>
      </c>
      <c r="J233" s="1" t="s">
        <v>158</v>
      </c>
      <c r="K233" s="1" t="s">
        <v>22</v>
      </c>
      <c r="L233" s="103">
        <v>33948</v>
      </c>
      <c r="M233" s="104">
        <v>24</v>
      </c>
      <c r="N233" s="1" t="s">
        <v>175</v>
      </c>
      <c r="O233" s="1" t="s">
        <v>24</v>
      </c>
      <c r="P233" s="1" t="s">
        <v>354</v>
      </c>
      <c r="Q233" s="1" t="s">
        <v>1664</v>
      </c>
      <c r="R233" s="54" t="s">
        <v>1665</v>
      </c>
      <c r="S233" s="105">
        <v>26.2</v>
      </c>
      <c r="T233" s="54" t="s">
        <v>1666</v>
      </c>
      <c r="U233" s="105">
        <v>8.3</v>
      </c>
      <c r="V233" s="54" t="s">
        <v>1667</v>
      </c>
      <c r="W233" s="105">
        <v>2.4</v>
      </c>
      <c r="X233" s="62">
        <v>0</v>
      </c>
      <c r="Y233" s="102">
        <v>0</v>
      </c>
      <c r="Z233" s="62">
        <v>0</v>
      </c>
      <c r="AA233" s="102">
        <v>0</v>
      </c>
      <c r="AB233" s="62">
        <v>0</v>
      </c>
      <c r="AC233" s="106" t="s">
        <v>206</v>
      </c>
      <c r="AD233" s="106" t="s">
        <v>206</v>
      </c>
      <c r="AE233" s="106" t="s">
        <v>206</v>
      </c>
      <c r="AF233" s="106" t="s">
        <v>206</v>
      </c>
      <c r="AG233" s="106" t="s">
        <v>206</v>
      </c>
      <c r="AH233" s="106" t="s">
        <v>206</v>
      </c>
      <c r="AI233" s="1" t="s">
        <v>357</v>
      </c>
      <c r="AJ233" s="1" t="s">
        <v>206</v>
      </c>
      <c r="AK233" s="1" t="s">
        <v>926</v>
      </c>
      <c r="AL233" s="1" t="s">
        <v>197</v>
      </c>
      <c r="AM233" s="106" t="s">
        <v>27</v>
      </c>
      <c r="AN233" s="1" t="s">
        <v>357</v>
      </c>
      <c r="AO233" s="1" t="s">
        <v>208</v>
      </c>
      <c r="AP233" s="1" t="s">
        <v>206</v>
      </c>
      <c r="AQ233" s="1" t="s">
        <v>441</v>
      </c>
      <c r="AR233" s="1" t="s">
        <v>206</v>
      </c>
      <c r="AS233" s="106" t="s">
        <v>206</v>
      </c>
      <c r="AT233" s="1" t="s">
        <v>206</v>
      </c>
      <c r="AU233" s="106" t="s">
        <v>206</v>
      </c>
      <c r="AV233" s="106" t="s">
        <v>206</v>
      </c>
      <c r="AW233" s="106" t="s">
        <v>35</v>
      </c>
      <c r="AX233" s="106" t="s">
        <v>206</v>
      </c>
      <c r="AY233" s="106" t="s">
        <v>206</v>
      </c>
      <c r="AZ233" s="1" t="s">
        <v>206</v>
      </c>
      <c r="BA233" s="106" t="s">
        <v>206</v>
      </c>
      <c r="BB233" s="106" t="s">
        <v>206</v>
      </c>
      <c r="BC233" s="106" t="s">
        <v>206</v>
      </c>
      <c r="BD233" s="106" t="s">
        <v>206</v>
      </c>
      <c r="BE233" s="106" t="s">
        <v>206</v>
      </c>
      <c r="BF233" s="107">
        <f>IF(AZ233="Não","Sim","Não")</f>
      </c>
      <c r="BG233" s="107">
        <f>IF(AZ233="NA","Sim","Não")</f>
      </c>
      <c r="BH233" s="106" t="s">
        <v>206</v>
      </c>
      <c r="BI233" s="1" t="s">
        <v>206</v>
      </c>
      <c r="BJ233" s="106" t="s">
        <v>206</v>
      </c>
      <c r="BK233" s="1" t="s">
        <v>1660</v>
      </c>
      <c r="BL233" s="102">
        <v>60</v>
      </c>
      <c r="BM233" s="1" t="s">
        <v>208</v>
      </c>
      <c r="BN233" s="1" t="s">
        <v>208</v>
      </c>
      <c r="BO233" s="1" t="s">
        <v>1660</v>
      </c>
      <c r="BP233" s="102">
        <v>60</v>
      </c>
      <c r="BQ233" s="1" t="s">
        <v>208</v>
      </c>
      <c r="BR233" s="1" t="s">
        <v>227</v>
      </c>
      <c r="BS233" s="106" t="s">
        <v>37</v>
      </c>
    </row>
    <row x14ac:dyDescent="0.25" r="234" customHeight="1" ht="17.25">
      <c r="A234" s="102">
        <v>233</v>
      </c>
      <c r="B234" s="1" t="s">
        <v>1668</v>
      </c>
      <c r="C234" s="102">
        <v>1</v>
      </c>
      <c r="D234" s="61" t="s">
        <v>806</v>
      </c>
      <c r="E234" s="1" t="s">
        <v>86</v>
      </c>
      <c r="F234" s="1" t="s">
        <v>22</v>
      </c>
      <c r="G234" s="1" t="s">
        <v>50</v>
      </c>
      <c r="H234" s="1" t="s">
        <v>1669</v>
      </c>
      <c r="I234" s="102">
        <v>1</v>
      </c>
      <c r="J234" s="1" t="s">
        <v>158</v>
      </c>
      <c r="K234" s="1" t="s">
        <v>22</v>
      </c>
      <c r="L234" s="103">
        <v>29354</v>
      </c>
      <c r="M234" s="104">
        <v>36</v>
      </c>
      <c r="N234" s="1" t="s">
        <v>175</v>
      </c>
      <c r="O234" s="1" t="s">
        <v>24</v>
      </c>
      <c r="P234" s="1" t="s">
        <v>365</v>
      </c>
      <c r="Q234" s="1" t="s">
        <v>1670</v>
      </c>
      <c r="R234" s="54" t="s">
        <v>1671</v>
      </c>
      <c r="S234" s="105">
        <v>48.5</v>
      </c>
      <c r="T234" s="62">
        <v>0</v>
      </c>
      <c r="U234" s="102">
        <v>0</v>
      </c>
      <c r="V234" s="62">
        <v>0</v>
      </c>
      <c r="W234" s="102">
        <v>0</v>
      </c>
      <c r="X234" s="62">
        <v>0</v>
      </c>
      <c r="Y234" s="102">
        <v>0</v>
      </c>
      <c r="Z234" s="62">
        <v>0</v>
      </c>
      <c r="AA234" s="102">
        <v>0</v>
      </c>
      <c r="AB234" s="62">
        <v>0</v>
      </c>
      <c r="AC234" s="106" t="s">
        <v>206</v>
      </c>
      <c r="AD234" s="106" t="s">
        <v>206</v>
      </c>
      <c r="AE234" s="106" t="s">
        <v>206</v>
      </c>
      <c r="AF234" s="106" t="s">
        <v>206</v>
      </c>
      <c r="AG234" s="106" t="s">
        <v>206</v>
      </c>
      <c r="AH234" s="106" t="s">
        <v>206</v>
      </c>
      <c r="AI234" s="1" t="s">
        <v>357</v>
      </c>
      <c r="AJ234" s="1" t="s">
        <v>206</v>
      </c>
      <c r="AK234" s="1" t="s">
        <v>476</v>
      </c>
      <c r="AL234" s="1" t="s">
        <v>197</v>
      </c>
      <c r="AM234" s="106" t="s">
        <v>27</v>
      </c>
      <c r="AN234" s="1" t="s">
        <v>357</v>
      </c>
      <c r="AO234" s="1" t="s">
        <v>208</v>
      </c>
      <c r="AP234" s="1" t="s">
        <v>206</v>
      </c>
      <c r="AQ234" s="1" t="s">
        <v>441</v>
      </c>
      <c r="AR234" s="1" t="s">
        <v>207</v>
      </c>
      <c r="AS234" s="106" t="s">
        <v>35</v>
      </c>
      <c r="AT234" s="1" t="s">
        <v>206</v>
      </c>
      <c r="AU234" s="106" t="s">
        <v>206</v>
      </c>
      <c r="AV234" s="106" t="s">
        <v>206</v>
      </c>
      <c r="AW234" s="106" t="s">
        <v>35</v>
      </c>
      <c r="AX234" s="106" t="s">
        <v>206</v>
      </c>
      <c r="AY234" s="106" t="s">
        <v>206</v>
      </c>
      <c r="AZ234" s="1" t="s">
        <v>206</v>
      </c>
      <c r="BA234" s="106" t="s">
        <v>206</v>
      </c>
      <c r="BB234" s="106" t="s">
        <v>206</v>
      </c>
      <c r="BC234" s="106" t="s">
        <v>206</v>
      </c>
      <c r="BD234" s="106" t="s">
        <v>206</v>
      </c>
      <c r="BE234" s="106" t="s">
        <v>206</v>
      </c>
      <c r="BF234" s="107">
        <f>IF(AZ234="Não","Sim","Não")</f>
      </c>
      <c r="BG234" s="107">
        <f>IF(AZ234="NA","Sim","Não")</f>
      </c>
      <c r="BH234" s="106" t="s">
        <v>206</v>
      </c>
      <c r="BI234" s="1" t="s">
        <v>238</v>
      </c>
      <c r="BJ234" s="106" t="s">
        <v>241</v>
      </c>
      <c r="BK234" s="1" t="s">
        <v>492</v>
      </c>
      <c r="BL234" s="102">
        <v>70</v>
      </c>
      <c r="BM234" s="1" t="s">
        <v>208</v>
      </c>
      <c r="BN234" s="1" t="s">
        <v>208</v>
      </c>
      <c r="BO234" s="1" t="s">
        <v>492</v>
      </c>
      <c r="BP234" s="102">
        <v>70</v>
      </c>
      <c r="BQ234" s="1" t="s">
        <v>208</v>
      </c>
      <c r="BR234" s="1" t="s">
        <v>227</v>
      </c>
      <c r="BS234" s="106" t="s">
        <v>37</v>
      </c>
    </row>
    <row x14ac:dyDescent="0.25" r="235" customHeight="1" ht="17.25">
      <c r="A235" s="102">
        <v>234</v>
      </c>
      <c r="B235" s="1" t="s">
        <v>1672</v>
      </c>
      <c r="C235" s="102">
        <v>1</v>
      </c>
      <c r="D235" s="61" t="s">
        <v>1673</v>
      </c>
      <c r="E235" s="1" t="s">
        <v>131</v>
      </c>
      <c r="F235" s="1" t="s">
        <v>170</v>
      </c>
      <c r="G235" s="1" t="s">
        <v>43</v>
      </c>
      <c r="H235" s="1" t="s">
        <v>1674</v>
      </c>
      <c r="I235" s="102">
        <v>1</v>
      </c>
      <c r="J235" s="1" t="s">
        <v>158</v>
      </c>
      <c r="K235" s="1" t="s">
        <v>22</v>
      </c>
      <c r="L235" s="103">
        <v>31371</v>
      </c>
      <c r="M235" s="104">
        <v>31</v>
      </c>
      <c r="N235" s="1" t="s">
        <v>175</v>
      </c>
      <c r="O235" s="1" t="s">
        <v>24</v>
      </c>
      <c r="P235" s="1" t="s">
        <v>354</v>
      </c>
      <c r="Q235" s="1" t="s">
        <v>1675</v>
      </c>
      <c r="R235" s="54" t="s">
        <v>1676</v>
      </c>
      <c r="S235" s="105">
        <v>46.1</v>
      </c>
      <c r="T235" s="62">
        <v>0</v>
      </c>
      <c r="U235" s="102">
        <v>0</v>
      </c>
      <c r="V235" s="62">
        <v>0</v>
      </c>
      <c r="W235" s="102">
        <v>0</v>
      </c>
      <c r="X235" s="62">
        <v>0</v>
      </c>
      <c r="Y235" s="102">
        <v>0</v>
      </c>
      <c r="Z235" s="62">
        <v>0</v>
      </c>
      <c r="AA235" s="102">
        <v>0</v>
      </c>
      <c r="AB235" s="62">
        <v>0</v>
      </c>
      <c r="AC235" s="106" t="s">
        <v>206</v>
      </c>
      <c r="AD235" s="106" t="s">
        <v>206</v>
      </c>
      <c r="AE235" s="106" t="s">
        <v>206</v>
      </c>
      <c r="AF235" s="106" t="s">
        <v>206</v>
      </c>
      <c r="AG235" s="106" t="s">
        <v>206</v>
      </c>
      <c r="AH235" s="106" t="s">
        <v>206</v>
      </c>
      <c r="AI235" s="1" t="s">
        <v>357</v>
      </c>
      <c r="AJ235" s="1" t="s">
        <v>206</v>
      </c>
      <c r="AK235" s="1" t="s">
        <v>1677</v>
      </c>
      <c r="AL235" s="1" t="s">
        <v>197</v>
      </c>
      <c r="AM235" s="106" t="s">
        <v>27</v>
      </c>
      <c r="AN235" s="1" t="s">
        <v>357</v>
      </c>
      <c r="AO235" s="1" t="s">
        <v>208</v>
      </c>
      <c r="AP235" s="1" t="s">
        <v>206</v>
      </c>
      <c r="AQ235" s="1" t="s">
        <v>441</v>
      </c>
      <c r="AR235" s="1" t="s">
        <v>207</v>
      </c>
      <c r="AS235" s="106" t="s">
        <v>35</v>
      </c>
      <c r="AT235" s="1" t="s">
        <v>206</v>
      </c>
      <c r="AU235" s="106" t="s">
        <v>206</v>
      </c>
      <c r="AV235" s="106" t="s">
        <v>206</v>
      </c>
      <c r="AW235" s="106" t="s">
        <v>35</v>
      </c>
      <c r="AX235" s="106" t="s">
        <v>206</v>
      </c>
      <c r="AY235" s="106" t="s">
        <v>206</v>
      </c>
      <c r="AZ235" s="1" t="s">
        <v>206</v>
      </c>
      <c r="BA235" s="106" t="s">
        <v>206</v>
      </c>
      <c r="BB235" s="106" t="s">
        <v>206</v>
      </c>
      <c r="BC235" s="106" t="s">
        <v>206</v>
      </c>
      <c r="BD235" s="106" t="s">
        <v>206</v>
      </c>
      <c r="BE235" s="106" t="s">
        <v>206</v>
      </c>
      <c r="BF235" s="107">
        <f>IF(AZ235="Não","Sim","Não")</f>
      </c>
      <c r="BG235" s="107">
        <f>IF(AZ235="NA","Sim","Não")</f>
      </c>
      <c r="BH235" s="106" t="s">
        <v>206</v>
      </c>
      <c r="BI235" s="1" t="s">
        <v>238</v>
      </c>
      <c r="BJ235" s="106" t="s">
        <v>241</v>
      </c>
      <c r="BK235" s="1" t="s">
        <v>492</v>
      </c>
      <c r="BL235" s="102">
        <v>70</v>
      </c>
      <c r="BM235" s="1" t="s">
        <v>208</v>
      </c>
      <c r="BN235" s="1" t="s">
        <v>208</v>
      </c>
      <c r="BO235" s="1" t="s">
        <v>492</v>
      </c>
      <c r="BP235" s="102">
        <v>70</v>
      </c>
      <c r="BQ235" s="1" t="s">
        <v>208</v>
      </c>
      <c r="BR235" s="1" t="s">
        <v>227</v>
      </c>
      <c r="BS235" s="106" t="s">
        <v>37</v>
      </c>
    </row>
    <row x14ac:dyDescent="0.25" r="236" customHeight="1" ht="17.25">
      <c r="A236" s="102">
        <v>235</v>
      </c>
      <c r="B236" s="1" t="s">
        <v>1678</v>
      </c>
      <c r="C236" s="102">
        <v>1</v>
      </c>
      <c r="D236" s="61" t="s">
        <v>1679</v>
      </c>
      <c r="E236" s="1" t="s">
        <v>108</v>
      </c>
      <c r="F236" s="1" t="s">
        <v>170</v>
      </c>
      <c r="G236" s="1" t="s">
        <v>46</v>
      </c>
      <c r="H236" s="1" t="s">
        <v>1680</v>
      </c>
      <c r="I236" s="102">
        <v>0</v>
      </c>
      <c r="J236" s="1" t="s">
        <v>158</v>
      </c>
      <c r="K236" s="1" t="s">
        <v>22</v>
      </c>
      <c r="L236" s="103">
        <v>27653</v>
      </c>
      <c r="M236" s="104">
        <v>42</v>
      </c>
      <c r="N236" s="1" t="s">
        <v>176</v>
      </c>
      <c r="O236" s="1" t="s">
        <v>182</v>
      </c>
      <c r="P236" s="1" t="s">
        <v>464</v>
      </c>
      <c r="Q236" s="1" t="s">
        <v>1681</v>
      </c>
      <c r="R236" s="54" t="s">
        <v>1682</v>
      </c>
      <c r="S236" s="105">
        <v>1654.6</v>
      </c>
      <c r="T236" s="62">
        <v>0</v>
      </c>
      <c r="U236" s="102">
        <v>0</v>
      </c>
      <c r="V236" s="62">
        <v>0</v>
      </c>
      <c r="W236" s="102">
        <v>0</v>
      </c>
      <c r="X236" s="62">
        <v>0</v>
      </c>
      <c r="Y236" s="102">
        <v>0</v>
      </c>
      <c r="Z236" s="62">
        <v>0</v>
      </c>
      <c r="AA236" s="102">
        <v>0</v>
      </c>
      <c r="AB236" s="62">
        <v>0</v>
      </c>
      <c r="AC236" s="106" t="s">
        <v>206</v>
      </c>
      <c r="AD236" s="106" t="s">
        <v>206</v>
      </c>
      <c r="AE236" s="106" t="s">
        <v>206</v>
      </c>
      <c r="AF236" s="106" t="s">
        <v>206</v>
      </c>
      <c r="AG236" s="106" t="s">
        <v>206</v>
      </c>
      <c r="AH236" s="106" t="s">
        <v>206</v>
      </c>
      <c r="AI236" s="1" t="s">
        <v>357</v>
      </c>
      <c r="AJ236" s="1" t="s">
        <v>206</v>
      </c>
      <c r="AK236" s="1" t="s">
        <v>358</v>
      </c>
      <c r="AL236" s="1" t="s">
        <v>197</v>
      </c>
      <c r="AM236" s="106" t="s">
        <v>27</v>
      </c>
      <c r="AN236" s="1" t="s">
        <v>357</v>
      </c>
      <c r="AO236" s="1" t="s">
        <v>208</v>
      </c>
      <c r="AP236" s="1" t="s">
        <v>406</v>
      </c>
      <c r="AQ236" s="1" t="s">
        <v>492</v>
      </c>
      <c r="AR236" s="1" t="s">
        <v>206</v>
      </c>
      <c r="AS236" s="106" t="s">
        <v>206</v>
      </c>
      <c r="AT236" s="1" t="s">
        <v>206</v>
      </c>
      <c r="AU236" s="106" t="s">
        <v>206</v>
      </c>
      <c r="AV236" s="106" t="s">
        <v>206</v>
      </c>
      <c r="AW236" s="106" t="s">
        <v>35</v>
      </c>
      <c r="AX236" s="106" t="s">
        <v>206</v>
      </c>
      <c r="AY236" s="106" t="s">
        <v>206</v>
      </c>
      <c r="AZ236" s="1" t="s">
        <v>206</v>
      </c>
      <c r="BA236" s="106" t="s">
        <v>206</v>
      </c>
      <c r="BB236" s="106" t="s">
        <v>206</v>
      </c>
      <c r="BC236" s="106" t="s">
        <v>206</v>
      </c>
      <c r="BD236" s="106" t="s">
        <v>206</v>
      </c>
      <c r="BE236" s="106" t="s">
        <v>206</v>
      </c>
      <c r="BF236" s="107">
        <f>IF(AZ236="Não","Sim","Não")</f>
      </c>
      <c r="BG236" s="107">
        <f>IF(AZ236="NA","Sim","Não")</f>
      </c>
      <c r="BH236" s="106" t="s">
        <v>206</v>
      </c>
      <c r="BI236" s="1" t="s">
        <v>238</v>
      </c>
      <c r="BJ236" s="106" t="s">
        <v>241</v>
      </c>
      <c r="BK236" s="1" t="s">
        <v>492</v>
      </c>
      <c r="BL236" s="102">
        <v>70</v>
      </c>
      <c r="BM236" s="1" t="s">
        <v>208</v>
      </c>
      <c r="BN236" s="1" t="s">
        <v>208</v>
      </c>
      <c r="BO236" s="1" t="s">
        <v>492</v>
      </c>
      <c r="BP236" s="102">
        <v>70</v>
      </c>
      <c r="BQ236" s="1" t="s">
        <v>208</v>
      </c>
      <c r="BR236" s="1" t="s">
        <v>228</v>
      </c>
      <c r="BS236" s="106" t="s">
        <v>228</v>
      </c>
    </row>
    <row x14ac:dyDescent="0.25" r="237" customHeight="1" ht="17.25">
      <c r="A237" s="102">
        <v>236</v>
      </c>
      <c r="B237" s="1" t="s">
        <v>1683</v>
      </c>
      <c r="C237" s="102">
        <v>0</v>
      </c>
      <c r="D237" s="61" t="s">
        <v>1684</v>
      </c>
      <c r="E237" s="1" t="s">
        <v>88</v>
      </c>
      <c r="F237" s="1" t="s">
        <v>170</v>
      </c>
      <c r="G237" s="1" t="s">
        <v>40</v>
      </c>
      <c r="H237" s="1" t="s">
        <v>1685</v>
      </c>
      <c r="I237" s="102">
        <v>1</v>
      </c>
      <c r="J237" s="1" t="s">
        <v>162</v>
      </c>
      <c r="K237" s="1" t="s">
        <v>22</v>
      </c>
      <c r="L237" s="103">
        <v>35303</v>
      </c>
      <c r="M237" s="104">
        <v>20</v>
      </c>
      <c r="N237" s="1" t="s">
        <v>176</v>
      </c>
      <c r="O237" s="1" t="s">
        <v>182</v>
      </c>
      <c r="P237" s="1" t="s">
        <v>464</v>
      </c>
      <c r="Q237" s="1" t="s">
        <v>1686</v>
      </c>
      <c r="R237" s="54" t="s">
        <v>1687</v>
      </c>
      <c r="S237" s="102">
        <v>209300</v>
      </c>
      <c r="T237" s="62">
        <v>0</v>
      </c>
      <c r="U237" s="102">
        <v>0</v>
      </c>
      <c r="V237" s="62">
        <v>0</v>
      </c>
      <c r="W237" s="102">
        <v>0</v>
      </c>
      <c r="X237" s="62">
        <v>0</v>
      </c>
      <c r="Y237" s="102">
        <v>0</v>
      </c>
      <c r="Z237" s="62">
        <v>0</v>
      </c>
      <c r="AA237" s="102">
        <v>0</v>
      </c>
      <c r="AB237" s="62">
        <v>0</v>
      </c>
      <c r="AC237" s="106" t="s">
        <v>206</v>
      </c>
      <c r="AD237" s="106" t="s">
        <v>206</v>
      </c>
      <c r="AE237" s="106" t="s">
        <v>206</v>
      </c>
      <c r="AF237" s="106" t="s">
        <v>206</v>
      </c>
      <c r="AG237" s="106" t="s">
        <v>206</v>
      </c>
      <c r="AH237" s="106" t="s">
        <v>206</v>
      </c>
      <c r="AI237" s="1" t="s">
        <v>371</v>
      </c>
      <c r="AJ237" s="1" t="s">
        <v>206</v>
      </c>
      <c r="AK237" s="1" t="s">
        <v>1688</v>
      </c>
      <c r="AL237" s="1" t="s">
        <v>198</v>
      </c>
      <c r="AM237" s="106" t="s">
        <v>27</v>
      </c>
      <c r="AN237" s="1" t="s">
        <v>357</v>
      </c>
      <c r="AO237" s="1" t="s">
        <v>208</v>
      </c>
      <c r="AP237" s="1" t="s">
        <v>406</v>
      </c>
      <c r="AQ237" s="1" t="s">
        <v>492</v>
      </c>
      <c r="AR237" s="1" t="s">
        <v>206</v>
      </c>
      <c r="AS237" s="106" t="s">
        <v>206</v>
      </c>
      <c r="AT237" s="1" t="s">
        <v>206</v>
      </c>
      <c r="AU237" s="106" t="s">
        <v>206</v>
      </c>
      <c r="AV237" s="106" t="s">
        <v>206</v>
      </c>
      <c r="AW237" s="106" t="s">
        <v>35</v>
      </c>
      <c r="AX237" s="106" t="s">
        <v>206</v>
      </c>
      <c r="AY237" s="106" t="s">
        <v>206</v>
      </c>
      <c r="AZ237" s="1" t="s">
        <v>206</v>
      </c>
      <c r="BA237" s="106" t="s">
        <v>206</v>
      </c>
      <c r="BB237" s="106" t="s">
        <v>206</v>
      </c>
      <c r="BC237" s="106" t="s">
        <v>206</v>
      </c>
      <c r="BD237" s="106" t="s">
        <v>206</v>
      </c>
      <c r="BE237" s="106" t="s">
        <v>206</v>
      </c>
      <c r="BF237" s="107">
        <f>IF(AZ237="Não","Sim","Não")</f>
      </c>
      <c r="BG237" s="107">
        <f>IF(AZ237="NA","Sim","Não")</f>
      </c>
      <c r="BH237" s="106" t="s">
        <v>206</v>
      </c>
      <c r="BI237" s="1" t="s">
        <v>206</v>
      </c>
      <c r="BJ237" s="106" t="s">
        <v>206</v>
      </c>
      <c r="BK237" s="1" t="s">
        <v>492</v>
      </c>
      <c r="BL237" s="102">
        <v>70</v>
      </c>
      <c r="BM237" s="1" t="s">
        <v>208</v>
      </c>
      <c r="BN237" s="1" t="s">
        <v>208</v>
      </c>
      <c r="BO237" s="1" t="s">
        <v>492</v>
      </c>
      <c r="BP237" s="102">
        <v>70</v>
      </c>
      <c r="BQ237" s="1" t="s">
        <v>208</v>
      </c>
      <c r="BR237" s="1" t="s">
        <v>227</v>
      </c>
      <c r="BS237" s="106" t="s">
        <v>37</v>
      </c>
    </row>
    <row x14ac:dyDescent="0.25" r="238" customHeight="1" ht="17.25">
      <c r="A238" s="102">
        <v>237</v>
      </c>
      <c r="B238" s="1" t="s">
        <v>1683</v>
      </c>
      <c r="C238" s="102">
        <v>0</v>
      </c>
      <c r="D238" s="61" t="s">
        <v>1684</v>
      </c>
      <c r="E238" s="1" t="s">
        <v>88</v>
      </c>
      <c r="F238" s="1" t="s">
        <v>170</v>
      </c>
      <c r="G238" s="1" t="s">
        <v>40</v>
      </c>
      <c r="H238" s="1" t="s">
        <v>1689</v>
      </c>
      <c r="I238" s="102">
        <v>1</v>
      </c>
      <c r="J238" s="1" t="s">
        <v>162</v>
      </c>
      <c r="K238" s="1" t="s">
        <v>22</v>
      </c>
      <c r="L238" s="103">
        <v>35366</v>
      </c>
      <c r="M238" s="104">
        <v>20</v>
      </c>
      <c r="N238" s="1" t="s">
        <v>176</v>
      </c>
      <c r="O238" s="1" t="s">
        <v>182</v>
      </c>
      <c r="P238" s="1" t="s">
        <v>464</v>
      </c>
      <c r="Q238" s="1" t="s">
        <v>1686</v>
      </c>
      <c r="R238" s="54" t="s">
        <v>1687</v>
      </c>
      <c r="S238" s="102">
        <v>209300</v>
      </c>
      <c r="T238" s="62">
        <v>0</v>
      </c>
      <c r="U238" s="102">
        <v>0</v>
      </c>
      <c r="V238" s="62">
        <v>0</v>
      </c>
      <c r="W238" s="102">
        <v>0</v>
      </c>
      <c r="X238" s="62">
        <v>0</v>
      </c>
      <c r="Y238" s="102">
        <v>0</v>
      </c>
      <c r="Z238" s="62">
        <v>0</v>
      </c>
      <c r="AA238" s="102">
        <v>0</v>
      </c>
      <c r="AB238" s="62">
        <v>0</v>
      </c>
      <c r="AC238" s="106" t="s">
        <v>206</v>
      </c>
      <c r="AD238" s="106" t="s">
        <v>206</v>
      </c>
      <c r="AE238" s="106" t="s">
        <v>206</v>
      </c>
      <c r="AF238" s="106" t="s">
        <v>206</v>
      </c>
      <c r="AG238" s="106" t="s">
        <v>206</v>
      </c>
      <c r="AH238" s="106" t="s">
        <v>206</v>
      </c>
      <c r="AI238" s="1" t="s">
        <v>371</v>
      </c>
      <c r="AJ238" s="1" t="s">
        <v>206</v>
      </c>
      <c r="AK238" s="1" t="s">
        <v>1688</v>
      </c>
      <c r="AL238" s="1" t="s">
        <v>198</v>
      </c>
      <c r="AM238" s="106" t="s">
        <v>27</v>
      </c>
      <c r="AN238" s="1" t="s">
        <v>357</v>
      </c>
      <c r="AO238" s="1" t="s">
        <v>208</v>
      </c>
      <c r="AP238" s="1" t="s">
        <v>406</v>
      </c>
      <c r="AQ238" s="1" t="s">
        <v>492</v>
      </c>
      <c r="AR238" s="1" t="s">
        <v>206</v>
      </c>
      <c r="AS238" s="106" t="s">
        <v>206</v>
      </c>
      <c r="AT238" s="1" t="s">
        <v>206</v>
      </c>
      <c r="AU238" s="106" t="s">
        <v>206</v>
      </c>
      <c r="AV238" s="106" t="s">
        <v>206</v>
      </c>
      <c r="AW238" s="106" t="s">
        <v>35</v>
      </c>
      <c r="AX238" s="106" t="s">
        <v>206</v>
      </c>
      <c r="AY238" s="106" t="s">
        <v>206</v>
      </c>
      <c r="AZ238" s="1" t="s">
        <v>206</v>
      </c>
      <c r="BA238" s="106" t="s">
        <v>206</v>
      </c>
      <c r="BB238" s="106" t="s">
        <v>206</v>
      </c>
      <c r="BC238" s="106" t="s">
        <v>206</v>
      </c>
      <c r="BD238" s="106" t="s">
        <v>206</v>
      </c>
      <c r="BE238" s="106" t="s">
        <v>206</v>
      </c>
      <c r="BF238" s="107">
        <f>IF(AZ238="Não","Sim","Não")</f>
      </c>
      <c r="BG238" s="107">
        <f>IF(AZ238="NA","Sim","Não")</f>
      </c>
      <c r="BH238" s="106" t="s">
        <v>206</v>
      </c>
      <c r="BI238" s="1" t="s">
        <v>206</v>
      </c>
      <c r="BJ238" s="106" t="s">
        <v>206</v>
      </c>
      <c r="BK238" s="1" t="s">
        <v>492</v>
      </c>
      <c r="BL238" s="102">
        <v>70</v>
      </c>
      <c r="BM238" s="1" t="s">
        <v>208</v>
      </c>
      <c r="BN238" s="1" t="s">
        <v>208</v>
      </c>
      <c r="BO238" s="1" t="s">
        <v>492</v>
      </c>
      <c r="BP238" s="102">
        <v>70</v>
      </c>
      <c r="BQ238" s="1" t="s">
        <v>208</v>
      </c>
      <c r="BR238" s="1" t="s">
        <v>227</v>
      </c>
      <c r="BS238" s="106" t="s">
        <v>37</v>
      </c>
    </row>
    <row x14ac:dyDescent="0.25" r="239" customHeight="1" ht="17.25">
      <c r="A239" s="102">
        <v>238</v>
      </c>
      <c r="B239" s="1" t="s">
        <v>1690</v>
      </c>
      <c r="C239" s="102">
        <v>1</v>
      </c>
      <c r="D239" s="61" t="s">
        <v>806</v>
      </c>
      <c r="E239" s="1" t="s">
        <v>135</v>
      </c>
      <c r="F239" s="1" t="s">
        <v>22</v>
      </c>
      <c r="G239" s="1" t="s">
        <v>42</v>
      </c>
      <c r="H239" s="1" t="s">
        <v>1691</v>
      </c>
      <c r="I239" s="102">
        <v>1</v>
      </c>
      <c r="J239" s="1" t="s">
        <v>158</v>
      </c>
      <c r="K239" s="1" t="s">
        <v>22</v>
      </c>
      <c r="L239" s="103">
        <v>32735</v>
      </c>
      <c r="M239" s="104">
        <v>27</v>
      </c>
      <c r="N239" s="1" t="s">
        <v>175</v>
      </c>
      <c r="O239" s="1" t="s">
        <v>24</v>
      </c>
      <c r="P239" s="1" t="s">
        <v>365</v>
      </c>
      <c r="Q239" s="1" t="s">
        <v>1692</v>
      </c>
      <c r="R239" s="54" t="s">
        <v>1693</v>
      </c>
      <c r="S239" s="105">
        <v>136.5</v>
      </c>
      <c r="T239" s="62">
        <v>0</v>
      </c>
      <c r="U239" s="102">
        <v>0</v>
      </c>
      <c r="V239" s="62">
        <v>0</v>
      </c>
      <c r="W239" s="102">
        <v>0</v>
      </c>
      <c r="X239" s="62">
        <v>0</v>
      </c>
      <c r="Y239" s="102">
        <v>0</v>
      </c>
      <c r="Z239" s="62">
        <v>0</v>
      </c>
      <c r="AA239" s="102">
        <v>0</v>
      </c>
      <c r="AB239" s="62">
        <v>0</v>
      </c>
      <c r="AC239" s="106" t="s">
        <v>206</v>
      </c>
      <c r="AD239" s="106" t="s">
        <v>206</v>
      </c>
      <c r="AE239" s="106" t="s">
        <v>206</v>
      </c>
      <c r="AF239" s="106" t="s">
        <v>206</v>
      </c>
      <c r="AG239" s="106" t="s">
        <v>206</v>
      </c>
      <c r="AH239" s="106" t="s">
        <v>206</v>
      </c>
      <c r="AI239" s="1" t="s">
        <v>357</v>
      </c>
      <c r="AJ239" s="1" t="s">
        <v>206</v>
      </c>
      <c r="AK239" s="1" t="s">
        <v>373</v>
      </c>
      <c r="AL239" s="1" t="s">
        <v>197</v>
      </c>
      <c r="AM239" s="106" t="s">
        <v>27</v>
      </c>
      <c r="AN239" s="1" t="s">
        <v>357</v>
      </c>
      <c r="AO239" s="1" t="s">
        <v>208</v>
      </c>
      <c r="AP239" s="1" t="s">
        <v>206</v>
      </c>
      <c r="AQ239" s="1" t="s">
        <v>441</v>
      </c>
      <c r="AR239" s="1" t="s">
        <v>207</v>
      </c>
      <c r="AS239" s="106" t="s">
        <v>35</v>
      </c>
      <c r="AT239" s="1" t="s">
        <v>206</v>
      </c>
      <c r="AU239" s="106" t="s">
        <v>206</v>
      </c>
      <c r="AV239" s="106" t="s">
        <v>206</v>
      </c>
      <c r="AW239" s="106" t="s">
        <v>35</v>
      </c>
      <c r="AX239" s="106" t="s">
        <v>206</v>
      </c>
      <c r="AY239" s="106" t="s">
        <v>206</v>
      </c>
      <c r="AZ239" s="1" t="s">
        <v>206</v>
      </c>
      <c r="BA239" s="106" t="s">
        <v>206</v>
      </c>
      <c r="BB239" s="106" t="s">
        <v>206</v>
      </c>
      <c r="BC239" s="106" t="s">
        <v>206</v>
      </c>
      <c r="BD239" s="106" t="s">
        <v>206</v>
      </c>
      <c r="BE239" s="106" t="s">
        <v>206</v>
      </c>
      <c r="BF239" s="107">
        <f>IF(AZ239="Não","Sim","Não")</f>
      </c>
      <c r="BG239" s="107">
        <f>IF(AZ239="NA","Sim","Não")</f>
      </c>
      <c r="BH239" s="106" t="s">
        <v>206</v>
      </c>
      <c r="BI239" s="1" t="s">
        <v>238</v>
      </c>
      <c r="BJ239" s="106" t="s">
        <v>241</v>
      </c>
      <c r="BK239" s="1" t="s">
        <v>492</v>
      </c>
      <c r="BL239" s="102">
        <v>70</v>
      </c>
      <c r="BM239" s="1" t="s">
        <v>208</v>
      </c>
      <c r="BN239" s="1" t="s">
        <v>208</v>
      </c>
      <c r="BO239" s="1" t="s">
        <v>492</v>
      </c>
      <c r="BP239" s="102">
        <v>70</v>
      </c>
      <c r="BQ239" s="1" t="s">
        <v>208</v>
      </c>
      <c r="BR239" s="1" t="s">
        <v>227</v>
      </c>
      <c r="BS239" s="106" t="s">
        <v>37</v>
      </c>
    </row>
    <row x14ac:dyDescent="0.25" r="240" customHeight="1" ht="17.25">
      <c r="A240" s="102">
        <v>239</v>
      </c>
      <c r="B240" s="1" t="s">
        <v>1694</v>
      </c>
      <c r="C240" s="102">
        <v>1</v>
      </c>
      <c r="D240" s="61" t="s">
        <v>1503</v>
      </c>
      <c r="E240" s="1" t="s">
        <v>76</v>
      </c>
      <c r="F240" s="1" t="s">
        <v>22</v>
      </c>
      <c r="G240" s="1" t="s">
        <v>60</v>
      </c>
      <c r="H240" s="1" t="s">
        <v>1695</v>
      </c>
      <c r="I240" s="102">
        <v>1</v>
      </c>
      <c r="J240" s="1" t="s">
        <v>158</v>
      </c>
      <c r="K240" s="1" t="s">
        <v>22</v>
      </c>
      <c r="L240" s="103">
        <v>32759</v>
      </c>
      <c r="M240" s="104">
        <v>28</v>
      </c>
      <c r="N240" s="1" t="s">
        <v>176</v>
      </c>
      <c r="O240" s="1" t="s">
        <v>182</v>
      </c>
      <c r="P240" s="1" t="s">
        <v>615</v>
      </c>
      <c r="Q240" s="1" t="s">
        <v>1696</v>
      </c>
      <c r="R240" s="62">
        <v>0</v>
      </c>
      <c r="S240" s="102">
        <v>0</v>
      </c>
      <c r="T240" s="54" t="s">
        <v>1697</v>
      </c>
      <c r="U240" s="105">
        <v>75.6</v>
      </c>
      <c r="V240" s="62">
        <v>0</v>
      </c>
      <c r="W240" s="102">
        <v>0</v>
      </c>
      <c r="X240" s="62">
        <v>0</v>
      </c>
      <c r="Y240" s="102">
        <v>0</v>
      </c>
      <c r="Z240" s="62">
        <v>0</v>
      </c>
      <c r="AA240" s="102">
        <v>0</v>
      </c>
      <c r="AB240" s="62">
        <v>0</v>
      </c>
      <c r="AC240" s="106" t="s">
        <v>206</v>
      </c>
      <c r="AD240" s="106" t="s">
        <v>206</v>
      </c>
      <c r="AE240" s="106" t="s">
        <v>206</v>
      </c>
      <c r="AF240" s="106" t="s">
        <v>206</v>
      </c>
      <c r="AG240" s="106" t="s">
        <v>206</v>
      </c>
      <c r="AH240" s="106" t="s">
        <v>206</v>
      </c>
      <c r="AI240" s="1" t="s">
        <v>357</v>
      </c>
      <c r="AJ240" s="1" t="s">
        <v>206</v>
      </c>
      <c r="AK240" s="1" t="s">
        <v>626</v>
      </c>
      <c r="AL240" s="1" t="s">
        <v>197</v>
      </c>
      <c r="AM240" s="106" t="s">
        <v>27</v>
      </c>
      <c r="AN240" s="1" t="s">
        <v>357</v>
      </c>
      <c r="AO240" s="1" t="s">
        <v>208</v>
      </c>
      <c r="AP240" s="1" t="s">
        <v>206</v>
      </c>
      <c r="AQ240" s="1" t="s">
        <v>441</v>
      </c>
      <c r="AR240" s="1" t="s">
        <v>207</v>
      </c>
      <c r="AS240" s="106" t="s">
        <v>35</v>
      </c>
      <c r="AT240" s="1" t="s">
        <v>206</v>
      </c>
      <c r="AU240" s="106" t="s">
        <v>206</v>
      </c>
      <c r="AV240" s="106" t="s">
        <v>206</v>
      </c>
      <c r="AW240" s="106" t="s">
        <v>35</v>
      </c>
      <c r="AX240" s="106" t="s">
        <v>206</v>
      </c>
      <c r="AY240" s="106" t="s">
        <v>206</v>
      </c>
      <c r="AZ240" s="1" t="s">
        <v>206</v>
      </c>
      <c r="BA240" s="106" t="s">
        <v>206</v>
      </c>
      <c r="BB240" s="106" t="s">
        <v>206</v>
      </c>
      <c r="BC240" s="106" t="s">
        <v>206</v>
      </c>
      <c r="BD240" s="106" t="s">
        <v>206</v>
      </c>
      <c r="BE240" s="106" t="s">
        <v>206</v>
      </c>
      <c r="BF240" s="107">
        <f>IF(AZ240="Não","Sim","Não")</f>
      </c>
      <c r="BG240" s="107">
        <f>IF(AZ240="NA","Sim","Não")</f>
      </c>
      <c r="BH240" s="106" t="s">
        <v>206</v>
      </c>
      <c r="BI240" s="1" t="s">
        <v>238</v>
      </c>
      <c r="BJ240" s="106" t="s">
        <v>241</v>
      </c>
      <c r="BK240" s="1" t="s">
        <v>492</v>
      </c>
      <c r="BL240" s="102">
        <v>70</v>
      </c>
      <c r="BM240" s="1" t="s">
        <v>208</v>
      </c>
      <c r="BN240" s="1" t="s">
        <v>208</v>
      </c>
      <c r="BO240" s="1" t="s">
        <v>492</v>
      </c>
      <c r="BP240" s="102">
        <v>70</v>
      </c>
      <c r="BQ240" s="1" t="s">
        <v>208</v>
      </c>
      <c r="BR240" s="1" t="s">
        <v>227</v>
      </c>
      <c r="BS240" s="106" t="s">
        <v>37</v>
      </c>
    </row>
    <row x14ac:dyDescent="0.25" r="241" customHeight="1" ht="17.25">
      <c r="A241" s="102">
        <v>240</v>
      </c>
      <c r="B241" s="1" t="s">
        <v>1698</v>
      </c>
      <c r="C241" s="102">
        <v>1</v>
      </c>
      <c r="D241" s="61" t="s">
        <v>1679</v>
      </c>
      <c r="E241" s="1" t="s">
        <v>108</v>
      </c>
      <c r="F241" s="1" t="s">
        <v>170</v>
      </c>
      <c r="G241" s="1" t="s">
        <v>46</v>
      </c>
      <c r="H241" s="1" t="s">
        <v>1699</v>
      </c>
      <c r="I241" s="102">
        <v>1</v>
      </c>
      <c r="J241" s="1" t="s">
        <v>158</v>
      </c>
      <c r="K241" s="1" t="s">
        <v>22</v>
      </c>
      <c r="L241" s="103">
        <v>31834</v>
      </c>
      <c r="M241" s="104">
        <v>30</v>
      </c>
      <c r="N241" s="1" t="s">
        <v>175</v>
      </c>
      <c r="O241" s="1" t="s">
        <v>24</v>
      </c>
      <c r="P241" s="1" t="s">
        <v>354</v>
      </c>
      <c r="Q241" s="1" t="s">
        <v>1235</v>
      </c>
      <c r="R241" s="54" t="s">
        <v>1700</v>
      </c>
      <c r="S241" s="105">
        <v>5.8</v>
      </c>
      <c r="T241" s="54" t="s">
        <v>1701</v>
      </c>
      <c r="U241" s="105">
        <v>17.9</v>
      </c>
      <c r="V241" s="62">
        <v>0</v>
      </c>
      <c r="W241" s="102">
        <v>0</v>
      </c>
      <c r="X241" s="62">
        <v>0</v>
      </c>
      <c r="Y241" s="102">
        <v>0</v>
      </c>
      <c r="Z241" s="62">
        <v>0</v>
      </c>
      <c r="AA241" s="102">
        <v>0</v>
      </c>
      <c r="AB241" s="62">
        <v>0</v>
      </c>
      <c r="AC241" s="106" t="s">
        <v>206</v>
      </c>
      <c r="AD241" s="106" t="s">
        <v>206</v>
      </c>
      <c r="AE241" s="106" t="s">
        <v>206</v>
      </c>
      <c r="AF241" s="106" t="s">
        <v>206</v>
      </c>
      <c r="AG241" s="106" t="s">
        <v>206</v>
      </c>
      <c r="AH241" s="106" t="s">
        <v>206</v>
      </c>
      <c r="AI241" s="1" t="s">
        <v>357</v>
      </c>
      <c r="AJ241" s="1" t="s">
        <v>206</v>
      </c>
      <c r="AK241" s="1" t="s">
        <v>520</v>
      </c>
      <c r="AL241" s="1" t="s">
        <v>197</v>
      </c>
      <c r="AM241" s="106" t="s">
        <v>27</v>
      </c>
      <c r="AN241" s="1" t="s">
        <v>357</v>
      </c>
      <c r="AO241" s="1" t="s">
        <v>208</v>
      </c>
      <c r="AP241" s="1" t="s">
        <v>206</v>
      </c>
      <c r="AQ241" s="1" t="s">
        <v>441</v>
      </c>
      <c r="AR241" s="1" t="s">
        <v>207</v>
      </c>
      <c r="AS241" s="106" t="s">
        <v>35</v>
      </c>
      <c r="AT241" s="1" t="s">
        <v>206</v>
      </c>
      <c r="AU241" s="106" t="s">
        <v>206</v>
      </c>
      <c r="AV241" s="106" t="s">
        <v>206</v>
      </c>
      <c r="AW241" s="106" t="s">
        <v>35</v>
      </c>
      <c r="AX241" s="106" t="s">
        <v>206</v>
      </c>
      <c r="AY241" s="106" t="s">
        <v>206</v>
      </c>
      <c r="AZ241" s="1" t="s">
        <v>206</v>
      </c>
      <c r="BA241" s="106" t="s">
        <v>206</v>
      </c>
      <c r="BB241" s="106" t="s">
        <v>206</v>
      </c>
      <c r="BC241" s="106" t="s">
        <v>206</v>
      </c>
      <c r="BD241" s="106" t="s">
        <v>206</v>
      </c>
      <c r="BE241" s="106" t="s">
        <v>206</v>
      </c>
      <c r="BF241" s="107">
        <f>IF(AZ241="Não","Sim","Não")</f>
      </c>
      <c r="BG241" s="107">
        <f>IF(AZ241="NA","Sim","Não")</f>
      </c>
      <c r="BH241" s="106" t="s">
        <v>206</v>
      </c>
      <c r="BI241" s="1" t="s">
        <v>238</v>
      </c>
      <c r="BJ241" s="106" t="s">
        <v>241</v>
      </c>
      <c r="BK241" s="1" t="s">
        <v>492</v>
      </c>
      <c r="BL241" s="102">
        <v>70</v>
      </c>
      <c r="BM241" s="1" t="s">
        <v>208</v>
      </c>
      <c r="BN241" s="1" t="s">
        <v>208</v>
      </c>
      <c r="BO241" s="1" t="s">
        <v>492</v>
      </c>
      <c r="BP241" s="102">
        <v>70</v>
      </c>
      <c r="BQ241" s="1" t="s">
        <v>208</v>
      </c>
      <c r="BR241" s="1" t="s">
        <v>227</v>
      </c>
      <c r="BS241" s="106" t="s">
        <v>37</v>
      </c>
    </row>
    <row x14ac:dyDescent="0.25" r="242" customHeight="1" ht="17.25">
      <c r="A242" s="102">
        <v>241</v>
      </c>
      <c r="B242" s="1" t="s">
        <v>1702</v>
      </c>
      <c r="C242" s="102">
        <v>1</v>
      </c>
      <c r="D242" s="61" t="s">
        <v>1195</v>
      </c>
      <c r="E242" s="1" t="s">
        <v>132</v>
      </c>
      <c r="F242" s="1" t="s">
        <v>170</v>
      </c>
      <c r="G242" s="1" t="s">
        <v>42</v>
      </c>
      <c r="H242" s="1" t="s">
        <v>1703</v>
      </c>
      <c r="I242" s="102">
        <v>1</v>
      </c>
      <c r="J242" s="1" t="s">
        <v>158</v>
      </c>
      <c r="K242" s="1" t="s">
        <v>22</v>
      </c>
      <c r="L242" s="103">
        <v>31462</v>
      </c>
      <c r="M242" s="104">
        <v>30</v>
      </c>
      <c r="N242" s="1" t="s">
        <v>175</v>
      </c>
      <c r="O242" s="1" t="s">
        <v>24</v>
      </c>
      <c r="P242" s="1" t="s">
        <v>354</v>
      </c>
      <c r="Q242" s="1" t="s">
        <v>366</v>
      </c>
      <c r="R242" s="62">
        <v>0</v>
      </c>
      <c r="S242" s="102">
        <v>0</v>
      </c>
      <c r="T242" s="54" t="s">
        <v>1704</v>
      </c>
      <c r="U242" s="105">
        <v>3.7</v>
      </c>
      <c r="V242" s="62">
        <v>0</v>
      </c>
      <c r="W242" s="102">
        <v>0</v>
      </c>
      <c r="X242" s="62">
        <v>0</v>
      </c>
      <c r="Y242" s="102">
        <v>0</v>
      </c>
      <c r="Z242" s="62">
        <v>0</v>
      </c>
      <c r="AA242" s="102">
        <v>0</v>
      </c>
      <c r="AB242" s="62">
        <v>0</v>
      </c>
      <c r="AC242" s="106" t="s">
        <v>206</v>
      </c>
      <c r="AD242" s="106" t="s">
        <v>206</v>
      </c>
      <c r="AE242" s="106" t="s">
        <v>206</v>
      </c>
      <c r="AF242" s="106" t="s">
        <v>206</v>
      </c>
      <c r="AG242" s="106" t="s">
        <v>206</v>
      </c>
      <c r="AH242" s="106" t="s">
        <v>206</v>
      </c>
      <c r="AI242" s="1" t="s">
        <v>357</v>
      </c>
      <c r="AJ242" s="1" t="s">
        <v>206</v>
      </c>
      <c r="AK242" s="1" t="s">
        <v>1705</v>
      </c>
      <c r="AL242" s="1" t="s">
        <v>197</v>
      </c>
      <c r="AM242" s="106" t="s">
        <v>27</v>
      </c>
      <c r="AN242" s="1" t="s">
        <v>357</v>
      </c>
      <c r="AO242" s="1" t="s">
        <v>208</v>
      </c>
      <c r="AP242" s="1" t="s">
        <v>206</v>
      </c>
      <c r="AQ242" s="1" t="s">
        <v>1660</v>
      </c>
      <c r="AR242" s="1" t="s">
        <v>207</v>
      </c>
      <c r="AS242" s="106" t="s">
        <v>35</v>
      </c>
      <c r="AT242" s="1" t="s">
        <v>206</v>
      </c>
      <c r="AU242" s="106" t="s">
        <v>206</v>
      </c>
      <c r="AV242" s="106" t="s">
        <v>206</v>
      </c>
      <c r="AW242" s="106" t="s">
        <v>35</v>
      </c>
      <c r="AX242" s="106" t="s">
        <v>206</v>
      </c>
      <c r="AY242" s="106" t="s">
        <v>206</v>
      </c>
      <c r="AZ242" s="1" t="s">
        <v>206</v>
      </c>
      <c r="BA242" s="106" t="s">
        <v>206</v>
      </c>
      <c r="BB242" s="106" t="s">
        <v>206</v>
      </c>
      <c r="BC242" s="106" t="s">
        <v>206</v>
      </c>
      <c r="BD242" s="106" t="s">
        <v>206</v>
      </c>
      <c r="BE242" s="106" t="s">
        <v>206</v>
      </c>
      <c r="BF242" s="107">
        <f>IF(AZ242="Não","Sim","Não")</f>
      </c>
      <c r="BG242" s="107">
        <f>IF(AZ242="NA","Sim","Não")</f>
      </c>
      <c r="BH242" s="106" t="s">
        <v>206</v>
      </c>
      <c r="BI242" s="1" t="s">
        <v>238</v>
      </c>
      <c r="BJ242" s="106" t="s">
        <v>241</v>
      </c>
      <c r="BK242" s="1" t="s">
        <v>492</v>
      </c>
      <c r="BL242" s="102">
        <v>70</v>
      </c>
      <c r="BM242" s="1" t="s">
        <v>208</v>
      </c>
      <c r="BN242" s="1" t="s">
        <v>208</v>
      </c>
      <c r="BO242" s="1" t="s">
        <v>492</v>
      </c>
      <c r="BP242" s="102">
        <v>70</v>
      </c>
      <c r="BQ242" s="1" t="s">
        <v>208</v>
      </c>
      <c r="BR242" s="1" t="s">
        <v>227</v>
      </c>
      <c r="BS242" s="106" t="s">
        <v>37</v>
      </c>
    </row>
    <row x14ac:dyDescent="0.25" r="243" customHeight="1" ht="17.25">
      <c r="A243" s="102">
        <v>242</v>
      </c>
      <c r="B243" s="1" t="s">
        <v>1706</v>
      </c>
      <c r="C243" s="102">
        <v>1</v>
      </c>
      <c r="D243" s="61" t="s">
        <v>1091</v>
      </c>
      <c r="E243" s="1" t="s">
        <v>100</v>
      </c>
      <c r="F243" s="1" t="s">
        <v>22</v>
      </c>
      <c r="G243" s="1" t="s">
        <v>43</v>
      </c>
      <c r="H243" s="1" t="s">
        <v>1707</v>
      </c>
      <c r="I243" s="102">
        <v>1</v>
      </c>
      <c r="J243" s="1" t="s">
        <v>158</v>
      </c>
      <c r="K243" s="1" t="s">
        <v>170</v>
      </c>
      <c r="L243" s="103">
        <v>21180</v>
      </c>
      <c r="M243" s="104">
        <v>59</v>
      </c>
      <c r="N243" s="1" t="s">
        <v>176</v>
      </c>
      <c r="O243" s="1" t="s">
        <v>182</v>
      </c>
      <c r="P243" s="1" t="s">
        <v>365</v>
      </c>
      <c r="Q243" s="1" t="s">
        <v>507</v>
      </c>
      <c r="R243" s="62">
        <v>0</v>
      </c>
      <c r="S243" s="102">
        <v>0</v>
      </c>
      <c r="T243" s="54" t="s">
        <v>1708</v>
      </c>
      <c r="U243" s="105">
        <v>11.3</v>
      </c>
      <c r="V243" s="62">
        <v>0</v>
      </c>
      <c r="W243" s="102">
        <v>0</v>
      </c>
      <c r="X243" s="62">
        <v>0</v>
      </c>
      <c r="Y243" s="102">
        <v>0</v>
      </c>
      <c r="Z243" s="62">
        <v>0</v>
      </c>
      <c r="AA243" s="102">
        <v>0</v>
      </c>
      <c r="AB243" s="62">
        <v>0</v>
      </c>
      <c r="AC243" s="106" t="s">
        <v>206</v>
      </c>
      <c r="AD243" s="106" t="s">
        <v>206</v>
      </c>
      <c r="AE243" s="106" t="s">
        <v>206</v>
      </c>
      <c r="AF243" s="106" t="s">
        <v>206</v>
      </c>
      <c r="AG243" s="106" t="s">
        <v>206</v>
      </c>
      <c r="AH243" s="106" t="s">
        <v>206</v>
      </c>
      <c r="AI243" s="1" t="s">
        <v>357</v>
      </c>
      <c r="AJ243" s="1" t="s">
        <v>206</v>
      </c>
      <c r="AK243" s="1" t="s">
        <v>1166</v>
      </c>
      <c r="AL243" s="1" t="s">
        <v>197</v>
      </c>
      <c r="AM243" s="106" t="s">
        <v>27</v>
      </c>
      <c r="AN243" s="1" t="s">
        <v>357</v>
      </c>
      <c r="AO243" s="1" t="s">
        <v>208</v>
      </c>
      <c r="AP243" s="1" t="s">
        <v>603</v>
      </c>
      <c r="AQ243" s="1" t="s">
        <v>432</v>
      </c>
      <c r="AR243" s="1" t="s">
        <v>206</v>
      </c>
      <c r="AS243" s="106" t="s">
        <v>206</v>
      </c>
      <c r="AT243" s="1" t="s">
        <v>206</v>
      </c>
      <c r="AU243" s="106" t="s">
        <v>206</v>
      </c>
      <c r="AV243" s="106" t="s">
        <v>206</v>
      </c>
      <c r="AW243" s="106" t="s">
        <v>35</v>
      </c>
      <c r="AX243" s="106" t="s">
        <v>206</v>
      </c>
      <c r="AY243" s="106" t="s">
        <v>206</v>
      </c>
      <c r="AZ243" s="1" t="s">
        <v>206</v>
      </c>
      <c r="BA243" s="106" t="s">
        <v>206</v>
      </c>
      <c r="BB243" s="106" t="s">
        <v>206</v>
      </c>
      <c r="BC243" s="106" t="s">
        <v>206</v>
      </c>
      <c r="BD243" s="106" t="s">
        <v>206</v>
      </c>
      <c r="BE243" s="106" t="s">
        <v>206</v>
      </c>
      <c r="BF243" s="107">
        <f>IF(AZ243="Não","Sim","Não")</f>
      </c>
      <c r="BG243" s="107">
        <f>IF(AZ243="NA","Sim","Não")</f>
      </c>
      <c r="BH243" s="106" t="s">
        <v>206</v>
      </c>
      <c r="BI243" s="1" t="s">
        <v>238</v>
      </c>
      <c r="BJ243" s="106" t="s">
        <v>241</v>
      </c>
      <c r="BK243" s="1" t="s">
        <v>492</v>
      </c>
      <c r="BL243" s="102">
        <v>70</v>
      </c>
      <c r="BM243" s="1" t="s">
        <v>208</v>
      </c>
      <c r="BN243" s="1" t="s">
        <v>208</v>
      </c>
      <c r="BO243" s="1" t="s">
        <v>492</v>
      </c>
      <c r="BP243" s="102">
        <v>70</v>
      </c>
      <c r="BQ243" s="1" t="s">
        <v>208</v>
      </c>
      <c r="BR243" s="1" t="s">
        <v>227</v>
      </c>
      <c r="BS243" s="106" t="s">
        <v>37</v>
      </c>
    </row>
    <row x14ac:dyDescent="0.25" r="244" customHeight="1" ht="17.25">
      <c r="A244" s="102">
        <v>243</v>
      </c>
      <c r="B244" s="1" t="s">
        <v>1709</v>
      </c>
      <c r="C244" s="102">
        <v>0</v>
      </c>
      <c r="D244" s="61" t="s">
        <v>443</v>
      </c>
      <c r="E244" s="1" t="s">
        <v>83</v>
      </c>
      <c r="F244" s="1" t="s">
        <v>22</v>
      </c>
      <c r="G244" s="1" t="s">
        <v>68</v>
      </c>
      <c r="H244" s="1" t="s">
        <v>1710</v>
      </c>
      <c r="I244" s="102">
        <v>1</v>
      </c>
      <c r="J244" s="1" t="s">
        <v>165</v>
      </c>
      <c r="K244" s="1" t="s">
        <v>22</v>
      </c>
      <c r="L244" s="103">
        <v>34709</v>
      </c>
      <c r="M244" s="104">
        <v>22</v>
      </c>
      <c r="N244" s="1" t="s">
        <v>175</v>
      </c>
      <c r="O244" s="1" t="s">
        <v>24</v>
      </c>
      <c r="P244" s="1" t="s">
        <v>354</v>
      </c>
      <c r="Q244" s="1" t="s">
        <v>1711</v>
      </c>
      <c r="R244" s="54" t="s">
        <v>1712</v>
      </c>
      <c r="S244" s="105">
        <v>111.8</v>
      </c>
      <c r="T244" s="54" t="s">
        <v>1713</v>
      </c>
      <c r="U244" s="105">
        <v>194.6</v>
      </c>
      <c r="V244" s="62">
        <v>0</v>
      </c>
      <c r="W244" s="102">
        <v>0</v>
      </c>
      <c r="X244" s="62">
        <v>0</v>
      </c>
      <c r="Y244" s="102">
        <v>0</v>
      </c>
      <c r="Z244" s="62">
        <v>0</v>
      </c>
      <c r="AA244" s="102">
        <v>0</v>
      </c>
      <c r="AB244" s="62">
        <v>0</v>
      </c>
      <c r="AC244" s="106" t="s">
        <v>206</v>
      </c>
      <c r="AD244" s="106" t="s">
        <v>206</v>
      </c>
      <c r="AE244" s="106" t="s">
        <v>206</v>
      </c>
      <c r="AF244" s="106" t="s">
        <v>206</v>
      </c>
      <c r="AG244" s="106" t="s">
        <v>206</v>
      </c>
      <c r="AH244" s="106" t="s">
        <v>206</v>
      </c>
      <c r="AI244" s="1" t="s">
        <v>371</v>
      </c>
      <c r="AJ244" s="1" t="s">
        <v>206</v>
      </c>
      <c r="AK244" s="1" t="s">
        <v>1480</v>
      </c>
      <c r="AL244" s="1" t="s">
        <v>198</v>
      </c>
      <c r="AM244" s="106" t="s">
        <v>27</v>
      </c>
      <c r="AN244" s="1" t="s">
        <v>357</v>
      </c>
      <c r="AO244" s="1" t="s">
        <v>208</v>
      </c>
      <c r="AP244" s="1" t="s">
        <v>206</v>
      </c>
      <c r="AQ244" s="1" t="s">
        <v>441</v>
      </c>
      <c r="AR244" s="1" t="s">
        <v>206</v>
      </c>
      <c r="AS244" s="106" t="s">
        <v>206</v>
      </c>
      <c r="AT244" s="1" t="s">
        <v>206</v>
      </c>
      <c r="AU244" s="106" t="s">
        <v>206</v>
      </c>
      <c r="AV244" s="106" t="s">
        <v>206</v>
      </c>
      <c r="AW244" s="106" t="s">
        <v>35</v>
      </c>
      <c r="AX244" s="106" t="s">
        <v>206</v>
      </c>
      <c r="AY244" s="106" t="s">
        <v>206</v>
      </c>
      <c r="AZ244" s="1" t="s">
        <v>30</v>
      </c>
      <c r="BA244" s="106" t="s">
        <v>35</v>
      </c>
      <c r="BB244" s="106" t="s">
        <v>206</v>
      </c>
      <c r="BC244" s="106" t="s">
        <v>206</v>
      </c>
      <c r="BD244" s="106" t="s">
        <v>206</v>
      </c>
      <c r="BE244" s="106" t="s">
        <v>206</v>
      </c>
      <c r="BF244" s="107">
        <f>IF(AZ244="Não","Sim","Não")</f>
      </c>
      <c r="BG244" s="107">
        <f>IF(AZ244="NA","Sim","Não")</f>
      </c>
      <c r="BH244" s="106" t="s">
        <v>35</v>
      </c>
      <c r="BI244" s="1" t="s">
        <v>206</v>
      </c>
      <c r="BJ244" s="106" t="s">
        <v>206</v>
      </c>
      <c r="BK244" s="1" t="s">
        <v>492</v>
      </c>
      <c r="BL244" s="102">
        <v>70</v>
      </c>
      <c r="BM244" s="1" t="s">
        <v>208</v>
      </c>
      <c r="BN244" s="1" t="s">
        <v>208</v>
      </c>
      <c r="BO244" s="1" t="s">
        <v>492</v>
      </c>
      <c r="BP244" s="102">
        <v>70</v>
      </c>
      <c r="BQ244" s="1" t="s">
        <v>208</v>
      </c>
      <c r="BR244" s="1" t="s">
        <v>227</v>
      </c>
      <c r="BS244" s="106" t="s">
        <v>37</v>
      </c>
    </row>
    <row x14ac:dyDescent="0.25" r="245" customHeight="1" ht="17.25">
      <c r="A245" s="102">
        <v>244</v>
      </c>
      <c r="B245" s="1" t="s">
        <v>1709</v>
      </c>
      <c r="C245" s="102">
        <v>1</v>
      </c>
      <c r="D245" s="61" t="s">
        <v>443</v>
      </c>
      <c r="E245" s="1" t="s">
        <v>83</v>
      </c>
      <c r="F245" s="1" t="s">
        <v>22</v>
      </c>
      <c r="G245" s="1" t="s">
        <v>68</v>
      </c>
      <c r="H245" s="1" t="s">
        <v>1714</v>
      </c>
      <c r="I245" s="102">
        <v>1</v>
      </c>
      <c r="J245" s="1" t="s">
        <v>165</v>
      </c>
      <c r="K245" s="1" t="s">
        <v>22</v>
      </c>
      <c r="L245" s="103">
        <v>35855</v>
      </c>
      <c r="M245" s="104">
        <v>19</v>
      </c>
      <c r="N245" s="1" t="s">
        <v>175</v>
      </c>
      <c r="O245" s="1" t="s">
        <v>24</v>
      </c>
      <c r="P245" s="1" t="s">
        <v>354</v>
      </c>
      <c r="Q245" s="1" t="s">
        <v>1711</v>
      </c>
      <c r="R245" s="54" t="s">
        <v>1712</v>
      </c>
      <c r="S245" s="105">
        <v>111.8</v>
      </c>
      <c r="T245" s="54" t="s">
        <v>1713</v>
      </c>
      <c r="U245" s="105">
        <v>194.6</v>
      </c>
      <c r="V245" s="62">
        <v>0</v>
      </c>
      <c r="W245" s="102">
        <v>0</v>
      </c>
      <c r="X245" s="62">
        <v>0</v>
      </c>
      <c r="Y245" s="102">
        <v>0</v>
      </c>
      <c r="Z245" s="62">
        <v>0</v>
      </c>
      <c r="AA245" s="102">
        <v>0</v>
      </c>
      <c r="AB245" s="62">
        <v>0</v>
      </c>
      <c r="AC245" s="106" t="s">
        <v>206</v>
      </c>
      <c r="AD245" s="106" t="s">
        <v>206</v>
      </c>
      <c r="AE245" s="106" t="s">
        <v>206</v>
      </c>
      <c r="AF245" s="106" t="s">
        <v>206</v>
      </c>
      <c r="AG245" s="106" t="s">
        <v>206</v>
      </c>
      <c r="AH245" s="106" t="s">
        <v>206</v>
      </c>
      <c r="AI245" s="1" t="s">
        <v>371</v>
      </c>
      <c r="AJ245" s="1" t="s">
        <v>206</v>
      </c>
      <c r="AK245" s="1" t="s">
        <v>1480</v>
      </c>
      <c r="AL245" s="1" t="s">
        <v>198</v>
      </c>
      <c r="AM245" s="106" t="s">
        <v>27</v>
      </c>
      <c r="AN245" s="1" t="s">
        <v>357</v>
      </c>
      <c r="AO245" s="1" t="s">
        <v>208</v>
      </c>
      <c r="AP245" s="1" t="s">
        <v>206</v>
      </c>
      <c r="AQ245" s="1" t="s">
        <v>441</v>
      </c>
      <c r="AR245" s="1" t="s">
        <v>206</v>
      </c>
      <c r="AS245" s="106" t="s">
        <v>206</v>
      </c>
      <c r="AT245" s="1" t="s">
        <v>206</v>
      </c>
      <c r="AU245" s="106" t="s">
        <v>206</v>
      </c>
      <c r="AV245" s="106" t="s">
        <v>206</v>
      </c>
      <c r="AW245" s="106" t="s">
        <v>35</v>
      </c>
      <c r="AX245" s="106" t="s">
        <v>206</v>
      </c>
      <c r="AY245" s="106" t="s">
        <v>206</v>
      </c>
      <c r="AZ245" s="1" t="s">
        <v>30</v>
      </c>
      <c r="BA245" s="106" t="s">
        <v>35</v>
      </c>
      <c r="BB245" s="106" t="s">
        <v>206</v>
      </c>
      <c r="BC245" s="106" t="s">
        <v>206</v>
      </c>
      <c r="BD245" s="106" t="s">
        <v>206</v>
      </c>
      <c r="BE245" s="106" t="s">
        <v>206</v>
      </c>
      <c r="BF245" s="107">
        <f>IF(AZ245="Não","Sim","Não")</f>
      </c>
      <c r="BG245" s="107">
        <f>IF(AZ245="NA","Sim","Não")</f>
      </c>
      <c r="BH245" s="106" t="s">
        <v>35</v>
      </c>
      <c r="BI245" s="1" t="s">
        <v>206</v>
      </c>
      <c r="BJ245" s="106" t="s">
        <v>206</v>
      </c>
      <c r="BK245" s="1" t="s">
        <v>492</v>
      </c>
      <c r="BL245" s="102">
        <v>70</v>
      </c>
      <c r="BM245" s="1" t="s">
        <v>208</v>
      </c>
      <c r="BN245" s="1" t="s">
        <v>208</v>
      </c>
      <c r="BO245" s="1" t="s">
        <v>492</v>
      </c>
      <c r="BP245" s="102">
        <v>70</v>
      </c>
      <c r="BQ245" s="1" t="s">
        <v>208</v>
      </c>
      <c r="BR245" s="1" t="s">
        <v>227</v>
      </c>
      <c r="BS245" s="106" t="s">
        <v>37</v>
      </c>
    </row>
    <row x14ac:dyDescent="0.25" r="246" customHeight="1" ht="17.25">
      <c r="A246" s="102">
        <v>245</v>
      </c>
      <c r="B246" s="1" t="s">
        <v>493</v>
      </c>
      <c r="C246" s="102">
        <v>1</v>
      </c>
      <c r="D246" s="61" t="s">
        <v>494</v>
      </c>
      <c r="E246" s="1" t="s">
        <v>99</v>
      </c>
      <c r="F246" s="1" t="s">
        <v>170</v>
      </c>
      <c r="G246" s="1" t="s">
        <v>54</v>
      </c>
      <c r="H246" s="1" t="s">
        <v>1715</v>
      </c>
      <c r="I246" s="102">
        <v>1</v>
      </c>
      <c r="J246" s="1" t="s">
        <v>158</v>
      </c>
      <c r="K246" s="1" t="s">
        <v>22</v>
      </c>
      <c r="L246" s="103">
        <v>34777</v>
      </c>
      <c r="M246" s="104">
        <v>22</v>
      </c>
      <c r="N246" s="1" t="s">
        <v>175</v>
      </c>
      <c r="O246" s="1" t="s">
        <v>24</v>
      </c>
      <c r="P246" s="1" t="s">
        <v>365</v>
      </c>
      <c r="Q246" s="1" t="s">
        <v>1716</v>
      </c>
      <c r="R246" s="62">
        <v>0</v>
      </c>
      <c r="S246" s="102">
        <v>0</v>
      </c>
      <c r="T246" s="54" t="s">
        <v>1717</v>
      </c>
      <c r="U246" s="105">
        <v>22.4</v>
      </c>
      <c r="V246" s="62">
        <v>0</v>
      </c>
      <c r="W246" s="102">
        <v>0</v>
      </c>
      <c r="X246" s="62">
        <v>0</v>
      </c>
      <c r="Y246" s="102">
        <v>0</v>
      </c>
      <c r="Z246" s="62">
        <v>0</v>
      </c>
      <c r="AA246" s="102">
        <v>0</v>
      </c>
      <c r="AB246" s="62">
        <v>0</v>
      </c>
      <c r="AC246" s="106" t="s">
        <v>206</v>
      </c>
      <c r="AD246" s="106" t="s">
        <v>206</v>
      </c>
      <c r="AE246" s="106" t="s">
        <v>206</v>
      </c>
      <c r="AF246" s="106" t="s">
        <v>206</v>
      </c>
      <c r="AG246" s="106" t="s">
        <v>206</v>
      </c>
      <c r="AH246" s="106" t="s">
        <v>206</v>
      </c>
      <c r="AI246" s="1" t="s">
        <v>357</v>
      </c>
      <c r="AJ246" s="1" t="s">
        <v>206</v>
      </c>
      <c r="AK246" s="1" t="s">
        <v>430</v>
      </c>
      <c r="AL246" s="1" t="s">
        <v>197</v>
      </c>
      <c r="AM246" s="106" t="s">
        <v>27</v>
      </c>
      <c r="AN246" s="1" t="s">
        <v>357</v>
      </c>
      <c r="AO246" s="1" t="s">
        <v>208</v>
      </c>
      <c r="AP246" s="1" t="s">
        <v>206</v>
      </c>
      <c r="AQ246" s="1" t="s">
        <v>441</v>
      </c>
      <c r="AR246" s="1" t="s">
        <v>207</v>
      </c>
      <c r="AS246" s="106" t="s">
        <v>35</v>
      </c>
      <c r="AT246" s="1" t="s">
        <v>206</v>
      </c>
      <c r="AU246" s="106" t="s">
        <v>206</v>
      </c>
      <c r="AV246" s="106" t="s">
        <v>206</v>
      </c>
      <c r="AW246" s="106" t="s">
        <v>35</v>
      </c>
      <c r="AX246" s="106" t="s">
        <v>206</v>
      </c>
      <c r="AY246" s="106" t="s">
        <v>206</v>
      </c>
      <c r="AZ246" s="1" t="s">
        <v>206</v>
      </c>
      <c r="BA246" s="106" t="s">
        <v>206</v>
      </c>
      <c r="BB246" s="106" t="s">
        <v>206</v>
      </c>
      <c r="BC246" s="106" t="s">
        <v>206</v>
      </c>
      <c r="BD246" s="106" t="s">
        <v>206</v>
      </c>
      <c r="BE246" s="106" t="s">
        <v>206</v>
      </c>
      <c r="BF246" s="107">
        <f>IF(AZ246="Não","Sim","Não")</f>
      </c>
      <c r="BG246" s="107">
        <f>IF(AZ246="NA","Sim","Não")</f>
      </c>
      <c r="BH246" s="106" t="s">
        <v>206</v>
      </c>
      <c r="BI246" s="1" t="s">
        <v>238</v>
      </c>
      <c r="BJ246" s="106" t="s">
        <v>241</v>
      </c>
      <c r="BK246" s="1" t="s">
        <v>492</v>
      </c>
      <c r="BL246" s="102">
        <v>70</v>
      </c>
      <c r="BM246" s="1" t="s">
        <v>208</v>
      </c>
      <c r="BN246" s="1" t="s">
        <v>208</v>
      </c>
      <c r="BO246" s="1" t="s">
        <v>492</v>
      </c>
      <c r="BP246" s="102">
        <v>70</v>
      </c>
      <c r="BQ246" s="1" t="s">
        <v>208</v>
      </c>
      <c r="BR246" s="1" t="s">
        <v>227</v>
      </c>
      <c r="BS246" s="106" t="s">
        <v>37</v>
      </c>
    </row>
    <row x14ac:dyDescent="0.25" r="247" customHeight="1" ht="17.25">
      <c r="A247" s="102">
        <v>246</v>
      </c>
      <c r="B247" s="1" t="s">
        <v>1718</v>
      </c>
      <c r="C247" s="102">
        <v>1</v>
      </c>
      <c r="D247" s="61" t="s">
        <v>1719</v>
      </c>
      <c r="E247" s="1" t="s">
        <v>131</v>
      </c>
      <c r="F247" s="1" t="s">
        <v>170</v>
      </c>
      <c r="G247" s="1" t="s">
        <v>43</v>
      </c>
      <c r="H247" s="1" t="s">
        <v>1720</v>
      </c>
      <c r="I247" s="102">
        <v>1</v>
      </c>
      <c r="J247" s="1" t="s">
        <v>158</v>
      </c>
      <c r="K247" s="1" t="s">
        <v>22</v>
      </c>
      <c r="L247" s="103">
        <v>33459</v>
      </c>
      <c r="M247" s="104">
        <v>25</v>
      </c>
      <c r="N247" s="1" t="s">
        <v>175</v>
      </c>
      <c r="O247" s="1" t="s">
        <v>24</v>
      </c>
      <c r="P247" s="1" t="s">
        <v>365</v>
      </c>
      <c r="Q247" s="1" t="s">
        <v>366</v>
      </c>
      <c r="R247" s="54" t="s">
        <v>1721</v>
      </c>
      <c r="S247" s="105">
        <v>38.7</v>
      </c>
      <c r="T247" s="54" t="s">
        <v>1722</v>
      </c>
      <c r="U247" s="105">
        <v>9.7</v>
      </c>
      <c r="V247" s="62">
        <v>0</v>
      </c>
      <c r="W247" s="102">
        <v>0</v>
      </c>
      <c r="X247" s="62">
        <v>0</v>
      </c>
      <c r="Y247" s="102">
        <v>0</v>
      </c>
      <c r="Z247" s="62">
        <v>0</v>
      </c>
      <c r="AA247" s="102">
        <v>0</v>
      </c>
      <c r="AB247" s="62">
        <v>0</v>
      </c>
      <c r="AC247" s="106" t="s">
        <v>206</v>
      </c>
      <c r="AD247" s="106" t="s">
        <v>206</v>
      </c>
      <c r="AE247" s="106" t="s">
        <v>206</v>
      </c>
      <c r="AF247" s="106" t="s">
        <v>206</v>
      </c>
      <c r="AG247" s="106" t="s">
        <v>206</v>
      </c>
      <c r="AH247" s="106" t="s">
        <v>206</v>
      </c>
      <c r="AI247" s="1" t="s">
        <v>357</v>
      </c>
      <c r="AJ247" s="1" t="s">
        <v>206</v>
      </c>
      <c r="AK247" s="1" t="s">
        <v>1166</v>
      </c>
      <c r="AL247" s="1" t="s">
        <v>197</v>
      </c>
      <c r="AM247" s="106" t="s">
        <v>27</v>
      </c>
      <c r="AN247" s="1" t="s">
        <v>357</v>
      </c>
      <c r="AO247" s="1" t="s">
        <v>208</v>
      </c>
      <c r="AP247" s="1" t="s">
        <v>206</v>
      </c>
      <c r="AQ247" s="1" t="s">
        <v>441</v>
      </c>
      <c r="AR247" s="1" t="s">
        <v>207</v>
      </c>
      <c r="AS247" s="106" t="s">
        <v>35</v>
      </c>
      <c r="AT247" s="1" t="s">
        <v>206</v>
      </c>
      <c r="AU247" s="106" t="s">
        <v>206</v>
      </c>
      <c r="AV247" s="106" t="s">
        <v>206</v>
      </c>
      <c r="AW247" s="106" t="s">
        <v>35</v>
      </c>
      <c r="AX247" s="106" t="s">
        <v>206</v>
      </c>
      <c r="AY247" s="106" t="s">
        <v>206</v>
      </c>
      <c r="AZ247" s="1" t="s">
        <v>206</v>
      </c>
      <c r="BA247" s="106" t="s">
        <v>206</v>
      </c>
      <c r="BB247" s="106" t="s">
        <v>206</v>
      </c>
      <c r="BC247" s="106" t="s">
        <v>206</v>
      </c>
      <c r="BD247" s="106" t="s">
        <v>206</v>
      </c>
      <c r="BE247" s="106" t="s">
        <v>206</v>
      </c>
      <c r="BF247" s="107">
        <f>IF(AZ247="Não","Sim","Não")</f>
      </c>
      <c r="BG247" s="107">
        <f>IF(AZ247="NA","Sim","Não")</f>
      </c>
      <c r="BH247" s="106" t="s">
        <v>206</v>
      </c>
      <c r="BI247" s="1" t="s">
        <v>238</v>
      </c>
      <c r="BJ247" s="106" t="s">
        <v>241</v>
      </c>
      <c r="BK247" s="1" t="s">
        <v>492</v>
      </c>
      <c r="BL247" s="102">
        <v>70</v>
      </c>
      <c r="BM247" s="1" t="s">
        <v>208</v>
      </c>
      <c r="BN247" s="1" t="s">
        <v>208</v>
      </c>
      <c r="BO247" s="1" t="s">
        <v>492</v>
      </c>
      <c r="BP247" s="102">
        <v>70</v>
      </c>
      <c r="BQ247" s="1" t="s">
        <v>208</v>
      </c>
      <c r="BR247" s="1" t="s">
        <v>227</v>
      </c>
      <c r="BS247" s="106" t="s">
        <v>37</v>
      </c>
    </row>
    <row x14ac:dyDescent="0.25" r="248" customHeight="1" ht="17.25">
      <c r="A248" s="102">
        <v>247</v>
      </c>
      <c r="B248" s="1" t="s">
        <v>1723</v>
      </c>
      <c r="C248" s="102">
        <v>1</v>
      </c>
      <c r="D248" s="61" t="s">
        <v>1365</v>
      </c>
      <c r="E248" s="1" t="s">
        <v>80</v>
      </c>
      <c r="F248" s="1" t="s">
        <v>170</v>
      </c>
      <c r="G248" s="1" t="s">
        <v>41</v>
      </c>
      <c r="H248" s="1" t="s">
        <v>1724</v>
      </c>
      <c r="I248" s="102">
        <v>1</v>
      </c>
      <c r="J248" s="1" t="s">
        <v>158</v>
      </c>
      <c r="K248" s="1" t="s">
        <v>22</v>
      </c>
      <c r="L248" s="103">
        <v>30783</v>
      </c>
      <c r="M248" s="104">
        <v>33</v>
      </c>
      <c r="N248" s="1" t="s">
        <v>176</v>
      </c>
      <c r="O248" s="1" t="s">
        <v>182</v>
      </c>
      <c r="P248" s="1" t="s">
        <v>365</v>
      </c>
      <c r="Q248" s="1" t="s">
        <v>366</v>
      </c>
      <c r="R248" s="62">
        <v>0</v>
      </c>
      <c r="S248" s="102">
        <v>0</v>
      </c>
      <c r="T248" s="54" t="s">
        <v>1725</v>
      </c>
      <c r="U248" s="105">
        <v>6.6</v>
      </c>
      <c r="V248" s="62">
        <v>0</v>
      </c>
      <c r="W248" s="102">
        <v>0</v>
      </c>
      <c r="X248" s="62">
        <v>0</v>
      </c>
      <c r="Y248" s="102">
        <v>0</v>
      </c>
      <c r="Z248" s="62">
        <v>0</v>
      </c>
      <c r="AA248" s="102">
        <v>0</v>
      </c>
      <c r="AB248" s="62">
        <v>0</v>
      </c>
      <c r="AC248" s="106" t="s">
        <v>206</v>
      </c>
      <c r="AD248" s="106" t="s">
        <v>206</v>
      </c>
      <c r="AE248" s="106" t="s">
        <v>206</v>
      </c>
      <c r="AF248" s="106" t="s">
        <v>206</v>
      </c>
      <c r="AG248" s="106" t="s">
        <v>206</v>
      </c>
      <c r="AH248" s="106" t="s">
        <v>206</v>
      </c>
      <c r="AI248" s="1" t="s">
        <v>357</v>
      </c>
      <c r="AJ248" s="1" t="s">
        <v>831</v>
      </c>
      <c r="AK248" s="1" t="s">
        <v>373</v>
      </c>
      <c r="AL248" s="1" t="s">
        <v>197</v>
      </c>
      <c r="AM248" s="106" t="s">
        <v>27</v>
      </c>
      <c r="AN248" s="1" t="s">
        <v>357</v>
      </c>
      <c r="AO248" s="1" t="s">
        <v>831</v>
      </c>
      <c r="AP248" s="1" t="s">
        <v>206</v>
      </c>
      <c r="AQ248" s="1" t="s">
        <v>441</v>
      </c>
      <c r="AR248" s="1" t="s">
        <v>207</v>
      </c>
      <c r="AS248" s="106" t="s">
        <v>35</v>
      </c>
      <c r="AT248" s="1" t="s">
        <v>206</v>
      </c>
      <c r="AU248" s="106" t="s">
        <v>206</v>
      </c>
      <c r="AV248" s="106" t="s">
        <v>206</v>
      </c>
      <c r="AW248" s="106" t="s">
        <v>35</v>
      </c>
      <c r="AX248" s="106" t="s">
        <v>206</v>
      </c>
      <c r="AY248" s="106" t="s">
        <v>206</v>
      </c>
      <c r="AZ248" s="1" t="s">
        <v>206</v>
      </c>
      <c r="BA248" s="106" t="s">
        <v>206</v>
      </c>
      <c r="BB248" s="106" t="s">
        <v>206</v>
      </c>
      <c r="BC248" s="106" t="s">
        <v>206</v>
      </c>
      <c r="BD248" s="106" t="s">
        <v>206</v>
      </c>
      <c r="BE248" s="106" t="s">
        <v>206</v>
      </c>
      <c r="BF248" s="107">
        <f>IF(AZ248="Não","Sim","Não")</f>
      </c>
      <c r="BG248" s="107">
        <f>IF(AZ248="NA","Sim","Não")</f>
      </c>
      <c r="BH248" s="106" t="s">
        <v>206</v>
      </c>
      <c r="BI248" s="1" t="s">
        <v>238</v>
      </c>
      <c r="BJ248" s="106" t="s">
        <v>241</v>
      </c>
      <c r="BK248" s="1" t="s">
        <v>492</v>
      </c>
      <c r="BL248" s="102">
        <v>70</v>
      </c>
      <c r="BM248" s="1" t="s">
        <v>208</v>
      </c>
      <c r="BN248" s="1" t="s">
        <v>1726</v>
      </c>
      <c r="BO248" s="1" t="s">
        <v>386</v>
      </c>
      <c r="BP248" s="102">
        <v>72</v>
      </c>
      <c r="BQ248" s="1" t="s">
        <v>208</v>
      </c>
      <c r="BR248" s="1" t="s">
        <v>227</v>
      </c>
      <c r="BS248" s="106" t="s">
        <v>37</v>
      </c>
    </row>
    <row x14ac:dyDescent="0.25" r="249" customHeight="1" ht="17.25">
      <c r="A249" s="102">
        <v>248</v>
      </c>
      <c r="B249" s="1" t="s">
        <v>1727</v>
      </c>
      <c r="C249" s="102">
        <v>1</v>
      </c>
      <c r="D249" s="61" t="s">
        <v>427</v>
      </c>
      <c r="E249" s="1" t="s">
        <v>116</v>
      </c>
      <c r="F249" s="1" t="s">
        <v>170</v>
      </c>
      <c r="G249" s="1" t="s">
        <v>46</v>
      </c>
      <c r="H249" s="1" t="s">
        <v>1728</v>
      </c>
      <c r="I249" s="102">
        <v>1</v>
      </c>
      <c r="J249" s="1" t="s">
        <v>158</v>
      </c>
      <c r="K249" s="1" t="s">
        <v>22</v>
      </c>
      <c r="L249" s="103">
        <v>32884</v>
      </c>
      <c r="M249" s="104">
        <v>27</v>
      </c>
      <c r="N249" s="1" t="s">
        <v>175</v>
      </c>
      <c r="O249" s="1" t="s">
        <v>24</v>
      </c>
      <c r="P249" s="1" t="s">
        <v>354</v>
      </c>
      <c r="Q249" s="1" t="s">
        <v>1729</v>
      </c>
      <c r="R249" s="54" t="s">
        <v>1730</v>
      </c>
      <c r="S249" s="105">
        <v>1292.8</v>
      </c>
      <c r="T249" s="54" t="s">
        <v>1731</v>
      </c>
      <c r="U249" s="105">
        <v>938.1</v>
      </c>
      <c r="V249" s="62">
        <v>0</v>
      </c>
      <c r="W249" s="102">
        <v>0</v>
      </c>
      <c r="X249" s="62">
        <v>0</v>
      </c>
      <c r="Y249" s="102">
        <v>0</v>
      </c>
      <c r="Z249" s="62">
        <v>0</v>
      </c>
      <c r="AA249" s="102">
        <v>0</v>
      </c>
      <c r="AB249" s="62">
        <v>0</v>
      </c>
      <c r="AC249" s="106" t="s">
        <v>206</v>
      </c>
      <c r="AD249" s="106" t="s">
        <v>206</v>
      </c>
      <c r="AE249" s="106" t="s">
        <v>206</v>
      </c>
      <c r="AF249" s="106" t="s">
        <v>206</v>
      </c>
      <c r="AG249" s="106" t="s">
        <v>206</v>
      </c>
      <c r="AH249" s="106" t="s">
        <v>206</v>
      </c>
      <c r="AI249" s="1" t="s">
        <v>357</v>
      </c>
      <c r="AJ249" s="1" t="s">
        <v>206</v>
      </c>
      <c r="AK249" s="1" t="s">
        <v>1108</v>
      </c>
      <c r="AL249" s="1" t="s">
        <v>197</v>
      </c>
      <c r="AM249" s="106" t="s">
        <v>27</v>
      </c>
      <c r="AN249" s="1" t="s">
        <v>357</v>
      </c>
      <c r="AO249" s="1" t="s">
        <v>208</v>
      </c>
      <c r="AP249" s="1" t="s">
        <v>206</v>
      </c>
      <c r="AQ249" s="1" t="s">
        <v>441</v>
      </c>
      <c r="AR249" s="1" t="s">
        <v>206</v>
      </c>
      <c r="AS249" s="106" t="s">
        <v>206</v>
      </c>
      <c r="AT249" s="1" t="s">
        <v>206</v>
      </c>
      <c r="AU249" s="106" t="s">
        <v>206</v>
      </c>
      <c r="AV249" s="106" t="s">
        <v>206</v>
      </c>
      <c r="AW249" s="106" t="s">
        <v>35</v>
      </c>
      <c r="AX249" s="106" t="s">
        <v>206</v>
      </c>
      <c r="AY249" s="106" t="s">
        <v>206</v>
      </c>
      <c r="AZ249" s="1" t="s">
        <v>34</v>
      </c>
      <c r="BA249" s="106" t="s">
        <v>206</v>
      </c>
      <c r="BB249" s="106" t="s">
        <v>206</v>
      </c>
      <c r="BC249" s="106" t="s">
        <v>206</v>
      </c>
      <c r="BD249" s="106" t="s">
        <v>206</v>
      </c>
      <c r="BE249" s="106" t="s">
        <v>35</v>
      </c>
      <c r="BF249" s="107">
        <f>IF(AZ249="Não","Sim","Não")</f>
      </c>
      <c r="BG249" s="107">
        <f>IF(AZ249="NA","Sim","Não")</f>
      </c>
      <c r="BH249" s="106" t="s">
        <v>35</v>
      </c>
      <c r="BI249" s="1" t="s">
        <v>206</v>
      </c>
      <c r="BJ249" s="106" t="s">
        <v>206</v>
      </c>
      <c r="BK249" s="1" t="s">
        <v>492</v>
      </c>
      <c r="BL249" s="102">
        <v>70</v>
      </c>
      <c r="BM249" s="1" t="s">
        <v>208</v>
      </c>
      <c r="BN249" s="1" t="s">
        <v>208</v>
      </c>
      <c r="BO249" s="1" t="s">
        <v>492</v>
      </c>
      <c r="BP249" s="102">
        <v>70</v>
      </c>
      <c r="BQ249" s="1" t="s">
        <v>208</v>
      </c>
      <c r="BR249" s="1" t="s">
        <v>227</v>
      </c>
      <c r="BS249" s="106" t="s">
        <v>37</v>
      </c>
    </row>
    <row x14ac:dyDescent="0.25" r="250" customHeight="1" ht="17.25">
      <c r="A250" s="102">
        <v>249</v>
      </c>
      <c r="B250" s="1" t="s">
        <v>1732</v>
      </c>
      <c r="C250" s="102">
        <v>1</v>
      </c>
      <c r="D250" s="61" t="s">
        <v>861</v>
      </c>
      <c r="E250" s="1" t="s">
        <v>103</v>
      </c>
      <c r="F250" s="1" t="s">
        <v>22</v>
      </c>
      <c r="G250" s="1" t="s">
        <v>54</v>
      </c>
      <c r="H250" s="1" t="s">
        <v>1733</v>
      </c>
      <c r="I250" s="102">
        <v>1</v>
      </c>
      <c r="J250" s="1" t="s">
        <v>158</v>
      </c>
      <c r="K250" s="1" t="s">
        <v>22</v>
      </c>
      <c r="L250" s="103">
        <v>29790</v>
      </c>
      <c r="M250" s="104">
        <v>35</v>
      </c>
      <c r="N250" s="1" t="s">
        <v>176</v>
      </c>
      <c r="O250" s="1" t="s">
        <v>182</v>
      </c>
      <c r="P250" s="1" t="s">
        <v>365</v>
      </c>
      <c r="Q250" s="1" t="s">
        <v>642</v>
      </c>
      <c r="R250" s="54" t="s">
        <v>1734</v>
      </c>
      <c r="S250" s="105">
        <v>6.7</v>
      </c>
      <c r="T250" s="54" t="s">
        <v>1735</v>
      </c>
      <c r="U250" s="105">
        <v>23.1</v>
      </c>
      <c r="V250" s="62">
        <v>0</v>
      </c>
      <c r="W250" s="102">
        <v>0</v>
      </c>
      <c r="X250" s="62">
        <v>0</v>
      </c>
      <c r="Y250" s="102">
        <v>0</v>
      </c>
      <c r="Z250" s="62">
        <v>0</v>
      </c>
      <c r="AA250" s="102">
        <v>0</v>
      </c>
      <c r="AB250" s="62">
        <v>0</v>
      </c>
      <c r="AC250" s="106" t="s">
        <v>206</v>
      </c>
      <c r="AD250" s="106" t="s">
        <v>206</v>
      </c>
      <c r="AE250" s="106" t="s">
        <v>206</v>
      </c>
      <c r="AF250" s="106" t="s">
        <v>206</v>
      </c>
      <c r="AG250" s="106" t="s">
        <v>206</v>
      </c>
      <c r="AH250" s="106" t="s">
        <v>206</v>
      </c>
      <c r="AI250" s="1" t="s">
        <v>357</v>
      </c>
      <c r="AJ250" s="1" t="s">
        <v>206</v>
      </c>
      <c r="AK250" s="1" t="s">
        <v>373</v>
      </c>
      <c r="AL250" s="1" t="s">
        <v>197</v>
      </c>
      <c r="AM250" s="106" t="s">
        <v>27</v>
      </c>
      <c r="AN250" s="1" t="s">
        <v>357</v>
      </c>
      <c r="AO250" s="1" t="s">
        <v>208</v>
      </c>
      <c r="AP250" s="1" t="s">
        <v>206</v>
      </c>
      <c r="AQ250" s="1" t="s">
        <v>441</v>
      </c>
      <c r="AR250" s="1" t="s">
        <v>207</v>
      </c>
      <c r="AS250" s="106" t="s">
        <v>35</v>
      </c>
      <c r="AT250" s="1" t="s">
        <v>206</v>
      </c>
      <c r="AU250" s="106" t="s">
        <v>206</v>
      </c>
      <c r="AV250" s="106" t="s">
        <v>206</v>
      </c>
      <c r="AW250" s="106" t="s">
        <v>35</v>
      </c>
      <c r="AX250" s="106" t="s">
        <v>206</v>
      </c>
      <c r="AY250" s="106" t="s">
        <v>206</v>
      </c>
      <c r="AZ250" s="1" t="s">
        <v>206</v>
      </c>
      <c r="BA250" s="106" t="s">
        <v>206</v>
      </c>
      <c r="BB250" s="106" t="s">
        <v>206</v>
      </c>
      <c r="BC250" s="106" t="s">
        <v>206</v>
      </c>
      <c r="BD250" s="106" t="s">
        <v>206</v>
      </c>
      <c r="BE250" s="106" t="s">
        <v>206</v>
      </c>
      <c r="BF250" s="107">
        <f>IF(AZ250="Não","Sim","Não")</f>
      </c>
      <c r="BG250" s="107">
        <f>IF(AZ250="NA","Sim","Não")</f>
      </c>
      <c r="BH250" s="106" t="s">
        <v>206</v>
      </c>
      <c r="BI250" s="1" t="s">
        <v>238</v>
      </c>
      <c r="BJ250" s="106" t="s">
        <v>241</v>
      </c>
      <c r="BK250" s="1" t="s">
        <v>492</v>
      </c>
      <c r="BL250" s="102">
        <v>70</v>
      </c>
      <c r="BM250" s="1" t="s">
        <v>208</v>
      </c>
      <c r="BN250" s="1" t="s">
        <v>208</v>
      </c>
      <c r="BO250" s="1" t="s">
        <v>492</v>
      </c>
      <c r="BP250" s="102">
        <v>70</v>
      </c>
      <c r="BQ250" s="1" t="s">
        <v>208</v>
      </c>
      <c r="BR250" s="1" t="s">
        <v>227</v>
      </c>
      <c r="BS250" s="106" t="s">
        <v>37</v>
      </c>
    </row>
    <row x14ac:dyDescent="0.25" r="251" customHeight="1" ht="17.25">
      <c r="A251" s="102">
        <v>250</v>
      </c>
      <c r="B251" s="1" t="s">
        <v>1736</v>
      </c>
      <c r="C251" s="102">
        <v>0</v>
      </c>
      <c r="D251" s="61" t="s">
        <v>1737</v>
      </c>
      <c r="E251" s="1" t="s">
        <v>90</v>
      </c>
      <c r="F251" s="1" t="s">
        <v>170</v>
      </c>
      <c r="G251" s="1" t="s">
        <v>41</v>
      </c>
      <c r="H251" s="1" t="s">
        <v>1738</v>
      </c>
      <c r="I251" s="102">
        <v>1</v>
      </c>
      <c r="J251" s="1" t="s">
        <v>158</v>
      </c>
      <c r="K251" s="1" t="s">
        <v>22</v>
      </c>
      <c r="L251" s="103">
        <v>23864</v>
      </c>
      <c r="M251" s="104">
        <v>52</v>
      </c>
      <c r="N251" s="1" t="s">
        <v>176</v>
      </c>
      <c r="O251" s="1" t="s">
        <v>182</v>
      </c>
      <c r="P251" s="1" t="s">
        <v>517</v>
      </c>
      <c r="Q251" s="1" t="s">
        <v>1739</v>
      </c>
      <c r="R251" s="54" t="s">
        <v>1740</v>
      </c>
      <c r="S251" s="102">
        <v>316</v>
      </c>
      <c r="T251" s="54" t="s">
        <v>1741</v>
      </c>
      <c r="U251" s="105">
        <v>463.5</v>
      </c>
      <c r="V251" s="62">
        <v>0</v>
      </c>
      <c r="W251" s="102">
        <v>0</v>
      </c>
      <c r="X251" s="62">
        <v>0</v>
      </c>
      <c r="Y251" s="102">
        <v>0</v>
      </c>
      <c r="Z251" s="62">
        <v>0</v>
      </c>
      <c r="AA251" s="102">
        <v>0</v>
      </c>
      <c r="AB251" s="62">
        <v>0</v>
      </c>
      <c r="AC251" s="106" t="s">
        <v>206</v>
      </c>
      <c r="AD251" s="106" t="s">
        <v>206</v>
      </c>
      <c r="AE251" s="106" t="s">
        <v>206</v>
      </c>
      <c r="AF251" s="106" t="s">
        <v>206</v>
      </c>
      <c r="AG251" s="106" t="s">
        <v>206</v>
      </c>
      <c r="AH251" s="106" t="s">
        <v>206</v>
      </c>
      <c r="AI251" s="1" t="s">
        <v>357</v>
      </c>
      <c r="AJ251" s="1" t="s">
        <v>206</v>
      </c>
      <c r="AK251" s="1" t="s">
        <v>1742</v>
      </c>
      <c r="AL251" s="1" t="s">
        <v>197</v>
      </c>
      <c r="AM251" s="106" t="s">
        <v>27</v>
      </c>
      <c r="AN251" s="1" t="s">
        <v>357</v>
      </c>
      <c r="AO251" s="1" t="s">
        <v>208</v>
      </c>
      <c r="AP251" s="1" t="s">
        <v>603</v>
      </c>
      <c r="AQ251" s="1" t="s">
        <v>492</v>
      </c>
      <c r="AR251" s="1" t="s">
        <v>206</v>
      </c>
      <c r="AS251" s="106" t="s">
        <v>206</v>
      </c>
      <c r="AT251" s="1" t="s">
        <v>28</v>
      </c>
      <c r="AU251" s="106" t="s">
        <v>35</v>
      </c>
      <c r="AV251" s="106" t="s">
        <v>206</v>
      </c>
      <c r="AW251" s="106" t="s">
        <v>206</v>
      </c>
      <c r="AX251" s="106" t="s">
        <v>206</v>
      </c>
      <c r="AY251" s="106" t="s">
        <v>35</v>
      </c>
      <c r="AZ251" s="1" t="s">
        <v>30</v>
      </c>
      <c r="BA251" s="106" t="s">
        <v>35</v>
      </c>
      <c r="BB251" s="106" t="s">
        <v>206</v>
      </c>
      <c r="BC251" s="106" t="s">
        <v>206</v>
      </c>
      <c r="BD251" s="106" t="s">
        <v>206</v>
      </c>
      <c r="BE251" s="106" t="s">
        <v>206</v>
      </c>
      <c r="BF251" s="107">
        <f>IF(AZ251="Não","Sim","Não")</f>
      </c>
      <c r="BG251" s="107">
        <f>IF(AZ251="NA","Sim","Não")</f>
      </c>
      <c r="BH251" s="106" t="s">
        <v>35</v>
      </c>
      <c r="BI251" s="1" t="s">
        <v>206</v>
      </c>
      <c r="BJ251" s="106" t="s">
        <v>206</v>
      </c>
      <c r="BK251" s="1" t="s">
        <v>492</v>
      </c>
      <c r="BL251" s="102">
        <v>70</v>
      </c>
      <c r="BM251" s="1" t="s">
        <v>208</v>
      </c>
      <c r="BN251" s="1" t="s">
        <v>208</v>
      </c>
      <c r="BO251" s="1" t="s">
        <v>492</v>
      </c>
      <c r="BP251" s="102">
        <v>70</v>
      </c>
      <c r="BQ251" s="1" t="s">
        <v>208</v>
      </c>
      <c r="BR251" s="1" t="s">
        <v>227</v>
      </c>
      <c r="BS251" s="106" t="s">
        <v>37</v>
      </c>
    </row>
    <row x14ac:dyDescent="0.25" r="252" customHeight="1" ht="17.25">
      <c r="A252" s="102">
        <v>251</v>
      </c>
      <c r="B252" s="1" t="s">
        <v>1743</v>
      </c>
      <c r="C252" s="102">
        <v>1</v>
      </c>
      <c r="D252" s="61" t="s">
        <v>1744</v>
      </c>
      <c r="E252" s="1" t="s">
        <v>118</v>
      </c>
      <c r="F252" s="1" t="s">
        <v>170</v>
      </c>
      <c r="G252" s="1" t="s">
        <v>67</v>
      </c>
      <c r="H252" s="1" t="s">
        <v>1745</v>
      </c>
      <c r="I252" s="102">
        <v>1</v>
      </c>
      <c r="J252" s="1" t="s">
        <v>158</v>
      </c>
      <c r="K252" s="1" t="s">
        <v>22</v>
      </c>
      <c r="L252" s="103">
        <v>33545</v>
      </c>
      <c r="M252" s="104">
        <v>26</v>
      </c>
      <c r="N252" s="1" t="s">
        <v>175</v>
      </c>
      <c r="O252" s="1" t="s">
        <v>24</v>
      </c>
      <c r="P252" s="1" t="s">
        <v>354</v>
      </c>
      <c r="Q252" s="1" t="s">
        <v>1161</v>
      </c>
      <c r="R252" s="54" t="s">
        <v>1746</v>
      </c>
      <c r="S252" s="105">
        <v>2.5</v>
      </c>
      <c r="T252" s="54" t="s">
        <v>1747</v>
      </c>
      <c r="U252" s="105">
        <v>37.8</v>
      </c>
      <c r="V252" s="62">
        <v>0</v>
      </c>
      <c r="W252" s="102">
        <v>0</v>
      </c>
      <c r="X252" s="62">
        <v>0</v>
      </c>
      <c r="Y252" s="102">
        <v>0</v>
      </c>
      <c r="Z252" s="62">
        <v>0</v>
      </c>
      <c r="AA252" s="102">
        <v>0</v>
      </c>
      <c r="AB252" s="62">
        <v>0</v>
      </c>
      <c r="AC252" s="106" t="s">
        <v>206</v>
      </c>
      <c r="AD252" s="106" t="s">
        <v>206</v>
      </c>
      <c r="AE252" s="106" t="s">
        <v>206</v>
      </c>
      <c r="AF252" s="106" t="s">
        <v>206</v>
      </c>
      <c r="AG252" s="106" t="s">
        <v>206</v>
      </c>
      <c r="AH252" s="106" t="s">
        <v>206</v>
      </c>
      <c r="AI252" s="1" t="s">
        <v>357</v>
      </c>
      <c r="AJ252" s="1" t="s">
        <v>206</v>
      </c>
      <c r="AK252" s="1" t="s">
        <v>555</v>
      </c>
      <c r="AL252" s="1" t="s">
        <v>197</v>
      </c>
      <c r="AM252" s="106" t="s">
        <v>27</v>
      </c>
      <c r="AN252" s="1" t="s">
        <v>357</v>
      </c>
      <c r="AO252" s="1" t="s">
        <v>208</v>
      </c>
      <c r="AP252" s="1" t="s">
        <v>206</v>
      </c>
      <c r="AQ252" s="1" t="s">
        <v>441</v>
      </c>
      <c r="AR252" s="1" t="s">
        <v>207</v>
      </c>
      <c r="AS252" s="106" t="s">
        <v>35</v>
      </c>
      <c r="AT252" s="1" t="s">
        <v>206</v>
      </c>
      <c r="AU252" s="106" t="s">
        <v>206</v>
      </c>
      <c r="AV252" s="106" t="s">
        <v>206</v>
      </c>
      <c r="AW252" s="106" t="s">
        <v>35</v>
      </c>
      <c r="AX252" s="106" t="s">
        <v>206</v>
      </c>
      <c r="AY252" s="106" t="s">
        <v>206</v>
      </c>
      <c r="AZ252" s="1" t="s">
        <v>206</v>
      </c>
      <c r="BA252" s="106" t="s">
        <v>206</v>
      </c>
      <c r="BB252" s="106" t="s">
        <v>206</v>
      </c>
      <c r="BC252" s="106" t="s">
        <v>206</v>
      </c>
      <c r="BD252" s="106" t="s">
        <v>206</v>
      </c>
      <c r="BE252" s="106" t="s">
        <v>206</v>
      </c>
      <c r="BF252" s="107">
        <f>IF(AZ252="Não","Sim","Não")</f>
      </c>
      <c r="BG252" s="107">
        <f>IF(AZ252="NA","Sim","Não")</f>
      </c>
      <c r="BH252" s="106" t="s">
        <v>206</v>
      </c>
      <c r="BI252" s="1" t="s">
        <v>238</v>
      </c>
      <c r="BJ252" s="106" t="s">
        <v>241</v>
      </c>
      <c r="BK252" s="1" t="s">
        <v>492</v>
      </c>
      <c r="BL252" s="102">
        <v>70</v>
      </c>
      <c r="BM252" s="1" t="s">
        <v>208</v>
      </c>
      <c r="BN252" s="1" t="s">
        <v>208</v>
      </c>
      <c r="BO252" s="1" t="s">
        <v>492</v>
      </c>
      <c r="BP252" s="102">
        <v>70</v>
      </c>
      <c r="BQ252" s="1" t="s">
        <v>208</v>
      </c>
      <c r="BR252" s="1" t="s">
        <v>227</v>
      </c>
      <c r="BS252" s="106" t="s">
        <v>37</v>
      </c>
    </row>
    <row x14ac:dyDescent="0.25" r="253" customHeight="1" ht="17.25">
      <c r="A253" s="102">
        <v>252</v>
      </c>
      <c r="B253" s="1" t="s">
        <v>1748</v>
      </c>
      <c r="C253" s="102">
        <v>1</v>
      </c>
      <c r="D253" s="61" t="s">
        <v>449</v>
      </c>
      <c r="E253" s="1" t="s">
        <v>116</v>
      </c>
      <c r="F253" s="1" t="s">
        <v>170</v>
      </c>
      <c r="G253" s="1" t="s">
        <v>46</v>
      </c>
      <c r="H253" s="1" t="s">
        <v>1749</v>
      </c>
      <c r="I253" s="102">
        <v>1</v>
      </c>
      <c r="J253" s="1" t="s">
        <v>158</v>
      </c>
      <c r="K253" s="1" t="s">
        <v>22</v>
      </c>
      <c r="L253" s="103">
        <v>31148</v>
      </c>
      <c r="M253" s="104">
        <v>32</v>
      </c>
      <c r="N253" s="1" t="s">
        <v>175</v>
      </c>
      <c r="O253" s="1" t="s">
        <v>24</v>
      </c>
      <c r="P253" s="1" t="s">
        <v>615</v>
      </c>
      <c r="Q253" s="1" t="s">
        <v>1750</v>
      </c>
      <c r="R253" s="54" t="s">
        <v>1751</v>
      </c>
      <c r="S253" s="105">
        <v>145.5</v>
      </c>
      <c r="T253" s="54" t="s">
        <v>1752</v>
      </c>
      <c r="U253" s="105">
        <v>26.1</v>
      </c>
      <c r="V253" s="62">
        <v>0</v>
      </c>
      <c r="W253" s="102">
        <v>0</v>
      </c>
      <c r="X253" s="62">
        <v>0</v>
      </c>
      <c r="Y253" s="102">
        <v>0</v>
      </c>
      <c r="Z253" s="62">
        <v>0</v>
      </c>
      <c r="AA253" s="102">
        <v>0</v>
      </c>
      <c r="AB253" s="62">
        <v>0</v>
      </c>
      <c r="AC253" s="106" t="s">
        <v>206</v>
      </c>
      <c r="AD253" s="106" t="s">
        <v>206</v>
      </c>
      <c r="AE253" s="106" t="s">
        <v>206</v>
      </c>
      <c r="AF253" s="106" t="s">
        <v>206</v>
      </c>
      <c r="AG253" s="106" t="s">
        <v>206</v>
      </c>
      <c r="AH253" s="106" t="s">
        <v>206</v>
      </c>
      <c r="AI253" s="1" t="s">
        <v>357</v>
      </c>
      <c r="AJ253" s="1" t="s">
        <v>206</v>
      </c>
      <c r="AK253" s="1" t="s">
        <v>358</v>
      </c>
      <c r="AL253" s="1" t="s">
        <v>197</v>
      </c>
      <c r="AM253" s="106" t="s">
        <v>27</v>
      </c>
      <c r="AN253" s="1" t="s">
        <v>357</v>
      </c>
      <c r="AO253" s="1" t="s">
        <v>208</v>
      </c>
      <c r="AP253" s="1" t="s">
        <v>206</v>
      </c>
      <c r="AQ253" s="1" t="s">
        <v>441</v>
      </c>
      <c r="AR253" s="1" t="s">
        <v>207</v>
      </c>
      <c r="AS253" s="106" t="s">
        <v>35</v>
      </c>
      <c r="AT253" s="1" t="s">
        <v>206</v>
      </c>
      <c r="AU253" s="106" t="s">
        <v>206</v>
      </c>
      <c r="AV253" s="106" t="s">
        <v>206</v>
      </c>
      <c r="AW253" s="106" t="s">
        <v>35</v>
      </c>
      <c r="AX253" s="106" t="s">
        <v>206</v>
      </c>
      <c r="AY253" s="106" t="s">
        <v>206</v>
      </c>
      <c r="AZ253" s="1" t="s">
        <v>206</v>
      </c>
      <c r="BA253" s="106" t="s">
        <v>206</v>
      </c>
      <c r="BB253" s="106" t="s">
        <v>206</v>
      </c>
      <c r="BC253" s="106" t="s">
        <v>206</v>
      </c>
      <c r="BD253" s="106" t="s">
        <v>206</v>
      </c>
      <c r="BE253" s="106" t="s">
        <v>206</v>
      </c>
      <c r="BF253" s="107">
        <f>IF(AZ253="Não","Sim","Não")</f>
      </c>
      <c r="BG253" s="107">
        <f>IF(AZ253="NA","Sim","Não")</f>
      </c>
      <c r="BH253" s="106" t="s">
        <v>206</v>
      </c>
      <c r="BI253" s="1" t="s">
        <v>238</v>
      </c>
      <c r="BJ253" s="106" t="s">
        <v>241</v>
      </c>
      <c r="BK253" s="1" t="s">
        <v>492</v>
      </c>
      <c r="BL253" s="102">
        <v>70</v>
      </c>
      <c r="BM253" s="1" t="s">
        <v>208</v>
      </c>
      <c r="BN253" s="1" t="s">
        <v>208</v>
      </c>
      <c r="BO253" s="1" t="s">
        <v>492</v>
      </c>
      <c r="BP253" s="102">
        <v>70</v>
      </c>
      <c r="BQ253" s="1" t="s">
        <v>208</v>
      </c>
      <c r="BR253" s="1" t="s">
        <v>227</v>
      </c>
      <c r="BS253" s="106" t="s">
        <v>37</v>
      </c>
    </row>
    <row x14ac:dyDescent="0.25" r="254" customHeight="1" ht="17.25">
      <c r="A254" s="102">
        <v>253</v>
      </c>
      <c r="B254" s="1" t="s">
        <v>1753</v>
      </c>
      <c r="C254" s="102">
        <v>1</v>
      </c>
      <c r="D254" s="61" t="s">
        <v>740</v>
      </c>
      <c r="E254" s="1" t="s">
        <v>111</v>
      </c>
      <c r="F254" s="1" t="s">
        <v>22</v>
      </c>
      <c r="G254" s="1" t="s">
        <v>47</v>
      </c>
      <c r="H254" s="1" t="s">
        <v>1754</v>
      </c>
      <c r="I254" s="102">
        <v>1</v>
      </c>
      <c r="J254" s="1" t="s">
        <v>158</v>
      </c>
      <c r="K254" s="1" t="s">
        <v>22</v>
      </c>
      <c r="L254" s="103">
        <v>29927</v>
      </c>
      <c r="M254" s="104">
        <v>35</v>
      </c>
      <c r="N254" s="1" t="s">
        <v>175</v>
      </c>
      <c r="O254" s="1" t="s">
        <v>24</v>
      </c>
      <c r="P254" s="1" t="s">
        <v>365</v>
      </c>
      <c r="Q254" s="1" t="s">
        <v>1755</v>
      </c>
      <c r="R254" s="62">
        <v>0</v>
      </c>
      <c r="S254" s="102">
        <v>0</v>
      </c>
      <c r="T254" s="54" t="s">
        <v>1756</v>
      </c>
      <c r="U254" s="105">
        <v>26.5</v>
      </c>
      <c r="V254" s="62">
        <v>0</v>
      </c>
      <c r="W254" s="102">
        <v>0</v>
      </c>
      <c r="X254" s="62">
        <v>0</v>
      </c>
      <c r="Y254" s="102">
        <v>0</v>
      </c>
      <c r="Z254" s="62">
        <v>0</v>
      </c>
      <c r="AA254" s="102">
        <v>0</v>
      </c>
      <c r="AB254" s="62">
        <v>0</v>
      </c>
      <c r="AC254" s="106" t="s">
        <v>206</v>
      </c>
      <c r="AD254" s="106" t="s">
        <v>206</v>
      </c>
      <c r="AE254" s="106" t="s">
        <v>206</v>
      </c>
      <c r="AF254" s="106" t="s">
        <v>206</v>
      </c>
      <c r="AG254" s="106" t="s">
        <v>206</v>
      </c>
      <c r="AH254" s="106" t="s">
        <v>206</v>
      </c>
      <c r="AI254" s="1" t="s">
        <v>357</v>
      </c>
      <c r="AJ254" s="1" t="s">
        <v>206</v>
      </c>
      <c r="AK254" s="1" t="s">
        <v>358</v>
      </c>
      <c r="AL254" s="1" t="s">
        <v>197</v>
      </c>
      <c r="AM254" s="106" t="s">
        <v>27</v>
      </c>
      <c r="AN254" s="1" t="s">
        <v>357</v>
      </c>
      <c r="AO254" s="1" t="s">
        <v>208</v>
      </c>
      <c r="AP254" s="1" t="s">
        <v>206</v>
      </c>
      <c r="AQ254" s="1" t="s">
        <v>441</v>
      </c>
      <c r="AR254" s="1" t="s">
        <v>207</v>
      </c>
      <c r="AS254" s="106" t="s">
        <v>35</v>
      </c>
      <c r="AT254" s="1" t="s">
        <v>206</v>
      </c>
      <c r="AU254" s="106" t="s">
        <v>206</v>
      </c>
      <c r="AV254" s="106" t="s">
        <v>206</v>
      </c>
      <c r="AW254" s="106" t="s">
        <v>35</v>
      </c>
      <c r="AX254" s="106" t="s">
        <v>206</v>
      </c>
      <c r="AY254" s="106" t="s">
        <v>206</v>
      </c>
      <c r="AZ254" s="1" t="s">
        <v>206</v>
      </c>
      <c r="BA254" s="106" t="s">
        <v>206</v>
      </c>
      <c r="BB254" s="106" t="s">
        <v>206</v>
      </c>
      <c r="BC254" s="106" t="s">
        <v>206</v>
      </c>
      <c r="BD254" s="106" t="s">
        <v>206</v>
      </c>
      <c r="BE254" s="106" t="s">
        <v>206</v>
      </c>
      <c r="BF254" s="107">
        <f>IF(AZ254="Não","Sim","Não")</f>
      </c>
      <c r="BG254" s="107">
        <f>IF(AZ254="NA","Sim","Não")</f>
      </c>
      <c r="BH254" s="106" t="s">
        <v>206</v>
      </c>
      <c r="BI254" s="1" t="s">
        <v>238</v>
      </c>
      <c r="BJ254" s="106" t="s">
        <v>241</v>
      </c>
      <c r="BK254" s="1" t="s">
        <v>492</v>
      </c>
      <c r="BL254" s="102">
        <v>70</v>
      </c>
      <c r="BM254" s="1" t="s">
        <v>208</v>
      </c>
      <c r="BN254" s="1" t="s">
        <v>208</v>
      </c>
      <c r="BO254" s="1" t="s">
        <v>492</v>
      </c>
      <c r="BP254" s="102">
        <v>70</v>
      </c>
      <c r="BQ254" s="1" t="s">
        <v>208</v>
      </c>
      <c r="BR254" s="1" t="s">
        <v>227</v>
      </c>
      <c r="BS254" s="106" t="s">
        <v>37</v>
      </c>
    </row>
    <row x14ac:dyDescent="0.25" r="255" customHeight="1" ht="17.25">
      <c r="A255" s="102">
        <v>254</v>
      </c>
      <c r="B255" s="1" t="s">
        <v>442</v>
      </c>
      <c r="C255" s="102">
        <v>0</v>
      </c>
      <c r="D255" s="61" t="s">
        <v>443</v>
      </c>
      <c r="E255" s="1" t="s">
        <v>123</v>
      </c>
      <c r="F255" s="1" t="s">
        <v>170</v>
      </c>
      <c r="G255" s="1" t="s">
        <v>58</v>
      </c>
      <c r="H255" s="1" t="s">
        <v>1757</v>
      </c>
      <c r="I255" s="102">
        <v>1</v>
      </c>
      <c r="J255" s="1" t="s">
        <v>158</v>
      </c>
      <c r="K255" s="1" t="s">
        <v>22</v>
      </c>
      <c r="L255" s="103">
        <v>34143</v>
      </c>
      <c r="M255" s="104">
        <v>23</v>
      </c>
      <c r="N255" s="1" t="s">
        <v>176</v>
      </c>
      <c r="O255" s="1" t="s">
        <v>182</v>
      </c>
      <c r="P255" s="1" t="s">
        <v>464</v>
      </c>
      <c r="Q255" s="1" t="s">
        <v>445</v>
      </c>
      <c r="R255" s="62">
        <v>0</v>
      </c>
      <c r="S255" s="102">
        <v>0</v>
      </c>
      <c r="T255" s="54" t="s">
        <v>446</v>
      </c>
      <c r="U255" s="105">
        <v>2.6</v>
      </c>
      <c r="V255" s="62">
        <v>0</v>
      </c>
      <c r="W255" s="102">
        <v>0</v>
      </c>
      <c r="X255" s="62">
        <v>0</v>
      </c>
      <c r="Y255" s="102">
        <v>0</v>
      </c>
      <c r="Z255" s="62">
        <v>0</v>
      </c>
      <c r="AA255" s="102">
        <v>0</v>
      </c>
      <c r="AB255" s="62">
        <v>0</v>
      </c>
      <c r="AC255" s="106" t="s">
        <v>206</v>
      </c>
      <c r="AD255" s="106" t="s">
        <v>206</v>
      </c>
      <c r="AE255" s="106" t="s">
        <v>206</v>
      </c>
      <c r="AF255" s="106" t="s">
        <v>206</v>
      </c>
      <c r="AG255" s="106" t="s">
        <v>206</v>
      </c>
      <c r="AH255" s="106" t="s">
        <v>206</v>
      </c>
      <c r="AI255" s="1" t="s">
        <v>371</v>
      </c>
      <c r="AJ255" s="1" t="s">
        <v>206</v>
      </c>
      <c r="AK255" s="1" t="s">
        <v>447</v>
      </c>
      <c r="AL255" s="1" t="s">
        <v>198</v>
      </c>
      <c r="AM255" s="106" t="s">
        <v>27</v>
      </c>
      <c r="AN255" s="1" t="s">
        <v>357</v>
      </c>
      <c r="AO255" s="1" t="s">
        <v>208</v>
      </c>
      <c r="AP255" s="1" t="s">
        <v>206</v>
      </c>
      <c r="AQ255" s="1" t="s">
        <v>441</v>
      </c>
      <c r="AR255" s="1" t="s">
        <v>206</v>
      </c>
      <c r="AS255" s="106" t="s">
        <v>206</v>
      </c>
      <c r="AT255" s="1" t="s">
        <v>206</v>
      </c>
      <c r="AU255" s="106" t="s">
        <v>206</v>
      </c>
      <c r="AV255" s="106" t="s">
        <v>206</v>
      </c>
      <c r="AW255" s="106" t="s">
        <v>35</v>
      </c>
      <c r="AX255" s="106" t="s">
        <v>206</v>
      </c>
      <c r="AY255" s="106" t="s">
        <v>206</v>
      </c>
      <c r="AZ255" s="1" t="s">
        <v>30</v>
      </c>
      <c r="BA255" s="106" t="s">
        <v>35</v>
      </c>
      <c r="BB255" s="106" t="s">
        <v>206</v>
      </c>
      <c r="BC255" s="106" t="s">
        <v>206</v>
      </c>
      <c r="BD255" s="106" t="s">
        <v>206</v>
      </c>
      <c r="BE255" s="106" t="s">
        <v>206</v>
      </c>
      <c r="BF255" s="107">
        <f>IF(AZ255="Não","Sim","Não")</f>
      </c>
      <c r="BG255" s="107">
        <f>IF(AZ255="NA","Sim","Não")</f>
      </c>
      <c r="BH255" s="106" t="s">
        <v>35</v>
      </c>
      <c r="BI255" s="1" t="s">
        <v>206</v>
      </c>
      <c r="BJ255" s="106" t="s">
        <v>206</v>
      </c>
      <c r="BK255" s="1" t="s">
        <v>492</v>
      </c>
      <c r="BL255" s="102">
        <v>70</v>
      </c>
      <c r="BM255" s="1" t="s">
        <v>208</v>
      </c>
      <c r="BN255" s="1" t="s">
        <v>208</v>
      </c>
      <c r="BO255" s="1" t="s">
        <v>492</v>
      </c>
      <c r="BP255" s="102">
        <v>70</v>
      </c>
      <c r="BQ255" s="1" t="s">
        <v>208</v>
      </c>
      <c r="BR255" s="1" t="s">
        <v>227</v>
      </c>
      <c r="BS255" s="106" t="s">
        <v>37</v>
      </c>
    </row>
    <row x14ac:dyDescent="0.25" r="256" customHeight="1" ht="17.25">
      <c r="A256" s="102">
        <v>255</v>
      </c>
      <c r="B256" s="1" t="s">
        <v>1758</v>
      </c>
      <c r="C256" s="102">
        <v>1</v>
      </c>
      <c r="D256" s="61" t="s">
        <v>1662</v>
      </c>
      <c r="E256" s="1" t="s">
        <v>92</v>
      </c>
      <c r="F256" s="1" t="s">
        <v>22</v>
      </c>
      <c r="G256" s="1" t="s">
        <v>57</v>
      </c>
      <c r="H256" s="1" t="s">
        <v>1759</v>
      </c>
      <c r="I256" s="102">
        <v>1</v>
      </c>
      <c r="J256" s="1" t="s">
        <v>158</v>
      </c>
      <c r="K256" s="1" t="s">
        <v>22</v>
      </c>
      <c r="L256" s="103">
        <v>32284</v>
      </c>
      <c r="M256" s="104">
        <v>29</v>
      </c>
      <c r="N256" s="1" t="s">
        <v>176</v>
      </c>
      <c r="O256" s="1" t="s">
        <v>182</v>
      </c>
      <c r="P256" s="1" t="s">
        <v>464</v>
      </c>
      <c r="Q256" s="1" t="s">
        <v>1760</v>
      </c>
      <c r="R256" s="54" t="s">
        <v>1761</v>
      </c>
      <c r="S256" s="105">
        <v>24.4</v>
      </c>
      <c r="T256" s="54" t="s">
        <v>1762</v>
      </c>
      <c r="U256" s="105">
        <v>1.3</v>
      </c>
      <c r="V256" s="62">
        <v>0</v>
      </c>
      <c r="W256" s="102">
        <v>0</v>
      </c>
      <c r="X256" s="62">
        <v>0</v>
      </c>
      <c r="Y256" s="102">
        <v>0</v>
      </c>
      <c r="Z256" s="62">
        <v>0</v>
      </c>
      <c r="AA256" s="102">
        <v>0</v>
      </c>
      <c r="AB256" s="62">
        <v>0</v>
      </c>
      <c r="AC256" s="106" t="s">
        <v>206</v>
      </c>
      <c r="AD256" s="106" t="s">
        <v>206</v>
      </c>
      <c r="AE256" s="106" t="s">
        <v>206</v>
      </c>
      <c r="AF256" s="106" t="s">
        <v>206</v>
      </c>
      <c r="AG256" s="106" t="s">
        <v>206</v>
      </c>
      <c r="AH256" s="106" t="s">
        <v>206</v>
      </c>
      <c r="AI256" s="1" t="s">
        <v>357</v>
      </c>
      <c r="AJ256" s="1" t="s">
        <v>206</v>
      </c>
      <c r="AK256" s="1" t="s">
        <v>1763</v>
      </c>
      <c r="AL256" s="1" t="s">
        <v>197</v>
      </c>
      <c r="AM256" s="106" t="s">
        <v>27</v>
      </c>
      <c r="AN256" s="1" t="s">
        <v>357</v>
      </c>
      <c r="AO256" s="1" t="s">
        <v>208</v>
      </c>
      <c r="AP256" s="1" t="s">
        <v>206</v>
      </c>
      <c r="AQ256" s="1" t="s">
        <v>441</v>
      </c>
      <c r="AR256" s="1" t="s">
        <v>206</v>
      </c>
      <c r="AS256" s="106" t="s">
        <v>206</v>
      </c>
      <c r="AT256" s="1" t="s">
        <v>206</v>
      </c>
      <c r="AU256" s="106" t="s">
        <v>206</v>
      </c>
      <c r="AV256" s="106" t="s">
        <v>206</v>
      </c>
      <c r="AW256" s="106" t="s">
        <v>35</v>
      </c>
      <c r="AX256" s="106" t="s">
        <v>206</v>
      </c>
      <c r="AY256" s="106" t="s">
        <v>206</v>
      </c>
      <c r="AZ256" s="1" t="s">
        <v>34</v>
      </c>
      <c r="BA256" s="106" t="s">
        <v>206</v>
      </c>
      <c r="BB256" s="106" t="s">
        <v>206</v>
      </c>
      <c r="BC256" s="106" t="s">
        <v>206</v>
      </c>
      <c r="BD256" s="106" t="s">
        <v>206</v>
      </c>
      <c r="BE256" s="106" t="s">
        <v>35</v>
      </c>
      <c r="BF256" s="107">
        <f>IF(AZ256="Não","Sim","Não")</f>
      </c>
      <c r="BG256" s="107">
        <f>IF(AZ256="NA","Sim","Não")</f>
      </c>
      <c r="BH256" s="106" t="s">
        <v>35</v>
      </c>
      <c r="BI256" s="1" t="s">
        <v>206</v>
      </c>
      <c r="BJ256" s="106" t="s">
        <v>206</v>
      </c>
      <c r="BK256" s="1" t="s">
        <v>492</v>
      </c>
      <c r="BL256" s="102">
        <v>70</v>
      </c>
      <c r="BM256" s="1" t="s">
        <v>208</v>
      </c>
      <c r="BN256" s="1" t="s">
        <v>208</v>
      </c>
      <c r="BO256" s="1" t="s">
        <v>492</v>
      </c>
      <c r="BP256" s="102">
        <v>70</v>
      </c>
      <c r="BQ256" s="1" t="s">
        <v>208</v>
      </c>
      <c r="BR256" s="1" t="s">
        <v>227</v>
      </c>
      <c r="BS256" s="106" t="s">
        <v>37</v>
      </c>
    </row>
    <row x14ac:dyDescent="0.25" r="257" customHeight="1" ht="17.25">
      <c r="A257" s="102">
        <v>256</v>
      </c>
      <c r="B257" s="1" t="s">
        <v>1764</v>
      </c>
      <c r="C257" s="102">
        <v>1</v>
      </c>
      <c r="D257" s="61" t="s">
        <v>1765</v>
      </c>
      <c r="E257" s="1" t="s">
        <v>76</v>
      </c>
      <c r="F257" s="1" t="s">
        <v>22</v>
      </c>
      <c r="G257" s="1" t="s">
        <v>60</v>
      </c>
      <c r="H257" s="1" t="s">
        <v>1766</v>
      </c>
      <c r="I257" s="102">
        <v>1</v>
      </c>
      <c r="J257" s="1" t="s">
        <v>158</v>
      </c>
      <c r="K257" s="1" t="s">
        <v>22</v>
      </c>
      <c r="L257" s="103">
        <v>30958</v>
      </c>
      <c r="M257" s="104">
        <v>33</v>
      </c>
      <c r="N257" s="1" t="s">
        <v>176</v>
      </c>
      <c r="O257" s="1" t="s">
        <v>182</v>
      </c>
      <c r="P257" s="1" t="s">
        <v>464</v>
      </c>
      <c r="Q257" s="1" t="s">
        <v>1767</v>
      </c>
      <c r="R257" s="54" t="s">
        <v>1768</v>
      </c>
      <c r="S257" s="105">
        <v>121.6</v>
      </c>
      <c r="T257" s="54" t="s">
        <v>1769</v>
      </c>
      <c r="U257" s="105">
        <v>27.9</v>
      </c>
      <c r="V257" s="62">
        <v>0</v>
      </c>
      <c r="W257" s="102">
        <v>0</v>
      </c>
      <c r="X257" s="62">
        <v>0</v>
      </c>
      <c r="Y257" s="102">
        <v>0</v>
      </c>
      <c r="Z257" s="62">
        <v>0</v>
      </c>
      <c r="AA257" s="102">
        <v>0</v>
      </c>
      <c r="AB257" s="62">
        <v>0</v>
      </c>
      <c r="AC257" s="106" t="s">
        <v>206</v>
      </c>
      <c r="AD257" s="106" t="s">
        <v>206</v>
      </c>
      <c r="AE257" s="106" t="s">
        <v>206</v>
      </c>
      <c r="AF257" s="106" t="s">
        <v>206</v>
      </c>
      <c r="AG257" s="106" t="s">
        <v>206</v>
      </c>
      <c r="AH257" s="106" t="s">
        <v>206</v>
      </c>
      <c r="AI257" s="1" t="s">
        <v>357</v>
      </c>
      <c r="AJ257" s="1" t="s">
        <v>206</v>
      </c>
      <c r="AK257" s="1" t="s">
        <v>1166</v>
      </c>
      <c r="AL257" s="1" t="s">
        <v>197</v>
      </c>
      <c r="AM257" s="106" t="s">
        <v>27</v>
      </c>
      <c r="AN257" s="1" t="s">
        <v>357</v>
      </c>
      <c r="AO257" s="1" t="s">
        <v>208</v>
      </c>
      <c r="AP257" s="1" t="s">
        <v>206</v>
      </c>
      <c r="AQ257" s="1" t="s">
        <v>441</v>
      </c>
      <c r="AR257" s="1" t="s">
        <v>207</v>
      </c>
      <c r="AS257" s="106" t="s">
        <v>35</v>
      </c>
      <c r="AT257" s="1" t="s">
        <v>206</v>
      </c>
      <c r="AU257" s="106" t="s">
        <v>206</v>
      </c>
      <c r="AV257" s="106" t="s">
        <v>206</v>
      </c>
      <c r="AW257" s="106" t="s">
        <v>35</v>
      </c>
      <c r="AX257" s="106" t="s">
        <v>206</v>
      </c>
      <c r="AY257" s="106" t="s">
        <v>206</v>
      </c>
      <c r="AZ257" s="1" t="s">
        <v>206</v>
      </c>
      <c r="BA257" s="106" t="s">
        <v>206</v>
      </c>
      <c r="BB257" s="106" t="s">
        <v>206</v>
      </c>
      <c r="BC257" s="106" t="s">
        <v>206</v>
      </c>
      <c r="BD257" s="106" t="s">
        <v>206</v>
      </c>
      <c r="BE257" s="106" t="s">
        <v>206</v>
      </c>
      <c r="BF257" s="107">
        <f>IF(AZ257="Não","Sim","Não")</f>
      </c>
      <c r="BG257" s="107">
        <f>IF(AZ257="NA","Sim","Não")</f>
      </c>
      <c r="BH257" s="106" t="s">
        <v>206</v>
      </c>
      <c r="BI257" s="1" t="s">
        <v>238</v>
      </c>
      <c r="BJ257" s="106" t="s">
        <v>241</v>
      </c>
      <c r="BK257" s="1" t="s">
        <v>492</v>
      </c>
      <c r="BL257" s="102">
        <v>70</v>
      </c>
      <c r="BM257" s="1" t="s">
        <v>208</v>
      </c>
      <c r="BN257" s="1" t="s">
        <v>208</v>
      </c>
      <c r="BO257" s="1" t="s">
        <v>492</v>
      </c>
      <c r="BP257" s="102">
        <v>70</v>
      </c>
      <c r="BQ257" s="1" t="s">
        <v>208</v>
      </c>
      <c r="BR257" s="1" t="s">
        <v>227</v>
      </c>
      <c r="BS257" s="106" t="s">
        <v>37</v>
      </c>
    </row>
    <row x14ac:dyDescent="0.25" r="258" customHeight="1" ht="17.25">
      <c r="A258" s="102">
        <v>257</v>
      </c>
      <c r="B258" s="1" t="s">
        <v>1770</v>
      </c>
      <c r="C258" s="102">
        <v>1</v>
      </c>
      <c r="D258" s="61" t="s">
        <v>1771</v>
      </c>
      <c r="E258" s="1" t="s">
        <v>116</v>
      </c>
      <c r="F258" s="1" t="s">
        <v>170</v>
      </c>
      <c r="G258" s="1" t="s">
        <v>46</v>
      </c>
      <c r="H258" s="1" t="s">
        <v>1772</v>
      </c>
      <c r="I258" s="102">
        <v>1</v>
      </c>
      <c r="J258" s="1" t="s">
        <v>158</v>
      </c>
      <c r="K258" s="1" t="s">
        <v>22</v>
      </c>
      <c r="L258" s="103">
        <v>35155</v>
      </c>
      <c r="M258" s="104">
        <v>20</v>
      </c>
      <c r="N258" s="1" t="s">
        <v>175</v>
      </c>
      <c r="O258" s="1" t="s">
        <v>24</v>
      </c>
      <c r="P258" s="1" t="s">
        <v>517</v>
      </c>
      <c r="Q258" s="1" t="s">
        <v>1773</v>
      </c>
      <c r="R258" s="62">
        <v>0</v>
      </c>
      <c r="S258" s="102">
        <v>0</v>
      </c>
      <c r="T258" s="54" t="s">
        <v>1774</v>
      </c>
      <c r="U258" s="105">
        <v>16.8</v>
      </c>
      <c r="V258" s="62">
        <v>0</v>
      </c>
      <c r="W258" s="102">
        <v>0</v>
      </c>
      <c r="X258" s="62">
        <v>0</v>
      </c>
      <c r="Y258" s="102">
        <v>0</v>
      </c>
      <c r="Z258" s="62">
        <v>0</v>
      </c>
      <c r="AA258" s="102">
        <v>0</v>
      </c>
      <c r="AB258" s="62">
        <v>0</v>
      </c>
      <c r="AC258" s="106" t="s">
        <v>206</v>
      </c>
      <c r="AD258" s="106" t="s">
        <v>206</v>
      </c>
      <c r="AE258" s="106" t="s">
        <v>206</v>
      </c>
      <c r="AF258" s="106" t="s">
        <v>206</v>
      </c>
      <c r="AG258" s="106" t="s">
        <v>206</v>
      </c>
      <c r="AH258" s="106" t="s">
        <v>206</v>
      </c>
      <c r="AI258" s="1" t="s">
        <v>357</v>
      </c>
      <c r="AJ258" s="1" t="s">
        <v>206</v>
      </c>
      <c r="AK258" s="1" t="s">
        <v>373</v>
      </c>
      <c r="AL258" s="1" t="s">
        <v>197</v>
      </c>
      <c r="AM258" s="106" t="s">
        <v>27</v>
      </c>
      <c r="AN258" s="1" t="s">
        <v>357</v>
      </c>
      <c r="AO258" s="1" t="s">
        <v>208</v>
      </c>
      <c r="AP258" s="1" t="s">
        <v>206</v>
      </c>
      <c r="AQ258" s="1" t="s">
        <v>441</v>
      </c>
      <c r="AR258" s="1" t="s">
        <v>206</v>
      </c>
      <c r="AS258" s="106" t="s">
        <v>206</v>
      </c>
      <c r="AT258" s="1" t="s">
        <v>206</v>
      </c>
      <c r="AU258" s="106" t="s">
        <v>206</v>
      </c>
      <c r="AV258" s="106" t="s">
        <v>206</v>
      </c>
      <c r="AW258" s="106" t="s">
        <v>35</v>
      </c>
      <c r="AX258" s="106" t="s">
        <v>206</v>
      </c>
      <c r="AY258" s="106" t="s">
        <v>206</v>
      </c>
      <c r="AZ258" s="1" t="s">
        <v>34</v>
      </c>
      <c r="BA258" s="106" t="s">
        <v>206</v>
      </c>
      <c r="BB258" s="106" t="s">
        <v>206</v>
      </c>
      <c r="BC258" s="106" t="s">
        <v>206</v>
      </c>
      <c r="BD258" s="106" t="s">
        <v>206</v>
      </c>
      <c r="BE258" s="106" t="s">
        <v>35</v>
      </c>
      <c r="BF258" s="107">
        <f>IF(AZ258="Não","Sim","Não")</f>
      </c>
      <c r="BG258" s="107">
        <f>IF(AZ258="NA","Sim","Não")</f>
      </c>
      <c r="BH258" s="106" t="s">
        <v>35</v>
      </c>
      <c r="BI258" s="1" t="s">
        <v>206</v>
      </c>
      <c r="BJ258" s="106" t="s">
        <v>206</v>
      </c>
      <c r="BK258" s="1" t="s">
        <v>492</v>
      </c>
      <c r="BL258" s="102">
        <v>70</v>
      </c>
      <c r="BM258" s="1" t="s">
        <v>208</v>
      </c>
      <c r="BN258" s="1" t="s">
        <v>208</v>
      </c>
      <c r="BO258" s="1" t="s">
        <v>492</v>
      </c>
      <c r="BP258" s="102">
        <v>70</v>
      </c>
      <c r="BQ258" s="1" t="s">
        <v>208</v>
      </c>
      <c r="BR258" s="1" t="s">
        <v>227</v>
      </c>
      <c r="BS258" s="106" t="s">
        <v>37</v>
      </c>
    </row>
    <row x14ac:dyDescent="0.25" r="259" customHeight="1" ht="17.25">
      <c r="A259" s="102">
        <v>258</v>
      </c>
      <c r="B259" s="1" t="s">
        <v>1775</v>
      </c>
      <c r="C259" s="102">
        <v>1</v>
      </c>
      <c r="D259" s="61" t="s">
        <v>1776</v>
      </c>
      <c r="E259" s="1" t="s">
        <v>114</v>
      </c>
      <c r="F259" s="1" t="s">
        <v>22</v>
      </c>
      <c r="G259" s="1" t="s">
        <v>51</v>
      </c>
      <c r="H259" s="1" t="s">
        <v>1777</v>
      </c>
      <c r="I259" s="102">
        <v>1</v>
      </c>
      <c r="J259" s="1" t="s">
        <v>158</v>
      </c>
      <c r="K259" s="1" t="s">
        <v>22</v>
      </c>
      <c r="L259" s="103">
        <v>35247</v>
      </c>
      <c r="M259" s="104">
        <v>20</v>
      </c>
      <c r="N259" s="1" t="s">
        <v>175</v>
      </c>
      <c r="O259" s="1" t="s">
        <v>24</v>
      </c>
      <c r="P259" s="1" t="s">
        <v>615</v>
      </c>
      <c r="Q259" s="1" t="s">
        <v>1778</v>
      </c>
      <c r="R259" s="54" t="s">
        <v>1779</v>
      </c>
      <c r="S259" s="105">
        <v>31.4</v>
      </c>
      <c r="T259" s="62">
        <v>0</v>
      </c>
      <c r="U259" s="102">
        <v>0</v>
      </c>
      <c r="V259" s="54" t="s">
        <v>1780</v>
      </c>
      <c r="W259" s="105">
        <v>2.5</v>
      </c>
      <c r="X259" s="62">
        <v>0</v>
      </c>
      <c r="Y259" s="102">
        <v>0</v>
      </c>
      <c r="Z259" s="62">
        <v>0</v>
      </c>
      <c r="AA259" s="102">
        <v>0</v>
      </c>
      <c r="AB259" s="62">
        <v>0</v>
      </c>
      <c r="AC259" s="106" t="s">
        <v>206</v>
      </c>
      <c r="AD259" s="106" t="s">
        <v>206</v>
      </c>
      <c r="AE259" s="106" t="s">
        <v>206</v>
      </c>
      <c r="AF259" s="106" t="s">
        <v>206</v>
      </c>
      <c r="AG259" s="106" t="s">
        <v>206</v>
      </c>
      <c r="AH259" s="106" t="s">
        <v>206</v>
      </c>
      <c r="AI259" s="1" t="s">
        <v>357</v>
      </c>
      <c r="AJ259" s="1" t="s">
        <v>206</v>
      </c>
      <c r="AK259" s="1" t="s">
        <v>645</v>
      </c>
      <c r="AL259" s="1" t="s">
        <v>197</v>
      </c>
      <c r="AM259" s="106" t="s">
        <v>27</v>
      </c>
      <c r="AN259" s="1" t="s">
        <v>357</v>
      </c>
      <c r="AO259" s="1" t="s">
        <v>208</v>
      </c>
      <c r="AP259" s="1" t="s">
        <v>206</v>
      </c>
      <c r="AQ259" s="1" t="s">
        <v>441</v>
      </c>
      <c r="AR259" s="1" t="s">
        <v>206</v>
      </c>
      <c r="AS259" s="106" t="s">
        <v>206</v>
      </c>
      <c r="AT259" s="1" t="s">
        <v>206</v>
      </c>
      <c r="AU259" s="106" t="s">
        <v>206</v>
      </c>
      <c r="AV259" s="106" t="s">
        <v>206</v>
      </c>
      <c r="AW259" s="106" t="s">
        <v>35</v>
      </c>
      <c r="AX259" s="106" t="s">
        <v>206</v>
      </c>
      <c r="AY259" s="106" t="s">
        <v>206</v>
      </c>
      <c r="AZ259" s="1" t="s">
        <v>34</v>
      </c>
      <c r="BA259" s="106" t="s">
        <v>206</v>
      </c>
      <c r="BB259" s="106" t="s">
        <v>206</v>
      </c>
      <c r="BC259" s="106" t="s">
        <v>206</v>
      </c>
      <c r="BD259" s="106" t="s">
        <v>206</v>
      </c>
      <c r="BE259" s="106" t="s">
        <v>35</v>
      </c>
      <c r="BF259" s="107">
        <f>IF(AZ259="Não","Sim","Não")</f>
      </c>
      <c r="BG259" s="107">
        <f>IF(AZ259="NA","Sim","Não")</f>
      </c>
      <c r="BH259" s="106" t="s">
        <v>35</v>
      </c>
      <c r="BI259" s="1" t="s">
        <v>206</v>
      </c>
      <c r="BJ259" s="106" t="s">
        <v>206</v>
      </c>
      <c r="BK259" s="1" t="s">
        <v>492</v>
      </c>
      <c r="BL259" s="102">
        <v>70</v>
      </c>
      <c r="BM259" s="1" t="s">
        <v>208</v>
      </c>
      <c r="BN259" s="1" t="s">
        <v>208</v>
      </c>
      <c r="BO259" s="1" t="s">
        <v>492</v>
      </c>
      <c r="BP259" s="102">
        <v>70</v>
      </c>
      <c r="BQ259" s="1" t="s">
        <v>208</v>
      </c>
      <c r="BR259" s="1" t="s">
        <v>227</v>
      </c>
      <c r="BS259" s="106" t="s">
        <v>37</v>
      </c>
    </row>
    <row x14ac:dyDescent="0.25" r="260" customHeight="1" ht="17.25">
      <c r="A260" s="102">
        <v>259</v>
      </c>
      <c r="B260" s="1" t="s">
        <v>1781</v>
      </c>
      <c r="C260" s="102">
        <v>1</v>
      </c>
      <c r="D260" s="61" t="s">
        <v>1782</v>
      </c>
      <c r="E260" s="1" t="s">
        <v>100</v>
      </c>
      <c r="F260" s="1" t="s">
        <v>22</v>
      </c>
      <c r="G260" s="1" t="s">
        <v>43</v>
      </c>
      <c r="H260" s="1" t="s">
        <v>1783</v>
      </c>
      <c r="I260" s="102">
        <v>1</v>
      </c>
      <c r="J260" s="1" t="s">
        <v>158</v>
      </c>
      <c r="K260" s="1" t="s">
        <v>22</v>
      </c>
      <c r="L260" s="103">
        <v>30534</v>
      </c>
      <c r="M260" s="104">
        <v>33</v>
      </c>
      <c r="N260" s="1" t="s">
        <v>175</v>
      </c>
      <c r="O260" s="1" t="s">
        <v>24</v>
      </c>
      <c r="P260" s="1" t="s">
        <v>354</v>
      </c>
      <c r="Q260" s="1" t="s">
        <v>1784</v>
      </c>
      <c r="R260" s="62">
        <v>0</v>
      </c>
      <c r="S260" s="102">
        <v>0</v>
      </c>
      <c r="T260" s="54" t="s">
        <v>1785</v>
      </c>
      <c r="U260" s="105">
        <v>26.2</v>
      </c>
      <c r="V260" s="54" t="s">
        <v>1786</v>
      </c>
      <c r="W260" s="102">
        <v>53</v>
      </c>
      <c r="X260" s="62">
        <v>0</v>
      </c>
      <c r="Y260" s="102">
        <v>0</v>
      </c>
      <c r="Z260" s="62">
        <v>0</v>
      </c>
      <c r="AA260" s="102">
        <v>0</v>
      </c>
      <c r="AB260" s="62">
        <v>0</v>
      </c>
      <c r="AC260" s="106" t="s">
        <v>206</v>
      </c>
      <c r="AD260" s="106" t="s">
        <v>206</v>
      </c>
      <c r="AE260" s="106" t="s">
        <v>206</v>
      </c>
      <c r="AF260" s="106" t="s">
        <v>206</v>
      </c>
      <c r="AG260" s="106" t="s">
        <v>206</v>
      </c>
      <c r="AH260" s="106" t="s">
        <v>206</v>
      </c>
      <c r="AI260" s="1" t="s">
        <v>357</v>
      </c>
      <c r="AJ260" s="1" t="s">
        <v>206</v>
      </c>
      <c r="AK260" s="1" t="s">
        <v>405</v>
      </c>
      <c r="AL260" s="1" t="s">
        <v>197</v>
      </c>
      <c r="AM260" s="106" t="s">
        <v>27</v>
      </c>
      <c r="AN260" s="1" t="s">
        <v>357</v>
      </c>
      <c r="AO260" s="1" t="s">
        <v>208</v>
      </c>
      <c r="AP260" s="1" t="s">
        <v>603</v>
      </c>
      <c r="AQ260" s="1" t="s">
        <v>432</v>
      </c>
      <c r="AR260" s="1" t="s">
        <v>206</v>
      </c>
      <c r="AS260" s="106" t="s">
        <v>206</v>
      </c>
      <c r="AT260" s="1" t="s">
        <v>206</v>
      </c>
      <c r="AU260" s="106" t="s">
        <v>206</v>
      </c>
      <c r="AV260" s="106" t="s">
        <v>206</v>
      </c>
      <c r="AW260" s="106" t="s">
        <v>35</v>
      </c>
      <c r="AX260" s="106" t="s">
        <v>206</v>
      </c>
      <c r="AY260" s="106" t="s">
        <v>206</v>
      </c>
      <c r="AZ260" s="1" t="s">
        <v>206</v>
      </c>
      <c r="BA260" s="106" t="s">
        <v>206</v>
      </c>
      <c r="BB260" s="106" t="s">
        <v>206</v>
      </c>
      <c r="BC260" s="106" t="s">
        <v>206</v>
      </c>
      <c r="BD260" s="106" t="s">
        <v>206</v>
      </c>
      <c r="BE260" s="106" t="s">
        <v>206</v>
      </c>
      <c r="BF260" s="107">
        <f>IF(AZ260="Não","Sim","Não")</f>
      </c>
      <c r="BG260" s="107">
        <f>IF(AZ260="NA","Sim","Não")</f>
      </c>
      <c r="BH260" s="106" t="s">
        <v>206</v>
      </c>
      <c r="BI260" s="1" t="s">
        <v>238</v>
      </c>
      <c r="BJ260" s="106" t="s">
        <v>241</v>
      </c>
      <c r="BK260" s="1" t="s">
        <v>492</v>
      </c>
      <c r="BL260" s="102">
        <v>70</v>
      </c>
      <c r="BM260" s="1" t="s">
        <v>208</v>
      </c>
      <c r="BN260" s="1" t="s">
        <v>208</v>
      </c>
      <c r="BO260" s="1" t="s">
        <v>492</v>
      </c>
      <c r="BP260" s="102">
        <v>70</v>
      </c>
      <c r="BQ260" s="1" t="s">
        <v>208</v>
      </c>
      <c r="BR260" s="1" t="s">
        <v>227</v>
      </c>
      <c r="BS260" s="106" t="s">
        <v>37</v>
      </c>
    </row>
    <row x14ac:dyDescent="0.25" r="261" customHeight="1" ht="17.25">
      <c r="A261" s="102">
        <v>260</v>
      </c>
      <c r="B261" s="1" t="s">
        <v>1787</v>
      </c>
      <c r="C261" s="102">
        <v>1</v>
      </c>
      <c r="D261" s="61">
        <v>43034</v>
      </c>
      <c r="E261" s="1" t="s">
        <v>91</v>
      </c>
      <c r="F261" s="1" t="s">
        <v>170</v>
      </c>
      <c r="G261" s="1" t="s">
        <v>61</v>
      </c>
      <c r="H261" s="1" t="s">
        <v>1788</v>
      </c>
      <c r="I261" s="102">
        <v>1</v>
      </c>
      <c r="J261" s="1" t="s">
        <v>158</v>
      </c>
      <c r="K261" s="1" t="s">
        <v>22</v>
      </c>
      <c r="L261" s="103">
        <v>34366</v>
      </c>
      <c r="M261" s="104">
        <v>23</v>
      </c>
      <c r="N261" s="1" t="s">
        <v>176</v>
      </c>
      <c r="O261" s="1" t="s">
        <v>182</v>
      </c>
      <c r="P261" s="1" t="s">
        <v>365</v>
      </c>
      <c r="Q261" s="1" t="s">
        <v>1789</v>
      </c>
      <c r="R261" s="54" t="s">
        <v>1790</v>
      </c>
      <c r="S261" s="105">
        <v>177.2</v>
      </c>
      <c r="T261" s="54" t="s">
        <v>1791</v>
      </c>
      <c r="U261" s="105">
        <v>25.7</v>
      </c>
      <c r="V261" s="54" t="s">
        <v>1123</v>
      </c>
      <c r="W261" s="105">
        <v>5.8</v>
      </c>
      <c r="X261" s="62">
        <v>0</v>
      </c>
      <c r="Y261" s="102">
        <v>0</v>
      </c>
      <c r="Z261" s="62">
        <v>0</v>
      </c>
      <c r="AA261" s="102">
        <v>0</v>
      </c>
      <c r="AB261" s="62">
        <v>0</v>
      </c>
      <c r="AC261" s="106" t="s">
        <v>206</v>
      </c>
      <c r="AD261" s="106" t="s">
        <v>206</v>
      </c>
      <c r="AE261" s="106" t="s">
        <v>206</v>
      </c>
      <c r="AF261" s="106" t="s">
        <v>206</v>
      </c>
      <c r="AG261" s="106" t="s">
        <v>206</v>
      </c>
      <c r="AH261" s="106" t="s">
        <v>206</v>
      </c>
      <c r="AI261" s="1" t="s">
        <v>357</v>
      </c>
      <c r="AJ261" s="1" t="s">
        <v>206</v>
      </c>
      <c r="AK261" s="1" t="s">
        <v>1125</v>
      </c>
      <c r="AL261" s="1" t="s">
        <v>197</v>
      </c>
      <c r="AM261" s="106" t="s">
        <v>27</v>
      </c>
      <c r="AN261" s="1" t="s">
        <v>357</v>
      </c>
      <c r="AO261" s="1" t="s">
        <v>208</v>
      </c>
      <c r="AP261" s="1" t="s">
        <v>847</v>
      </c>
      <c r="AQ261" s="1" t="s">
        <v>386</v>
      </c>
      <c r="AR261" s="1" t="s">
        <v>207</v>
      </c>
      <c r="AS261" s="106" t="s">
        <v>35</v>
      </c>
      <c r="AT261" s="1" t="s">
        <v>28</v>
      </c>
      <c r="AU261" s="106" t="s">
        <v>35</v>
      </c>
      <c r="AV261" s="106" t="s">
        <v>206</v>
      </c>
      <c r="AW261" s="106" t="s">
        <v>206</v>
      </c>
      <c r="AX261" s="106" t="s">
        <v>206</v>
      </c>
      <c r="AY261" s="106" t="s">
        <v>35</v>
      </c>
      <c r="AZ261" s="1" t="s">
        <v>206</v>
      </c>
      <c r="BA261" s="106" t="s">
        <v>206</v>
      </c>
      <c r="BB261" s="106" t="s">
        <v>206</v>
      </c>
      <c r="BC261" s="106" t="s">
        <v>206</v>
      </c>
      <c r="BD261" s="106" t="s">
        <v>206</v>
      </c>
      <c r="BE261" s="106" t="s">
        <v>206</v>
      </c>
      <c r="BF261" s="107">
        <f>IF(AZ261="Não","Sim","Não")</f>
      </c>
      <c r="BG261" s="107">
        <f>IF(AZ261="NA","Sim","Não")</f>
      </c>
      <c r="BH261" s="106" t="s">
        <v>206</v>
      </c>
      <c r="BI261" s="1" t="s">
        <v>206</v>
      </c>
      <c r="BJ261" s="106" t="s">
        <v>206</v>
      </c>
      <c r="BK261" s="1" t="s">
        <v>492</v>
      </c>
      <c r="BL261" s="102">
        <v>70</v>
      </c>
      <c r="BM261" s="1" t="s">
        <v>208</v>
      </c>
      <c r="BN261" s="1" t="s">
        <v>208</v>
      </c>
      <c r="BO261" s="1" t="s">
        <v>492</v>
      </c>
      <c r="BP261" s="102">
        <v>70</v>
      </c>
      <c r="BQ261" s="1" t="s">
        <v>208</v>
      </c>
      <c r="BR261" s="1" t="s">
        <v>227</v>
      </c>
      <c r="BS261" s="106" t="s">
        <v>37</v>
      </c>
    </row>
    <row x14ac:dyDescent="0.25" r="262" customHeight="1" ht="17.25">
      <c r="A262" s="102">
        <v>261</v>
      </c>
      <c r="B262" s="1" t="s">
        <v>1792</v>
      </c>
      <c r="C262" s="102">
        <v>1</v>
      </c>
      <c r="D262" s="61" t="s">
        <v>728</v>
      </c>
      <c r="E262" s="1" t="s">
        <v>84</v>
      </c>
      <c r="F262" s="1" t="s">
        <v>170</v>
      </c>
      <c r="G262" s="1" t="s">
        <v>55</v>
      </c>
      <c r="H262" s="1" t="s">
        <v>1793</v>
      </c>
      <c r="I262" s="102">
        <v>1</v>
      </c>
      <c r="J262" s="1" t="s">
        <v>158</v>
      </c>
      <c r="K262" s="1" t="s">
        <v>22</v>
      </c>
      <c r="L262" s="103">
        <v>32580</v>
      </c>
      <c r="M262" s="104">
        <v>27</v>
      </c>
      <c r="N262" s="1" t="s">
        <v>176</v>
      </c>
      <c r="O262" s="1" t="s">
        <v>182</v>
      </c>
      <c r="P262" s="1" t="s">
        <v>365</v>
      </c>
      <c r="Q262" s="1" t="s">
        <v>1794</v>
      </c>
      <c r="R262" s="62">
        <v>0</v>
      </c>
      <c r="S262" s="102">
        <v>0</v>
      </c>
      <c r="T262" s="54" t="s">
        <v>1795</v>
      </c>
      <c r="U262" s="105">
        <v>20.3</v>
      </c>
      <c r="V262" s="54" t="s">
        <v>1796</v>
      </c>
      <c r="W262" s="105">
        <v>34.9</v>
      </c>
      <c r="X262" s="62">
        <v>0</v>
      </c>
      <c r="Y262" s="102">
        <v>0</v>
      </c>
      <c r="Z262" s="62">
        <v>0</v>
      </c>
      <c r="AA262" s="102">
        <v>0</v>
      </c>
      <c r="AB262" s="62">
        <v>0</v>
      </c>
      <c r="AC262" s="106" t="s">
        <v>206</v>
      </c>
      <c r="AD262" s="106" t="s">
        <v>206</v>
      </c>
      <c r="AE262" s="106" t="s">
        <v>206</v>
      </c>
      <c r="AF262" s="106" t="s">
        <v>206</v>
      </c>
      <c r="AG262" s="106" t="s">
        <v>206</v>
      </c>
      <c r="AH262" s="106" t="s">
        <v>206</v>
      </c>
      <c r="AI262" s="1" t="s">
        <v>357</v>
      </c>
      <c r="AJ262" s="1" t="s">
        <v>206</v>
      </c>
      <c r="AK262" s="1" t="s">
        <v>405</v>
      </c>
      <c r="AL262" s="1" t="s">
        <v>197</v>
      </c>
      <c r="AM262" s="106" t="s">
        <v>27</v>
      </c>
      <c r="AN262" s="1" t="s">
        <v>357</v>
      </c>
      <c r="AO262" s="1" t="s">
        <v>208</v>
      </c>
      <c r="AP262" s="1" t="s">
        <v>206</v>
      </c>
      <c r="AQ262" s="1" t="s">
        <v>441</v>
      </c>
      <c r="AR262" s="1" t="s">
        <v>207</v>
      </c>
      <c r="AS262" s="106" t="s">
        <v>35</v>
      </c>
      <c r="AT262" s="1" t="s">
        <v>206</v>
      </c>
      <c r="AU262" s="106" t="s">
        <v>206</v>
      </c>
      <c r="AV262" s="106" t="s">
        <v>206</v>
      </c>
      <c r="AW262" s="106" t="s">
        <v>35</v>
      </c>
      <c r="AX262" s="106" t="s">
        <v>206</v>
      </c>
      <c r="AY262" s="106" t="s">
        <v>206</v>
      </c>
      <c r="AZ262" s="1" t="s">
        <v>206</v>
      </c>
      <c r="BA262" s="106" t="s">
        <v>206</v>
      </c>
      <c r="BB262" s="106" t="s">
        <v>206</v>
      </c>
      <c r="BC262" s="106" t="s">
        <v>206</v>
      </c>
      <c r="BD262" s="106" t="s">
        <v>206</v>
      </c>
      <c r="BE262" s="106" t="s">
        <v>206</v>
      </c>
      <c r="BF262" s="107">
        <f>IF(AZ262="Não","Sim","Não")</f>
      </c>
      <c r="BG262" s="107">
        <f>IF(AZ262="NA","Sim","Não")</f>
      </c>
      <c r="BH262" s="106" t="s">
        <v>206</v>
      </c>
      <c r="BI262" s="1" t="s">
        <v>238</v>
      </c>
      <c r="BJ262" s="106" t="s">
        <v>241</v>
      </c>
      <c r="BK262" s="1" t="s">
        <v>492</v>
      </c>
      <c r="BL262" s="102">
        <v>70</v>
      </c>
      <c r="BM262" s="1" t="s">
        <v>208</v>
      </c>
      <c r="BN262" s="1" t="s">
        <v>208</v>
      </c>
      <c r="BO262" s="1" t="s">
        <v>492</v>
      </c>
      <c r="BP262" s="102">
        <v>70</v>
      </c>
      <c r="BQ262" s="1" t="s">
        <v>208</v>
      </c>
      <c r="BR262" s="1" t="s">
        <v>227</v>
      </c>
      <c r="BS262" s="106" t="s">
        <v>37</v>
      </c>
    </row>
    <row x14ac:dyDescent="0.25" r="263" customHeight="1" ht="17.25">
      <c r="A263" s="102">
        <v>262</v>
      </c>
      <c r="B263" s="1" t="s">
        <v>816</v>
      </c>
      <c r="C263" s="102">
        <v>0</v>
      </c>
      <c r="D263" s="61" t="s">
        <v>817</v>
      </c>
      <c r="E263" s="1" t="s">
        <v>96</v>
      </c>
      <c r="F263" s="1" t="s">
        <v>170</v>
      </c>
      <c r="G263" s="1" t="s">
        <v>67</v>
      </c>
      <c r="H263" s="1" t="s">
        <v>1797</v>
      </c>
      <c r="I263" s="102">
        <v>1</v>
      </c>
      <c r="J263" s="1" t="s">
        <v>158</v>
      </c>
      <c r="K263" s="1" t="s">
        <v>22</v>
      </c>
      <c r="L263" s="103">
        <v>30426</v>
      </c>
      <c r="M263" s="104">
        <v>34</v>
      </c>
      <c r="N263" s="1" t="s">
        <v>175</v>
      </c>
      <c r="O263" s="1" t="s">
        <v>24</v>
      </c>
      <c r="P263" s="1" t="s">
        <v>354</v>
      </c>
      <c r="Q263" s="1" t="s">
        <v>366</v>
      </c>
      <c r="R263" s="54" t="s">
        <v>1798</v>
      </c>
      <c r="S263" s="105">
        <v>21.4</v>
      </c>
      <c r="T263" s="54" t="s">
        <v>1799</v>
      </c>
      <c r="U263" s="105">
        <v>1.5</v>
      </c>
      <c r="V263" s="54" t="s">
        <v>1800</v>
      </c>
      <c r="W263" s="105">
        <v>5.1</v>
      </c>
      <c r="X263" s="62">
        <v>0</v>
      </c>
      <c r="Y263" s="102">
        <v>0</v>
      </c>
      <c r="Z263" s="62">
        <v>0</v>
      </c>
      <c r="AA263" s="102">
        <v>0</v>
      </c>
      <c r="AB263" s="62">
        <v>0</v>
      </c>
      <c r="AC263" s="106" t="s">
        <v>206</v>
      </c>
      <c r="AD263" s="106" t="s">
        <v>206</v>
      </c>
      <c r="AE263" s="106" t="s">
        <v>206</v>
      </c>
      <c r="AF263" s="106" t="s">
        <v>206</v>
      </c>
      <c r="AG263" s="106" t="s">
        <v>206</v>
      </c>
      <c r="AH263" s="106" t="s">
        <v>206</v>
      </c>
      <c r="AI263" s="1" t="s">
        <v>371</v>
      </c>
      <c r="AJ263" s="1" t="s">
        <v>206</v>
      </c>
      <c r="AK263" s="1" t="s">
        <v>1801</v>
      </c>
      <c r="AL263" s="1" t="s">
        <v>198</v>
      </c>
      <c r="AM263" s="106" t="s">
        <v>27</v>
      </c>
      <c r="AN263" s="1" t="s">
        <v>357</v>
      </c>
      <c r="AO263" s="1" t="s">
        <v>208</v>
      </c>
      <c r="AP263" s="1" t="s">
        <v>206</v>
      </c>
      <c r="AQ263" s="1" t="s">
        <v>441</v>
      </c>
      <c r="AR263" s="1" t="s">
        <v>207</v>
      </c>
      <c r="AS263" s="106" t="s">
        <v>35</v>
      </c>
      <c r="AT263" s="1" t="s">
        <v>206</v>
      </c>
      <c r="AU263" s="106" t="s">
        <v>206</v>
      </c>
      <c r="AV263" s="106" t="s">
        <v>206</v>
      </c>
      <c r="AW263" s="106" t="s">
        <v>35</v>
      </c>
      <c r="AX263" s="106" t="s">
        <v>206</v>
      </c>
      <c r="AY263" s="106" t="s">
        <v>206</v>
      </c>
      <c r="AZ263" s="1" t="s">
        <v>206</v>
      </c>
      <c r="BA263" s="106" t="s">
        <v>206</v>
      </c>
      <c r="BB263" s="106" t="s">
        <v>206</v>
      </c>
      <c r="BC263" s="106" t="s">
        <v>206</v>
      </c>
      <c r="BD263" s="106" t="s">
        <v>206</v>
      </c>
      <c r="BE263" s="106" t="s">
        <v>206</v>
      </c>
      <c r="BF263" s="107">
        <f>IF(AZ263="Não","Sim","Não")</f>
      </c>
      <c r="BG263" s="107">
        <f>IF(AZ263="NA","Sim","Não")</f>
      </c>
      <c r="BH263" s="106" t="s">
        <v>206</v>
      </c>
      <c r="BI263" s="1" t="s">
        <v>238</v>
      </c>
      <c r="BJ263" s="106" t="s">
        <v>241</v>
      </c>
      <c r="BK263" s="1" t="s">
        <v>492</v>
      </c>
      <c r="BL263" s="102">
        <v>70</v>
      </c>
      <c r="BM263" s="1" t="s">
        <v>208</v>
      </c>
      <c r="BN263" s="1" t="s">
        <v>208</v>
      </c>
      <c r="BO263" s="1" t="s">
        <v>492</v>
      </c>
      <c r="BP263" s="102">
        <v>70</v>
      </c>
      <c r="BQ263" s="1" t="s">
        <v>208</v>
      </c>
      <c r="BR263" s="1" t="s">
        <v>227</v>
      </c>
      <c r="BS263" s="106" t="s">
        <v>37</v>
      </c>
    </row>
    <row x14ac:dyDescent="0.25" r="264" customHeight="1" ht="17.25">
      <c r="A264" s="102">
        <v>263</v>
      </c>
      <c r="B264" s="1" t="s">
        <v>1802</v>
      </c>
      <c r="C264" s="102">
        <v>1</v>
      </c>
      <c r="D264" s="61" t="s">
        <v>1803</v>
      </c>
      <c r="E264" s="1" t="s">
        <v>118</v>
      </c>
      <c r="F264" s="1" t="s">
        <v>170</v>
      </c>
      <c r="G264" s="1" t="s">
        <v>67</v>
      </c>
      <c r="H264" s="1" t="s">
        <v>1804</v>
      </c>
      <c r="I264" s="102">
        <v>1</v>
      </c>
      <c r="J264" s="1" t="s">
        <v>158</v>
      </c>
      <c r="K264" s="1" t="s">
        <v>22</v>
      </c>
      <c r="L264" s="103">
        <v>29755</v>
      </c>
      <c r="M264" s="104">
        <v>36</v>
      </c>
      <c r="N264" s="1" t="s">
        <v>175</v>
      </c>
      <c r="O264" s="1" t="s">
        <v>24</v>
      </c>
      <c r="P264" s="1" t="s">
        <v>517</v>
      </c>
      <c r="Q264" s="1" t="s">
        <v>1805</v>
      </c>
      <c r="R264" s="54" t="s">
        <v>1806</v>
      </c>
      <c r="S264" s="105">
        <v>103.7</v>
      </c>
      <c r="T264" s="54" t="s">
        <v>1807</v>
      </c>
      <c r="U264" s="105">
        <v>22.2</v>
      </c>
      <c r="V264" s="54" t="s">
        <v>1808</v>
      </c>
      <c r="W264" s="105">
        <v>8.7</v>
      </c>
      <c r="X264" s="62">
        <v>0</v>
      </c>
      <c r="Y264" s="102">
        <v>0</v>
      </c>
      <c r="Z264" s="62">
        <v>0</v>
      </c>
      <c r="AA264" s="102">
        <v>0</v>
      </c>
      <c r="AB264" s="62">
        <v>0</v>
      </c>
      <c r="AC264" s="106" t="s">
        <v>206</v>
      </c>
      <c r="AD264" s="106" t="s">
        <v>206</v>
      </c>
      <c r="AE264" s="106" t="s">
        <v>206</v>
      </c>
      <c r="AF264" s="106" t="s">
        <v>206</v>
      </c>
      <c r="AG264" s="106" t="s">
        <v>206</v>
      </c>
      <c r="AH264" s="106" t="s">
        <v>206</v>
      </c>
      <c r="AI264" s="1" t="s">
        <v>357</v>
      </c>
      <c r="AJ264" s="1" t="s">
        <v>206</v>
      </c>
      <c r="AK264" s="1" t="s">
        <v>946</v>
      </c>
      <c r="AL264" s="1" t="s">
        <v>197</v>
      </c>
      <c r="AM264" s="106" t="s">
        <v>27</v>
      </c>
      <c r="AN264" s="1" t="s">
        <v>357</v>
      </c>
      <c r="AO264" s="1" t="s">
        <v>208</v>
      </c>
      <c r="AP264" s="1" t="s">
        <v>206</v>
      </c>
      <c r="AQ264" s="1" t="s">
        <v>441</v>
      </c>
      <c r="AR264" s="1" t="s">
        <v>207</v>
      </c>
      <c r="AS264" s="106" t="s">
        <v>35</v>
      </c>
      <c r="AT264" s="1" t="s">
        <v>206</v>
      </c>
      <c r="AU264" s="106" t="s">
        <v>206</v>
      </c>
      <c r="AV264" s="106" t="s">
        <v>206</v>
      </c>
      <c r="AW264" s="106" t="s">
        <v>35</v>
      </c>
      <c r="AX264" s="106" t="s">
        <v>206</v>
      </c>
      <c r="AY264" s="106" t="s">
        <v>206</v>
      </c>
      <c r="AZ264" s="1" t="s">
        <v>206</v>
      </c>
      <c r="BA264" s="106" t="s">
        <v>206</v>
      </c>
      <c r="BB264" s="106" t="s">
        <v>206</v>
      </c>
      <c r="BC264" s="106" t="s">
        <v>206</v>
      </c>
      <c r="BD264" s="106" t="s">
        <v>206</v>
      </c>
      <c r="BE264" s="106" t="s">
        <v>206</v>
      </c>
      <c r="BF264" s="107">
        <f>IF(AZ264="Não","Sim","Não")</f>
      </c>
      <c r="BG264" s="107">
        <f>IF(AZ264="NA","Sim","Não")</f>
      </c>
      <c r="BH264" s="106" t="s">
        <v>206</v>
      </c>
      <c r="BI264" s="1" t="s">
        <v>238</v>
      </c>
      <c r="BJ264" s="106" t="s">
        <v>241</v>
      </c>
      <c r="BK264" s="1" t="s">
        <v>492</v>
      </c>
      <c r="BL264" s="102">
        <v>70</v>
      </c>
      <c r="BM264" s="1" t="s">
        <v>208</v>
      </c>
      <c r="BN264" s="1" t="s">
        <v>208</v>
      </c>
      <c r="BO264" s="1" t="s">
        <v>492</v>
      </c>
      <c r="BP264" s="102">
        <v>70</v>
      </c>
      <c r="BQ264" s="1" t="s">
        <v>208</v>
      </c>
      <c r="BR264" s="1" t="s">
        <v>227</v>
      </c>
      <c r="BS264" s="106" t="s">
        <v>37</v>
      </c>
    </row>
    <row x14ac:dyDescent="0.25" r="265" customHeight="1" ht="17.25">
      <c r="A265" s="102">
        <v>264</v>
      </c>
      <c r="B265" s="1" t="s">
        <v>1809</v>
      </c>
      <c r="C265" s="102">
        <v>1</v>
      </c>
      <c r="D265" s="61" t="s">
        <v>1810</v>
      </c>
      <c r="E265" s="1" t="s">
        <v>76</v>
      </c>
      <c r="F265" s="1" t="s">
        <v>22</v>
      </c>
      <c r="G265" s="1" t="s">
        <v>60</v>
      </c>
      <c r="H265" s="1" t="s">
        <v>1811</v>
      </c>
      <c r="I265" s="102">
        <v>1</v>
      </c>
      <c r="J265" s="1" t="s">
        <v>158</v>
      </c>
      <c r="K265" s="1" t="s">
        <v>22</v>
      </c>
      <c r="L265" s="103">
        <v>33719</v>
      </c>
      <c r="M265" s="104">
        <v>25</v>
      </c>
      <c r="N265" s="1" t="s">
        <v>177</v>
      </c>
      <c r="O265" s="1" t="s">
        <v>24</v>
      </c>
      <c r="P265" s="1" t="s">
        <v>354</v>
      </c>
      <c r="Q265" s="1" t="s">
        <v>761</v>
      </c>
      <c r="R265" s="62">
        <v>0</v>
      </c>
      <c r="S265" s="102">
        <v>0</v>
      </c>
      <c r="T265" s="62">
        <v>0</v>
      </c>
      <c r="U265" s="102">
        <v>0</v>
      </c>
      <c r="V265" s="54" t="s">
        <v>1812</v>
      </c>
      <c r="W265" s="105">
        <v>7.8</v>
      </c>
      <c r="X265" s="62">
        <v>0</v>
      </c>
      <c r="Y265" s="102">
        <v>0</v>
      </c>
      <c r="Z265" s="62">
        <v>0</v>
      </c>
      <c r="AA265" s="102">
        <v>0</v>
      </c>
      <c r="AB265" s="62">
        <v>0</v>
      </c>
      <c r="AC265" s="106" t="s">
        <v>206</v>
      </c>
      <c r="AD265" s="106" t="s">
        <v>206</v>
      </c>
      <c r="AE265" s="106" t="s">
        <v>206</v>
      </c>
      <c r="AF265" s="106" t="s">
        <v>206</v>
      </c>
      <c r="AG265" s="106" t="s">
        <v>206</v>
      </c>
      <c r="AH265" s="106" t="s">
        <v>206</v>
      </c>
      <c r="AI265" s="1" t="s">
        <v>357</v>
      </c>
      <c r="AJ265" s="1" t="s">
        <v>206</v>
      </c>
      <c r="AK265" s="1" t="s">
        <v>1214</v>
      </c>
      <c r="AL265" s="1" t="s">
        <v>197</v>
      </c>
      <c r="AM265" s="106" t="s">
        <v>27</v>
      </c>
      <c r="AN265" s="1" t="s">
        <v>357</v>
      </c>
      <c r="AO265" s="1" t="s">
        <v>208</v>
      </c>
      <c r="AP265" s="1" t="s">
        <v>206</v>
      </c>
      <c r="AQ265" s="1" t="s">
        <v>441</v>
      </c>
      <c r="AR265" s="1" t="s">
        <v>207</v>
      </c>
      <c r="AS265" s="106" t="s">
        <v>35</v>
      </c>
      <c r="AT265" s="1" t="s">
        <v>206</v>
      </c>
      <c r="AU265" s="106" t="s">
        <v>206</v>
      </c>
      <c r="AV265" s="106" t="s">
        <v>206</v>
      </c>
      <c r="AW265" s="106" t="s">
        <v>35</v>
      </c>
      <c r="AX265" s="106" t="s">
        <v>206</v>
      </c>
      <c r="AY265" s="106" t="s">
        <v>206</v>
      </c>
      <c r="AZ265" s="1" t="s">
        <v>206</v>
      </c>
      <c r="BA265" s="106" t="s">
        <v>206</v>
      </c>
      <c r="BB265" s="106" t="s">
        <v>206</v>
      </c>
      <c r="BC265" s="106" t="s">
        <v>206</v>
      </c>
      <c r="BD265" s="106" t="s">
        <v>206</v>
      </c>
      <c r="BE265" s="106" t="s">
        <v>206</v>
      </c>
      <c r="BF265" s="107">
        <f>IF(AZ265="Não","Sim","Não")</f>
      </c>
      <c r="BG265" s="107">
        <f>IF(AZ265="NA","Sim","Não")</f>
      </c>
      <c r="BH265" s="106" t="s">
        <v>206</v>
      </c>
      <c r="BI265" s="1" t="s">
        <v>238</v>
      </c>
      <c r="BJ265" s="106" t="s">
        <v>241</v>
      </c>
      <c r="BK265" s="1" t="s">
        <v>492</v>
      </c>
      <c r="BL265" s="102">
        <v>70</v>
      </c>
      <c r="BM265" s="1" t="s">
        <v>208</v>
      </c>
      <c r="BN265" s="1" t="s">
        <v>208</v>
      </c>
      <c r="BO265" s="1" t="s">
        <v>492</v>
      </c>
      <c r="BP265" s="102">
        <v>70</v>
      </c>
      <c r="BQ265" s="1" t="s">
        <v>208</v>
      </c>
      <c r="BR265" s="1" t="s">
        <v>227</v>
      </c>
      <c r="BS265" s="106" t="s">
        <v>37</v>
      </c>
    </row>
    <row x14ac:dyDescent="0.25" r="266" customHeight="1" ht="17.25">
      <c r="A266" s="102">
        <v>265</v>
      </c>
      <c r="B266" s="1" t="s">
        <v>1547</v>
      </c>
      <c r="C266" s="102">
        <v>1</v>
      </c>
      <c r="D266" s="61" t="s">
        <v>1548</v>
      </c>
      <c r="E266" s="1" t="s">
        <v>94</v>
      </c>
      <c r="F266" s="1" t="s">
        <v>170</v>
      </c>
      <c r="G266" s="1" t="s">
        <v>69</v>
      </c>
      <c r="H266" s="1" t="s">
        <v>1813</v>
      </c>
      <c r="I266" s="102">
        <v>1</v>
      </c>
      <c r="J266" s="1" t="s">
        <v>158</v>
      </c>
      <c r="K266" s="1" t="s">
        <v>22</v>
      </c>
      <c r="L266" s="103">
        <v>33287</v>
      </c>
      <c r="M266" s="104">
        <v>26</v>
      </c>
      <c r="N266" s="1" t="s">
        <v>175</v>
      </c>
      <c r="O266" s="1" t="s">
        <v>24</v>
      </c>
      <c r="P266" s="1" t="s">
        <v>365</v>
      </c>
      <c r="Q266" s="1" t="s">
        <v>1550</v>
      </c>
      <c r="R266" s="54" t="s">
        <v>1551</v>
      </c>
      <c r="S266" s="105">
        <v>40.3</v>
      </c>
      <c r="T266" s="54" t="s">
        <v>1552</v>
      </c>
      <c r="U266" s="105">
        <v>5.1</v>
      </c>
      <c r="V266" s="54" t="s">
        <v>1553</v>
      </c>
      <c r="W266" s="105">
        <v>0.6</v>
      </c>
      <c r="X266" s="62">
        <v>0</v>
      </c>
      <c r="Y266" s="102">
        <v>0</v>
      </c>
      <c r="Z266" s="62">
        <v>0</v>
      </c>
      <c r="AA266" s="102">
        <v>0</v>
      </c>
      <c r="AB266" s="62">
        <v>0</v>
      </c>
      <c r="AC266" s="106" t="s">
        <v>206</v>
      </c>
      <c r="AD266" s="106" t="s">
        <v>206</v>
      </c>
      <c r="AE266" s="106" t="s">
        <v>206</v>
      </c>
      <c r="AF266" s="106" t="s">
        <v>206</v>
      </c>
      <c r="AG266" s="106" t="s">
        <v>206</v>
      </c>
      <c r="AH266" s="106" t="s">
        <v>206</v>
      </c>
      <c r="AI266" s="1" t="s">
        <v>371</v>
      </c>
      <c r="AJ266" s="1" t="s">
        <v>206</v>
      </c>
      <c r="AK266" s="1" t="s">
        <v>1554</v>
      </c>
      <c r="AL266" s="1" t="s">
        <v>198</v>
      </c>
      <c r="AM266" s="106" t="s">
        <v>27</v>
      </c>
      <c r="AN266" s="1" t="s">
        <v>357</v>
      </c>
      <c r="AO266" s="1" t="s">
        <v>208</v>
      </c>
      <c r="AP266" s="1" t="s">
        <v>206</v>
      </c>
      <c r="AQ266" s="1" t="s">
        <v>441</v>
      </c>
      <c r="AR266" s="1" t="s">
        <v>207</v>
      </c>
      <c r="AS266" s="106" t="s">
        <v>35</v>
      </c>
      <c r="AT266" s="1" t="s">
        <v>206</v>
      </c>
      <c r="AU266" s="106" t="s">
        <v>206</v>
      </c>
      <c r="AV266" s="106" t="s">
        <v>206</v>
      </c>
      <c r="AW266" s="106" t="s">
        <v>35</v>
      </c>
      <c r="AX266" s="106" t="s">
        <v>206</v>
      </c>
      <c r="AY266" s="106" t="s">
        <v>206</v>
      </c>
      <c r="AZ266" s="1" t="s">
        <v>206</v>
      </c>
      <c r="BA266" s="106" t="s">
        <v>206</v>
      </c>
      <c r="BB266" s="106" t="s">
        <v>206</v>
      </c>
      <c r="BC266" s="106" t="s">
        <v>206</v>
      </c>
      <c r="BD266" s="106" t="s">
        <v>206</v>
      </c>
      <c r="BE266" s="106" t="s">
        <v>206</v>
      </c>
      <c r="BF266" s="107">
        <f>IF(AZ266="Não","Sim","Não")</f>
      </c>
      <c r="BG266" s="107">
        <f>IF(AZ266="NA","Sim","Não")</f>
      </c>
      <c r="BH266" s="106" t="s">
        <v>206</v>
      </c>
      <c r="BI266" s="1" t="s">
        <v>238</v>
      </c>
      <c r="BJ266" s="106" t="s">
        <v>241</v>
      </c>
      <c r="BK266" s="1" t="s">
        <v>492</v>
      </c>
      <c r="BL266" s="102">
        <v>70</v>
      </c>
      <c r="BM266" s="1" t="s">
        <v>208</v>
      </c>
      <c r="BN266" s="1" t="s">
        <v>208</v>
      </c>
      <c r="BO266" s="1" t="s">
        <v>492</v>
      </c>
      <c r="BP266" s="102">
        <v>70</v>
      </c>
      <c r="BQ266" s="1" t="s">
        <v>208</v>
      </c>
      <c r="BR266" s="1" t="s">
        <v>227</v>
      </c>
      <c r="BS266" s="106" t="s">
        <v>37</v>
      </c>
    </row>
    <row x14ac:dyDescent="0.25" r="267" customHeight="1" ht="17.25">
      <c r="A267" s="102">
        <v>266</v>
      </c>
      <c r="B267" s="1" t="s">
        <v>1814</v>
      </c>
      <c r="C267" s="102">
        <v>1</v>
      </c>
      <c r="D267" s="61" t="s">
        <v>1429</v>
      </c>
      <c r="E267" s="1" t="s">
        <v>153</v>
      </c>
      <c r="F267" s="1" t="s">
        <v>170</v>
      </c>
      <c r="G267" s="1" t="s">
        <v>41</v>
      </c>
      <c r="H267" s="1" t="s">
        <v>1815</v>
      </c>
      <c r="I267" s="102">
        <v>1</v>
      </c>
      <c r="J267" s="1" t="s">
        <v>160</v>
      </c>
      <c r="K267" s="1" t="s">
        <v>22</v>
      </c>
      <c r="L267" s="103">
        <v>33514</v>
      </c>
      <c r="M267" s="104">
        <v>25</v>
      </c>
      <c r="N267" s="1" t="s">
        <v>175</v>
      </c>
      <c r="O267" s="1" t="s">
        <v>24</v>
      </c>
      <c r="P267" s="1" t="s">
        <v>365</v>
      </c>
      <c r="Q267" s="1" t="s">
        <v>1816</v>
      </c>
      <c r="R267" s="54" t="s">
        <v>1817</v>
      </c>
      <c r="S267" s="105">
        <v>47.4</v>
      </c>
      <c r="T267" s="62">
        <v>0</v>
      </c>
      <c r="U267" s="102">
        <v>0</v>
      </c>
      <c r="V267" s="54" t="s">
        <v>1818</v>
      </c>
      <c r="W267" s="105">
        <v>5.6</v>
      </c>
      <c r="X267" s="62">
        <v>0</v>
      </c>
      <c r="Y267" s="102">
        <v>0</v>
      </c>
      <c r="Z267" s="62">
        <v>0</v>
      </c>
      <c r="AA267" s="102">
        <v>0</v>
      </c>
      <c r="AB267" s="62">
        <v>0</v>
      </c>
      <c r="AC267" s="106" t="s">
        <v>206</v>
      </c>
      <c r="AD267" s="106" t="s">
        <v>206</v>
      </c>
      <c r="AE267" s="106" t="s">
        <v>206</v>
      </c>
      <c r="AF267" s="106" t="s">
        <v>206</v>
      </c>
      <c r="AG267" s="106" t="s">
        <v>206</v>
      </c>
      <c r="AH267" s="106" t="s">
        <v>206</v>
      </c>
      <c r="AI267" s="1" t="s">
        <v>357</v>
      </c>
      <c r="AJ267" s="1" t="s">
        <v>206</v>
      </c>
      <c r="AK267" s="1" t="s">
        <v>1819</v>
      </c>
      <c r="AL267" s="1" t="s">
        <v>197</v>
      </c>
      <c r="AM267" s="106" t="s">
        <v>27</v>
      </c>
      <c r="AN267" s="1" t="s">
        <v>357</v>
      </c>
      <c r="AO267" s="1" t="s">
        <v>208</v>
      </c>
      <c r="AP267" s="1" t="s">
        <v>206</v>
      </c>
      <c r="AQ267" s="1" t="s">
        <v>441</v>
      </c>
      <c r="AR267" s="1" t="s">
        <v>207</v>
      </c>
      <c r="AS267" s="106" t="s">
        <v>35</v>
      </c>
      <c r="AT267" s="1" t="s">
        <v>206</v>
      </c>
      <c r="AU267" s="106" t="s">
        <v>206</v>
      </c>
      <c r="AV267" s="106" t="s">
        <v>206</v>
      </c>
      <c r="AW267" s="106" t="s">
        <v>35</v>
      </c>
      <c r="AX267" s="106" t="s">
        <v>206</v>
      </c>
      <c r="AY267" s="106" t="s">
        <v>206</v>
      </c>
      <c r="AZ267" s="1" t="s">
        <v>206</v>
      </c>
      <c r="BA267" s="106" t="s">
        <v>206</v>
      </c>
      <c r="BB267" s="106" t="s">
        <v>206</v>
      </c>
      <c r="BC267" s="106" t="s">
        <v>206</v>
      </c>
      <c r="BD267" s="106" t="s">
        <v>206</v>
      </c>
      <c r="BE267" s="106" t="s">
        <v>206</v>
      </c>
      <c r="BF267" s="107">
        <f>IF(AZ267="Não","Sim","Não")</f>
      </c>
      <c r="BG267" s="107">
        <f>IF(AZ267="NA","Sim","Não")</f>
      </c>
      <c r="BH267" s="106" t="s">
        <v>206</v>
      </c>
      <c r="BI267" s="1" t="s">
        <v>238</v>
      </c>
      <c r="BJ267" s="106" t="s">
        <v>241</v>
      </c>
      <c r="BK267" s="1" t="s">
        <v>492</v>
      </c>
      <c r="BL267" s="102">
        <v>70</v>
      </c>
      <c r="BM267" s="1" t="s">
        <v>208</v>
      </c>
      <c r="BN267" s="1" t="s">
        <v>208</v>
      </c>
      <c r="BO267" s="1" t="s">
        <v>492</v>
      </c>
      <c r="BP267" s="102">
        <v>70</v>
      </c>
      <c r="BQ267" s="1" t="s">
        <v>208</v>
      </c>
      <c r="BR267" s="1" t="s">
        <v>227</v>
      </c>
      <c r="BS267" s="106" t="s">
        <v>37</v>
      </c>
    </row>
    <row x14ac:dyDescent="0.25" r="268" customHeight="1" ht="17.25">
      <c r="A268" s="102">
        <v>267</v>
      </c>
      <c r="B268" s="1" t="s">
        <v>1568</v>
      </c>
      <c r="C268" s="102">
        <v>1</v>
      </c>
      <c r="D268" s="61">
        <v>42892</v>
      </c>
      <c r="E268" s="1" t="s">
        <v>98</v>
      </c>
      <c r="F268" s="1" t="s">
        <v>170</v>
      </c>
      <c r="G268" s="1" t="s">
        <v>63</v>
      </c>
      <c r="H268" s="1" t="s">
        <v>1820</v>
      </c>
      <c r="I268" s="102">
        <v>1</v>
      </c>
      <c r="J268" s="1" t="s">
        <v>158</v>
      </c>
      <c r="K268" s="1" t="s">
        <v>22</v>
      </c>
      <c r="L268" s="103">
        <v>34774</v>
      </c>
      <c r="M268" s="104">
        <v>22</v>
      </c>
      <c r="N268" s="1" t="s">
        <v>176</v>
      </c>
      <c r="O268" s="1" t="s">
        <v>182</v>
      </c>
      <c r="P268" s="1" t="s">
        <v>517</v>
      </c>
      <c r="Q268" s="1" t="s">
        <v>1821</v>
      </c>
      <c r="R268" s="54" t="s">
        <v>1570</v>
      </c>
      <c r="S268" s="105">
        <v>996.7</v>
      </c>
      <c r="T268" s="54" t="s">
        <v>1571</v>
      </c>
      <c r="U268" s="105">
        <v>143.5</v>
      </c>
      <c r="V268" s="54" t="s">
        <v>1572</v>
      </c>
      <c r="W268" s="105">
        <v>56.1</v>
      </c>
      <c r="X268" s="62">
        <v>0</v>
      </c>
      <c r="Y268" s="102">
        <v>0</v>
      </c>
      <c r="Z268" s="62">
        <v>0</v>
      </c>
      <c r="AA268" s="102">
        <v>0</v>
      </c>
      <c r="AB268" s="62">
        <v>0</v>
      </c>
      <c r="AC268" s="106" t="s">
        <v>206</v>
      </c>
      <c r="AD268" s="106" t="s">
        <v>206</v>
      </c>
      <c r="AE268" s="106" t="s">
        <v>206</v>
      </c>
      <c r="AF268" s="106" t="s">
        <v>206</v>
      </c>
      <c r="AG268" s="106" t="s">
        <v>206</v>
      </c>
      <c r="AH268" s="106" t="s">
        <v>206</v>
      </c>
      <c r="AI268" s="1" t="s">
        <v>371</v>
      </c>
      <c r="AJ268" s="1" t="s">
        <v>206</v>
      </c>
      <c r="AK268" s="1" t="s">
        <v>946</v>
      </c>
      <c r="AL268" s="1" t="s">
        <v>197</v>
      </c>
      <c r="AM268" s="106" t="s">
        <v>27</v>
      </c>
      <c r="AN268" s="1" t="s">
        <v>371</v>
      </c>
      <c r="AO268" s="1" t="s">
        <v>208</v>
      </c>
      <c r="AP268" s="1" t="s">
        <v>653</v>
      </c>
      <c r="AQ268" s="1" t="s">
        <v>492</v>
      </c>
      <c r="AR268" s="1" t="s">
        <v>206</v>
      </c>
      <c r="AS268" s="106" t="s">
        <v>206</v>
      </c>
      <c r="AT268" s="1" t="s">
        <v>206</v>
      </c>
      <c r="AU268" s="106" t="s">
        <v>206</v>
      </c>
      <c r="AV268" s="106" t="s">
        <v>206</v>
      </c>
      <c r="AW268" s="106" t="s">
        <v>35</v>
      </c>
      <c r="AX268" s="106" t="s">
        <v>206</v>
      </c>
      <c r="AY268" s="106" t="s">
        <v>206</v>
      </c>
      <c r="AZ268" s="1" t="s">
        <v>206</v>
      </c>
      <c r="BA268" s="106" t="s">
        <v>206</v>
      </c>
      <c r="BB268" s="106" t="s">
        <v>206</v>
      </c>
      <c r="BC268" s="106" t="s">
        <v>206</v>
      </c>
      <c r="BD268" s="106" t="s">
        <v>206</v>
      </c>
      <c r="BE268" s="106" t="s">
        <v>206</v>
      </c>
      <c r="BF268" s="107">
        <f>IF(AZ268="Não","Sim","Não")</f>
      </c>
      <c r="BG268" s="107">
        <f>IF(AZ268="NA","Sim","Não")</f>
      </c>
      <c r="BH268" s="106" t="s">
        <v>206</v>
      </c>
      <c r="BI268" s="1" t="s">
        <v>206</v>
      </c>
      <c r="BJ268" s="106" t="s">
        <v>206</v>
      </c>
      <c r="BK268" s="1" t="s">
        <v>492</v>
      </c>
      <c r="BL268" s="102">
        <v>70</v>
      </c>
      <c r="BM268" s="1" t="s">
        <v>1266</v>
      </c>
      <c r="BN268" s="1" t="s">
        <v>208</v>
      </c>
      <c r="BO268" s="1" t="s">
        <v>1822</v>
      </c>
      <c r="BP268" s="102">
        <v>112</v>
      </c>
      <c r="BQ268" s="1" t="s">
        <v>208</v>
      </c>
      <c r="BR268" s="1" t="s">
        <v>227</v>
      </c>
      <c r="BS268" s="106" t="s">
        <v>232</v>
      </c>
    </row>
    <row x14ac:dyDescent="0.25" r="269" customHeight="1" ht="17.25">
      <c r="A269" s="102">
        <v>268</v>
      </c>
      <c r="B269" s="1" t="s">
        <v>1823</v>
      </c>
      <c r="C269" s="102">
        <v>1</v>
      </c>
      <c r="D269" s="61">
        <v>42947</v>
      </c>
      <c r="E269" s="1" t="s">
        <v>125</v>
      </c>
      <c r="F269" s="1" t="s">
        <v>22</v>
      </c>
      <c r="G269" s="1" t="s">
        <v>63</v>
      </c>
      <c r="H269" s="1" t="s">
        <v>1824</v>
      </c>
      <c r="I269" s="102">
        <v>1</v>
      </c>
      <c r="J269" s="1" t="s">
        <v>158</v>
      </c>
      <c r="K269" s="1" t="s">
        <v>22</v>
      </c>
      <c r="L269" s="103">
        <v>33749</v>
      </c>
      <c r="M269" s="104">
        <v>25</v>
      </c>
      <c r="N269" s="1" t="s">
        <v>175</v>
      </c>
      <c r="O269" s="1" t="s">
        <v>24</v>
      </c>
      <c r="P269" s="1" t="s">
        <v>517</v>
      </c>
      <c r="Q269" s="1" t="s">
        <v>355</v>
      </c>
      <c r="R269" s="54" t="s">
        <v>1825</v>
      </c>
      <c r="S269" s="105">
        <v>14.7</v>
      </c>
      <c r="T269" s="54" t="s">
        <v>1826</v>
      </c>
      <c r="U269" s="105">
        <v>6.2</v>
      </c>
      <c r="V269" s="54" t="s">
        <v>1827</v>
      </c>
      <c r="W269" s="105">
        <v>14.5</v>
      </c>
      <c r="X269" s="62">
        <v>0</v>
      </c>
      <c r="Y269" s="102">
        <v>0</v>
      </c>
      <c r="Z269" s="62">
        <v>0</v>
      </c>
      <c r="AA269" s="102">
        <v>0</v>
      </c>
      <c r="AB269" s="62">
        <v>0</v>
      </c>
      <c r="AC269" s="106" t="s">
        <v>206</v>
      </c>
      <c r="AD269" s="106" t="s">
        <v>206</v>
      </c>
      <c r="AE269" s="106" t="s">
        <v>206</v>
      </c>
      <c r="AF269" s="106" t="s">
        <v>206</v>
      </c>
      <c r="AG269" s="106" t="s">
        <v>206</v>
      </c>
      <c r="AH269" s="106" t="s">
        <v>206</v>
      </c>
      <c r="AI269" s="1" t="s">
        <v>357</v>
      </c>
      <c r="AJ269" s="1" t="s">
        <v>206</v>
      </c>
      <c r="AK269" s="1" t="s">
        <v>1056</v>
      </c>
      <c r="AL269" s="1" t="s">
        <v>197</v>
      </c>
      <c r="AM269" s="106" t="s">
        <v>27</v>
      </c>
      <c r="AN269" s="1" t="s">
        <v>357</v>
      </c>
      <c r="AO269" s="1" t="s">
        <v>208</v>
      </c>
      <c r="AP269" s="1" t="s">
        <v>206</v>
      </c>
      <c r="AQ269" s="1" t="s">
        <v>441</v>
      </c>
      <c r="AR269" s="1" t="s">
        <v>207</v>
      </c>
      <c r="AS269" s="106" t="s">
        <v>35</v>
      </c>
      <c r="AT269" s="1" t="s">
        <v>206</v>
      </c>
      <c r="AU269" s="106" t="s">
        <v>206</v>
      </c>
      <c r="AV269" s="106" t="s">
        <v>206</v>
      </c>
      <c r="AW269" s="106" t="s">
        <v>35</v>
      </c>
      <c r="AX269" s="106" t="s">
        <v>206</v>
      </c>
      <c r="AY269" s="106" t="s">
        <v>206</v>
      </c>
      <c r="AZ269" s="1" t="s">
        <v>206</v>
      </c>
      <c r="BA269" s="106" t="s">
        <v>206</v>
      </c>
      <c r="BB269" s="106" t="s">
        <v>206</v>
      </c>
      <c r="BC269" s="106" t="s">
        <v>206</v>
      </c>
      <c r="BD269" s="106" t="s">
        <v>206</v>
      </c>
      <c r="BE269" s="106" t="s">
        <v>206</v>
      </c>
      <c r="BF269" s="107">
        <f>IF(AZ269="Não","Sim","Não")</f>
      </c>
      <c r="BG269" s="107">
        <f>IF(AZ269="NA","Sim","Não")</f>
      </c>
      <c r="BH269" s="106" t="s">
        <v>206</v>
      </c>
      <c r="BI269" s="1" t="s">
        <v>238</v>
      </c>
      <c r="BJ269" s="106" t="s">
        <v>241</v>
      </c>
      <c r="BK269" s="1" t="s">
        <v>492</v>
      </c>
      <c r="BL269" s="102">
        <v>70</v>
      </c>
      <c r="BM269" s="1" t="s">
        <v>208</v>
      </c>
      <c r="BN269" s="1" t="s">
        <v>208</v>
      </c>
      <c r="BO269" s="1" t="s">
        <v>492</v>
      </c>
      <c r="BP269" s="102">
        <v>70</v>
      </c>
      <c r="BQ269" s="1" t="s">
        <v>208</v>
      </c>
      <c r="BR269" s="1" t="s">
        <v>227</v>
      </c>
      <c r="BS269" s="106" t="s">
        <v>37</v>
      </c>
    </row>
    <row x14ac:dyDescent="0.25" r="270" customHeight="1" ht="17.25">
      <c r="A270" s="102">
        <v>269</v>
      </c>
      <c r="B270" s="1" t="s">
        <v>1828</v>
      </c>
      <c r="C270" s="102">
        <v>1</v>
      </c>
      <c r="D270" s="61">
        <v>42878</v>
      </c>
      <c r="E270" s="1" t="s">
        <v>95</v>
      </c>
      <c r="F270" s="1" t="s">
        <v>170</v>
      </c>
      <c r="G270" s="1" t="s">
        <v>53</v>
      </c>
      <c r="H270" s="1" t="s">
        <v>1829</v>
      </c>
      <c r="I270" s="102">
        <v>1</v>
      </c>
      <c r="J270" s="1" t="s">
        <v>158</v>
      </c>
      <c r="K270" s="1" t="s">
        <v>22</v>
      </c>
      <c r="L270" s="103">
        <v>28902</v>
      </c>
      <c r="M270" s="104">
        <v>38</v>
      </c>
      <c r="N270" s="1" t="s">
        <v>177</v>
      </c>
      <c r="O270" s="1" t="s">
        <v>24</v>
      </c>
      <c r="P270" s="1" t="s">
        <v>354</v>
      </c>
      <c r="Q270" s="1" t="s">
        <v>1830</v>
      </c>
      <c r="R270" s="54" t="s">
        <v>1831</v>
      </c>
      <c r="S270" s="105">
        <v>17.7</v>
      </c>
      <c r="T270" s="54" t="s">
        <v>1832</v>
      </c>
      <c r="U270" s="105">
        <v>10.4</v>
      </c>
      <c r="V270" s="54" t="s">
        <v>1833</v>
      </c>
      <c r="W270" s="105">
        <v>49.7</v>
      </c>
      <c r="X270" s="62">
        <v>0</v>
      </c>
      <c r="Y270" s="102">
        <v>0</v>
      </c>
      <c r="Z270" s="62">
        <v>0</v>
      </c>
      <c r="AA270" s="102">
        <v>0</v>
      </c>
      <c r="AB270" s="62">
        <v>0</v>
      </c>
      <c r="AC270" s="106" t="s">
        <v>206</v>
      </c>
      <c r="AD270" s="106" t="s">
        <v>206</v>
      </c>
      <c r="AE270" s="106" t="s">
        <v>206</v>
      </c>
      <c r="AF270" s="106" t="s">
        <v>206</v>
      </c>
      <c r="AG270" s="106" t="s">
        <v>206</v>
      </c>
      <c r="AH270" s="106" t="s">
        <v>206</v>
      </c>
      <c r="AI270" s="1" t="s">
        <v>357</v>
      </c>
      <c r="AJ270" s="1" t="s">
        <v>206</v>
      </c>
      <c r="AK270" s="1" t="s">
        <v>1834</v>
      </c>
      <c r="AL270" s="1" t="s">
        <v>197</v>
      </c>
      <c r="AM270" s="106" t="s">
        <v>27</v>
      </c>
      <c r="AN270" s="1" t="s">
        <v>357</v>
      </c>
      <c r="AO270" s="1" t="s">
        <v>208</v>
      </c>
      <c r="AP270" s="1" t="s">
        <v>206</v>
      </c>
      <c r="AQ270" s="1" t="s">
        <v>441</v>
      </c>
      <c r="AR270" s="1" t="s">
        <v>207</v>
      </c>
      <c r="AS270" s="106" t="s">
        <v>35</v>
      </c>
      <c r="AT270" s="1" t="s">
        <v>206</v>
      </c>
      <c r="AU270" s="106" t="s">
        <v>206</v>
      </c>
      <c r="AV270" s="106" t="s">
        <v>206</v>
      </c>
      <c r="AW270" s="106" t="s">
        <v>35</v>
      </c>
      <c r="AX270" s="106" t="s">
        <v>206</v>
      </c>
      <c r="AY270" s="106" t="s">
        <v>206</v>
      </c>
      <c r="AZ270" s="1" t="s">
        <v>206</v>
      </c>
      <c r="BA270" s="106" t="s">
        <v>206</v>
      </c>
      <c r="BB270" s="106" t="s">
        <v>206</v>
      </c>
      <c r="BC270" s="106" t="s">
        <v>206</v>
      </c>
      <c r="BD270" s="106" t="s">
        <v>206</v>
      </c>
      <c r="BE270" s="106" t="s">
        <v>206</v>
      </c>
      <c r="BF270" s="107">
        <f>IF(AZ270="Não","Sim","Não")</f>
      </c>
      <c r="BG270" s="107">
        <f>IF(AZ270="NA","Sim","Não")</f>
      </c>
      <c r="BH270" s="106" t="s">
        <v>206</v>
      </c>
      <c r="BI270" s="1" t="s">
        <v>238</v>
      </c>
      <c r="BJ270" s="106" t="s">
        <v>241</v>
      </c>
      <c r="BK270" s="1" t="s">
        <v>492</v>
      </c>
      <c r="BL270" s="102">
        <v>70</v>
      </c>
      <c r="BM270" s="1" t="s">
        <v>208</v>
      </c>
      <c r="BN270" s="1" t="s">
        <v>208</v>
      </c>
      <c r="BO270" s="1" t="s">
        <v>492</v>
      </c>
      <c r="BP270" s="102">
        <v>70</v>
      </c>
      <c r="BQ270" s="1" t="s">
        <v>208</v>
      </c>
      <c r="BR270" s="1" t="s">
        <v>227</v>
      </c>
      <c r="BS270" s="106" t="s">
        <v>37</v>
      </c>
    </row>
    <row x14ac:dyDescent="0.25" r="271" customHeight="1" ht="17.25">
      <c r="A271" s="102">
        <v>270</v>
      </c>
      <c r="B271" s="1" t="s">
        <v>1835</v>
      </c>
      <c r="C271" s="102">
        <v>1</v>
      </c>
      <c r="D271" s="61" t="s">
        <v>948</v>
      </c>
      <c r="E271" s="1" t="s">
        <v>92</v>
      </c>
      <c r="F271" s="1" t="s">
        <v>22</v>
      </c>
      <c r="G271" s="1" t="s">
        <v>57</v>
      </c>
      <c r="H271" s="1" t="s">
        <v>1836</v>
      </c>
      <c r="I271" s="102">
        <v>1</v>
      </c>
      <c r="J271" s="1" t="s">
        <v>158</v>
      </c>
      <c r="K271" s="1" t="s">
        <v>22</v>
      </c>
      <c r="L271" s="103">
        <v>34627</v>
      </c>
      <c r="M271" s="104">
        <v>22</v>
      </c>
      <c r="N271" s="1" t="s">
        <v>176</v>
      </c>
      <c r="O271" s="1" t="s">
        <v>182</v>
      </c>
      <c r="P271" s="1" t="s">
        <v>365</v>
      </c>
      <c r="Q271" s="1" t="s">
        <v>1837</v>
      </c>
      <c r="R271" s="54" t="s">
        <v>1838</v>
      </c>
      <c r="S271" s="105">
        <v>135.7</v>
      </c>
      <c r="T271" s="54" t="s">
        <v>1839</v>
      </c>
      <c r="U271" s="105">
        <v>112.8</v>
      </c>
      <c r="V271" s="54" t="s">
        <v>1840</v>
      </c>
      <c r="W271" s="105">
        <v>17.5</v>
      </c>
      <c r="X271" s="54" t="s">
        <v>1841</v>
      </c>
      <c r="Y271" s="105">
        <v>0.4</v>
      </c>
      <c r="Z271" s="62">
        <v>0</v>
      </c>
      <c r="AA271" s="102">
        <v>0</v>
      </c>
      <c r="AB271" s="62">
        <v>0</v>
      </c>
      <c r="AC271" s="106" t="s">
        <v>206</v>
      </c>
      <c r="AD271" s="106" t="s">
        <v>206</v>
      </c>
      <c r="AE271" s="106" t="s">
        <v>206</v>
      </c>
      <c r="AF271" s="106" t="s">
        <v>206</v>
      </c>
      <c r="AG271" s="106" t="s">
        <v>206</v>
      </c>
      <c r="AH271" s="106" t="s">
        <v>206</v>
      </c>
      <c r="AI271" s="1" t="s">
        <v>371</v>
      </c>
      <c r="AJ271" s="1" t="s">
        <v>206</v>
      </c>
      <c r="AK271" s="1" t="s">
        <v>1842</v>
      </c>
      <c r="AL271" s="1" t="s">
        <v>198</v>
      </c>
      <c r="AM271" s="106" t="s">
        <v>27</v>
      </c>
      <c r="AN271" s="1" t="s">
        <v>357</v>
      </c>
      <c r="AO271" s="1" t="s">
        <v>208</v>
      </c>
      <c r="AP271" s="1" t="s">
        <v>206</v>
      </c>
      <c r="AQ271" s="1" t="s">
        <v>441</v>
      </c>
      <c r="AR271" s="1" t="s">
        <v>206</v>
      </c>
      <c r="AS271" s="106" t="s">
        <v>206</v>
      </c>
      <c r="AT271" s="1" t="s">
        <v>206</v>
      </c>
      <c r="AU271" s="106" t="s">
        <v>206</v>
      </c>
      <c r="AV271" s="106" t="s">
        <v>206</v>
      </c>
      <c r="AW271" s="106" t="s">
        <v>35</v>
      </c>
      <c r="AX271" s="106" t="s">
        <v>206</v>
      </c>
      <c r="AY271" s="106" t="s">
        <v>206</v>
      </c>
      <c r="AZ271" s="1" t="s">
        <v>34</v>
      </c>
      <c r="BA271" s="106" t="s">
        <v>206</v>
      </c>
      <c r="BB271" s="106" t="s">
        <v>206</v>
      </c>
      <c r="BC271" s="106" t="s">
        <v>206</v>
      </c>
      <c r="BD271" s="106" t="s">
        <v>206</v>
      </c>
      <c r="BE271" s="106" t="s">
        <v>35</v>
      </c>
      <c r="BF271" s="107">
        <f>IF(AZ271="Não","Sim","Não")</f>
      </c>
      <c r="BG271" s="107">
        <f>IF(AZ271="NA","Sim","Não")</f>
      </c>
      <c r="BH271" s="106" t="s">
        <v>35</v>
      </c>
      <c r="BI271" s="1" t="s">
        <v>206</v>
      </c>
      <c r="BJ271" s="106" t="s">
        <v>206</v>
      </c>
      <c r="BK271" s="1" t="s">
        <v>492</v>
      </c>
      <c r="BL271" s="102">
        <v>70</v>
      </c>
      <c r="BM271" s="1" t="s">
        <v>208</v>
      </c>
      <c r="BN271" s="1" t="s">
        <v>208</v>
      </c>
      <c r="BO271" s="1" t="s">
        <v>492</v>
      </c>
      <c r="BP271" s="102">
        <v>70</v>
      </c>
      <c r="BQ271" s="1" t="s">
        <v>208</v>
      </c>
      <c r="BR271" s="1" t="s">
        <v>227</v>
      </c>
      <c r="BS271" s="106" t="s">
        <v>37</v>
      </c>
    </row>
    <row x14ac:dyDescent="0.25" r="272" customHeight="1" ht="17.25">
      <c r="A272" s="102">
        <v>271</v>
      </c>
      <c r="B272" s="1" t="s">
        <v>1843</v>
      </c>
      <c r="C272" s="102">
        <v>1</v>
      </c>
      <c r="D272" s="61" t="s">
        <v>1844</v>
      </c>
      <c r="E272" s="1" t="s">
        <v>85</v>
      </c>
      <c r="F272" s="1" t="s">
        <v>22</v>
      </c>
      <c r="G272" s="1" t="s">
        <v>45</v>
      </c>
      <c r="H272" s="1" t="s">
        <v>1845</v>
      </c>
      <c r="I272" s="102">
        <v>1</v>
      </c>
      <c r="J272" s="1" t="s">
        <v>158</v>
      </c>
      <c r="K272" s="1" t="s">
        <v>22</v>
      </c>
      <c r="L272" s="103">
        <v>34312</v>
      </c>
      <c r="M272" s="104">
        <v>23</v>
      </c>
      <c r="N272" s="1" t="s">
        <v>175</v>
      </c>
      <c r="O272" s="1" t="s">
        <v>24</v>
      </c>
      <c r="P272" s="1" t="s">
        <v>354</v>
      </c>
      <c r="Q272" s="1" t="s">
        <v>533</v>
      </c>
      <c r="R272" s="54" t="s">
        <v>1846</v>
      </c>
      <c r="S272" s="105">
        <v>66.7</v>
      </c>
      <c r="T272" s="54" t="s">
        <v>1847</v>
      </c>
      <c r="U272" s="105">
        <v>5.5</v>
      </c>
      <c r="V272" s="54" t="s">
        <v>1848</v>
      </c>
      <c r="W272" s="105">
        <v>12.4</v>
      </c>
      <c r="X272" s="62">
        <v>0</v>
      </c>
      <c r="Y272" s="102">
        <v>0</v>
      </c>
      <c r="Z272" s="62">
        <v>0</v>
      </c>
      <c r="AA272" s="102">
        <v>0</v>
      </c>
      <c r="AB272" s="62">
        <v>0</v>
      </c>
      <c r="AC272" s="106" t="s">
        <v>206</v>
      </c>
      <c r="AD272" s="106" t="s">
        <v>206</v>
      </c>
      <c r="AE272" s="106" t="s">
        <v>206</v>
      </c>
      <c r="AF272" s="106" t="s">
        <v>206</v>
      </c>
      <c r="AG272" s="106" t="s">
        <v>206</v>
      </c>
      <c r="AH272" s="106" t="s">
        <v>206</v>
      </c>
      <c r="AI272" s="1" t="s">
        <v>357</v>
      </c>
      <c r="AJ272" s="1" t="s">
        <v>206</v>
      </c>
      <c r="AK272" s="1" t="s">
        <v>1579</v>
      </c>
      <c r="AL272" s="1" t="s">
        <v>197</v>
      </c>
      <c r="AM272" s="106" t="s">
        <v>27</v>
      </c>
      <c r="AN272" s="1" t="s">
        <v>357</v>
      </c>
      <c r="AO272" s="1" t="s">
        <v>208</v>
      </c>
      <c r="AP272" s="1" t="s">
        <v>603</v>
      </c>
      <c r="AQ272" s="1" t="s">
        <v>1849</v>
      </c>
      <c r="AR272" s="1" t="s">
        <v>207</v>
      </c>
      <c r="AS272" s="106" t="s">
        <v>35</v>
      </c>
      <c r="AT272" s="1" t="s">
        <v>28</v>
      </c>
      <c r="AU272" s="106" t="s">
        <v>35</v>
      </c>
      <c r="AV272" s="106" t="s">
        <v>206</v>
      </c>
      <c r="AW272" s="106" t="s">
        <v>206</v>
      </c>
      <c r="AX272" s="106" t="s">
        <v>206</v>
      </c>
      <c r="AY272" s="106" t="s">
        <v>35</v>
      </c>
      <c r="AZ272" s="1" t="s">
        <v>206</v>
      </c>
      <c r="BA272" s="106" t="s">
        <v>206</v>
      </c>
      <c r="BB272" s="106" t="s">
        <v>206</v>
      </c>
      <c r="BC272" s="106" t="s">
        <v>206</v>
      </c>
      <c r="BD272" s="106" t="s">
        <v>206</v>
      </c>
      <c r="BE272" s="106" t="s">
        <v>206</v>
      </c>
      <c r="BF272" s="107">
        <f>IF(AZ272="Não","Sim","Não")</f>
      </c>
      <c r="BG272" s="107">
        <f>IF(AZ272="NA","Sim","Não")</f>
      </c>
      <c r="BH272" s="106" t="s">
        <v>206</v>
      </c>
      <c r="BI272" s="1" t="s">
        <v>238</v>
      </c>
      <c r="BJ272" s="106" t="s">
        <v>241</v>
      </c>
      <c r="BK272" s="1" t="s">
        <v>1849</v>
      </c>
      <c r="BL272" s="102">
        <v>63</v>
      </c>
      <c r="BM272" s="1" t="s">
        <v>208</v>
      </c>
      <c r="BN272" s="1" t="s">
        <v>208</v>
      </c>
      <c r="BO272" s="1" t="s">
        <v>1849</v>
      </c>
      <c r="BP272" s="102">
        <v>63</v>
      </c>
      <c r="BQ272" s="1" t="s">
        <v>208</v>
      </c>
      <c r="BR272" s="1" t="s">
        <v>228</v>
      </c>
      <c r="BS272" s="106" t="s">
        <v>228</v>
      </c>
    </row>
    <row x14ac:dyDescent="0.25" r="273" customHeight="1" ht="17.25">
      <c r="A273" s="102">
        <v>272</v>
      </c>
      <c r="B273" s="1" t="s">
        <v>1850</v>
      </c>
      <c r="C273" s="102">
        <v>1</v>
      </c>
      <c r="D273" s="61" t="s">
        <v>709</v>
      </c>
      <c r="E273" s="1" t="s">
        <v>85</v>
      </c>
      <c r="F273" s="1" t="s">
        <v>22</v>
      </c>
      <c r="G273" s="1" t="s">
        <v>45</v>
      </c>
      <c r="H273" s="1" t="s">
        <v>1851</v>
      </c>
      <c r="I273" s="102">
        <v>1</v>
      </c>
      <c r="J273" s="1" t="s">
        <v>159</v>
      </c>
      <c r="K273" s="1" t="s">
        <v>22</v>
      </c>
      <c r="L273" s="103">
        <v>34492</v>
      </c>
      <c r="M273" s="104">
        <v>22</v>
      </c>
      <c r="N273" s="1" t="s">
        <v>177</v>
      </c>
      <c r="O273" s="1" t="s">
        <v>24</v>
      </c>
      <c r="P273" s="1" t="s">
        <v>365</v>
      </c>
      <c r="Q273" s="1" t="s">
        <v>366</v>
      </c>
      <c r="R273" s="54" t="s">
        <v>1852</v>
      </c>
      <c r="S273" s="102">
        <v>132</v>
      </c>
      <c r="T273" s="54" t="s">
        <v>1853</v>
      </c>
      <c r="U273" s="105">
        <v>27.5</v>
      </c>
      <c r="V273" s="54" t="s">
        <v>1854</v>
      </c>
      <c r="W273" s="105">
        <v>11.5</v>
      </c>
      <c r="X273" s="62">
        <v>0</v>
      </c>
      <c r="Y273" s="102">
        <v>0</v>
      </c>
      <c r="Z273" s="62">
        <v>0</v>
      </c>
      <c r="AA273" s="102">
        <v>0</v>
      </c>
      <c r="AB273" s="62">
        <v>0</v>
      </c>
      <c r="AC273" s="106" t="s">
        <v>206</v>
      </c>
      <c r="AD273" s="106" t="s">
        <v>206</v>
      </c>
      <c r="AE273" s="106" t="s">
        <v>206</v>
      </c>
      <c r="AF273" s="106" t="s">
        <v>206</v>
      </c>
      <c r="AG273" s="106" t="s">
        <v>206</v>
      </c>
      <c r="AH273" s="106" t="s">
        <v>206</v>
      </c>
      <c r="AI273" s="1" t="s">
        <v>357</v>
      </c>
      <c r="AJ273" s="1" t="s">
        <v>206</v>
      </c>
      <c r="AK273" s="1" t="s">
        <v>1855</v>
      </c>
      <c r="AL273" s="1" t="s">
        <v>197</v>
      </c>
      <c r="AM273" s="106" t="s">
        <v>27</v>
      </c>
      <c r="AN273" s="1" t="s">
        <v>357</v>
      </c>
      <c r="AO273" s="1" t="s">
        <v>208</v>
      </c>
      <c r="AP273" s="1" t="s">
        <v>206</v>
      </c>
      <c r="AQ273" s="1" t="s">
        <v>441</v>
      </c>
      <c r="AR273" s="1" t="s">
        <v>207</v>
      </c>
      <c r="AS273" s="106" t="s">
        <v>35</v>
      </c>
      <c r="AT273" s="1" t="s">
        <v>206</v>
      </c>
      <c r="AU273" s="106" t="s">
        <v>206</v>
      </c>
      <c r="AV273" s="106" t="s">
        <v>206</v>
      </c>
      <c r="AW273" s="106" t="s">
        <v>35</v>
      </c>
      <c r="AX273" s="106" t="s">
        <v>206</v>
      </c>
      <c r="AY273" s="106" t="s">
        <v>206</v>
      </c>
      <c r="AZ273" s="1" t="s">
        <v>206</v>
      </c>
      <c r="BA273" s="106" t="s">
        <v>206</v>
      </c>
      <c r="BB273" s="106" t="s">
        <v>206</v>
      </c>
      <c r="BC273" s="106" t="s">
        <v>206</v>
      </c>
      <c r="BD273" s="106" t="s">
        <v>206</v>
      </c>
      <c r="BE273" s="106" t="s">
        <v>206</v>
      </c>
      <c r="BF273" s="107">
        <f>IF(AZ273="Não","Sim","Não")</f>
      </c>
      <c r="BG273" s="107">
        <f>IF(AZ273="NA","Sim","Não")</f>
      </c>
      <c r="BH273" s="106" t="s">
        <v>206</v>
      </c>
      <c r="BI273" s="1" t="s">
        <v>238</v>
      </c>
      <c r="BJ273" s="106" t="s">
        <v>241</v>
      </c>
      <c r="BK273" s="1" t="s">
        <v>1849</v>
      </c>
      <c r="BL273" s="102">
        <v>63</v>
      </c>
      <c r="BM273" s="1" t="s">
        <v>208</v>
      </c>
      <c r="BN273" s="1" t="s">
        <v>208</v>
      </c>
      <c r="BO273" s="1" t="s">
        <v>1849</v>
      </c>
      <c r="BP273" s="102">
        <v>63</v>
      </c>
      <c r="BQ273" s="1" t="s">
        <v>208</v>
      </c>
      <c r="BR273" s="1" t="s">
        <v>227</v>
      </c>
      <c r="BS273" s="106" t="s">
        <v>37</v>
      </c>
    </row>
    <row x14ac:dyDescent="0.25" r="274" customHeight="1" ht="17.25">
      <c r="A274" s="102">
        <v>273</v>
      </c>
      <c r="B274" s="1" t="s">
        <v>1856</v>
      </c>
      <c r="C274" s="102">
        <v>1</v>
      </c>
      <c r="D274" s="61" t="s">
        <v>363</v>
      </c>
      <c r="E274" s="1" t="s">
        <v>85</v>
      </c>
      <c r="F274" s="1" t="s">
        <v>22</v>
      </c>
      <c r="G274" s="1" t="s">
        <v>45</v>
      </c>
      <c r="H274" s="1" t="s">
        <v>1857</v>
      </c>
      <c r="I274" s="102">
        <v>1</v>
      </c>
      <c r="J274" s="1" t="s">
        <v>158</v>
      </c>
      <c r="K274" s="1" t="s">
        <v>22</v>
      </c>
      <c r="L274" s="103">
        <v>31806</v>
      </c>
      <c r="M274" s="104">
        <v>30</v>
      </c>
      <c r="N274" s="1" t="s">
        <v>175</v>
      </c>
      <c r="O274" s="1" t="s">
        <v>24</v>
      </c>
      <c r="P274" s="1" t="s">
        <v>354</v>
      </c>
      <c r="Q274" s="1" t="s">
        <v>1858</v>
      </c>
      <c r="R274" s="54" t="s">
        <v>1859</v>
      </c>
      <c r="S274" s="105">
        <v>13.8</v>
      </c>
      <c r="T274" s="54" t="s">
        <v>1860</v>
      </c>
      <c r="U274" s="102">
        <v>50</v>
      </c>
      <c r="V274" s="54" t="s">
        <v>1861</v>
      </c>
      <c r="W274" s="105">
        <v>59.5</v>
      </c>
      <c r="X274" s="62">
        <v>0</v>
      </c>
      <c r="Y274" s="102">
        <v>0</v>
      </c>
      <c r="Z274" s="62">
        <v>0</v>
      </c>
      <c r="AA274" s="102">
        <v>0</v>
      </c>
      <c r="AB274" s="62">
        <v>0</v>
      </c>
      <c r="AC274" s="106" t="s">
        <v>206</v>
      </c>
      <c r="AD274" s="106" t="s">
        <v>206</v>
      </c>
      <c r="AE274" s="106" t="s">
        <v>206</v>
      </c>
      <c r="AF274" s="106" t="s">
        <v>206</v>
      </c>
      <c r="AG274" s="106" t="s">
        <v>206</v>
      </c>
      <c r="AH274" s="106" t="s">
        <v>206</v>
      </c>
      <c r="AI274" s="1" t="s">
        <v>357</v>
      </c>
      <c r="AJ274" s="1" t="s">
        <v>206</v>
      </c>
      <c r="AK274" s="1" t="s">
        <v>1862</v>
      </c>
      <c r="AL274" s="1" t="s">
        <v>197</v>
      </c>
      <c r="AM274" s="106" t="s">
        <v>27</v>
      </c>
      <c r="AN274" s="1" t="s">
        <v>357</v>
      </c>
      <c r="AO274" s="1" t="s">
        <v>208</v>
      </c>
      <c r="AP274" s="1" t="s">
        <v>206</v>
      </c>
      <c r="AQ274" s="1" t="s">
        <v>441</v>
      </c>
      <c r="AR274" s="1" t="s">
        <v>207</v>
      </c>
      <c r="AS274" s="106" t="s">
        <v>35</v>
      </c>
      <c r="AT274" s="1" t="s">
        <v>206</v>
      </c>
      <c r="AU274" s="106" t="s">
        <v>206</v>
      </c>
      <c r="AV274" s="106" t="s">
        <v>206</v>
      </c>
      <c r="AW274" s="106" t="s">
        <v>35</v>
      </c>
      <c r="AX274" s="106" t="s">
        <v>206</v>
      </c>
      <c r="AY274" s="106" t="s">
        <v>206</v>
      </c>
      <c r="AZ274" s="1" t="s">
        <v>206</v>
      </c>
      <c r="BA274" s="106" t="s">
        <v>206</v>
      </c>
      <c r="BB274" s="106" t="s">
        <v>206</v>
      </c>
      <c r="BC274" s="106" t="s">
        <v>206</v>
      </c>
      <c r="BD274" s="106" t="s">
        <v>206</v>
      </c>
      <c r="BE274" s="106" t="s">
        <v>206</v>
      </c>
      <c r="BF274" s="107">
        <f>IF(AZ274="Não","Sim","Não")</f>
      </c>
      <c r="BG274" s="107">
        <f>IF(AZ274="NA","Sim","Não")</f>
      </c>
      <c r="BH274" s="106" t="s">
        <v>206</v>
      </c>
      <c r="BI274" s="1" t="s">
        <v>238</v>
      </c>
      <c r="BJ274" s="106" t="s">
        <v>241</v>
      </c>
      <c r="BK274" s="1" t="s">
        <v>1849</v>
      </c>
      <c r="BL274" s="102">
        <v>63</v>
      </c>
      <c r="BM274" s="1" t="s">
        <v>208</v>
      </c>
      <c r="BN274" s="1" t="s">
        <v>208</v>
      </c>
      <c r="BO274" s="1" t="s">
        <v>1849</v>
      </c>
      <c r="BP274" s="102">
        <v>63</v>
      </c>
      <c r="BQ274" s="1" t="s">
        <v>208</v>
      </c>
      <c r="BR274" s="1" t="s">
        <v>227</v>
      </c>
      <c r="BS274" s="106" t="s">
        <v>37</v>
      </c>
    </row>
    <row x14ac:dyDescent="0.25" r="275" customHeight="1" ht="17.25">
      <c r="A275" s="102">
        <v>274</v>
      </c>
      <c r="B275" s="1" t="s">
        <v>1863</v>
      </c>
      <c r="C275" s="102">
        <v>1</v>
      </c>
      <c r="D275" s="61">
        <v>42758</v>
      </c>
      <c r="E275" s="1" t="s">
        <v>115</v>
      </c>
      <c r="F275" s="1" t="s">
        <v>170</v>
      </c>
      <c r="G275" s="1" t="s">
        <v>53</v>
      </c>
      <c r="H275" s="1" t="s">
        <v>1864</v>
      </c>
      <c r="I275" s="102">
        <v>1</v>
      </c>
      <c r="J275" s="1" t="s">
        <v>158</v>
      </c>
      <c r="K275" s="1" t="s">
        <v>22</v>
      </c>
      <c r="L275" s="103">
        <v>33875</v>
      </c>
      <c r="M275" s="104">
        <v>24</v>
      </c>
      <c r="N275" s="1" t="s">
        <v>175</v>
      </c>
      <c r="O275" s="1" t="s">
        <v>24</v>
      </c>
      <c r="P275" s="1" t="s">
        <v>365</v>
      </c>
      <c r="Q275" s="1" t="s">
        <v>1146</v>
      </c>
      <c r="R275" s="54" t="s">
        <v>1865</v>
      </c>
      <c r="S275" s="105">
        <v>2900.5</v>
      </c>
      <c r="T275" s="62">
        <v>0</v>
      </c>
      <c r="U275" s="102">
        <v>0</v>
      </c>
      <c r="V275" s="62">
        <v>0</v>
      </c>
      <c r="W275" s="102">
        <v>0</v>
      </c>
      <c r="X275" s="62">
        <v>0</v>
      </c>
      <c r="Y275" s="102">
        <v>0</v>
      </c>
      <c r="Z275" s="62">
        <v>0</v>
      </c>
      <c r="AA275" s="102">
        <v>0</v>
      </c>
      <c r="AB275" s="62">
        <v>0</v>
      </c>
      <c r="AC275" s="106" t="s">
        <v>206</v>
      </c>
      <c r="AD275" s="106" t="s">
        <v>206</v>
      </c>
      <c r="AE275" s="106" t="s">
        <v>206</v>
      </c>
      <c r="AF275" s="106" t="s">
        <v>206</v>
      </c>
      <c r="AG275" s="106" t="s">
        <v>206</v>
      </c>
      <c r="AH275" s="106" t="s">
        <v>206</v>
      </c>
      <c r="AI275" s="1" t="s">
        <v>357</v>
      </c>
      <c r="AJ275" s="1" t="s">
        <v>206</v>
      </c>
      <c r="AK275" s="1" t="s">
        <v>485</v>
      </c>
      <c r="AL275" s="1" t="s">
        <v>197</v>
      </c>
      <c r="AM275" s="106" t="s">
        <v>27</v>
      </c>
      <c r="AN275" s="1" t="s">
        <v>357</v>
      </c>
      <c r="AO275" s="1" t="s">
        <v>208</v>
      </c>
      <c r="AP275" s="1" t="s">
        <v>1542</v>
      </c>
      <c r="AQ275" s="1" t="s">
        <v>1102</v>
      </c>
      <c r="AR275" s="1" t="s">
        <v>206</v>
      </c>
      <c r="AS275" s="106" t="s">
        <v>206</v>
      </c>
      <c r="AT275" s="1" t="s">
        <v>206</v>
      </c>
      <c r="AU275" s="106" t="s">
        <v>206</v>
      </c>
      <c r="AV275" s="106" t="s">
        <v>206</v>
      </c>
      <c r="AW275" s="106" t="s">
        <v>35</v>
      </c>
      <c r="AX275" s="106" t="s">
        <v>206</v>
      </c>
      <c r="AY275" s="106" t="s">
        <v>206</v>
      </c>
      <c r="AZ275" s="1" t="s">
        <v>206</v>
      </c>
      <c r="BA275" s="106" t="s">
        <v>206</v>
      </c>
      <c r="BB275" s="106" t="s">
        <v>206</v>
      </c>
      <c r="BC275" s="106" t="s">
        <v>206</v>
      </c>
      <c r="BD275" s="106" t="s">
        <v>206</v>
      </c>
      <c r="BE275" s="106" t="s">
        <v>206</v>
      </c>
      <c r="BF275" s="107">
        <f>IF(AZ275="Não","Sim","Não")</f>
      </c>
      <c r="BG275" s="107">
        <f>IF(AZ275="NA","Sim","Não")</f>
      </c>
      <c r="BH275" s="106" t="s">
        <v>206</v>
      </c>
      <c r="BI275" s="1" t="s">
        <v>206</v>
      </c>
      <c r="BJ275" s="106" t="s">
        <v>206</v>
      </c>
      <c r="BK275" s="1" t="s">
        <v>1102</v>
      </c>
      <c r="BL275" s="102">
        <v>66</v>
      </c>
      <c r="BM275" s="1" t="s">
        <v>208</v>
      </c>
      <c r="BN275" s="1" t="s">
        <v>208</v>
      </c>
      <c r="BO275" s="1" t="s">
        <v>1102</v>
      </c>
      <c r="BP275" s="102">
        <v>66</v>
      </c>
      <c r="BQ275" s="1" t="s">
        <v>208</v>
      </c>
      <c r="BR275" s="1" t="s">
        <v>227</v>
      </c>
      <c r="BS275" s="106" t="s">
        <v>37</v>
      </c>
    </row>
    <row x14ac:dyDescent="0.25" r="276" customHeight="1" ht="17.25">
      <c r="A276" s="102">
        <v>275</v>
      </c>
      <c r="B276" s="1" t="s">
        <v>1866</v>
      </c>
      <c r="C276" s="102">
        <v>1</v>
      </c>
      <c r="D276" s="61" t="s">
        <v>571</v>
      </c>
      <c r="E276" s="1" t="s">
        <v>119</v>
      </c>
      <c r="F276" s="1" t="s">
        <v>170</v>
      </c>
      <c r="G276" s="1" t="s">
        <v>51</v>
      </c>
      <c r="H276" s="1" t="s">
        <v>1867</v>
      </c>
      <c r="I276" s="102">
        <v>1</v>
      </c>
      <c r="J276" s="1" t="s">
        <v>158</v>
      </c>
      <c r="K276" s="1" t="s">
        <v>22</v>
      </c>
      <c r="L276" s="103">
        <v>33014</v>
      </c>
      <c r="M276" s="104">
        <v>27</v>
      </c>
      <c r="N276" s="1" t="s">
        <v>177</v>
      </c>
      <c r="O276" s="1" t="s">
        <v>24</v>
      </c>
      <c r="P276" s="1" t="s">
        <v>354</v>
      </c>
      <c r="Q276" s="1" t="s">
        <v>1868</v>
      </c>
      <c r="R276" s="62">
        <v>0</v>
      </c>
      <c r="S276" s="102">
        <v>0</v>
      </c>
      <c r="T276" s="54" t="s">
        <v>1869</v>
      </c>
      <c r="U276" s="105">
        <v>5.6</v>
      </c>
      <c r="V276" s="62">
        <v>0</v>
      </c>
      <c r="W276" s="102">
        <v>0</v>
      </c>
      <c r="X276" s="62">
        <v>0</v>
      </c>
      <c r="Y276" s="102">
        <v>0</v>
      </c>
      <c r="Z276" s="62">
        <v>0</v>
      </c>
      <c r="AA276" s="102">
        <v>0</v>
      </c>
      <c r="AB276" s="62">
        <v>0</v>
      </c>
      <c r="AC276" s="106" t="s">
        <v>206</v>
      </c>
      <c r="AD276" s="106" t="s">
        <v>206</v>
      </c>
      <c r="AE276" s="106" t="s">
        <v>206</v>
      </c>
      <c r="AF276" s="106" t="s">
        <v>206</v>
      </c>
      <c r="AG276" s="106" t="s">
        <v>206</v>
      </c>
      <c r="AH276" s="106" t="s">
        <v>206</v>
      </c>
      <c r="AI276" s="1" t="s">
        <v>357</v>
      </c>
      <c r="AJ276" s="1" t="s">
        <v>206</v>
      </c>
      <c r="AK276" s="1" t="s">
        <v>1136</v>
      </c>
      <c r="AL276" s="1" t="s">
        <v>197</v>
      </c>
      <c r="AM276" s="106" t="s">
        <v>27</v>
      </c>
      <c r="AN276" s="1" t="s">
        <v>357</v>
      </c>
      <c r="AO276" s="1" t="s">
        <v>208</v>
      </c>
      <c r="AP276" s="1" t="s">
        <v>1645</v>
      </c>
      <c r="AQ276" s="1" t="s">
        <v>1102</v>
      </c>
      <c r="AR276" s="1" t="s">
        <v>206</v>
      </c>
      <c r="AS276" s="106" t="s">
        <v>206</v>
      </c>
      <c r="AT276" s="1" t="s">
        <v>206</v>
      </c>
      <c r="AU276" s="106" t="s">
        <v>206</v>
      </c>
      <c r="AV276" s="106" t="s">
        <v>206</v>
      </c>
      <c r="AW276" s="106" t="s">
        <v>35</v>
      </c>
      <c r="AX276" s="106" t="s">
        <v>206</v>
      </c>
      <c r="AY276" s="106" t="s">
        <v>206</v>
      </c>
      <c r="AZ276" s="1" t="s">
        <v>206</v>
      </c>
      <c r="BA276" s="106" t="s">
        <v>206</v>
      </c>
      <c r="BB276" s="106" t="s">
        <v>206</v>
      </c>
      <c r="BC276" s="106" t="s">
        <v>206</v>
      </c>
      <c r="BD276" s="106" t="s">
        <v>206</v>
      </c>
      <c r="BE276" s="106" t="s">
        <v>206</v>
      </c>
      <c r="BF276" s="107">
        <f>IF(AZ276="Não","Sim","Não")</f>
      </c>
      <c r="BG276" s="107">
        <f>IF(AZ276="NA","Sim","Não")</f>
      </c>
      <c r="BH276" s="106" t="s">
        <v>206</v>
      </c>
      <c r="BI276" s="1" t="s">
        <v>238</v>
      </c>
      <c r="BJ276" s="106" t="s">
        <v>241</v>
      </c>
      <c r="BK276" s="1" t="s">
        <v>1102</v>
      </c>
      <c r="BL276" s="102">
        <v>66</v>
      </c>
      <c r="BM276" s="1" t="s">
        <v>208</v>
      </c>
      <c r="BN276" s="1" t="s">
        <v>208</v>
      </c>
      <c r="BO276" s="1" t="s">
        <v>1102</v>
      </c>
      <c r="BP276" s="102">
        <v>66</v>
      </c>
      <c r="BQ276" s="1" t="s">
        <v>208</v>
      </c>
      <c r="BR276" s="1" t="s">
        <v>227</v>
      </c>
      <c r="BS276" s="106" t="s">
        <v>37</v>
      </c>
    </row>
    <row x14ac:dyDescent="0.25" r="277" customHeight="1" ht="17.25">
      <c r="A277" s="102">
        <v>276</v>
      </c>
      <c r="B277" s="1" t="s">
        <v>1870</v>
      </c>
      <c r="C277" s="102">
        <v>1</v>
      </c>
      <c r="D277" s="61">
        <v>42769</v>
      </c>
      <c r="E277" s="1" t="s">
        <v>127</v>
      </c>
      <c r="F277" s="1" t="s">
        <v>170</v>
      </c>
      <c r="G277" s="1" t="s">
        <v>60</v>
      </c>
      <c r="H277" s="1" t="s">
        <v>1871</v>
      </c>
      <c r="I277" s="102">
        <v>1</v>
      </c>
      <c r="J277" s="1" t="s">
        <v>158</v>
      </c>
      <c r="K277" s="1" t="s">
        <v>22</v>
      </c>
      <c r="L277" s="103">
        <v>31634</v>
      </c>
      <c r="M277" s="104">
        <v>30</v>
      </c>
      <c r="N277" s="1" t="s">
        <v>175</v>
      </c>
      <c r="O277" s="1" t="s">
        <v>24</v>
      </c>
      <c r="P277" s="1" t="s">
        <v>464</v>
      </c>
      <c r="Q277" s="1" t="s">
        <v>1872</v>
      </c>
      <c r="R277" s="54" t="s">
        <v>1873</v>
      </c>
      <c r="S277" s="105">
        <v>23.1</v>
      </c>
      <c r="T277" s="54" t="s">
        <v>1874</v>
      </c>
      <c r="U277" s="105">
        <v>503.5</v>
      </c>
      <c r="V277" s="54" t="s">
        <v>1875</v>
      </c>
      <c r="W277" s="105">
        <v>95.6</v>
      </c>
      <c r="X277" s="62">
        <v>0</v>
      </c>
      <c r="Y277" s="102">
        <v>0</v>
      </c>
      <c r="Z277" s="62">
        <v>0</v>
      </c>
      <c r="AA277" s="102">
        <v>0</v>
      </c>
      <c r="AB277" s="57" t="s">
        <v>1876</v>
      </c>
      <c r="AC277" s="106" t="s">
        <v>206</v>
      </c>
      <c r="AD277" s="106" t="s">
        <v>206</v>
      </c>
      <c r="AE277" s="106" t="s">
        <v>206</v>
      </c>
      <c r="AF277" s="106" t="s">
        <v>206</v>
      </c>
      <c r="AG277" s="106" t="s">
        <v>35</v>
      </c>
      <c r="AH277" s="106" t="s">
        <v>206</v>
      </c>
      <c r="AI277" s="1" t="s">
        <v>357</v>
      </c>
      <c r="AJ277" s="1" t="s">
        <v>206</v>
      </c>
      <c r="AK277" s="1" t="s">
        <v>1877</v>
      </c>
      <c r="AL277" s="1" t="s">
        <v>197</v>
      </c>
      <c r="AM277" s="106" t="s">
        <v>27</v>
      </c>
      <c r="AN277" s="1" t="s">
        <v>357</v>
      </c>
      <c r="AO277" s="1" t="s">
        <v>208</v>
      </c>
      <c r="AP277" s="1" t="s">
        <v>206</v>
      </c>
      <c r="AQ277" s="1" t="s">
        <v>441</v>
      </c>
      <c r="AR277" s="1" t="s">
        <v>207</v>
      </c>
      <c r="AS277" s="106" t="s">
        <v>35</v>
      </c>
      <c r="AT277" s="1" t="s">
        <v>28</v>
      </c>
      <c r="AU277" s="106" t="s">
        <v>35</v>
      </c>
      <c r="AV277" s="106" t="s">
        <v>206</v>
      </c>
      <c r="AW277" s="106" t="s">
        <v>206</v>
      </c>
      <c r="AX277" s="106" t="s">
        <v>206</v>
      </c>
      <c r="AY277" s="106" t="s">
        <v>35</v>
      </c>
      <c r="AZ277" s="1" t="s">
        <v>206</v>
      </c>
      <c r="BA277" s="106" t="s">
        <v>206</v>
      </c>
      <c r="BB277" s="106" t="s">
        <v>206</v>
      </c>
      <c r="BC277" s="106" t="s">
        <v>206</v>
      </c>
      <c r="BD277" s="106" t="s">
        <v>206</v>
      </c>
      <c r="BE277" s="106" t="s">
        <v>206</v>
      </c>
      <c r="BF277" s="107">
        <f>IF(AZ277="Não","Sim","Não")</f>
      </c>
      <c r="BG277" s="107">
        <f>IF(AZ277="NA","Sim","Não")</f>
      </c>
      <c r="BH277" s="106" t="s">
        <v>206</v>
      </c>
      <c r="BI277" s="1" t="s">
        <v>206</v>
      </c>
      <c r="BJ277" s="106" t="s">
        <v>206</v>
      </c>
      <c r="BK277" s="1" t="s">
        <v>1102</v>
      </c>
      <c r="BL277" s="102">
        <v>66</v>
      </c>
      <c r="BM277" s="1" t="s">
        <v>208</v>
      </c>
      <c r="BN277" s="1" t="s">
        <v>208</v>
      </c>
      <c r="BO277" s="1" t="s">
        <v>1102</v>
      </c>
      <c r="BP277" s="102">
        <v>66</v>
      </c>
      <c r="BQ277" s="1" t="s">
        <v>208</v>
      </c>
      <c r="BR277" s="1" t="s">
        <v>227</v>
      </c>
      <c r="BS277" s="106" t="s">
        <v>37</v>
      </c>
    </row>
    <row x14ac:dyDescent="0.25" r="278" customHeight="1" ht="17.25">
      <c r="A278" s="102">
        <v>277</v>
      </c>
      <c r="B278" s="1" t="s">
        <v>1878</v>
      </c>
      <c r="C278" s="102">
        <v>1</v>
      </c>
      <c r="D278" s="61" t="s">
        <v>1844</v>
      </c>
      <c r="E278" s="1" t="s">
        <v>85</v>
      </c>
      <c r="F278" s="1" t="s">
        <v>22</v>
      </c>
      <c r="G278" s="1" t="s">
        <v>45</v>
      </c>
      <c r="H278" s="1" t="s">
        <v>1879</v>
      </c>
      <c r="I278" s="102">
        <v>1</v>
      </c>
      <c r="J278" s="1" t="s">
        <v>158</v>
      </c>
      <c r="K278" s="1" t="s">
        <v>22</v>
      </c>
      <c r="L278" s="103">
        <v>25966</v>
      </c>
      <c r="M278" s="104">
        <v>46</v>
      </c>
      <c r="N278" s="1" t="s">
        <v>175</v>
      </c>
      <c r="O278" s="1" t="s">
        <v>24</v>
      </c>
      <c r="P278" s="1" t="s">
        <v>354</v>
      </c>
      <c r="Q278" s="1" t="s">
        <v>1880</v>
      </c>
      <c r="R278" s="54" t="s">
        <v>1881</v>
      </c>
      <c r="S278" s="105">
        <v>14.5</v>
      </c>
      <c r="T278" s="54" t="s">
        <v>1882</v>
      </c>
      <c r="U278" s="105">
        <v>1.6</v>
      </c>
      <c r="V278" s="54" t="s">
        <v>1883</v>
      </c>
      <c r="W278" s="105">
        <v>9.7</v>
      </c>
      <c r="X278" s="62">
        <v>0</v>
      </c>
      <c r="Y278" s="102">
        <v>0</v>
      </c>
      <c r="Z278" s="62">
        <v>0</v>
      </c>
      <c r="AA278" s="102">
        <v>0</v>
      </c>
      <c r="AB278" s="62">
        <v>0</v>
      </c>
      <c r="AC278" s="106" t="s">
        <v>206</v>
      </c>
      <c r="AD278" s="106" t="s">
        <v>206</v>
      </c>
      <c r="AE278" s="106" t="s">
        <v>206</v>
      </c>
      <c r="AF278" s="106" t="s">
        <v>206</v>
      </c>
      <c r="AG278" s="106" t="s">
        <v>206</v>
      </c>
      <c r="AH278" s="106" t="s">
        <v>206</v>
      </c>
      <c r="AI278" s="1" t="s">
        <v>357</v>
      </c>
      <c r="AJ278" s="1" t="s">
        <v>206</v>
      </c>
      <c r="AK278" s="1" t="s">
        <v>1136</v>
      </c>
      <c r="AL278" s="1" t="s">
        <v>197</v>
      </c>
      <c r="AM278" s="106" t="s">
        <v>27</v>
      </c>
      <c r="AN278" s="1" t="s">
        <v>357</v>
      </c>
      <c r="AO278" s="1" t="s">
        <v>208</v>
      </c>
      <c r="AP278" s="1" t="s">
        <v>603</v>
      </c>
      <c r="AQ278" s="1" t="s">
        <v>1849</v>
      </c>
      <c r="AR278" s="1" t="s">
        <v>207</v>
      </c>
      <c r="AS278" s="106" t="s">
        <v>35</v>
      </c>
      <c r="AT278" s="1" t="s">
        <v>206</v>
      </c>
      <c r="AU278" s="106" t="s">
        <v>206</v>
      </c>
      <c r="AV278" s="106" t="s">
        <v>206</v>
      </c>
      <c r="AW278" s="106" t="s">
        <v>35</v>
      </c>
      <c r="AX278" s="106" t="s">
        <v>206</v>
      </c>
      <c r="AY278" s="106" t="s">
        <v>206</v>
      </c>
      <c r="AZ278" s="1" t="s">
        <v>206</v>
      </c>
      <c r="BA278" s="106" t="s">
        <v>206</v>
      </c>
      <c r="BB278" s="106" t="s">
        <v>206</v>
      </c>
      <c r="BC278" s="106" t="s">
        <v>206</v>
      </c>
      <c r="BD278" s="106" t="s">
        <v>206</v>
      </c>
      <c r="BE278" s="106" t="s">
        <v>206</v>
      </c>
      <c r="BF278" s="107">
        <f>IF(AZ278="Não","Sim","Não")</f>
      </c>
      <c r="BG278" s="107">
        <f>IF(AZ278="NA","Sim","Não")</f>
      </c>
      <c r="BH278" s="106" t="s">
        <v>206</v>
      </c>
      <c r="BI278" s="1" t="s">
        <v>238</v>
      </c>
      <c r="BJ278" s="106" t="s">
        <v>241</v>
      </c>
      <c r="BK278" s="1" t="s">
        <v>1102</v>
      </c>
      <c r="BL278" s="102">
        <v>66</v>
      </c>
      <c r="BM278" s="1" t="s">
        <v>208</v>
      </c>
      <c r="BN278" s="1" t="s">
        <v>208</v>
      </c>
      <c r="BO278" s="1" t="s">
        <v>1102</v>
      </c>
      <c r="BP278" s="102">
        <v>66</v>
      </c>
      <c r="BQ278" s="1" t="s">
        <v>208</v>
      </c>
      <c r="BR278" s="1" t="s">
        <v>227</v>
      </c>
      <c r="BS278" s="106" t="s">
        <v>37</v>
      </c>
    </row>
    <row x14ac:dyDescent="0.25" r="279" customHeight="1" ht="17.25">
      <c r="A279" s="102">
        <v>278</v>
      </c>
      <c r="B279" s="1" t="s">
        <v>1884</v>
      </c>
      <c r="C279" s="102">
        <v>1</v>
      </c>
      <c r="D279" s="61" t="s">
        <v>840</v>
      </c>
      <c r="E279" s="1" t="s">
        <v>136</v>
      </c>
      <c r="F279" s="1" t="s">
        <v>22</v>
      </c>
      <c r="G279" s="1" t="s">
        <v>50</v>
      </c>
      <c r="H279" s="1" t="s">
        <v>1885</v>
      </c>
      <c r="I279" s="102">
        <v>1</v>
      </c>
      <c r="J279" s="1" t="s">
        <v>158</v>
      </c>
      <c r="K279" s="1" t="s">
        <v>22</v>
      </c>
      <c r="L279" s="103">
        <v>35263</v>
      </c>
      <c r="M279" s="104">
        <v>21</v>
      </c>
      <c r="N279" s="1" t="s">
        <v>176</v>
      </c>
      <c r="O279" s="1" t="s">
        <v>182</v>
      </c>
      <c r="P279" s="1" t="s">
        <v>365</v>
      </c>
      <c r="Q279" s="1" t="s">
        <v>559</v>
      </c>
      <c r="R279" s="54" t="s">
        <v>1886</v>
      </c>
      <c r="S279" s="105">
        <v>1625.9</v>
      </c>
      <c r="T279" s="62">
        <v>0</v>
      </c>
      <c r="U279" s="102">
        <v>0</v>
      </c>
      <c r="V279" s="62">
        <v>0</v>
      </c>
      <c r="W279" s="102">
        <v>0</v>
      </c>
      <c r="X279" s="62">
        <v>0</v>
      </c>
      <c r="Y279" s="102">
        <v>0</v>
      </c>
      <c r="Z279" s="62">
        <v>0</v>
      </c>
      <c r="AA279" s="102">
        <v>0</v>
      </c>
      <c r="AB279" s="62">
        <v>0</v>
      </c>
      <c r="AC279" s="106" t="s">
        <v>206</v>
      </c>
      <c r="AD279" s="106" t="s">
        <v>206</v>
      </c>
      <c r="AE279" s="106" t="s">
        <v>206</v>
      </c>
      <c r="AF279" s="106" t="s">
        <v>206</v>
      </c>
      <c r="AG279" s="106" t="s">
        <v>206</v>
      </c>
      <c r="AH279" s="106" t="s">
        <v>206</v>
      </c>
      <c r="AI279" s="1" t="s">
        <v>357</v>
      </c>
      <c r="AJ279" s="1" t="s">
        <v>206</v>
      </c>
      <c r="AK279" s="1" t="s">
        <v>358</v>
      </c>
      <c r="AL279" s="1" t="s">
        <v>197</v>
      </c>
      <c r="AM279" s="106" t="s">
        <v>27</v>
      </c>
      <c r="AN279" s="1" t="s">
        <v>357</v>
      </c>
      <c r="AO279" s="1" t="s">
        <v>208</v>
      </c>
      <c r="AP279" s="1" t="s">
        <v>406</v>
      </c>
      <c r="AQ279" s="1" t="s">
        <v>386</v>
      </c>
      <c r="AR279" s="1" t="s">
        <v>206</v>
      </c>
      <c r="AS279" s="106" t="s">
        <v>206</v>
      </c>
      <c r="AT279" s="1" t="s">
        <v>206</v>
      </c>
      <c r="AU279" s="106" t="s">
        <v>206</v>
      </c>
      <c r="AV279" s="106" t="s">
        <v>206</v>
      </c>
      <c r="AW279" s="106" t="s">
        <v>35</v>
      </c>
      <c r="AX279" s="106" t="s">
        <v>206</v>
      </c>
      <c r="AY279" s="106" t="s">
        <v>206</v>
      </c>
      <c r="AZ279" s="1" t="s">
        <v>206</v>
      </c>
      <c r="BA279" s="106" t="s">
        <v>206</v>
      </c>
      <c r="BB279" s="106" t="s">
        <v>206</v>
      </c>
      <c r="BC279" s="106" t="s">
        <v>206</v>
      </c>
      <c r="BD279" s="106" t="s">
        <v>206</v>
      </c>
      <c r="BE279" s="106" t="s">
        <v>206</v>
      </c>
      <c r="BF279" s="107">
        <f>IF(AZ279="Não","Sim","Não")</f>
      </c>
      <c r="BG279" s="107">
        <f>IF(AZ279="NA","Sim","Não")</f>
      </c>
      <c r="BH279" s="106" t="s">
        <v>206</v>
      </c>
      <c r="BI279" s="1" t="s">
        <v>206</v>
      </c>
      <c r="BJ279" s="106" t="s">
        <v>206</v>
      </c>
      <c r="BK279" s="1" t="s">
        <v>386</v>
      </c>
      <c r="BL279" s="102">
        <v>72</v>
      </c>
      <c r="BM279" s="1" t="s">
        <v>208</v>
      </c>
      <c r="BN279" s="1" t="s">
        <v>208</v>
      </c>
      <c r="BO279" s="1" t="s">
        <v>386</v>
      </c>
      <c r="BP279" s="102">
        <v>72</v>
      </c>
      <c r="BQ279" s="1" t="s">
        <v>208</v>
      </c>
      <c r="BR279" s="1" t="s">
        <v>227</v>
      </c>
      <c r="BS279" s="106" t="s">
        <v>37</v>
      </c>
    </row>
    <row x14ac:dyDescent="0.25" r="280" customHeight="1" ht="17.25">
      <c r="A280" s="102">
        <v>279</v>
      </c>
      <c r="B280" s="1" t="s">
        <v>1884</v>
      </c>
      <c r="C280" s="102">
        <v>0</v>
      </c>
      <c r="D280" s="61" t="s">
        <v>840</v>
      </c>
      <c r="E280" s="1" t="s">
        <v>136</v>
      </c>
      <c r="F280" s="1" t="s">
        <v>22</v>
      </c>
      <c r="G280" s="1" t="s">
        <v>50</v>
      </c>
      <c r="H280" s="1" t="s">
        <v>1887</v>
      </c>
      <c r="I280" s="102">
        <v>1</v>
      </c>
      <c r="J280" s="1" t="s">
        <v>158</v>
      </c>
      <c r="K280" s="1" t="s">
        <v>22</v>
      </c>
      <c r="L280" s="103">
        <v>34828</v>
      </c>
      <c r="M280" s="104">
        <v>22</v>
      </c>
      <c r="N280" s="1" t="s">
        <v>176</v>
      </c>
      <c r="O280" s="1" t="s">
        <v>182</v>
      </c>
      <c r="P280" s="1" t="s">
        <v>365</v>
      </c>
      <c r="Q280" s="1" t="s">
        <v>559</v>
      </c>
      <c r="R280" s="54" t="s">
        <v>1886</v>
      </c>
      <c r="S280" s="105">
        <v>1625.9</v>
      </c>
      <c r="T280" s="62">
        <v>0</v>
      </c>
      <c r="U280" s="102">
        <v>0</v>
      </c>
      <c r="V280" s="62">
        <v>0</v>
      </c>
      <c r="W280" s="102">
        <v>0</v>
      </c>
      <c r="X280" s="62">
        <v>0</v>
      </c>
      <c r="Y280" s="102">
        <v>0</v>
      </c>
      <c r="Z280" s="62">
        <v>0</v>
      </c>
      <c r="AA280" s="102">
        <v>0</v>
      </c>
      <c r="AB280" s="62">
        <v>0</v>
      </c>
      <c r="AC280" s="106" t="s">
        <v>206</v>
      </c>
      <c r="AD280" s="106" t="s">
        <v>206</v>
      </c>
      <c r="AE280" s="106" t="s">
        <v>206</v>
      </c>
      <c r="AF280" s="106" t="s">
        <v>206</v>
      </c>
      <c r="AG280" s="106" t="s">
        <v>206</v>
      </c>
      <c r="AH280" s="106" t="s">
        <v>206</v>
      </c>
      <c r="AI280" s="1" t="s">
        <v>357</v>
      </c>
      <c r="AJ280" s="1" t="s">
        <v>206</v>
      </c>
      <c r="AK280" s="1" t="s">
        <v>455</v>
      </c>
      <c r="AL280" s="1" t="s">
        <v>197</v>
      </c>
      <c r="AM280" s="106" t="s">
        <v>27</v>
      </c>
      <c r="AN280" s="1" t="s">
        <v>357</v>
      </c>
      <c r="AO280" s="1" t="s">
        <v>208</v>
      </c>
      <c r="AP280" s="1" t="s">
        <v>406</v>
      </c>
      <c r="AQ280" s="1" t="s">
        <v>386</v>
      </c>
      <c r="AR280" s="1" t="s">
        <v>206</v>
      </c>
      <c r="AS280" s="106" t="s">
        <v>206</v>
      </c>
      <c r="AT280" s="1" t="s">
        <v>206</v>
      </c>
      <c r="AU280" s="106" t="s">
        <v>206</v>
      </c>
      <c r="AV280" s="106" t="s">
        <v>206</v>
      </c>
      <c r="AW280" s="106" t="s">
        <v>35</v>
      </c>
      <c r="AX280" s="106" t="s">
        <v>206</v>
      </c>
      <c r="AY280" s="106" t="s">
        <v>206</v>
      </c>
      <c r="AZ280" s="1" t="s">
        <v>206</v>
      </c>
      <c r="BA280" s="106" t="s">
        <v>206</v>
      </c>
      <c r="BB280" s="106" t="s">
        <v>206</v>
      </c>
      <c r="BC280" s="106" t="s">
        <v>206</v>
      </c>
      <c r="BD280" s="106" t="s">
        <v>206</v>
      </c>
      <c r="BE280" s="106" t="s">
        <v>206</v>
      </c>
      <c r="BF280" s="107">
        <f>IF(AZ280="Não","Sim","Não")</f>
      </c>
      <c r="BG280" s="107">
        <f>IF(AZ280="NA","Sim","Não")</f>
      </c>
      <c r="BH280" s="106" t="s">
        <v>206</v>
      </c>
      <c r="BI280" s="1" t="s">
        <v>206</v>
      </c>
      <c r="BJ280" s="106" t="s">
        <v>206</v>
      </c>
      <c r="BK280" s="1" t="s">
        <v>386</v>
      </c>
      <c r="BL280" s="102">
        <v>72</v>
      </c>
      <c r="BM280" s="1" t="s">
        <v>208</v>
      </c>
      <c r="BN280" s="1" t="s">
        <v>208</v>
      </c>
      <c r="BO280" s="1" t="s">
        <v>386</v>
      </c>
      <c r="BP280" s="102">
        <v>72</v>
      </c>
      <c r="BQ280" s="1" t="s">
        <v>208</v>
      </c>
      <c r="BR280" s="1" t="s">
        <v>227</v>
      </c>
      <c r="BS280" s="106" t="s">
        <v>37</v>
      </c>
    </row>
    <row x14ac:dyDescent="0.25" r="281" customHeight="1" ht="17.25">
      <c r="A281" s="102">
        <v>280</v>
      </c>
      <c r="B281" s="1" t="s">
        <v>1888</v>
      </c>
      <c r="C281" s="102">
        <v>1</v>
      </c>
      <c r="D281" s="61">
        <v>43379</v>
      </c>
      <c r="E281" s="1" t="s">
        <v>91</v>
      </c>
      <c r="F281" s="1" t="s">
        <v>170</v>
      </c>
      <c r="G281" s="1" t="s">
        <v>61</v>
      </c>
      <c r="H281" s="1" t="s">
        <v>1889</v>
      </c>
      <c r="I281" s="102">
        <v>1</v>
      </c>
      <c r="J281" s="1" t="s">
        <v>158</v>
      </c>
      <c r="K281" s="1" t="s">
        <v>22</v>
      </c>
      <c r="L281" s="103">
        <v>32681</v>
      </c>
      <c r="M281" s="104">
        <v>29</v>
      </c>
      <c r="N281" s="1" t="s">
        <v>175</v>
      </c>
      <c r="O281" s="1" t="s">
        <v>24</v>
      </c>
      <c r="P281" s="1" t="s">
        <v>517</v>
      </c>
      <c r="Q281" s="1" t="s">
        <v>1890</v>
      </c>
      <c r="R281" s="54" t="s">
        <v>1891</v>
      </c>
      <c r="S281" s="105">
        <v>264.9</v>
      </c>
      <c r="T281" s="62">
        <v>0</v>
      </c>
      <c r="U281" s="102">
        <v>0</v>
      </c>
      <c r="V281" s="62">
        <v>0</v>
      </c>
      <c r="W281" s="102">
        <v>0</v>
      </c>
      <c r="X281" s="62">
        <v>0</v>
      </c>
      <c r="Y281" s="102">
        <v>0</v>
      </c>
      <c r="Z281" s="62">
        <v>0</v>
      </c>
      <c r="AA281" s="102">
        <v>0</v>
      </c>
      <c r="AB281" s="62">
        <v>0</v>
      </c>
      <c r="AC281" s="106" t="s">
        <v>206</v>
      </c>
      <c r="AD281" s="106" t="s">
        <v>206</v>
      </c>
      <c r="AE281" s="106" t="s">
        <v>206</v>
      </c>
      <c r="AF281" s="106" t="s">
        <v>206</v>
      </c>
      <c r="AG281" s="106" t="s">
        <v>206</v>
      </c>
      <c r="AH281" s="106" t="s">
        <v>206</v>
      </c>
      <c r="AI281" s="1" t="s">
        <v>357</v>
      </c>
      <c r="AJ281" s="1" t="s">
        <v>206</v>
      </c>
      <c r="AK281" s="1" t="s">
        <v>1480</v>
      </c>
      <c r="AL281" s="1" t="s">
        <v>197</v>
      </c>
      <c r="AM281" s="106" t="s">
        <v>27</v>
      </c>
      <c r="AN281" s="1" t="s">
        <v>357</v>
      </c>
      <c r="AO281" s="1" t="s">
        <v>208</v>
      </c>
      <c r="AP281" s="1" t="s">
        <v>1892</v>
      </c>
      <c r="AQ281" s="1" t="s">
        <v>386</v>
      </c>
      <c r="AR281" s="1" t="s">
        <v>206</v>
      </c>
      <c r="AS281" s="106" t="s">
        <v>206</v>
      </c>
      <c r="AT281" s="1" t="s">
        <v>206</v>
      </c>
      <c r="AU281" s="106" t="s">
        <v>206</v>
      </c>
      <c r="AV281" s="106" t="s">
        <v>206</v>
      </c>
      <c r="AW281" s="106" t="s">
        <v>35</v>
      </c>
      <c r="AX281" s="106" t="s">
        <v>206</v>
      </c>
      <c r="AY281" s="106" t="s">
        <v>206</v>
      </c>
      <c r="AZ281" s="1" t="s">
        <v>206</v>
      </c>
      <c r="BA281" s="106" t="s">
        <v>206</v>
      </c>
      <c r="BB281" s="106" t="s">
        <v>206</v>
      </c>
      <c r="BC281" s="106" t="s">
        <v>206</v>
      </c>
      <c r="BD281" s="106" t="s">
        <v>206</v>
      </c>
      <c r="BE281" s="106" t="s">
        <v>206</v>
      </c>
      <c r="BF281" s="107">
        <f>IF(AZ281="Não","Sim","Não")</f>
      </c>
      <c r="BG281" s="107">
        <f>IF(AZ281="NA","Sim","Não")</f>
      </c>
      <c r="BH281" s="106" t="s">
        <v>206</v>
      </c>
      <c r="BI281" s="1" t="s">
        <v>206</v>
      </c>
      <c r="BJ281" s="106" t="s">
        <v>206</v>
      </c>
      <c r="BK281" s="1" t="s">
        <v>386</v>
      </c>
      <c r="BL281" s="102">
        <v>72</v>
      </c>
      <c r="BM281" s="1" t="s">
        <v>208</v>
      </c>
      <c r="BN281" s="1" t="s">
        <v>208</v>
      </c>
      <c r="BO281" s="1" t="s">
        <v>386</v>
      </c>
      <c r="BP281" s="102">
        <v>72</v>
      </c>
      <c r="BQ281" s="1" t="s">
        <v>208</v>
      </c>
      <c r="BR281" s="1" t="s">
        <v>227</v>
      </c>
      <c r="BS281" s="106" t="s">
        <v>37</v>
      </c>
    </row>
    <row x14ac:dyDescent="0.25" r="282" customHeight="1" ht="17.25">
      <c r="A282" s="102">
        <v>281</v>
      </c>
      <c r="B282" s="1" t="s">
        <v>1893</v>
      </c>
      <c r="C282" s="102">
        <v>1</v>
      </c>
      <c r="D282" s="61" t="s">
        <v>1894</v>
      </c>
      <c r="E282" s="1" t="s">
        <v>77</v>
      </c>
      <c r="F282" s="1" t="s">
        <v>22</v>
      </c>
      <c r="G282" s="1" t="s">
        <v>40</v>
      </c>
      <c r="H282" s="1" t="s">
        <v>1895</v>
      </c>
      <c r="I282" s="102">
        <v>1</v>
      </c>
      <c r="J282" s="1" t="s">
        <v>158</v>
      </c>
      <c r="K282" s="1" t="s">
        <v>22</v>
      </c>
      <c r="L282" s="103">
        <v>26868</v>
      </c>
      <c r="M282" s="104">
        <v>43</v>
      </c>
      <c r="N282" s="1" t="s">
        <v>175</v>
      </c>
      <c r="O282" s="1" t="s">
        <v>24</v>
      </c>
      <c r="P282" s="1" t="s">
        <v>365</v>
      </c>
      <c r="Q282" s="1" t="s">
        <v>1896</v>
      </c>
      <c r="R282" s="54" t="s">
        <v>1897</v>
      </c>
      <c r="S282" s="105">
        <v>800.5</v>
      </c>
      <c r="T282" s="54" t="s">
        <v>1898</v>
      </c>
      <c r="U282" s="105">
        <v>13.3</v>
      </c>
      <c r="V282" s="62">
        <v>0</v>
      </c>
      <c r="W282" s="102">
        <v>0</v>
      </c>
      <c r="X282" s="62">
        <v>0</v>
      </c>
      <c r="Y282" s="102">
        <v>0</v>
      </c>
      <c r="Z282" s="62">
        <v>0</v>
      </c>
      <c r="AA282" s="102">
        <v>0</v>
      </c>
      <c r="AB282" s="62">
        <v>0</v>
      </c>
      <c r="AC282" s="106" t="s">
        <v>206</v>
      </c>
      <c r="AD282" s="106" t="s">
        <v>206</v>
      </c>
      <c r="AE282" s="106" t="s">
        <v>206</v>
      </c>
      <c r="AF282" s="106" t="s">
        <v>206</v>
      </c>
      <c r="AG282" s="106" t="s">
        <v>206</v>
      </c>
      <c r="AH282" s="106" t="s">
        <v>206</v>
      </c>
      <c r="AI282" s="1" t="s">
        <v>357</v>
      </c>
      <c r="AJ282" s="1" t="s">
        <v>206</v>
      </c>
      <c r="AK282" s="1" t="s">
        <v>846</v>
      </c>
      <c r="AL282" s="1" t="s">
        <v>197</v>
      </c>
      <c r="AM282" s="106" t="s">
        <v>27</v>
      </c>
      <c r="AN282" s="1" t="s">
        <v>357</v>
      </c>
      <c r="AO282" s="1" t="s">
        <v>208</v>
      </c>
      <c r="AP282" s="1" t="s">
        <v>406</v>
      </c>
      <c r="AQ282" s="1" t="s">
        <v>386</v>
      </c>
      <c r="AR282" s="1" t="s">
        <v>206</v>
      </c>
      <c r="AS282" s="106" t="s">
        <v>206</v>
      </c>
      <c r="AT282" s="1" t="s">
        <v>206</v>
      </c>
      <c r="AU282" s="106" t="s">
        <v>206</v>
      </c>
      <c r="AV282" s="106" t="s">
        <v>206</v>
      </c>
      <c r="AW282" s="106" t="s">
        <v>35</v>
      </c>
      <c r="AX282" s="106" t="s">
        <v>206</v>
      </c>
      <c r="AY282" s="106" t="s">
        <v>206</v>
      </c>
      <c r="AZ282" s="1" t="s">
        <v>206</v>
      </c>
      <c r="BA282" s="106" t="s">
        <v>206</v>
      </c>
      <c r="BB282" s="106" t="s">
        <v>206</v>
      </c>
      <c r="BC282" s="106" t="s">
        <v>206</v>
      </c>
      <c r="BD282" s="106" t="s">
        <v>206</v>
      </c>
      <c r="BE282" s="106" t="s">
        <v>206</v>
      </c>
      <c r="BF282" s="107">
        <f>IF(AZ282="Não","Sim","Não")</f>
      </c>
      <c r="BG282" s="107">
        <f>IF(AZ282="NA","Sim","Não")</f>
      </c>
      <c r="BH282" s="106" t="s">
        <v>206</v>
      </c>
      <c r="BI282" s="1" t="s">
        <v>206</v>
      </c>
      <c r="BJ282" s="106" t="s">
        <v>206</v>
      </c>
      <c r="BK282" s="1" t="s">
        <v>386</v>
      </c>
      <c r="BL282" s="102">
        <v>72</v>
      </c>
      <c r="BM282" s="1" t="s">
        <v>208</v>
      </c>
      <c r="BN282" s="1" t="s">
        <v>208</v>
      </c>
      <c r="BO282" s="1" t="s">
        <v>386</v>
      </c>
      <c r="BP282" s="102">
        <v>72</v>
      </c>
      <c r="BQ282" s="1" t="s">
        <v>208</v>
      </c>
      <c r="BR282" s="1" t="s">
        <v>227</v>
      </c>
      <c r="BS282" s="106" t="s">
        <v>37</v>
      </c>
    </row>
    <row x14ac:dyDescent="0.25" r="283" customHeight="1" ht="17.25">
      <c r="A283" s="102">
        <v>282</v>
      </c>
      <c r="B283" s="1" t="s">
        <v>1899</v>
      </c>
      <c r="C283" s="102">
        <v>1</v>
      </c>
      <c r="D283" s="61" t="s">
        <v>1635</v>
      </c>
      <c r="E283" s="1" t="s">
        <v>101</v>
      </c>
      <c r="F283" s="1" t="s">
        <v>22</v>
      </c>
      <c r="G283" s="1" t="s">
        <v>59</v>
      </c>
      <c r="H283" s="1" t="s">
        <v>1900</v>
      </c>
      <c r="I283" s="102">
        <v>1</v>
      </c>
      <c r="J283" s="1" t="s">
        <v>158</v>
      </c>
      <c r="K283" s="1" t="s">
        <v>22</v>
      </c>
      <c r="L283" s="103">
        <v>26390</v>
      </c>
      <c r="M283" s="104">
        <v>45</v>
      </c>
      <c r="N283" s="1" t="s">
        <v>177</v>
      </c>
      <c r="O283" s="1" t="s">
        <v>24</v>
      </c>
      <c r="P283" s="1" t="s">
        <v>365</v>
      </c>
      <c r="Q283" s="1" t="s">
        <v>366</v>
      </c>
      <c r="R283" s="62">
        <v>0</v>
      </c>
      <c r="S283" s="102">
        <v>0</v>
      </c>
      <c r="T283" s="54" t="s">
        <v>1901</v>
      </c>
      <c r="U283" s="105">
        <v>45.1</v>
      </c>
      <c r="V283" s="62">
        <v>0</v>
      </c>
      <c r="W283" s="102">
        <v>0</v>
      </c>
      <c r="X283" s="62">
        <v>0</v>
      </c>
      <c r="Y283" s="102">
        <v>0</v>
      </c>
      <c r="Z283" s="62">
        <v>0</v>
      </c>
      <c r="AA283" s="102">
        <v>0</v>
      </c>
      <c r="AB283" s="62">
        <v>0</v>
      </c>
      <c r="AC283" s="106" t="s">
        <v>206</v>
      </c>
      <c r="AD283" s="106" t="s">
        <v>206</v>
      </c>
      <c r="AE283" s="106" t="s">
        <v>206</v>
      </c>
      <c r="AF283" s="106" t="s">
        <v>206</v>
      </c>
      <c r="AG283" s="106" t="s">
        <v>206</v>
      </c>
      <c r="AH283" s="106" t="s">
        <v>206</v>
      </c>
      <c r="AI283" s="1" t="s">
        <v>357</v>
      </c>
      <c r="AJ283" s="1" t="s">
        <v>206</v>
      </c>
      <c r="AK283" s="1" t="s">
        <v>358</v>
      </c>
      <c r="AL283" s="1" t="s">
        <v>197</v>
      </c>
      <c r="AM283" s="106" t="s">
        <v>27</v>
      </c>
      <c r="AN283" s="1" t="s">
        <v>357</v>
      </c>
      <c r="AO283" s="1" t="s">
        <v>208</v>
      </c>
      <c r="AP283" s="1" t="s">
        <v>206</v>
      </c>
      <c r="AQ283" s="1" t="s">
        <v>441</v>
      </c>
      <c r="AR283" s="1" t="s">
        <v>207</v>
      </c>
      <c r="AS283" s="106" t="s">
        <v>35</v>
      </c>
      <c r="AT283" s="1" t="s">
        <v>206</v>
      </c>
      <c r="AU283" s="106" t="s">
        <v>206</v>
      </c>
      <c r="AV283" s="106" t="s">
        <v>206</v>
      </c>
      <c r="AW283" s="106" t="s">
        <v>35</v>
      </c>
      <c r="AX283" s="106" t="s">
        <v>206</v>
      </c>
      <c r="AY283" s="106" t="s">
        <v>206</v>
      </c>
      <c r="AZ283" s="1" t="s">
        <v>206</v>
      </c>
      <c r="BA283" s="106" t="s">
        <v>206</v>
      </c>
      <c r="BB283" s="106" t="s">
        <v>206</v>
      </c>
      <c r="BC283" s="106" t="s">
        <v>206</v>
      </c>
      <c r="BD283" s="106" t="s">
        <v>206</v>
      </c>
      <c r="BE283" s="106" t="s">
        <v>206</v>
      </c>
      <c r="BF283" s="107">
        <f>IF(AZ283="Não","Sim","Não")</f>
      </c>
      <c r="BG283" s="107">
        <f>IF(AZ283="NA","Sim","Não")</f>
      </c>
      <c r="BH283" s="106" t="s">
        <v>206</v>
      </c>
      <c r="BI283" s="1" t="s">
        <v>238</v>
      </c>
      <c r="BJ283" s="106" t="s">
        <v>241</v>
      </c>
      <c r="BK283" s="1" t="s">
        <v>386</v>
      </c>
      <c r="BL283" s="102">
        <v>72</v>
      </c>
      <c r="BM283" s="1" t="s">
        <v>208</v>
      </c>
      <c r="BN283" s="1" t="s">
        <v>208</v>
      </c>
      <c r="BO283" s="1" t="s">
        <v>386</v>
      </c>
      <c r="BP283" s="102">
        <v>72</v>
      </c>
      <c r="BQ283" s="1" t="s">
        <v>208</v>
      </c>
      <c r="BR283" s="1" t="s">
        <v>227</v>
      </c>
      <c r="BS283" s="106" t="s">
        <v>37</v>
      </c>
    </row>
    <row x14ac:dyDescent="0.25" r="284" customHeight="1" ht="17.25">
      <c r="A284" s="102">
        <v>283</v>
      </c>
      <c r="B284" s="1" t="s">
        <v>1902</v>
      </c>
      <c r="C284" s="102">
        <v>1</v>
      </c>
      <c r="D284" s="61" t="s">
        <v>817</v>
      </c>
      <c r="E284" s="1" t="s">
        <v>136</v>
      </c>
      <c r="F284" s="1" t="s">
        <v>22</v>
      </c>
      <c r="G284" s="1" t="s">
        <v>50</v>
      </c>
      <c r="H284" s="1" t="s">
        <v>1903</v>
      </c>
      <c r="I284" s="102">
        <v>1</v>
      </c>
      <c r="J284" s="1" t="s">
        <v>158</v>
      </c>
      <c r="K284" s="1" t="s">
        <v>22</v>
      </c>
      <c r="L284" s="103">
        <v>32079</v>
      </c>
      <c r="M284" s="104">
        <v>30</v>
      </c>
      <c r="N284" s="1" t="s">
        <v>176</v>
      </c>
      <c r="O284" s="1" t="s">
        <v>182</v>
      </c>
      <c r="P284" s="1" t="s">
        <v>365</v>
      </c>
      <c r="Q284" s="1" t="s">
        <v>1904</v>
      </c>
      <c r="R284" s="54" t="s">
        <v>1905</v>
      </c>
      <c r="S284" s="105">
        <v>39.3</v>
      </c>
      <c r="T284" s="54" t="s">
        <v>1906</v>
      </c>
      <c r="U284" s="105">
        <v>27.4</v>
      </c>
      <c r="V284" s="62">
        <v>0</v>
      </c>
      <c r="W284" s="102">
        <v>0</v>
      </c>
      <c r="X284" s="62">
        <v>0</v>
      </c>
      <c r="Y284" s="102">
        <v>0</v>
      </c>
      <c r="Z284" s="62">
        <v>0</v>
      </c>
      <c r="AA284" s="102">
        <v>0</v>
      </c>
      <c r="AB284" s="57" t="s">
        <v>1907</v>
      </c>
      <c r="AC284" s="106" t="s">
        <v>206</v>
      </c>
      <c r="AD284" s="106" t="s">
        <v>206</v>
      </c>
      <c r="AE284" s="106" t="s">
        <v>206</v>
      </c>
      <c r="AF284" s="106" t="s">
        <v>206</v>
      </c>
      <c r="AG284" s="106" t="s">
        <v>35</v>
      </c>
      <c r="AH284" s="106" t="s">
        <v>206</v>
      </c>
      <c r="AI284" s="1" t="s">
        <v>357</v>
      </c>
      <c r="AJ284" s="1" t="s">
        <v>206</v>
      </c>
      <c r="AK284" s="1" t="s">
        <v>422</v>
      </c>
      <c r="AL284" s="1" t="s">
        <v>197</v>
      </c>
      <c r="AM284" s="106" t="s">
        <v>27</v>
      </c>
      <c r="AN284" s="1" t="s">
        <v>357</v>
      </c>
      <c r="AO284" s="1" t="s">
        <v>208</v>
      </c>
      <c r="AP284" s="1" t="s">
        <v>206</v>
      </c>
      <c r="AQ284" s="1" t="s">
        <v>441</v>
      </c>
      <c r="AR284" s="1" t="s">
        <v>207</v>
      </c>
      <c r="AS284" s="106" t="s">
        <v>35</v>
      </c>
      <c r="AT284" s="1" t="s">
        <v>206</v>
      </c>
      <c r="AU284" s="106" t="s">
        <v>206</v>
      </c>
      <c r="AV284" s="106" t="s">
        <v>206</v>
      </c>
      <c r="AW284" s="106" t="s">
        <v>35</v>
      </c>
      <c r="AX284" s="106" t="s">
        <v>206</v>
      </c>
      <c r="AY284" s="106" t="s">
        <v>206</v>
      </c>
      <c r="AZ284" s="1" t="s">
        <v>206</v>
      </c>
      <c r="BA284" s="106" t="s">
        <v>206</v>
      </c>
      <c r="BB284" s="106" t="s">
        <v>206</v>
      </c>
      <c r="BC284" s="106" t="s">
        <v>206</v>
      </c>
      <c r="BD284" s="106" t="s">
        <v>206</v>
      </c>
      <c r="BE284" s="106" t="s">
        <v>206</v>
      </c>
      <c r="BF284" s="107">
        <f>IF(AZ284="Não","Sim","Não")</f>
      </c>
      <c r="BG284" s="107">
        <f>IF(AZ284="NA","Sim","Não")</f>
      </c>
      <c r="BH284" s="106" t="s">
        <v>206</v>
      </c>
      <c r="BI284" s="1" t="s">
        <v>238</v>
      </c>
      <c r="BJ284" s="106" t="s">
        <v>241</v>
      </c>
      <c r="BK284" s="1" t="s">
        <v>386</v>
      </c>
      <c r="BL284" s="102">
        <v>72</v>
      </c>
      <c r="BM284" s="1" t="s">
        <v>208</v>
      </c>
      <c r="BN284" s="1" t="s">
        <v>208</v>
      </c>
      <c r="BO284" s="1" t="s">
        <v>386</v>
      </c>
      <c r="BP284" s="102">
        <v>72</v>
      </c>
      <c r="BQ284" s="1" t="s">
        <v>208</v>
      </c>
      <c r="BR284" s="1" t="s">
        <v>227</v>
      </c>
      <c r="BS284" s="106" t="s">
        <v>37</v>
      </c>
    </row>
    <row x14ac:dyDescent="0.25" r="285" customHeight="1" ht="17.25">
      <c r="A285" s="102">
        <v>284</v>
      </c>
      <c r="B285" s="1" t="s">
        <v>1908</v>
      </c>
      <c r="C285" s="102">
        <v>0</v>
      </c>
      <c r="D285" s="61" t="s">
        <v>1909</v>
      </c>
      <c r="E285" s="1" t="s">
        <v>79</v>
      </c>
      <c r="F285" s="1" t="s">
        <v>170</v>
      </c>
      <c r="G285" s="1" t="s">
        <v>66</v>
      </c>
      <c r="H285" s="1" t="s">
        <v>1910</v>
      </c>
      <c r="I285" s="102">
        <v>1</v>
      </c>
      <c r="J285" s="1" t="s">
        <v>158</v>
      </c>
      <c r="K285" s="1" t="s">
        <v>22</v>
      </c>
      <c r="L285" s="103">
        <v>34912</v>
      </c>
      <c r="M285" s="104">
        <v>21</v>
      </c>
      <c r="N285" s="1" t="s">
        <v>175</v>
      </c>
      <c r="O285" s="1" t="s">
        <v>24</v>
      </c>
      <c r="P285" s="1" t="s">
        <v>354</v>
      </c>
      <c r="Q285" s="1" t="s">
        <v>1911</v>
      </c>
      <c r="R285" s="54" t="s">
        <v>1912</v>
      </c>
      <c r="S285" s="105">
        <v>1841.9</v>
      </c>
      <c r="T285" s="54" t="s">
        <v>1913</v>
      </c>
      <c r="U285" s="102">
        <v>2883</v>
      </c>
      <c r="V285" s="62">
        <v>0</v>
      </c>
      <c r="W285" s="102">
        <v>0</v>
      </c>
      <c r="X285" s="62">
        <v>0</v>
      </c>
      <c r="Y285" s="102">
        <v>0</v>
      </c>
      <c r="Z285" s="62">
        <v>0</v>
      </c>
      <c r="AA285" s="102">
        <v>0</v>
      </c>
      <c r="AB285" s="62">
        <v>0</v>
      </c>
      <c r="AC285" s="106" t="s">
        <v>206</v>
      </c>
      <c r="AD285" s="106" t="s">
        <v>206</v>
      </c>
      <c r="AE285" s="106" t="s">
        <v>206</v>
      </c>
      <c r="AF285" s="106" t="s">
        <v>206</v>
      </c>
      <c r="AG285" s="106" t="s">
        <v>206</v>
      </c>
      <c r="AH285" s="106" t="s">
        <v>206</v>
      </c>
      <c r="AI285" s="1" t="s">
        <v>357</v>
      </c>
      <c r="AJ285" s="1" t="s">
        <v>206</v>
      </c>
      <c r="AK285" s="1" t="s">
        <v>1136</v>
      </c>
      <c r="AL285" s="1" t="s">
        <v>197</v>
      </c>
      <c r="AM285" s="106" t="s">
        <v>27</v>
      </c>
      <c r="AN285" s="1" t="s">
        <v>357</v>
      </c>
      <c r="AO285" s="1" t="s">
        <v>208</v>
      </c>
      <c r="AP285" s="1" t="s">
        <v>653</v>
      </c>
      <c r="AQ285" s="1" t="s">
        <v>386</v>
      </c>
      <c r="AR285" s="1" t="s">
        <v>206</v>
      </c>
      <c r="AS285" s="106" t="s">
        <v>206</v>
      </c>
      <c r="AT285" s="1" t="s">
        <v>206</v>
      </c>
      <c r="AU285" s="106" t="s">
        <v>206</v>
      </c>
      <c r="AV285" s="106" t="s">
        <v>206</v>
      </c>
      <c r="AW285" s="106" t="s">
        <v>35</v>
      </c>
      <c r="AX285" s="106" t="s">
        <v>206</v>
      </c>
      <c r="AY285" s="106" t="s">
        <v>206</v>
      </c>
      <c r="AZ285" s="1" t="s">
        <v>206</v>
      </c>
      <c r="BA285" s="106" t="s">
        <v>206</v>
      </c>
      <c r="BB285" s="106" t="s">
        <v>206</v>
      </c>
      <c r="BC285" s="106" t="s">
        <v>206</v>
      </c>
      <c r="BD285" s="106" t="s">
        <v>206</v>
      </c>
      <c r="BE285" s="106" t="s">
        <v>206</v>
      </c>
      <c r="BF285" s="107">
        <f>IF(AZ285="Não","Sim","Não")</f>
      </c>
      <c r="BG285" s="107">
        <f>IF(AZ285="NA","Sim","Não")</f>
      </c>
      <c r="BH285" s="106" t="s">
        <v>206</v>
      </c>
      <c r="BI285" s="1" t="s">
        <v>206</v>
      </c>
      <c r="BJ285" s="106" t="s">
        <v>206</v>
      </c>
      <c r="BK285" s="1" t="s">
        <v>386</v>
      </c>
      <c r="BL285" s="102">
        <v>72</v>
      </c>
      <c r="BM285" s="1" t="s">
        <v>208</v>
      </c>
      <c r="BN285" s="1" t="s">
        <v>208</v>
      </c>
      <c r="BO285" s="1" t="s">
        <v>386</v>
      </c>
      <c r="BP285" s="102">
        <v>72</v>
      </c>
      <c r="BQ285" s="1" t="s">
        <v>208</v>
      </c>
      <c r="BR285" s="1" t="s">
        <v>227</v>
      </c>
      <c r="BS285" s="106" t="s">
        <v>37</v>
      </c>
    </row>
    <row x14ac:dyDescent="0.25" r="286" customHeight="1" ht="17.25">
      <c r="A286" s="102">
        <v>285</v>
      </c>
      <c r="B286" s="1" t="s">
        <v>1914</v>
      </c>
      <c r="C286" s="102">
        <v>1</v>
      </c>
      <c r="D286" s="61" t="s">
        <v>494</v>
      </c>
      <c r="E286" s="1" t="s">
        <v>79</v>
      </c>
      <c r="F286" s="1" t="s">
        <v>170</v>
      </c>
      <c r="G286" s="1" t="s">
        <v>66</v>
      </c>
      <c r="H286" s="1" t="s">
        <v>1915</v>
      </c>
      <c r="I286" s="102">
        <v>1</v>
      </c>
      <c r="J286" s="1" t="s">
        <v>158</v>
      </c>
      <c r="K286" s="1" t="s">
        <v>22</v>
      </c>
      <c r="L286" s="103">
        <v>33577</v>
      </c>
      <c r="M286" s="104">
        <v>25</v>
      </c>
      <c r="N286" s="1" t="s">
        <v>176</v>
      </c>
      <c r="O286" s="1" t="s">
        <v>182</v>
      </c>
      <c r="P286" s="1" t="s">
        <v>365</v>
      </c>
      <c r="Q286" s="1" t="s">
        <v>1916</v>
      </c>
      <c r="R286" s="54" t="s">
        <v>1917</v>
      </c>
      <c r="S286" s="105">
        <v>99.7</v>
      </c>
      <c r="T286" s="54" t="s">
        <v>1918</v>
      </c>
      <c r="U286" s="105">
        <v>14.6</v>
      </c>
      <c r="V286" s="54" t="s">
        <v>1199</v>
      </c>
      <c r="W286" s="105">
        <v>0.1</v>
      </c>
      <c r="X286" s="62">
        <v>0</v>
      </c>
      <c r="Y286" s="102">
        <v>0</v>
      </c>
      <c r="Z286" s="62">
        <v>0</v>
      </c>
      <c r="AA286" s="102">
        <v>0</v>
      </c>
      <c r="AB286" s="57" t="s">
        <v>1919</v>
      </c>
      <c r="AC286" s="106" t="s">
        <v>206</v>
      </c>
      <c r="AD286" s="106" t="s">
        <v>206</v>
      </c>
      <c r="AE286" s="106" t="s">
        <v>206</v>
      </c>
      <c r="AF286" s="106" t="s">
        <v>206</v>
      </c>
      <c r="AG286" s="106" t="s">
        <v>35</v>
      </c>
      <c r="AH286" s="106" t="s">
        <v>206</v>
      </c>
      <c r="AI286" s="1" t="s">
        <v>357</v>
      </c>
      <c r="AJ286" s="1" t="s">
        <v>206</v>
      </c>
      <c r="AK286" s="1" t="s">
        <v>1920</v>
      </c>
      <c r="AL286" s="1" t="s">
        <v>197</v>
      </c>
      <c r="AM286" s="106" t="s">
        <v>27</v>
      </c>
      <c r="AN286" s="1" t="s">
        <v>357</v>
      </c>
      <c r="AO286" s="1" t="s">
        <v>208</v>
      </c>
      <c r="AP286" s="1" t="s">
        <v>1608</v>
      </c>
      <c r="AQ286" s="1" t="s">
        <v>386</v>
      </c>
      <c r="AR286" s="1" t="s">
        <v>207</v>
      </c>
      <c r="AS286" s="106" t="s">
        <v>35</v>
      </c>
      <c r="AT286" s="1" t="s">
        <v>28</v>
      </c>
      <c r="AU286" s="106" t="s">
        <v>35</v>
      </c>
      <c r="AV286" s="106" t="s">
        <v>206</v>
      </c>
      <c r="AW286" s="106" t="s">
        <v>206</v>
      </c>
      <c r="AX286" s="106" t="s">
        <v>206</v>
      </c>
      <c r="AY286" s="106" t="s">
        <v>35</v>
      </c>
      <c r="AZ286" s="1" t="s">
        <v>206</v>
      </c>
      <c r="BA286" s="106" t="s">
        <v>206</v>
      </c>
      <c r="BB286" s="106" t="s">
        <v>206</v>
      </c>
      <c r="BC286" s="106" t="s">
        <v>206</v>
      </c>
      <c r="BD286" s="106" t="s">
        <v>206</v>
      </c>
      <c r="BE286" s="106" t="s">
        <v>206</v>
      </c>
      <c r="BF286" s="107">
        <f>IF(AZ286="Não","Sim","Não")</f>
      </c>
      <c r="BG286" s="107">
        <f>IF(AZ286="NA","Sim","Não")</f>
      </c>
      <c r="BH286" s="106" t="s">
        <v>206</v>
      </c>
      <c r="BI286" s="1" t="s">
        <v>238</v>
      </c>
      <c r="BJ286" s="106" t="s">
        <v>241</v>
      </c>
      <c r="BK286" s="1" t="s">
        <v>386</v>
      </c>
      <c r="BL286" s="102">
        <v>72</v>
      </c>
      <c r="BM286" s="1" t="s">
        <v>208</v>
      </c>
      <c r="BN286" s="1" t="s">
        <v>208</v>
      </c>
      <c r="BO286" s="1" t="s">
        <v>386</v>
      </c>
      <c r="BP286" s="102">
        <v>72</v>
      </c>
      <c r="BQ286" s="1" t="s">
        <v>208</v>
      </c>
      <c r="BR286" s="1" t="s">
        <v>227</v>
      </c>
      <c r="BS286" s="106" t="s">
        <v>37</v>
      </c>
    </row>
    <row x14ac:dyDescent="0.25" r="287" customHeight="1" ht="17.25">
      <c r="A287" s="102">
        <v>286</v>
      </c>
      <c r="B287" s="1" t="s">
        <v>1668</v>
      </c>
      <c r="C287" s="102">
        <v>0</v>
      </c>
      <c r="D287" s="61" t="s">
        <v>806</v>
      </c>
      <c r="E287" s="1" t="s">
        <v>86</v>
      </c>
      <c r="F287" s="1" t="s">
        <v>22</v>
      </c>
      <c r="G287" s="1" t="s">
        <v>50</v>
      </c>
      <c r="H287" s="1" t="s">
        <v>1921</v>
      </c>
      <c r="I287" s="102">
        <v>1</v>
      </c>
      <c r="J287" s="1" t="s">
        <v>158</v>
      </c>
      <c r="K287" s="1" t="s">
        <v>22</v>
      </c>
      <c r="L287" s="103">
        <v>31515</v>
      </c>
      <c r="M287" s="104">
        <v>30</v>
      </c>
      <c r="N287" s="1" t="s">
        <v>175</v>
      </c>
      <c r="O287" s="1" t="s">
        <v>24</v>
      </c>
      <c r="P287" s="1" t="s">
        <v>365</v>
      </c>
      <c r="Q287" s="1" t="s">
        <v>1197</v>
      </c>
      <c r="R287" s="54" t="s">
        <v>1922</v>
      </c>
      <c r="S287" s="105">
        <v>20.9</v>
      </c>
      <c r="T287" s="62">
        <v>0</v>
      </c>
      <c r="U287" s="102">
        <v>0</v>
      </c>
      <c r="V287" s="54" t="s">
        <v>1923</v>
      </c>
      <c r="W287" s="102">
        <v>3</v>
      </c>
      <c r="X287" s="62">
        <v>0</v>
      </c>
      <c r="Y287" s="102">
        <v>0</v>
      </c>
      <c r="Z287" s="62">
        <v>0</v>
      </c>
      <c r="AA287" s="102">
        <v>0</v>
      </c>
      <c r="AB287" s="62">
        <v>0</v>
      </c>
      <c r="AC287" s="106" t="s">
        <v>206</v>
      </c>
      <c r="AD287" s="106" t="s">
        <v>206</v>
      </c>
      <c r="AE287" s="106" t="s">
        <v>206</v>
      </c>
      <c r="AF287" s="106" t="s">
        <v>206</v>
      </c>
      <c r="AG287" s="106" t="s">
        <v>206</v>
      </c>
      <c r="AH287" s="106" t="s">
        <v>206</v>
      </c>
      <c r="AI287" s="1" t="s">
        <v>357</v>
      </c>
      <c r="AJ287" s="1" t="s">
        <v>206</v>
      </c>
      <c r="AK287" s="1" t="s">
        <v>476</v>
      </c>
      <c r="AL287" s="1" t="s">
        <v>197</v>
      </c>
      <c r="AM287" s="106" t="s">
        <v>27</v>
      </c>
      <c r="AN287" s="1" t="s">
        <v>357</v>
      </c>
      <c r="AO287" s="1" t="s">
        <v>208</v>
      </c>
      <c r="AP287" s="1" t="s">
        <v>206</v>
      </c>
      <c r="AQ287" s="1" t="s">
        <v>441</v>
      </c>
      <c r="AR287" s="1" t="s">
        <v>207</v>
      </c>
      <c r="AS287" s="106" t="s">
        <v>35</v>
      </c>
      <c r="AT287" s="1" t="s">
        <v>206</v>
      </c>
      <c r="AU287" s="106" t="s">
        <v>206</v>
      </c>
      <c r="AV287" s="106" t="s">
        <v>206</v>
      </c>
      <c r="AW287" s="106" t="s">
        <v>35</v>
      </c>
      <c r="AX287" s="106" t="s">
        <v>206</v>
      </c>
      <c r="AY287" s="106" t="s">
        <v>206</v>
      </c>
      <c r="AZ287" s="1" t="s">
        <v>206</v>
      </c>
      <c r="BA287" s="106" t="s">
        <v>206</v>
      </c>
      <c r="BB287" s="106" t="s">
        <v>206</v>
      </c>
      <c r="BC287" s="106" t="s">
        <v>206</v>
      </c>
      <c r="BD287" s="106" t="s">
        <v>206</v>
      </c>
      <c r="BE287" s="106" t="s">
        <v>206</v>
      </c>
      <c r="BF287" s="107">
        <f>IF(AZ287="Não","Sim","Não")</f>
      </c>
      <c r="BG287" s="107">
        <f>IF(AZ287="NA","Sim","Não")</f>
      </c>
      <c r="BH287" s="106" t="s">
        <v>206</v>
      </c>
      <c r="BI287" s="1" t="s">
        <v>238</v>
      </c>
      <c r="BJ287" s="106" t="s">
        <v>241</v>
      </c>
      <c r="BK287" s="1" t="s">
        <v>386</v>
      </c>
      <c r="BL287" s="102">
        <v>72</v>
      </c>
      <c r="BM287" s="1" t="s">
        <v>208</v>
      </c>
      <c r="BN287" s="1" t="s">
        <v>208</v>
      </c>
      <c r="BO287" s="1" t="s">
        <v>386</v>
      </c>
      <c r="BP287" s="102">
        <v>72</v>
      </c>
      <c r="BQ287" s="1" t="s">
        <v>208</v>
      </c>
      <c r="BR287" s="1" t="s">
        <v>227</v>
      </c>
      <c r="BS287" s="106" t="s">
        <v>37</v>
      </c>
    </row>
    <row x14ac:dyDescent="0.25" r="288" customHeight="1" ht="17.25">
      <c r="A288" s="102">
        <v>287</v>
      </c>
      <c r="B288" s="1" t="s">
        <v>1924</v>
      </c>
      <c r="C288" s="102">
        <v>1</v>
      </c>
      <c r="D288" s="61" t="s">
        <v>1925</v>
      </c>
      <c r="E288" s="1" t="s">
        <v>106</v>
      </c>
      <c r="F288" s="1" t="s">
        <v>22</v>
      </c>
      <c r="G288" s="1" t="s">
        <v>55</v>
      </c>
      <c r="H288" s="1" t="s">
        <v>1926</v>
      </c>
      <c r="I288" s="102">
        <v>1</v>
      </c>
      <c r="J288" s="1" t="s">
        <v>158</v>
      </c>
      <c r="K288" s="1" t="s">
        <v>22</v>
      </c>
      <c r="L288" s="103">
        <v>33720</v>
      </c>
      <c r="M288" s="104">
        <v>24</v>
      </c>
      <c r="N288" s="1" t="s">
        <v>175</v>
      </c>
      <c r="O288" s="1" t="s">
        <v>24</v>
      </c>
      <c r="P288" s="1" t="s">
        <v>354</v>
      </c>
      <c r="Q288" s="1" t="s">
        <v>1927</v>
      </c>
      <c r="R288" s="62">
        <v>0</v>
      </c>
      <c r="S288" s="102">
        <v>0</v>
      </c>
      <c r="T288" s="54" t="s">
        <v>1928</v>
      </c>
      <c r="U288" s="105">
        <v>18.7</v>
      </c>
      <c r="V288" s="54" t="s">
        <v>1929</v>
      </c>
      <c r="W288" s="105">
        <v>5.3</v>
      </c>
      <c r="X288" s="62">
        <v>0</v>
      </c>
      <c r="Y288" s="102">
        <v>0</v>
      </c>
      <c r="Z288" s="62">
        <v>0</v>
      </c>
      <c r="AA288" s="102">
        <v>0</v>
      </c>
      <c r="AB288" s="57" t="s">
        <v>1930</v>
      </c>
      <c r="AC288" s="106" t="s">
        <v>206</v>
      </c>
      <c r="AD288" s="106" t="s">
        <v>206</v>
      </c>
      <c r="AE288" s="106" t="s">
        <v>206</v>
      </c>
      <c r="AF288" s="106" t="s">
        <v>206</v>
      </c>
      <c r="AG288" s="106" t="s">
        <v>35</v>
      </c>
      <c r="AH288" s="106" t="s">
        <v>206</v>
      </c>
      <c r="AI288" s="1" t="s">
        <v>357</v>
      </c>
      <c r="AJ288" s="1" t="s">
        <v>206</v>
      </c>
      <c r="AK288" s="1" t="s">
        <v>358</v>
      </c>
      <c r="AL288" s="1" t="s">
        <v>197</v>
      </c>
      <c r="AM288" s="106" t="s">
        <v>27</v>
      </c>
      <c r="AN288" s="1" t="s">
        <v>357</v>
      </c>
      <c r="AO288" s="1" t="s">
        <v>208</v>
      </c>
      <c r="AP288" s="1" t="s">
        <v>206</v>
      </c>
      <c r="AQ288" s="1" t="s">
        <v>441</v>
      </c>
      <c r="AR288" s="1" t="s">
        <v>207</v>
      </c>
      <c r="AS288" s="106" t="s">
        <v>35</v>
      </c>
      <c r="AT288" s="1" t="s">
        <v>206</v>
      </c>
      <c r="AU288" s="106" t="s">
        <v>206</v>
      </c>
      <c r="AV288" s="106" t="s">
        <v>206</v>
      </c>
      <c r="AW288" s="106" t="s">
        <v>35</v>
      </c>
      <c r="AX288" s="106" t="s">
        <v>206</v>
      </c>
      <c r="AY288" s="106" t="s">
        <v>206</v>
      </c>
      <c r="AZ288" s="1" t="s">
        <v>206</v>
      </c>
      <c r="BA288" s="106" t="s">
        <v>206</v>
      </c>
      <c r="BB288" s="106" t="s">
        <v>206</v>
      </c>
      <c r="BC288" s="106" t="s">
        <v>206</v>
      </c>
      <c r="BD288" s="106" t="s">
        <v>206</v>
      </c>
      <c r="BE288" s="106" t="s">
        <v>206</v>
      </c>
      <c r="BF288" s="107">
        <f>IF(AZ288="Não","Sim","Não")</f>
      </c>
      <c r="BG288" s="107">
        <f>IF(AZ288="NA","Sim","Não")</f>
      </c>
      <c r="BH288" s="106" t="s">
        <v>206</v>
      </c>
      <c r="BI288" s="1" t="s">
        <v>238</v>
      </c>
      <c r="BJ288" s="106" t="s">
        <v>241</v>
      </c>
      <c r="BK288" s="1" t="s">
        <v>386</v>
      </c>
      <c r="BL288" s="102">
        <v>72</v>
      </c>
      <c r="BM288" s="1" t="s">
        <v>208</v>
      </c>
      <c r="BN288" s="1" t="s">
        <v>208</v>
      </c>
      <c r="BO288" s="1" t="s">
        <v>386</v>
      </c>
      <c r="BP288" s="102">
        <v>72</v>
      </c>
      <c r="BQ288" s="1" t="s">
        <v>208</v>
      </c>
      <c r="BR288" s="1" t="s">
        <v>227</v>
      </c>
      <c r="BS288" s="106" t="s">
        <v>37</v>
      </c>
    </row>
    <row x14ac:dyDescent="0.25" r="289" customHeight="1" ht="17.25">
      <c r="A289" s="102">
        <v>288</v>
      </c>
      <c r="B289" s="1" t="s">
        <v>408</v>
      </c>
      <c r="C289" s="102">
        <v>0</v>
      </c>
      <c r="D289" s="61" t="s">
        <v>409</v>
      </c>
      <c r="E289" s="1" t="s">
        <v>82</v>
      </c>
      <c r="F289" s="1" t="s">
        <v>22</v>
      </c>
      <c r="G289" s="1" t="s">
        <v>59</v>
      </c>
      <c r="H289" s="1" t="s">
        <v>1931</v>
      </c>
      <c r="I289" s="102">
        <v>1</v>
      </c>
      <c r="J289" s="1" t="s">
        <v>159</v>
      </c>
      <c r="K289" s="1" t="s">
        <v>22</v>
      </c>
      <c r="L289" s="103">
        <v>33821</v>
      </c>
      <c r="M289" s="104">
        <v>24</v>
      </c>
      <c r="N289" s="1" t="s">
        <v>175</v>
      </c>
      <c r="O289" s="1" t="s">
        <v>24</v>
      </c>
      <c r="P289" s="1" t="s">
        <v>354</v>
      </c>
      <c r="Q289" s="1" t="s">
        <v>366</v>
      </c>
      <c r="R289" s="62">
        <v>0</v>
      </c>
      <c r="S289" s="102">
        <v>0</v>
      </c>
      <c r="T289" s="62">
        <v>0</v>
      </c>
      <c r="U289" s="102">
        <v>0</v>
      </c>
      <c r="V289" s="54" t="s">
        <v>1932</v>
      </c>
      <c r="W289" s="105">
        <v>512.8</v>
      </c>
      <c r="X289" s="62">
        <v>0</v>
      </c>
      <c r="Y289" s="102">
        <v>0</v>
      </c>
      <c r="Z289" s="62">
        <v>0</v>
      </c>
      <c r="AA289" s="102">
        <v>0</v>
      </c>
      <c r="AB289" s="62">
        <v>0</v>
      </c>
      <c r="AC289" s="106" t="s">
        <v>206</v>
      </c>
      <c r="AD289" s="106" t="s">
        <v>206</v>
      </c>
      <c r="AE289" s="106" t="s">
        <v>206</v>
      </c>
      <c r="AF289" s="106" t="s">
        <v>206</v>
      </c>
      <c r="AG289" s="106" t="s">
        <v>206</v>
      </c>
      <c r="AH289" s="106" t="s">
        <v>206</v>
      </c>
      <c r="AI289" s="1" t="s">
        <v>371</v>
      </c>
      <c r="AJ289" s="1" t="s">
        <v>206</v>
      </c>
      <c r="AK289" s="1" t="s">
        <v>1933</v>
      </c>
      <c r="AL289" s="1" t="s">
        <v>198</v>
      </c>
      <c r="AM289" s="106" t="s">
        <v>27</v>
      </c>
      <c r="AN289" s="1" t="s">
        <v>357</v>
      </c>
      <c r="AO289" s="1" t="s">
        <v>208</v>
      </c>
      <c r="AP289" s="1" t="s">
        <v>847</v>
      </c>
      <c r="AQ289" s="1" t="s">
        <v>386</v>
      </c>
      <c r="AR289" s="1" t="s">
        <v>206</v>
      </c>
      <c r="AS289" s="106" t="s">
        <v>206</v>
      </c>
      <c r="AT289" s="1" t="s">
        <v>206</v>
      </c>
      <c r="AU289" s="106" t="s">
        <v>206</v>
      </c>
      <c r="AV289" s="106" t="s">
        <v>206</v>
      </c>
      <c r="AW289" s="106" t="s">
        <v>35</v>
      </c>
      <c r="AX289" s="106" t="s">
        <v>206</v>
      </c>
      <c r="AY289" s="106" t="s">
        <v>206</v>
      </c>
      <c r="AZ289" s="1" t="s">
        <v>206</v>
      </c>
      <c r="BA289" s="106" t="s">
        <v>206</v>
      </c>
      <c r="BB289" s="106" t="s">
        <v>206</v>
      </c>
      <c r="BC289" s="106" t="s">
        <v>206</v>
      </c>
      <c r="BD289" s="106" t="s">
        <v>206</v>
      </c>
      <c r="BE289" s="106" t="s">
        <v>206</v>
      </c>
      <c r="BF289" s="107">
        <f>IF(AZ289="Não","Sim","Não")</f>
      </c>
      <c r="BG289" s="107">
        <f>IF(AZ289="NA","Sim","Não")</f>
      </c>
      <c r="BH289" s="106" t="s">
        <v>206</v>
      </c>
      <c r="BI289" s="1" t="s">
        <v>206</v>
      </c>
      <c r="BJ289" s="106" t="s">
        <v>206</v>
      </c>
      <c r="BK289" s="1" t="s">
        <v>386</v>
      </c>
      <c r="BL289" s="102">
        <v>72</v>
      </c>
      <c r="BM289" s="1" t="s">
        <v>208</v>
      </c>
      <c r="BN289" s="1" t="s">
        <v>208</v>
      </c>
      <c r="BO289" s="1" t="s">
        <v>386</v>
      </c>
      <c r="BP289" s="102">
        <v>72</v>
      </c>
      <c r="BQ289" s="1" t="s">
        <v>208</v>
      </c>
      <c r="BR289" s="1" t="s">
        <v>227</v>
      </c>
      <c r="BS289" s="106" t="s">
        <v>37</v>
      </c>
    </row>
    <row x14ac:dyDescent="0.25" r="290" customHeight="1" ht="17.25">
      <c r="A290" s="102">
        <v>289</v>
      </c>
      <c r="B290" s="1" t="s">
        <v>1934</v>
      </c>
      <c r="C290" s="102">
        <v>1</v>
      </c>
      <c r="D290" s="61">
        <v>42800</v>
      </c>
      <c r="E290" s="1" t="s">
        <v>115</v>
      </c>
      <c r="F290" s="1" t="s">
        <v>170</v>
      </c>
      <c r="G290" s="1" t="s">
        <v>53</v>
      </c>
      <c r="H290" s="1" t="s">
        <v>1935</v>
      </c>
      <c r="I290" s="102">
        <v>1</v>
      </c>
      <c r="J290" s="1" t="s">
        <v>158</v>
      </c>
      <c r="K290" s="1" t="s">
        <v>22</v>
      </c>
      <c r="L290" s="103">
        <v>34301</v>
      </c>
      <c r="M290" s="104">
        <v>23</v>
      </c>
      <c r="N290" s="1" t="s">
        <v>177</v>
      </c>
      <c r="O290" s="1" t="s">
        <v>24</v>
      </c>
      <c r="P290" s="1" t="s">
        <v>354</v>
      </c>
      <c r="Q290" s="1" t="s">
        <v>1936</v>
      </c>
      <c r="R290" s="54" t="s">
        <v>1937</v>
      </c>
      <c r="S290" s="105">
        <v>102.3</v>
      </c>
      <c r="T290" s="54" t="s">
        <v>1938</v>
      </c>
      <c r="U290" s="105">
        <v>26.1</v>
      </c>
      <c r="V290" s="54" t="s">
        <v>1939</v>
      </c>
      <c r="W290" s="105">
        <v>6.4</v>
      </c>
      <c r="X290" s="62">
        <v>0</v>
      </c>
      <c r="Y290" s="102">
        <v>0</v>
      </c>
      <c r="Z290" s="62">
        <v>0</v>
      </c>
      <c r="AA290" s="102">
        <v>0</v>
      </c>
      <c r="AB290" s="57" t="s">
        <v>1940</v>
      </c>
      <c r="AC290" s="106" t="s">
        <v>206</v>
      </c>
      <c r="AD290" s="106" t="s">
        <v>206</v>
      </c>
      <c r="AE290" s="106" t="s">
        <v>206</v>
      </c>
      <c r="AF290" s="106" t="s">
        <v>206</v>
      </c>
      <c r="AG290" s="106" t="s">
        <v>35</v>
      </c>
      <c r="AH290" s="106" t="s">
        <v>206</v>
      </c>
      <c r="AI290" s="1" t="s">
        <v>357</v>
      </c>
      <c r="AJ290" s="1" t="s">
        <v>206</v>
      </c>
      <c r="AK290" s="1" t="s">
        <v>1941</v>
      </c>
      <c r="AL290" s="1" t="s">
        <v>197</v>
      </c>
      <c r="AM290" s="106" t="s">
        <v>27</v>
      </c>
      <c r="AN290" s="1" t="s">
        <v>357</v>
      </c>
      <c r="AO290" s="1" t="s">
        <v>208</v>
      </c>
      <c r="AP290" s="1" t="s">
        <v>206</v>
      </c>
      <c r="AQ290" s="1" t="s">
        <v>441</v>
      </c>
      <c r="AR290" s="1" t="s">
        <v>207</v>
      </c>
      <c r="AS290" s="106" t="s">
        <v>35</v>
      </c>
      <c r="AT290" s="1" t="s">
        <v>206</v>
      </c>
      <c r="AU290" s="106" t="s">
        <v>206</v>
      </c>
      <c r="AV290" s="106" t="s">
        <v>206</v>
      </c>
      <c r="AW290" s="106" t="s">
        <v>35</v>
      </c>
      <c r="AX290" s="106" t="s">
        <v>206</v>
      </c>
      <c r="AY290" s="106" t="s">
        <v>206</v>
      </c>
      <c r="AZ290" s="1" t="s">
        <v>206</v>
      </c>
      <c r="BA290" s="106" t="s">
        <v>206</v>
      </c>
      <c r="BB290" s="106" t="s">
        <v>206</v>
      </c>
      <c r="BC290" s="106" t="s">
        <v>206</v>
      </c>
      <c r="BD290" s="106" t="s">
        <v>206</v>
      </c>
      <c r="BE290" s="106" t="s">
        <v>206</v>
      </c>
      <c r="BF290" s="107">
        <f>IF(AZ290="Não","Sim","Não")</f>
      </c>
      <c r="BG290" s="107">
        <f>IF(AZ290="NA","Sim","Não")</f>
      </c>
      <c r="BH290" s="106" t="s">
        <v>206</v>
      </c>
      <c r="BI290" s="1" t="s">
        <v>238</v>
      </c>
      <c r="BJ290" s="106" t="s">
        <v>241</v>
      </c>
      <c r="BK290" s="1" t="s">
        <v>386</v>
      </c>
      <c r="BL290" s="102">
        <v>72</v>
      </c>
      <c r="BM290" s="1" t="s">
        <v>208</v>
      </c>
      <c r="BN290" s="1" t="s">
        <v>208</v>
      </c>
      <c r="BO290" s="1" t="s">
        <v>386</v>
      </c>
      <c r="BP290" s="102">
        <v>72</v>
      </c>
      <c r="BQ290" s="1" t="s">
        <v>208</v>
      </c>
      <c r="BR290" s="1" t="s">
        <v>227</v>
      </c>
      <c r="BS290" s="106" t="s">
        <v>37</v>
      </c>
    </row>
    <row x14ac:dyDescent="0.25" r="291" customHeight="1" ht="17.25">
      <c r="A291" s="102">
        <v>290</v>
      </c>
      <c r="B291" s="1" t="s">
        <v>1942</v>
      </c>
      <c r="C291" s="102">
        <v>1</v>
      </c>
      <c r="D291" s="61" t="s">
        <v>962</v>
      </c>
      <c r="E291" s="1" t="s">
        <v>134</v>
      </c>
      <c r="F291" s="1" t="s">
        <v>22</v>
      </c>
      <c r="G291" s="1" t="s">
        <v>67</v>
      </c>
      <c r="H291" s="1" t="s">
        <v>1943</v>
      </c>
      <c r="I291" s="102">
        <v>1</v>
      </c>
      <c r="J291" s="1" t="s">
        <v>158</v>
      </c>
      <c r="K291" s="1" t="s">
        <v>22</v>
      </c>
      <c r="L291" s="103">
        <v>34118</v>
      </c>
      <c r="M291" s="104">
        <v>24</v>
      </c>
      <c r="N291" s="1" t="s">
        <v>177</v>
      </c>
      <c r="O291" s="1" t="s">
        <v>24</v>
      </c>
      <c r="P291" s="1" t="s">
        <v>365</v>
      </c>
      <c r="Q291" s="1" t="s">
        <v>773</v>
      </c>
      <c r="R291" s="54" t="s">
        <v>1944</v>
      </c>
      <c r="S291" s="105">
        <v>65.3</v>
      </c>
      <c r="T291" s="54" t="s">
        <v>1945</v>
      </c>
      <c r="U291" s="105">
        <v>73.6</v>
      </c>
      <c r="V291" s="54" t="s">
        <v>1946</v>
      </c>
      <c r="W291" s="102">
        <v>29</v>
      </c>
      <c r="X291" s="62">
        <v>0</v>
      </c>
      <c r="Y291" s="102">
        <v>0</v>
      </c>
      <c r="Z291" s="62">
        <v>0</v>
      </c>
      <c r="AA291" s="102">
        <v>0</v>
      </c>
      <c r="AB291" s="62">
        <v>0</v>
      </c>
      <c r="AC291" s="106" t="s">
        <v>206</v>
      </c>
      <c r="AD291" s="106" t="s">
        <v>206</v>
      </c>
      <c r="AE291" s="106" t="s">
        <v>206</v>
      </c>
      <c r="AF291" s="106" t="s">
        <v>206</v>
      </c>
      <c r="AG291" s="106" t="s">
        <v>206</v>
      </c>
      <c r="AH291" s="106" t="s">
        <v>206</v>
      </c>
      <c r="AI291" s="1" t="s">
        <v>357</v>
      </c>
      <c r="AJ291" s="1" t="s">
        <v>206</v>
      </c>
      <c r="AK291" s="1" t="s">
        <v>1166</v>
      </c>
      <c r="AL291" s="1" t="s">
        <v>197</v>
      </c>
      <c r="AM291" s="106" t="s">
        <v>27</v>
      </c>
      <c r="AN291" s="1" t="s">
        <v>357</v>
      </c>
      <c r="AO291" s="1" t="s">
        <v>208</v>
      </c>
      <c r="AP291" s="1" t="s">
        <v>206</v>
      </c>
      <c r="AQ291" s="1" t="s">
        <v>441</v>
      </c>
      <c r="AR291" s="1" t="s">
        <v>207</v>
      </c>
      <c r="AS291" s="106" t="s">
        <v>35</v>
      </c>
      <c r="AT291" s="1" t="s">
        <v>206</v>
      </c>
      <c r="AU291" s="106" t="s">
        <v>206</v>
      </c>
      <c r="AV291" s="106" t="s">
        <v>206</v>
      </c>
      <c r="AW291" s="106" t="s">
        <v>35</v>
      </c>
      <c r="AX291" s="106" t="s">
        <v>206</v>
      </c>
      <c r="AY291" s="106" t="s">
        <v>206</v>
      </c>
      <c r="AZ291" s="1" t="s">
        <v>206</v>
      </c>
      <c r="BA291" s="106" t="s">
        <v>206</v>
      </c>
      <c r="BB291" s="106" t="s">
        <v>206</v>
      </c>
      <c r="BC291" s="106" t="s">
        <v>206</v>
      </c>
      <c r="BD291" s="106" t="s">
        <v>206</v>
      </c>
      <c r="BE291" s="106" t="s">
        <v>206</v>
      </c>
      <c r="BF291" s="107">
        <f>IF(AZ291="Não","Sim","Não")</f>
      </c>
      <c r="BG291" s="107">
        <f>IF(AZ291="NA","Sim","Não")</f>
      </c>
      <c r="BH291" s="106" t="s">
        <v>206</v>
      </c>
      <c r="BI291" s="1" t="s">
        <v>238</v>
      </c>
      <c r="BJ291" s="106" t="s">
        <v>241</v>
      </c>
      <c r="BK291" s="1" t="s">
        <v>386</v>
      </c>
      <c r="BL291" s="102">
        <v>72</v>
      </c>
      <c r="BM291" s="1" t="s">
        <v>208</v>
      </c>
      <c r="BN291" s="1" t="s">
        <v>208</v>
      </c>
      <c r="BO291" s="1" t="s">
        <v>386</v>
      </c>
      <c r="BP291" s="102">
        <v>72</v>
      </c>
      <c r="BQ291" s="1" t="s">
        <v>208</v>
      </c>
      <c r="BR291" s="1" t="s">
        <v>227</v>
      </c>
      <c r="BS291" s="106" t="s">
        <v>37</v>
      </c>
    </row>
    <row x14ac:dyDescent="0.25" r="292" customHeight="1" ht="17.25">
      <c r="A292" s="102">
        <v>291</v>
      </c>
      <c r="B292" s="1" t="s">
        <v>1947</v>
      </c>
      <c r="C292" s="102">
        <v>1</v>
      </c>
      <c r="D292" s="61" t="s">
        <v>751</v>
      </c>
      <c r="E292" s="1" t="s">
        <v>80</v>
      </c>
      <c r="F292" s="1" t="s">
        <v>170</v>
      </c>
      <c r="G292" s="1" t="s">
        <v>41</v>
      </c>
      <c r="H292" s="1" t="s">
        <v>1948</v>
      </c>
      <c r="I292" s="102">
        <v>1</v>
      </c>
      <c r="J292" s="1" t="s">
        <v>158</v>
      </c>
      <c r="K292" s="1" t="s">
        <v>22</v>
      </c>
      <c r="L292" s="103">
        <v>30354</v>
      </c>
      <c r="M292" s="104">
        <v>34</v>
      </c>
      <c r="N292" s="1" t="s">
        <v>175</v>
      </c>
      <c r="O292" s="1" t="s">
        <v>24</v>
      </c>
      <c r="P292" s="1" t="s">
        <v>464</v>
      </c>
      <c r="Q292" s="1" t="s">
        <v>761</v>
      </c>
      <c r="R292" s="54" t="s">
        <v>1949</v>
      </c>
      <c r="S292" s="105">
        <v>9.5</v>
      </c>
      <c r="T292" s="54" t="s">
        <v>1950</v>
      </c>
      <c r="U292" s="105">
        <v>13.5</v>
      </c>
      <c r="V292" s="62">
        <v>0</v>
      </c>
      <c r="W292" s="102">
        <v>0</v>
      </c>
      <c r="X292" s="62">
        <v>0</v>
      </c>
      <c r="Y292" s="102">
        <v>0</v>
      </c>
      <c r="Z292" s="62">
        <v>0</v>
      </c>
      <c r="AA292" s="102">
        <v>0</v>
      </c>
      <c r="AB292" s="62">
        <v>0</v>
      </c>
      <c r="AC292" s="106" t="s">
        <v>206</v>
      </c>
      <c r="AD292" s="106" t="s">
        <v>206</v>
      </c>
      <c r="AE292" s="106" t="s">
        <v>206</v>
      </c>
      <c r="AF292" s="106" t="s">
        <v>206</v>
      </c>
      <c r="AG292" s="106" t="s">
        <v>206</v>
      </c>
      <c r="AH292" s="106" t="s">
        <v>206</v>
      </c>
      <c r="AI292" s="1" t="s">
        <v>357</v>
      </c>
      <c r="AJ292" s="1" t="s">
        <v>206</v>
      </c>
      <c r="AK292" s="1" t="s">
        <v>1951</v>
      </c>
      <c r="AL292" s="1" t="s">
        <v>197</v>
      </c>
      <c r="AM292" s="106" t="s">
        <v>27</v>
      </c>
      <c r="AN292" s="1" t="s">
        <v>357</v>
      </c>
      <c r="AO292" s="1" t="s">
        <v>208</v>
      </c>
      <c r="AP292" s="1" t="s">
        <v>603</v>
      </c>
      <c r="AQ292" s="1" t="s">
        <v>386</v>
      </c>
      <c r="AR292" s="1" t="s">
        <v>206</v>
      </c>
      <c r="AS292" s="106" t="s">
        <v>206</v>
      </c>
      <c r="AT292" s="1" t="s">
        <v>206</v>
      </c>
      <c r="AU292" s="106" t="s">
        <v>206</v>
      </c>
      <c r="AV292" s="106" t="s">
        <v>206</v>
      </c>
      <c r="AW292" s="106" t="s">
        <v>35</v>
      </c>
      <c r="AX292" s="106" t="s">
        <v>206</v>
      </c>
      <c r="AY292" s="106" t="s">
        <v>206</v>
      </c>
      <c r="AZ292" s="1" t="s">
        <v>206</v>
      </c>
      <c r="BA292" s="106" t="s">
        <v>206</v>
      </c>
      <c r="BB292" s="106" t="s">
        <v>206</v>
      </c>
      <c r="BC292" s="106" t="s">
        <v>206</v>
      </c>
      <c r="BD292" s="106" t="s">
        <v>206</v>
      </c>
      <c r="BE292" s="106" t="s">
        <v>206</v>
      </c>
      <c r="BF292" s="107">
        <f>IF(AZ292="Não","Sim","Não")</f>
      </c>
      <c r="BG292" s="107">
        <f>IF(AZ292="NA","Sim","Não")</f>
      </c>
      <c r="BH292" s="106" t="s">
        <v>206</v>
      </c>
      <c r="BI292" s="1" t="s">
        <v>206</v>
      </c>
      <c r="BJ292" s="106" t="s">
        <v>206</v>
      </c>
      <c r="BK292" s="1" t="s">
        <v>1501</v>
      </c>
      <c r="BL292" s="102">
        <v>72</v>
      </c>
      <c r="BM292" s="1" t="s">
        <v>208</v>
      </c>
      <c r="BN292" s="1" t="s">
        <v>208</v>
      </c>
      <c r="BO292" s="1" t="s">
        <v>1501</v>
      </c>
      <c r="BP292" s="102">
        <v>72</v>
      </c>
      <c r="BQ292" s="1" t="s">
        <v>208</v>
      </c>
      <c r="BR292" s="1" t="s">
        <v>227</v>
      </c>
      <c r="BS292" s="106" t="s">
        <v>37</v>
      </c>
    </row>
    <row x14ac:dyDescent="0.25" r="293" customHeight="1" ht="17.25">
      <c r="A293" s="102">
        <v>292</v>
      </c>
      <c r="B293" s="1" t="s">
        <v>1952</v>
      </c>
      <c r="C293" s="102">
        <v>1</v>
      </c>
      <c r="D293" s="61" t="s">
        <v>1635</v>
      </c>
      <c r="E293" s="1" t="s">
        <v>87</v>
      </c>
      <c r="F293" s="1" t="s">
        <v>22</v>
      </c>
      <c r="G293" s="1" t="s">
        <v>62</v>
      </c>
      <c r="H293" s="1" t="s">
        <v>1953</v>
      </c>
      <c r="I293" s="102">
        <v>1</v>
      </c>
      <c r="J293" s="1" t="s">
        <v>158</v>
      </c>
      <c r="K293" s="1" t="s">
        <v>170</v>
      </c>
      <c r="L293" s="103">
        <v>36201</v>
      </c>
      <c r="M293" s="104">
        <v>18</v>
      </c>
      <c r="N293" s="1" t="s">
        <v>176</v>
      </c>
      <c r="O293" s="1" t="s">
        <v>182</v>
      </c>
      <c r="P293" s="1" t="s">
        <v>365</v>
      </c>
      <c r="Q293" s="1" t="s">
        <v>1954</v>
      </c>
      <c r="R293" s="54" t="s">
        <v>1955</v>
      </c>
      <c r="S293" s="102">
        <v>10700</v>
      </c>
      <c r="T293" s="62">
        <v>0</v>
      </c>
      <c r="U293" s="102">
        <v>0</v>
      </c>
      <c r="V293" s="62">
        <v>0</v>
      </c>
      <c r="W293" s="102">
        <v>0</v>
      </c>
      <c r="X293" s="62">
        <v>0</v>
      </c>
      <c r="Y293" s="102">
        <v>0</v>
      </c>
      <c r="Z293" s="62">
        <v>0</v>
      </c>
      <c r="AA293" s="102">
        <v>0</v>
      </c>
      <c r="AB293" s="62">
        <v>0</v>
      </c>
      <c r="AC293" s="106" t="s">
        <v>206</v>
      </c>
      <c r="AD293" s="106" t="s">
        <v>206</v>
      </c>
      <c r="AE293" s="106" t="s">
        <v>206</v>
      </c>
      <c r="AF293" s="106" t="s">
        <v>206</v>
      </c>
      <c r="AG293" s="106" t="s">
        <v>206</v>
      </c>
      <c r="AH293" s="106" t="s">
        <v>206</v>
      </c>
      <c r="AI293" s="1" t="s">
        <v>357</v>
      </c>
      <c r="AJ293" s="1" t="s">
        <v>206</v>
      </c>
      <c r="AK293" s="1" t="s">
        <v>1956</v>
      </c>
      <c r="AL293" s="1" t="s">
        <v>197</v>
      </c>
      <c r="AM293" s="106" t="s">
        <v>27</v>
      </c>
      <c r="AN293" s="1" t="s">
        <v>357</v>
      </c>
      <c r="AO293" s="1" t="s">
        <v>208</v>
      </c>
      <c r="AP293" s="1" t="s">
        <v>406</v>
      </c>
      <c r="AQ293" s="1" t="s">
        <v>1374</v>
      </c>
      <c r="AR293" s="1" t="s">
        <v>206</v>
      </c>
      <c r="AS293" s="106" t="s">
        <v>206</v>
      </c>
      <c r="AT293" s="1" t="s">
        <v>212</v>
      </c>
      <c r="AU293" s="106" t="s">
        <v>35</v>
      </c>
      <c r="AV293" s="106" t="s">
        <v>35</v>
      </c>
      <c r="AW293" s="106" t="s">
        <v>206</v>
      </c>
      <c r="AX293" s="106" t="s">
        <v>206</v>
      </c>
      <c r="AY293" s="106" t="s">
        <v>35</v>
      </c>
      <c r="AZ293" s="1" t="s">
        <v>32</v>
      </c>
      <c r="BA293" s="106" t="s">
        <v>206</v>
      </c>
      <c r="BB293" s="106" t="s">
        <v>206</v>
      </c>
      <c r="BC293" s="106" t="s">
        <v>35</v>
      </c>
      <c r="BD293" s="106" t="s">
        <v>206</v>
      </c>
      <c r="BE293" s="106" t="s">
        <v>206</v>
      </c>
      <c r="BF293" s="107">
        <f>IF(AZ293="Não","Sim","Não")</f>
      </c>
      <c r="BG293" s="107">
        <f>IF(AZ293="NA","Sim","Não")</f>
      </c>
      <c r="BH293" s="106" t="s">
        <v>35</v>
      </c>
      <c r="BI293" s="1" t="s">
        <v>206</v>
      </c>
      <c r="BJ293" s="106" t="s">
        <v>206</v>
      </c>
      <c r="BK293" s="1" t="s">
        <v>1957</v>
      </c>
      <c r="BL293" s="105">
        <v>74.66666666666667</v>
      </c>
      <c r="BM293" s="1" t="s">
        <v>208</v>
      </c>
      <c r="BN293" s="1" t="s">
        <v>208</v>
      </c>
      <c r="BO293" s="1" t="s">
        <v>1957</v>
      </c>
      <c r="BP293" s="105">
        <v>74.66666666666667</v>
      </c>
      <c r="BQ293" s="1" t="s">
        <v>208</v>
      </c>
      <c r="BR293" s="1" t="s">
        <v>227</v>
      </c>
      <c r="BS293" s="106" t="s">
        <v>37</v>
      </c>
    </row>
    <row x14ac:dyDescent="0.25" r="294" customHeight="1" ht="17.25">
      <c r="A294" s="102">
        <v>293</v>
      </c>
      <c r="B294" s="1" t="s">
        <v>1958</v>
      </c>
      <c r="C294" s="102">
        <v>1</v>
      </c>
      <c r="D294" s="61" t="s">
        <v>1959</v>
      </c>
      <c r="E294" s="1" t="s">
        <v>102</v>
      </c>
      <c r="F294" s="1" t="s">
        <v>22</v>
      </c>
      <c r="G294" s="1" t="s">
        <v>56</v>
      </c>
      <c r="H294" s="1" t="s">
        <v>1960</v>
      </c>
      <c r="I294" s="102">
        <v>1</v>
      </c>
      <c r="J294" s="1" t="s">
        <v>158</v>
      </c>
      <c r="K294" s="1" t="s">
        <v>22</v>
      </c>
      <c r="L294" s="103">
        <v>31345</v>
      </c>
      <c r="M294" s="104">
        <v>31</v>
      </c>
      <c r="N294" s="1" t="s">
        <v>176</v>
      </c>
      <c r="O294" s="1" t="s">
        <v>182</v>
      </c>
      <c r="P294" s="1" t="s">
        <v>1961</v>
      </c>
      <c r="Q294" s="1" t="s">
        <v>559</v>
      </c>
      <c r="R294" s="54" t="s">
        <v>1962</v>
      </c>
      <c r="S294" s="105">
        <v>811.6</v>
      </c>
      <c r="T294" s="54" t="s">
        <v>1963</v>
      </c>
      <c r="U294" s="105">
        <v>233.5</v>
      </c>
      <c r="V294" s="54" t="s">
        <v>1964</v>
      </c>
      <c r="W294" s="105">
        <v>604.6</v>
      </c>
      <c r="X294" s="62">
        <v>0</v>
      </c>
      <c r="Y294" s="102">
        <v>0</v>
      </c>
      <c r="Z294" s="62">
        <v>0</v>
      </c>
      <c r="AA294" s="102">
        <v>0</v>
      </c>
      <c r="AB294" s="57" t="s">
        <v>1965</v>
      </c>
      <c r="AC294" s="106" t="s">
        <v>206</v>
      </c>
      <c r="AD294" s="106" t="s">
        <v>206</v>
      </c>
      <c r="AE294" s="106" t="s">
        <v>206</v>
      </c>
      <c r="AF294" s="106" t="s">
        <v>206</v>
      </c>
      <c r="AG294" s="106" t="s">
        <v>35</v>
      </c>
      <c r="AH294" s="106" t="s">
        <v>206</v>
      </c>
      <c r="AI294" s="1" t="s">
        <v>357</v>
      </c>
      <c r="AJ294" s="1" t="s">
        <v>206</v>
      </c>
      <c r="AK294" s="1" t="s">
        <v>1108</v>
      </c>
      <c r="AL294" s="1" t="s">
        <v>197</v>
      </c>
      <c r="AM294" s="106" t="s">
        <v>27</v>
      </c>
      <c r="AN294" s="1" t="s">
        <v>357</v>
      </c>
      <c r="AO294" s="1" t="s">
        <v>208</v>
      </c>
      <c r="AP294" s="1" t="s">
        <v>1645</v>
      </c>
      <c r="AQ294" s="1" t="s">
        <v>654</v>
      </c>
      <c r="AR294" s="1" t="s">
        <v>206</v>
      </c>
      <c r="AS294" s="106" t="s">
        <v>206</v>
      </c>
      <c r="AT294" s="1" t="s">
        <v>28</v>
      </c>
      <c r="AU294" s="106" t="s">
        <v>35</v>
      </c>
      <c r="AV294" s="106" t="s">
        <v>206</v>
      </c>
      <c r="AW294" s="106" t="s">
        <v>206</v>
      </c>
      <c r="AX294" s="106" t="s">
        <v>206</v>
      </c>
      <c r="AY294" s="106" t="s">
        <v>35</v>
      </c>
      <c r="AZ294" s="1" t="s">
        <v>206</v>
      </c>
      <c r="BA294" s="106" t="s">
        <v>206</v>
      </c>
      <c r="BB294" s="106" t="s">
        <v>206</v>
      </c>
      <c r="BC294" s="106" t="s">
        <v>206</v>
      </c>
      <c r="BD294" s="106" t="s">
        <v>206</v>
      </c>
      <c r="BE294" s="106" t="s">
        <v>206</v>
      </c>
      <c r="BF294" s="107">
        <f>IF(AZ294="Não","Sim","Não")</f>
      </c>
      <c r="BG294" s="107">
        <f>IF(AZ294="NA","Sim","Não")</f>
      </c>
      <c r="BH294" s="106" t="s">
        <v>206</v>
      </c>
      <c r="BI294" s="1" t="s">
        <v>238</v>
      </c>
      <c r="BJ294" s="106" t="s">
        <v>241</v>
      </c>
      <c r="BK294" s="1" t="s">
        <v>654</v>
      </c>
      <c r="BL294" s="102">
        <v>75</v>
      </c>
      <c r="BM294" s="1" t="s">
        <v>208</v>
      </c>
      <c r="BN294" s="1" t="s">
        <v>208</v>
      </c>
      <c r="BO294" s="1" t="s">
        <v>654</v>
      </c>
      <c r="BP294" s="102">
        <v>75</v>
      </c>
      <c r="BQ294" s="1" t="s">
        <v>208</v>
      </c>
      <c r="BR294" s="1" t="s">
        <v>227</v>
      </c>
      <c r="BS294" s="106" t="s">
        <v>37</v>
      </c>
    </row>
    <row x14ac:dyDescent="0.25" r="295" customHeight="1" ht="17.25">
      <c r="A295" s="102">
        <v>294</v>
      </c>
      <c r="B295" s="1" t="s">
        <v>1966</v>
      </c>
      <c r="C295" s="102">
        <v>1</v>
      </c>
      <c r="D295" s="61" t="s">
        <v>1967</v>
      </c>
      <c r="E295" s="1" t="s">
        <v>128</v>
      </c>
      <c r="F295" s="1" t="s">
        <v>22</v>
      </c>
      <c r="G295" s="1" t="s">
        <v>52</v>
      </c>
      <c r="H295" s="1" t="s">
        <v>1968</v>
      </c>
      <c r="I295" s="102">
        <v>1</v>
      </c>
      <c r="J295" s="1" t="s">
        <v>164</v>
      </c>
      <c r="K295" s="1" t="s">
        <v>170</v>
      </c>
      <c r="L295" s="103">
        <v>27765</v>
      </c>
      <c r="M295" s="104">
        <v>41</v>
      </c>
      <c r="N295" s="1" t="s">
        <v>177</v>
      </c>
      <c r="O295" s="1" t="s">
        <v>24</v>
      </c>
      <c r="P295" s="1" t="s">
        <v>517</v>
      </c>
      <c r="Q295" s="1" t="s">
        <v>1969</v>
      </c>
      <c r="R295" s="62">
        <v>0</v>
      </c>
      <c r="S295" s="102">
        <v>0</v>
      </c>
      <c r="T295" s="54" t="s">
        <v>1970</v>
      </c>
      <c r="U295" s="105">
        <v>3609.2</v>
      </c>
      <c r="V295" s="62">
        <v>0</v>
      </c>
      <c r="W295" s="102">
        <v>0</v>
      </c>
      <c r="X295" s="62">
        <v>0</v>
      </c>
      <c r="Y295" s="102">
        <v>0</v>
      </c>
      <c r="Z295" s="62">
        <v>0</v>
      </c>
      <c r="AA295" s="102">
        <v>0</v>
      </c>
      <c r="AB295" s="62">
        <v>0</v>
      </c>
      <c r="AC295" s="106" t="s">
        <v>206</v>
      </c>
      <c r="AD295" s="106" t="s">
        <v>206</v>
      </c>
      <c r="AE295" s="106" t="s">
        <v>206</v>
      </c>
      <c r="AF295" s="106" t="s">
        <v>206</v>
      </c>
      <c r="AG295" s="106" t="s">
        <v>206</v>
      </c>
      <c r="AH295" s="106" t="s">
        <v>206</v>
      </c>
      <c r="AI295" s="1" t="s">
        <v>371</v>
      </c>
      <c r="AJ295" s="1" t="s">
        <v>206</v>
      </c>
      <c r="AK295" s="1" t="s">
        <v>1971</v>
      </c>
      <c r="AL295" s="1" t="s">
        <v>198</v>
      </c>
      <c r="AM295" s="106" t="s">
        <v>27</v>
      </c>
      <c r="AN295" s="1" t="s">
        <v>357</v>
      </c>
      <c r="AO295" s="1" t="s">
        <v>208</v>
      </c>
      <c r="AP295" s="1" t="s">
        <v>847</v>
      </c>
      <c r="AQ295" s="1" t="s">
        <v>1374</v>
      </c>
      <c r="AR295" s="1" t="s">
        <v>206</v>
      </c>
      <c r="AS295" s="106" t="s">
        <v>206</v>
      </c>
      <c r="AT295" s="1" t="s">
        <v>28</v>
      </c>
      <c r="AU295" s="106" t="s">
        <v>35</v>
      </c>
      <c r="AV295" s="106" t="s">
        <v>206</v>
      </c>
      <c r="AW295" s="106" t="s">
        <v>206</v>
      </c>
      <c r="AX295" s="106" t="s">
        <v>206</v>
      </c>
      <c r="AY295" s="106" t="s">
        <v>35</v>
      </c>
      <c r="AZ295" s="1" t="s">
        <v>32</v>
      </c>
      <c r="BA295" s="106" t="s">
        <v>206</v>
      </c>
      <c r="BB295" s="106" t="s">
        <v>206</v>
      </c>
      <c r="BC295" s="106" t="s">
        <v>35</v>
      </c>
      <c r="BD295" s="106" t="s">
        <v>206</v>
      </c>
      <c r="BE295" s="106" t="s">
        <v>206</v>
      </c>
      <c r="BF295" s="107">
        <f>IF(AZ295="Não","Sim","Não")</f>
      </c>
      <c r="BG295" s="107">
        <f>IF(AZ295="NA","Sim","Não")</f>
      </c>
      <c r="BH295" s="106" t="s">
        <v>35</v>
      </c>
      <c r="BI295" s="1" t="s">
        <v>206</v>
      </c>
      <c r="BJ295" s="106" t="s">
        <v>206</v>
      </c>
      <c r="BK295" s="1" t="s">
        <v>1972</v>
      </c>
      <c r="BL295" s="105">
        <v>77.76666666666667</v>
      </c>
      <c r="BM295" s="1" t="s">
        <v>208</v>
      </c>
      <c r="BN295" s="1" t="s">
        <v>208</v>
      </c>
      <c r="BO295" s="1" t="s">
        <v>1972</v>
      </c>
      <c r="BP295" s="105">
        <v>77.76666666666667</v>
      </c>
      <c r="BQ295" s="1" t="s">
        <v>208</v>
      </c>
      <c r="BR295" s="1" t="s">
        <v>227</v>
      </c>
      <c r="BS295" s="106" t="s">
        <v>37</v>
      </c>
    </row>
    <row x14ac:dyDescent="0.25" r="296" customHeight="1" ht="17.25">
      <c r="A296" s="102">
        <v>295</v>
      </c>
      <c r="B296" s="1" t="s">
        <v>1973</v>
      </c>
      <c r="C296" s="102">
        <v>1</v>
      </c>
      <c r="D296" s="61">
        <v>42907</v>
      </c>
      <c r="E296" s="1" t="s">
        <v>115</v>
      </c>
      <c r="F296" s="1" t="s">
        <v>170</v>
      </c>
      <c r="G296" s="1" t="s">
        <v>53</v>
      </c>
      <c r="H296" s="1" t="s">
        <v>1974</v>
      </c>
      <c r="I296" s="102">
        <v>1</v>
      </c>
      <c r="J296" s="1" t="s">
        <v>159</v>
      </c>
      <c r="K296" s="1" t="s">
        <v>22</v>
      </c>
      <c r="L296" s="103">
        <v>34355</v>
      </c>
      <c r="M296" s="104">
        <v>23</v>
      </c>
      <c r="N296" s="1" t="s">
        <v>175</v>
      </c>
      <c r="O296" s="1" t="s">
        <v>24</v>
      </c>
      <c r="P296" s="1" t="s">
        <v>365</v>
      </c>
      <c r="Q296" s="1" t="s">
        <v>1975</v>
      </c>
      <c r="R296" s="54" t="s">
        <v>1976</v>
      </c>
      <c r="S296" s="105">
        <v>97.3</v>
      </c>
      <c r="T296" s="54" t="s">
        <v>1977</v>
      </c>
      <c r="U296" s="105">
        <v>1150.2</v>
      </c>
      <c r="V296" s="54" t="s">
        <v>1978</v>
      </c>
      <c r="W296" s="105">
        <v>170.6</v>
      </c>
      <c r="X296" s="62">
        <v>0</v>
      </c>
      <c r="Y296" s="102">
        <v>0</v>
      </c>
      <c r="Z296" s="62">
        <v>0</v>
      </c>
      <c r="AA296" s="102">
        <v>0</v>
      </c>
      <c r="AB296" s="62">
        <v>0</v>
      </c>
      <c r="AC296" s="106" t="s">
        <v>206</v>
      </c>
      <c r="AD296" s="106" t="s">
        <v>206</v>
      </c>
      <c r="AE296" s="106" t="s">
        <v>206</v>
      </c>
      <c r="AF296" s="106" t="s">
        <v>206</v>
      </c>
      <c r="AG296" s="106" t="s">
        <v>206</v>
      </c>
      <c r="AH296" s="106" t="s">
        <v>206</v>
      </c>
      <c r="AI296" s="1" t="s">
        <v>371</v>
      </c>
      <c r="AJ296" s="1" t="s">
        <v>1979</v>
      </c>
      <c r="AK296" s="1" t="s">
        <v>776</v>
      </c>
      <c r="AL296" s="1" t="s">
        <v>198</v>
      </c>
      <c r="AM296" s="106" t="s">
        <v>27</v>
      </c>
      <c r="AN296" s="1" t="s">
        <v>357</v>
      </c>
      <c r="AO296" s="1" t="s">
        <v>1980</v>
      </c>
      <c r="AP296" s="1" t="s">
        <v>385</v>
      </c>
      <c r="AQ296" s="1" t="s">
        <v>386</v>
      </c>
      <c r="AR296" s="1" t="s">
        <v>207</v>
      </c>
      <c r="AS296" s="106" t="s">
        <v>35</v>
      </c>
      <c r="AT296" s="1" t="s">
        <v>28</v>
      </c>
      <c r="AU296" s="106" t="s">
        <v>35</v>
      </c>
      <c r="AV296" s="106" t="s">
        <v>206</v>
      </c>
      <c r="AW296" s="106" t="s">
        <v>206</v>
      </c>
      <c r="AX296" s="106" t="s">
        <v>206</v>
      </c>
      <c r="AY296" s="106" t="s">
        <v>35</v>
      </c>
      <c r="AZ296" s="1" t="s">
        <v>206</v>
      </c>
      <c r="BA296" s="106" t="s">
        <v>206</v>
      </c>
      <c r="BB296" s="106" t="s">
        <v>206</v>
      </c>
      <c r="BC296" s="106" t="s">
        <v>206</v>
      </c>
      <c r="BD296" s="106" t="s">
        <v>206</v>
      </c>
      <c r="BE296" s="106" t="s">
        <v>206</v>
      </c>
      <c r="BF296" s="107">
        <f>IF(AZ296="Não","Sim","Não")</f>
      </c>
      <c r="BG296" s="107">
        <f>IF(AZ296="NA","Sim","Não")</f>
      </c>
      <c r="BH296" s="106" t="s">
        <v>206</v>
      </c>
      <c r="BI296" s="1" t="s">
        <v>206</v>
      </c>
      <c r="BJ296" s="106" t="s">
        <v>206</v>
      </c>
      <c r="BK296" s="1" t="s">
        <v>1981</v>
      </c>
      <c r="BL296" s="102">
        <v>78</v>
      </c>
      <c r="BM296" s="1" t="s">
        <v>208</v>
      </c>
      <c r="BN296" s="1" t="s">
        <v>1982</v>
      </c>
      <c r="BO296" s="1" t="s">
        <v>1983</v>
      </c>
      <c r="BP296" s="102">
        <v>129</v>
      </c>
      <c r="BQ296" s="1" t="s">
        <v>208</v>
      </c>
      <c r="BR296" s="1" t="s">
        <v>227</v>
      </c>
      <c r="BS296" s="106" t="s">
        <v>232</v>
      </c>
    </row>
    <row x14ac:dyDescent="0.25" r="297" customHeight="1" ht="17.25">
      <c r="A297" s="102">
        <v>296</v>
      </c>
      <c r="B297" s="1" t="s">
        <v>1984</v>
      </c>
      <c r="C297" s="102">
        <v>0</v>
      </c>
      <c r="D297" s="61" t="s">
        <v>1985</v>
      </c>
      <c r="E297" s="1" t="s">
        <v>140</v>
      </c>
      <c r="F297" s="1" t="s">
        <v>170</v>
      </c>
      <c r="G297" s="1" t="s">
        <v>51</v>
      </c>
      <c r="H297" s="1" t="s">
        <v>1986</v>
      </c>
      <c r="I297" s="102">
        <v>1</v>
      </c>
      <c r="J297" s="1" t="s">
        <v>158</v>
      </c>
      <c r="K297" s="1" t="s">
        <v>22</v>
      </c>
      <c r="L297" s="103">
        <v>22780</v>
      </c>
      <c r="M297" s="104">
        <v>55</v>
      </c>
      <c r="N297" s="1" t="s">
        <v>176</v>
      </c>
      <c r="O297" s="1" t="s">
        <v>182</v>
      </c>
      <c r="P297" s="1" t="s">
        <v>365</v>
      </c>
      <c r="Q297" s="1" t="s">
        <v>1987</v>
      </c>
      <c r="R297" s="62">
        <v>0</v>
      </c>
      <c r="S297" s="102">
        <v>0</v>
      </c>
      <c r="T297" s="54" t="s">
        <v>1988</v>
      </c>
      <c r="U297" s="102">
        <v>19488</v>
      </c>
      <c r="V297" s="62">
        <v>0</v>
      </c>
      <c r="W297" s="102">
        <v>0</v>
      </c>
      <c r="X297" s="62">
        <v>0</v>
      </c>
      <c r="Y297" s="102">
        <v>0</v>
      </c>
      <c r="Z297" s="62">
        <v>0</v>
      </c>
      <c r="AA297" s="102">
        <v>0</v>
      </c>
      <c r="AB297" s="62">
        <v>0</v>
      </c>
      <c r="AC297" s="106" t="s">
        <v>206</v>
      </c>
      <c r="AD297" s="106" t="s">
        <v>206</v>
      </c>
      <c r="AE297" s="106" t="s">
        <v>206</v>
      </c>
      <c r="AF297" s="106" t="s">
        <v>206</v>
      </c>
      <c r="AG297" s="106" t="s">
        <v>206</v>
      </c>
      <c r="AH297" s="106" t="s">
        <v>206</v>
      </c>
      <c r="AI297" s="1" t="s">
        <v>371</v>
      </c>
      <c r="AJ297" s="1" t="s">
        <v>206</v>
      </c>
      <c r="AK297" s="1" t="s">
        <v>1296</v>
      </c>
      <c r="AL297" s="1" t="s">
        <v>198</v>
      </c>
      <c r="AM297" s="106" t="s">
        <v>27</v>
      </c>
      <c r="AN297" s="1" t="s">
        <v>357</v>
      </c>
      <c r="AO297" s="1" t="s">
        <v>208</v>
      </c>
      <c r="AP297" s="1" t="s">
        <v>374</v>
      </c>
      <c r="AQ297" s="1" t="s">
        <v>1989</v>
      </c>
      <c r="AR297" s="1" t="s">
        <v>206</v>
      </c>
      <c r="AS297" s="106" t="s">
        <v>206</v>
      </c>
      <c r="AT297" s="1" t="s">
        <v>206</v>
      </c>
      <c r="AU297" s="106" t="s">
        <v>206</v>
      </c>
      <c r="AV297" s="106" t="s">
        <v>206</v>
      </c>
      <c r="AW297" s="106" t="s">
        <v>35</v>
      </c>
      <c r="AX297" s="106" t="s">
        <v>206</v>
      </c>
      <c r="AY297" s="106" t="s">
        <v>206</v>
      </c>
      <c r="AZ297" s="1" t="s">
        <v>32</v>
      </c>
      <c r="BA297" s="106" t="s">
        <v>206</v>
      </c>
      <c r="BB297" s="106" t="s">
        <v>206</v>
      </c>
      <c r="BC297" s="106" t="s">
        <v>35</v>
      </c>
      <c r="BD297" s="106" t="s">
        <v>206</v>
      </c>
      <c r="BE297" s="106" t="s">
        <v>206</v>
      </c>
      <c r="BF297" s="107">
        <f>IF(AZ297="Não","Sim","Não")</f>
      </c>
      <c r="BG297" s="107">
        <f>IF(AZ297="NA","Sim","Não")</f>
      </c>
      <c r="BH297" s="106" t="s">
        <v>35</v>
      </c>
      <c r="BI297" s="1" t="s">
        <v>206</v>
      </c>
      <c r="BJ297" s="106" t="s">
        <v>206</v>
      </c>
      <c r="BK297" s="1" t="s">
        <v>1990</v>
      </c>
      <c r="BL297" s="102">
        <v>78</v>
      </c>
      <c r="BM297" s="1" t="s">
        <v>208</v>
      </c>
      <c r="BN297" s="1" t="s">
        <v>208</v>
      </c>
      <c r="BO297" s="1" t="s">
        <v>1990</v>
      </c>
      <c r="BP297" s="105">
        <v>78.73333333333333</v>
      </c>
      <c r="BQ297" s="1" t="s">
        <v>208</v>
      </c>
      <c r="BR297" s="1" t="s">
        <v>227</v>
      </c>
      <c r="BS297" s="106" t="s">
        <v>37</v>
      </c>
    </row>
    <row x14ac:dyDescent="0.25" r="298" customHeight="1" ht="17.25">
      <c r="A298" s="102">
        <v>297</v>
      </c>
      <c r="B298" s="1" t="s">
        <v>1341</v>
      </c>
      <c r="C298" s="102">
        <v>1</v>
      </c>
      <c r="D298" s="61">
        <v>42871</v>
      </c>
      <c r="E298" s="1" t="s">
        <v>80</v>
      </c>
      <c r="F298" s="1" t="s">
        <v>170</v>
      </c>
      <c r="G298" s="1" t="s">
        <v>38</v>
      </c>
      <c r="H298" s="1" t="s">
        <v>1991</v>
      </c>
      <c r="I298" s="102">
        <v>1</v>
      </c>
      <c r="J298" s="1" t="s">
        <v>161</v>
      </c>
      <c r="K298" s="1" t="s">
        <v>22</v>
      </c>
      <c r="L298" s="103">
        <v>30746</v>
      </c>
      <c r="M298" s="104">
        <v>33</v>
      </c>
      <c r="N298" s="1" t="s">
        <v>176</v>
      </c>
      <c r="O298" s="1" t="s">
        <v>182</v>
      </c>
      <c r="P298" s="1" t="s">
        <v>464</v>
      </c>
      <c r="Q298" s="1" t="s">
        <v>1343</v>
      </c>
      <c r="R298" s="54" t="s">
        <v>1344</v>
      </c>
      <c r="S298" s="102">
        <v>7816</v>
      </c>
      <c r="T298" s="62">
        <v>0</v>
      </c>
      <c r="U298" s="102">
        <v>0</v>
      </c>
      <c r="V298" s="62">
        <v>0</v>
      </c>
      <c r="W298" s="102">
        <v>0</v>
      </c>
      <c r="X298" s="62">
        <v>0</v>
      </c>
      <c r="Y298" s="102">
        <v>0</v>
      </c>
      <c r="Z298" s="62">
        <v>0</v>
      </c>
      <c r="AA298" s="102">
        <v>0</v>
      </c>
      <c r="AB298" s="62">
        <v>0</v>
      </c>
      <c r="AC298" s="106" t="s">
        <v>206</v>
      </c>
      <c r="AD298" s="106" t="s">
        <v>206</v>
      </c>
      <c r="AE298" s="106" t="s">
        <v>206</v>
      </c>
      <c r="AF298" s="106" t="s">
        <v>206</v>
      </c>
      <c r="AG298" s="106" t="s">
        <v>206</v>
      </c>
      <c r="AH298" s="106" t="s">
        <v>206</v>
      </c>
      <c r="AI298" s="1" t="s">
        <v>371</v>
      </c>
      <c r="AJ298" s="1" t="s">
        <v>206</v>
      </c>
      <c r="AK298" s="1" t="s">
        <v>384</v>
      </c>
      <c r="AL298" s="1" t="s">
        <v>197</v>
      </c>
      <c r="AM298" s="106" t="s">
        <v>27</v>
      </c>
      <c r="AN298" s="1" t="s">
        <v>371</v>
      </c>
      <c r="AO298" s="1" t="s">
        <v>208</v>
      </c>
      <c r="AP298" s="1" t="s">
        <v>206</v>
      </c>
      <c r="AQ298" s="1" t="s">
        <v>441</v>
      </c>
      <c r="AR298" s="1" t="s">
        <v>207</v>
      </c>
      <c r="AS298" s="106" t="s">
        <v>35</v>
      </c>
      <c r="AT298" s="1" t="s">
        <v>206</v>
      </c>
      <c r="AU298" s="106" t="s">
        <v>206</v>
      </c>
      <c r="AV298" s="106" t="s">
        <v>206</v>
      </c>
      <c r="AW298" s="106" t="s">
        <v>35</v>
      </c>
      <c r="AX298" s="106" t="s">
        <v>206</v>
      </c>
      <c r="AY298" s="106" t="s">
        <v>206</v>
      </c>
      <c r="AZ298" s="1" t="s">
        <v>206</v>
      </c>
      <c r="BA298" s="106" t="s">
        <v>206</v>
      </c>
      <c r="BB298" s="106" t="s">
        <v>206</v>
      </c>
      <c r="BC298" s="106" t="s">
        <v>206</v>
      </c>
      <c r="BD298" s="106" t="s">
        <v>206</v>
      </c>
      <c r="BE298" s="106" t="s">
        <v>206</v>
      </c>
      <c r="BF298" s="107">
        <f>IF(AZ298="Não","Sim","Não")</f>
      </c>
      <c r="BG298" s="107">
        <f>IF(AZ298="NA","Sim","Não")</f>
      </c>
      <c r="BH298" s="106" t="s">
        <v>206</v>
      </c>
      <c r="BI298" s="1" t="s">
        <v>238</v>
      </c>
      <c r="BJ298" s="106" t="s">
        <v>241</v>
      </c>
      <c r="BK298" s="1" t="s">
        <v>1374</v>
      </c>
      <c r="BL298" s="102">
        <v>80</v>
      </c>
      <c r="BM298" s="1" t="s">
        <v>1276</v>
      </c>
      <c r="BN298" s="1" t="s">
        <v>208</v>
      </c>
      <c r="BO298" s="1" t="s">
        <v>1992</v>
      </c>
      <c r="BP298" s="102">
        <v>128</v>
      </c>
      <c r="BQ298" s="1" t="s">
        <v>208</v>
      </c>
      <c r="BR298" s="1" t="s">
        <v>227</v>
      </c>
      <c r="BS298" s="106" t="s">
        <v>232</v>
      </c>
    </row>
    <row x14ac:dyDescent="0.25" r="299" customHeight="1" ht="17.25">
      <c r="A299" s="102">
        <v>298</v>
      </c>
      <c r="B299" s="1" t="s">
        <v>1683</v>
      </c>
      <c r="C299" s="102">
        <v>1</v>
      </c>
      <c r="D299" s="61" t="s">
        <v>1684</v>
      </c>
      <c r="E299" s="1" t="s">
        <v>88</v>
      </c>
      <c r="F299" s="1" t="s">
        <v>170</v>
      </c>
      <c r="G299" s="1" t="s">
        <v>40</v>
      </c>
      <c r="H299" s="1" t="s">
        <v>1993</v>
      </c>
      <c r="I299" s="102">
        <v>1</v>
      </c>
      <c r="J299" s="1" t="s">
        <v>162</v>
      </c>
      <c r="K299" s="1" t="s">
        <v>22</v>
      </c>
      <c r="L299" s="103">
        <v>26357</v>
      </c>
      <c r="M299" s="104">
        <v>45</v>
      </c>
      <c r="N299" s="1" t="s">
        <v>175</v>
      </c>
      <c r="O299" s="1" t="s">
        <v>24</v>
      </c>
      <c r="P299" s="1" t="s">
        <v>517</v>
      </c>
      <c r="Q299" s="1" t="s">
        <v>1686</v>
      </c>
      <c r="R299" s="54" t="s">
        <v>1687</v>
      </c>
      <c r="S299" s="102">
        <v>209300</v>
      </c>
      <c r="T299" s="62">
        <v>0</v>
      </c>
      <c r="U299" s="102">
        <v>0</v>
      </c>
      <c r="V299" s="62">
        <v>0</v>
      </c>
      <c r="W299" s="102">
        <v>0</v>
      </c>
      <c r="X299" s="62">
        <v>0</v>
      </c>
      <c r="Y299" s="102">
        <v>0</v>
      </c>
      <c r="Z299" s="62">
        <v>0</v>
      </c>
      <c r="AA299" s="102">
        <v>0</v>
      </c>
      <c r="AB299" s="62">
        <v>0</v>
      </c>
      <c r="AC299" s="106" t="s">
        <v>206</v>
      </c>
      <c r="AD299" s="106" t="s">
        <v>206</v>
      </c>
      <c r="AE299" s="106" t="s">
        <v>206</v>
      </c>
      <c r="AF299" s="106" t="s">
        <v>206</v>
      </c>
      <c r="AG299" s="106" t="s">
        <v>206</v>
      </c>
      <c r="AH299" s="106" t="s">
        <v>206</v>
      </c>
      <c r="AI299" s="1" t="s">
        <v>371</v>
      </c>
      <c r="AJ299" s="1" t="s">
        <v>206</v>
      </c>
      <c r="AK299" s="1" t="s">
        <v>384</v>
      </c>
      <c r="AL299" s="1" t="s">
        <v>198</v>
      </c>
      <c r="AM299" s="106" t="s">
        <v>27</v>
      </c>
      <c r="AN299" s="1" t="s">
        <v>357</v>
      </c>
      <c r="AO299" s="1" t="s">
        <v>208</v>
      </c>
      <c r="AP299" s="1" t="s">
        <v>1994</v>
      </c>
      <c r="AQ299" s="1" t="s">
        <v>1374</v>
      </c>
      <c r="AR299" s="1" t="s">
        <v>206</v>
      </c>
      <c r="AS299" s="106" t="s">
        <v>206</v>
      </c>
      <c r="AT299" s="1" t="s">
        <v>206</v>
      </c>
      <c r="AU299" s="106" t="s">
        <v>206</v>
      </c>
      <c r="AV299" s="106" t="s">
        <v>206</v>
      </c>
      <c r="AW299" s="106" t="s">
        <v>35</v>
      </c>
      <c r="AX299" s="106" t="s">
        <v>206</v>
      </c>
      <c r="AY299" s="106" t="s">
        <v>206</v>
      </c>
      <c r="AZ299" s="1" t="s">
        <v>206</v>
      </c>
      <c r="BA299" s="106" t="s">
        <v>206</v>
      </c>
      <c r="BB299" s="106" t="s">
        <v>206</v>
      </c>
      <c r="BC299" s="106" t="s">
        <v>206</v>
      </c>
      <c r="BD299" s="106" t="s">
        <v>206</v>
      </c>
      <c r="BE299" s="106" t="s">
        <v>206</v>
      </c>
      <c r="BF299" s="107">
        <f>IF(AZ299="Não","Sim","Não")</f>
      </c>
      <c r="BG299" s="107">
        <f>IF(AZ299="NA","Sim","Não")</f>
      </c>
      <c r="BH299" s="106" t="s">
        <v>206</v>
      </c>
      <c r="BI299" s="1" t="s">
        <v>206</v>
      </c>
      <c r="BJ299" s="106" t="s">
        <v>206</v>
      </c>
      <c r="BK299" s="1" t="s">
        <v>1374</v>
      </c>
      <c r="BL299" s="102">
        <v>80</v>
      </c>
      <c r="BM299" s="1" t="s">
        <v>208</v>
      </c>
      <c r="BN299" s="1" t="s">
        <v>208</v>
      </c>
      <c r="BO299" s="1" t="s">
        <v>1374</v>
      </c>
      <c r="BP299" s="102">
        <v>80</v>
      </c>
      <c r="BQ299" s="1" t="s">
        <v>208</v>
      </c>
      <c r="BR299" s="1" t="s">
        <v>227</v>
      </c>
      <c r="BS299" s="106" t="s">
        <v>37</v>
      </c>
    </row>
    <row x14ac:dyDescent="0.25" r="300" customHeight="1" ht="17.25">
      <c r="A300" s="102">
        <v>299</v>
      </c>
      <c r="B300" s="1" t="s">
        <v>1683</v>
      </c>
      <c r="C300" s="102">
        <v>0</v>
      </c>
      <c r="D300" s="61" t="s">
        <v>1684</v>
      </c>
      <c r="E300" s="1" t="s">
        <v>88</v>
      </c>
      <c r="F300" s="1" t="s">
        <v>170</v>
      </c>
      <c r="G300" s="1" t="s">
        <v>40</v>
      </c>
      <c r="H300" s="1" t="s">
        <v>1995</v>
      </c>
      <c r="I300" s="102">
        <v>1</v>
      </c>
      <c r="J300" s="1" t="s">
        <v>162</v>
      </c>
      <c r="K300" s="1" t="s">
        <v>22</v>
      </c>
      <c r="L300" s="103">
        <v>27893</v>
      </c>
      <c r="M300" s="104">
        <v>41</v>
      </c>
      <c r="N300" s="1" t="s">
        <v>176</v>
      </c>
      <c r="O300" s="1" t="s">
        <v>182</v>
      </c>
      <c r="P300" s="1" t="s">
        <v>464</v>
      </c>
      <c r="Q300" s="1" t="s">
        <v>1686</v>
      </c>
      <c r="R300" s="54" t="s">
        <v>1687</v>
      </c>
      <c r="S300" s="102">
        <v>209300</v>
      </c>
      <c r="T300" s="62">
        <v>0</v>
      </c>
      <c r="U300" s="102">
        <v>0</v>
      </c>
      <c r="V300" s="62">
        <v>0</v>
      </c>
      <c r="W300" s="102">
        <v>0</v>
      </c>
      <c r="X300" s="62">
        <v>0</v>
      </c>
      <c r="Y300" s="102">
        <v>0</v>
      </c>
      <c r="Z300" s="62">
        <v>0</v>
      </c>
      <c r="AA300" s="102">
        <v>0</v>
      </c>
      <c r="AB300" s="62">
        <v>0</v>
      </c>
      <c r="AC300" s="106" t="s">
        <v>206</v>
      </c>
      <c r="AD300" s="106" t="s">
        <v>206</v>
      </c>
      <c r="AE300" s="106" t="s">
        <v>206</v>
      </c>
      <c r="AF300" s="106" t="s">
        <v>206</v>
      </c>
      <c r="AG300" s="106" t="s">
        <v>206</v>
      </c>
      <c r="AH300" s="106" t="s">
        <v>206</v>
      </c>
      <c r="AI300" s="1" t="s">
        <v>371</v>
      </c>
      <c r="AJ300" s="1" t="s">
        <v>206</v>
      </c>
      <c r="AK300" s="1" t="s">
        <v>384</v>
      </c>
      <c r="AL300" s="1" t="s">
        <v>198</v>
      </c>
      <c r="AM300" s="106" t="s">
        <v>27</v>
      </c>
      <c r="AN300" s="1" t="s">
        <v>357</v>
      </c>
      <c r="AO300" s="1" t="s">
        <v>208</v>
      </c>
      <c r="AP300" s="1" t="s">
        <v>1994</v>
      </c>
      <c r="AQ300" s="1" t="s">
        <v>1374</v>
      </c>
      <c r="AR300" s="1" t="s">
        <v>206</v>
      </c>
      <c r="AS300" s="106" t="s">
        <v>206</v>
      </c>
      <c r="AT300" s="1" t="s">
        <v>206</v>
      </c>
      <c r="AU300" s="106" t="s">
        <v>206</v>
      </c>
      <c r="AV300" s="106" t="s">
        <v>206</v>
      </c>
      <c r="AW300" s="106" t="s">
        <v>35</v>
      </c>
      <c r="AX300" s="106" t="s">
        <v>206</v>
      </c>
      <c r="AY300" s="106" t="s">
        <v>206</v>
      </c>
      <c r="AZ300" s="1" t="s">
        <v>206</v>
      </c>
      <c r="BA300" s="106" t="s">
        <v>206</v>
      </c>
      <c r="BB300" s="106" t="s">
        <v>206</v>
      </c>
      <c r="BC300" s="106" t="s">
        <v>206</v>
      </c>
      <c r="BD300" s="106" t="s">
        <v>206</v>
      </c>
      <c r="BE300" s="106" t="s">
        <v>206</v>
      </c>
      <c r="BF300" s="107">
        <f>IF(AZ300="Não","Sim","Não")</f>
      </c>
      <c r="BG300" s="107">
        <f>IF(AZ300="NA","Sim","Não")</f>
      </c>
      <c r="BH300" s="106" t="s">
        <v>206</v>
      </c>
      <c r="BI300" s="1" t="s">
        <v>206</v>
      </c>
      <c r="BJ300" s="106" t="s">
        <v>206</v>
      </c>
      <c r="BK300" s="1" t="s">
        <v>1374</v>
      </c>
      <c r="BL300" s="102">
        <v>80</v>
      </c>
      <c r="BM300" s="1" t="s">
        <v>208</v>
      </c>
      <c r="BN300" s="1" t="s">
        <v>208</v>
      </c>
      <c r="BO300" s="1" t="s">
        <v>1374</v>
      </c>
      <c r="BP300" s="102">
        <v>80</v>
      </c>
      <c r="BQ300" s="1" t="s">
        <v>208</v>
      </c>
      <c r="BR300" s="1" t="s">
        <v>227</v>
      </c>
      <c r="BS300" s="106" t="s">
        <v>37</v>
      </c>
    </row>
    <row x14ac:dyDescent="0.25" r="301" customHeight="1" ht="17.25">
      <c r="A301" s="102">
        <v>300</v>
      </c>
      <c r="B301" s="1" t="s">
        <v>1996</v>
      </c>
      <c r="C301" s="102">
        <v>1</v>
      </c>
      <c r="D301" s="61">
        <v>42979</v>
      </c>
      <c r="E301" s="1" t="s">
        <v>80</v>
      </c>
      <c r="F301" s="1" t="s">
        <v>170</v>
      </c>
      <c r="G301" s="1" t="s">
        <v>61</v>
      </c>
      <c r="H301" s="1" t="s">
        <v>1997</v>
      </c>
      <c r="I301" s="102">
        <v>1</v>
      </c>
      <c r="J301" s="1" t="s">
        <v>158</v>
      </c>
      <c r="K301" s="1" t="s">
        <v>22</v>
      </c>
      <c r="L301" s="103">
        <v>32870</v>
      </c>
      <c r="M301" s="104">
        <v>27</v>
      </c>
      <c r="N301" s="1" t="s">
        <v>177</v>
      </c>
      <c r="O301" s="1" t="s">
        <v>24</v>
      </c>
      <c r="P301" s="1" t="s">
        <v>365</v>
      </c>
      <c r="Q301" s="1" t="s">
        <v>1998</v>
      </c>
      <c r="R301" s="54" t="s">
        <v>1999</v>
      </c>
      <c r="S301" s="105">
        <v>379.4</v>
      </c>
      <c r="T301" s="54" t="s">
        <v>2000</v>
      </c>
      <c r="U301" s="105">
        <v>44.6</v>
      </c>
      <c r="V301" s="62">
        <v>0</v>
      </c>
      <c r="W301" s="102">
        <v>0</v>
      </c>
      <c r="X301" s="62">
        <v>0</v>
      </c>
      <c r="Y301" s="102">
        <v>0</v>
      </c>
      <c r="Z301" s="62">
        <v>0</v>
      </c>
      <c r="AA301" s="102">
        <v>0</v>
      </c>
      <c r="AB301" s="62">
        <v>0</v>
      </c>
      <c r="AC301" s="106" t="s">
        <v>206</v>
      </c>
      <c r="AD301" s="106" t="s">
        <v>206</v>
      </c>
      <c r="AE301" s="106" t="s">
        <v>206</v>
      </c>
      <c r="AF301" s="106" t="s">
        <v>206</v>
      </c>
      <c r="AG301" s="106" t="s">
        <v>206</v>
      </c>
      <c r="AH301" s="106" t="s">
        <v>206</v>
      </c>
      <c r="AI301" s="1" t="s">
        <v>357</v>
      </c>
      <c r="AJ301" s="1" t="s">
        <v>206</v>
      </c>
      <c r="AK301" s="1" t="s">
        <v>1480</v>
      </c>
      <c r="AL301" s="1" t="s">
        <v>197</v>
      </c>
      <c r="AM301" s="106" t="s">
        <v>27</v>
      </c>
      <c r="AN301" s="1" t="s">
        <v>357</v>
      </c>
      <c r="AO301" s="1" t="s">
        <v>208</v>
      </c>
      <c r="AP301" s="1" t="s">
        <v>206</v>
      </c>
      <c r="AQ301" s="1" t="s">
        <v>441</v>
      </c>
      <c r="AR301" s="1" t="s">
        <v>207</v>
      </c>
      <c r="AS301" s="106" t="s">
        <v>35</v>
      </c>
      <c r="AT301" s="1" t="s">
        <v>206</v>
      </c>
      <c r="AU301" s="106" t="s">
        <v>206</v>
      </c>
      <c r="AV301" s="106" t="s">
        <v>206</v>
      </c>
      <c r="AW301" s="106" t="s">
        <v>35</v>
      </c>
      <c r="AX301" s="106" t="s">
        <v>206</v>
      </c>
      <c r="AY301" s="106" t="s">
        <v>206</v>
      </c>
      <c r="AZ301" s="1" t="s">
        <v>206</v>
      </c>
      <c r="BA301" s="106" t="s">
        <v>206</v>
      </c>
      <c r="BB301" s="106" t="s">
        <v>206</v>
      </c>
      <c r="BC301" s="106" t="s">
        <v>206</v>
      </c>
      <c r="BD301" s="106" t="s">
        <v>206</v>
      </c>
      <c r="BE301" s="106" t="s">
        <v>206</v>
      </c>
      <c r="BF301" s="107">
        <f>IF(AZ301="Não","Sim","Não")</f>
      </c>
      <c r="BG301" s="107">
        <f>IF(AZ301="NA","Sim","Não")</f>
      </c>
      <c r="BH301" s="106" t="s">
        <v>206</v>
      </c>
      <c r="BI301" s="1" t="s">
        <v>238</v>
      </c>
      <c r="BJ301" s="106" t="s">
        <v>241</v>
      </c>
      <c r="BK301" s="1" t="s">
        <v>1374</v>
      </c>
      <c r="BL301" s="102">
        <v>80</v>
      </c>
      <c r="BM301" s="1" t="s">
        <v>208</v>
      </c>
      <c r="BN301" s="1" t="s">
        <v>208</v>
      </c>
      <c r="BO301" s="1" t="s">
        <v>1374</v>
      </c>
      <c r="BP301" s="102">
        <v>80</v>
      </c>
      <c r="BQ301" s="1" t="s">
        <v>208</v>
      </c>
      <c r="BR301" s="1" t="s">
        <v>227</v>
      </c>
      <c r="BS301" s="106" t="s">
        <v>37</v>
      </c>
    </row>
    <row x14ac:dyDescent="0.25" r="302" customHeight="1" ht="17.25">
      <c r="A302" s="102">
        <v>301</v>
      </c>
      <c r="B302" s="1" t="s">
        <v>2001</v>
      </c>
      <c r="C302" s="102">
        <v>1</v>
      </c>
      <c r="D302" s="61" t="s">
        <v>1544</v>
      </c>
      <c r="E302" s="1" t="s">
        <v>81</v>
      </c>
      <c r="F302" s="1" t="s">
        <v>22</v>
      </c>
      <c r="G302" s="1" t="s">
        <v>44</v>
      </c>
      <c r="H302" s="1" t="s">
        <v>2002</v>
      </c>
      <c r="I302" s="102">
        <v>1</v>
      </c>
      <c r="J302" s="1" t="s">
        <v>158</v>
      </c>
      <c r="K302" s="1" t="s">
        <v>170</v>
      </c>
      <c r="L302" s="103">
        <v>32387</v>
      </c>
      <c r="M302" s="104">
        <v>28</v>
      </c>
      <c r="N302" s="1" t="s">
        <v>176</v>
      </c>
      <c r="O302" s="1" t="s">
        <v>182</v>
      </c>
      <c r="P302" s="1" t="s">
        <v>464</v>
      </c>
      <c r="Q302" s="1" t="s">
        <v>2003</v>
      </c>
      <c r="R302" s="62">
        <v>0</v>
      </c>
      <c r="S302" s="102">
        <v>0</v>
      </c>
      <c r="T302" s="54" t="s">
        <v>2004</v>
      </c>
      <c r="U302" s="102">
        <v>1802</v>
      </c>
      <c r="V302" s="62">
        <v>0</v>
      </c>
      <c r="W302" s="102">
        <v>0</v>
      </c>
      <c r="X302" s="62">
        <v>0</v>
      </c>
      <c r="Y302" s="102">
        <v>0</v>
      </c>
      <c r="Z302" s="62">
        <v>0</v>
      </c>
      <c r="AA302" s="102">
        <v>0</v>
      </c>
      <c r="AB302" s="62">
        <v>0</v>
      </c>
      <c r="AC302" s="106" t="s">
        <v>206</v>
      </c>
      <c r="AD302" s="106" t="s">
        <v>206</v>
      </c>
      <c r="AE302" s="106" t="s">
        <v>206</v>
      </c>
      <c r="AF302" s="106" t="s">
        <v>206</v>
      </c>
      <c r="AG302" s="106" t="s">
        <v>206</v>
      </c>
      <c r="AH302" s="106" t="s">
        <v>206</v>
      </c>
      <c r="AI302" s="1" t="s">
        <v>371</v>
      </c>
      <c r="AJ302" s="1" t="s">
        <v>206</v>
      </c>
      <c r="AK302" s="1" t="s">
        <v>2005</v>
      </c>
      <c r="AL302" s="1" t="s">
        <v>197</v>
      </c>
      <c r="AM302" s="106" t="s">
        <v>27</v>
      </c>
      <c r="AN302" s="1" t="s">
        <v>371</v>
      </c>
      <c r="AO302" s="1" t="s">
        <v>208</v>
      </c>
      <c r="AP302" s="1" t="s">
        <v>2006</v>
      </c>
      <c r="AQ302" s="1" t="s">
        <v>360</v>
      </c>
      <c r="AR302" s="1" t="s">
        <v>206</v>
      </c>
      <c r="AS302" s="106" t="s">
        <v>206</v>
      </c>
      <c r="AT302" s="1" t="s">
        <v>206</v>
      </c>
      <c r="AU302" s="106" t="s">
        <v>206</v>
      </c>
      <c r="AV302" s="106" t="s">
        <v>206</v>
      </c>
      <c r="AW302" s="106" t="s">
        <v>35</v>
      </c>
      <c r="AX302" s="106" t="s">
        <v>206</v>
      </c>
      <c r="AY302" s="106" t="s">
        <v>206</v>
      </c>
      <c r="AZ302" s="1" t="s">
        <v>206</v>
      </c>
      <c r="BA302" s="106" t="s">
        <v>206</v>
      </c>
      <c r="BB302" s="106" t="s">
        <v>206</v>
      </c>
      <c r="BC302" s="106" t="s">
        <v>206</v>
      </c>
      <c r="BD302" s="106" t="s">
        <v>206</v>
      </c>
      <c r="BE302" s="106" t="s">
        <v>206</v>
      </c>
      <c r="BF302" s="107">
        <f>IF(AZ302="Não","Sim","Não")</f>
      </c>
      <c r="BG302" s="107">
        <f>IF(AZ302="NA","Sim","Não")</f>
      </c>
      <c r="BH302" s="106" t="s">
        <v>206</v>
      </c>
      <c r="BI302" s="1" t="s">
        <v>237</v>
      </c>
      <c r="BJ302" s="106" t="s">
        <v>36</v>
      </c>
      <c r="BK302" s="1" t="s">
        <v>1374</v>
      </c>
      <c r="BL302" s="102">
        <v>80</v>
      </c>
      <c r="BM302" s="1" t="s">
        <v>1101</v>
      </c>
      <c r="BN302" s="1" t="s">
        <v>208</v>
      </c>
      <c r="BO302" s="1" t="s">
        <v>2007</v>
      </c>
      <c r="BP302" s="102">
        <v>116</v>
      </c>
      <c r="BQ302" s="1" t="s">
        <v>208</v>
      </c>
      <c r="BR302" s="1" t="s">
        <v>227</v>
      </c>
      <c r="BS302" s="106" t="s">
        <v>232</v>
      </c>
    </row>
    <row x14ac:dyDescent="0.25" r="303" customHeight="1" ht="17.25">
      <c r="A303" s="102">
        <v>302</v>
      </c>
      <c r="B303" s="1" t="s">
        <v>2001</v>
      </c>
      <c r="C303" s="102">
        <v>0</v>
      </c>
      <c r="D303" s="61" t="s">
        <v>1544</v>
      </c>
      <c r="E303" s="1" t="s">
        <v>81</v>
      </c>
      <c r="F303" s="1" t="s">
        <v>22</v>
      </c>
      <c r="G303" s="1" t="s">
        <v>44</v>
      </c>
      <c r="H303" s="1" t="s">
        <v>2008</v>
      </c>
      <c r="I303" s="102">
        <v>1</v>
      </c>
      <c r="J303" s="1" t="s">
        <v>158</v>
      </c>
      <c r="K303" s="1" t="s">
        <v>22</v>
      </c>
      <c r="L303" s="103">
        <v>23781</v>
      </c>
      <c r="M303" s="104">
        <v>52</v>
      </c>
      <c r="N303" s="1" t="s">
        <v>177</v>
      </c>
      <c r="O303" s="1" t="s">
        <v>24</v>
      </c>
      <c r="P303" s="1" t="s">
        <v>354</v>
      </c>
      <c r="Q303" s="1" t="s">
        <v>2009</v>
      </c>
      <c r="R303" s="62">
        <v>0</v>
      </c>
      <c r="S303" s="102">
        <v>0</v>
      </c>
      <c r="T303" s="54" t="s">
        <v>2004</v>
      </c>
      <c r="U303" s="102">
        <v>1802</v>
      </c>
      <c r="V303" s="62">
        <v>0</v>
      </c>
      <c r="W303" s="102">
        <v>0</v>
      </c>
      <c r="X303" s="62">
        <v>0</v>
      </c>
      <c r="Y303" s="102">
        <v>0</v>
      </c>
      <c r="Z303" s="62">
        <v>0</v>
      </c>
      <c r="AA303" s="102">
        <v>0</v>
      </c>
      <c r="AB303" s="62">
        <v>0</v>
      </c>
      <c r="AC303" s="106" t="s">
        <v>206</v>
      </c>
      <c r="AD303" s="106" t="s">
        <v>206</v>
      </c>
      <c r="AE303" s="106" t="s">
        <v>206</v>
      </c>
      <c r="AF303" s="106" t="s">
        <v>206</v>
      </c>
      <c r="AG303" s="106" t="s">
        <v>206</v>
      </c>
      <c r="AH303" s="106" t="s">
        <v>206</v>
      </c>
      <c r="AI303" s="1" t="s">
        <v>371</v>
      </c>
      <c r="AJ303" s="1" t="s">
        <v>206</v>
      </c>
      <c r="AK303" s="1" t="s">
        <v>2005</v>
      </c>
      <c r="AL303" s="1" t="s">
        <v>197</v>
      </c>
      <c r="AM303" s="106" t="s">
        <v>27</v>
      </c>
      <c r="AN303" s="1" t="s">
        <v>371</v>
      </c>
      <c r="AO303" s="1" t="s">
        <v>208</v>
      </c>
      <c r="AP303" s="1" t="s">
        <v>2006</v>
      </c>
      <c r="AQ303" s="1" t="s">
        <v>360</v>
      </c>
      <c r="AR303" s="1" t="s">
        <v>206</v>
      </c>
      <c r="AS303" s="106" t="s">
        <v>206</v>
      </c>
      <c r="AT303" s="1" t="s">
        <v>206</v>
      </c>
      <c r="AU303" s="106" t="s">
        <v>206</v>
      </c>
      <c r="AV303" s="106" t="s">
        <v>206</v>
      </c>
      <c r="AW303" s="106" t="s">
        <v>35</v>
      </c>
      <c r="AX303" s="106" t="s">
        <v>206</v>
      </c>
      <c r="AY303" s="106" t="s">
        <v>206</v>
      </c>
      <c r="AZ303" s="1" t="s">
        <v>206</v>
      </c>
      <c r="BA303" s="106" t="s">
        <v>206</v>
      </c>
      <c r="BB303" s="106" t="s">
        <v>206</v>
      </c>
      <c r="BC303" s="106" t="s">
        <v>206</v>
      </c>
      <c r="BD303" s="106" t="s">
        <v>206</v>
      </c>
      <c r="BE303" s="106" t="s">
        <v>206</v>
      </c>
      <c r="BF303" s="107">
        <f>IF(AZ303="Não","Sim","Não")</f>
      </c>
      <c r="BG303" s="107">
        <f>IF(AZ303="NA","Sim","Não")</f>
      </c>
      <c r="BH303" s="106" t="s">
        <v>206</v>
      </c>
      <c r="BI303" s="1" t="s">
        <v>237</v>
      </c>
      <c r="BJ303" s="106" t="s">
        <v>36</v>
      </c>
      <c r="BK303" s="1" t="s">
        <v>1374</v>
      </c>
      <c r="BL303" s="102">
        <v>80</v>
      </c>
      <c r="BM303" s="1" t="s">
        <v>1101</v>
      </c>
      <c r="BN303" s="1" t="s">
        <v>208</v>
      </c>
      <c r="BO303" s="1" t="s">
        <v>2007</v>
      </c>
      <c r="BP303" s="102">
        <v>116</v>
      </c>
      <c r="BQ303" s="1" t="s">
        <v>208</v>
      </c>
      <c r="BR303" s="1" t="s">
        <v>227</v>
      </c>
      <c r="BS303" s="106" t="s">
        <v>232</v>
      </c>
    </row>
    <row x14ac:dyDescent="0.25" r="304" customHeight="1" ht="17.25">
      <c r="A304" s="102">
        <v>303</v>
      </c>
      <c r="B304" s="1" t="s">
        <v>2010</v>
      </c>
      <c r="C304" s="102">
        <v>1</v>
      </c>
      <c r="D304" s="61" t="s">
        <v>1589</v>
      </c>
      <c r="E304" s="1" t="s">
        <v>105</v>
      </c>
      <c r="F304" s="1" t="s">
        <v>170</v>
      </c>
      <c r="G304" s="1" t="s">
        <v>39</v>
      </c>
      <c r="H304" s="1" t="s">
        <v>2011</v>
      </c>
      <c r="I304" s="102">
        <v>1</v>
      </c>
      <c r="J304" s="1" t="s">
        <v>158</v>
      </c>
      <c r="K304" s="1" t="s">
        <v>22</v>
      </c>
      <c r="L304" s="103">
        <v>34985</v>
      </c>
      <c r="M304" s="104">
        <v>21</v>
      </c>
      <c r="N304" s="1" t="s">
        <v>175</v>
      </c>
      <c r="O304" s="1" t="s">
        <v>24</v>
      </c>
      <c r="P304" s="1" t="s">
        <v>464</v>
      </c>
      <c r="Q304" s="1" t="s">
        <v>773</v>
      </c>
      <c r="R304" s="62">
        <v>0</v>
      </c>
      <c r="S304" s="102">
        <v>0</v>
      </c>
      <c r="T304" s="54" t="s">
        <v>2012</v>
      </c>
      <c r="U304" s="105">
        <v>4.8</v>
      </c>
      <c r="V304" s="62">
        <v>0</v>
      </c>
      <c r="W304" s="102">
        <v>0</v>
      </c>
      <c r="X304" s="62">
        <v>0</v>
      </c>
      <c r="Y304" s="102">
        <v>0</v>
      </c>
      <c r="Z304" s="62">
        <v>0</v>
      </c>
      <c r="AA304" s="102">
        <v>0</v>
      </c>
      <c r="AB304" s="62">
        <v>0</v>
      </c>
      <c r="AC304" s="106" t="s">
        <v>206</v>
      </c>
      <c r="AD304" s="106" t="s">
        <v>206</v>
      </c>
      <c r="AE304" s="106" t="s">
        <v>206</v>
      </c>
      <c r="AF304" s="106" t="s">
        <v>206</v>
      </c>
      <c r="AG304" s="106" t="s">
        <v>206</v>
      </c>
      <c r="AH304" s="106" t="s">
        <v>206</v>
      </c>
      <c r="AI304" s="1" t="s">
        <v>357</v>
      </c>
      <c r="AJ304" s="1" t="s">
        <v>206</v>
      </c>
      <c r="AK304" s="1" t="s">
        <v>358</v>
      </c>
      <c r="AL304" s="1" t="s">
        <v>197</v>
      </c>
      <c r="AM304" s="106" t="s">
        <v>27</v>
      </c>
      <c r="AN304" s="1" t="s">
        <v>357</v>
      </c>
      <c r="AO304" s="1" t="s">
        <v>208</v>
      </c>
      <c r="AP304" s="1" t="s">
        <v>206</v>
      </c>
      <c r="AQ304" s="1" t="s">
        <v>441</v>
      </c>
      <c r="AR304" s="1" t="s">
        <v>207</v>
      </c>
      <c r="AS304" s="106" t="s">
        <v>35</v>
      </c>
      <c r="AT304" s="1" t="s">
        <v>206</v>
      </c>
      <c r="AU304" s="106" t="s">
        <v>206</v>
      </c>
      <c r="AV304" s="106" t="s">
        <v>206</v>
      </c>
      <c r="AW304" s="106" t="s">
        <v>35</v>
      </c>
      <c r="AX304" s="106" t="s">
        <v>206</v>
      </c>
      <c r="AY304" s="106" t="s">
        <v>206</v>
      </c>
      <c r="AZ304" s="1" t="s">
        <v>206</v>
      </c>
      <c r="BA304" s="106" t="s">
        <v>206</v>
      </c>
      <c r="BB304" s="106" t="s">
        <v>206</v>
      </c>
      <c r="BC304" s="106" t="s">
        <v>206</v>
      </c>
      <c r="BD304" s="106" t="s">
        <v>206</v>
      </c>
      <c r="BE304" s="106" t="s">
        <v>206</v>
      </c>
      <c r="BF304" s="107">
        <f>IF(AZ304="Não","Sim","Não")</f>
      </c>
      <c r="BG304" s="107">
        <f>IF(AZ304="NA","Sim","Não")</f>
      </c>
      <c r="BH304" s="106" t="s">
        <v>206</v>
      </c>
      <c r="BI304" s="1" t="s">
        <v>238</v>
      </c>
      <c r="BJ304" s="106" t="s">
        <v>241</v>
      </c>
      <c r="BK304" s="1" t="s">
        <v>1374</v>
      </c>
      <c r="BL304" s="102">
        <v>80</v>
      </c>
      <c r="BM304" s="1" t="s">
        <v>208</v>
      </c>
      <c r="BN304" s="1" t="s">
        <v>208</v>
      </c>
      <c r="BO304" s="1" t="s">
        <v>1374</v>
      </c>
      <c r="BP304" s="102">
        <v>80</v>
      </c>
      <c r="BQ304" s="1" t="s">
        <v>208</v>
      </c>
      <c r="BR304" s="1" t="s">
        <v>227</v>
      </c>
      <c r="BS304" s="106" t="s">
        <v>37</v>
      </c>
    </row>
    <row x14ac:dyDescent="0.25" r="305" customHeight="1" ht="17.25">
      <c r="A305" s="102">
        <v>304</v>
      </c>
      <c r="B305" s="1" t="s">
        <v>2013</v>
      </c>
      <c r="C305" s="102">
        <v>1</v>
      </c>
      <c r="D305" s="61" t="s">
        <v>1085</v>
      </c>
      <c r="E305" s="1" t="s">
        <v>97</v>
      </c>
      <c r="F305" s="1" t="s">
        <v>170</v>
      </c>
      <c r="G305" s="1" t="s">
        <v>57</v>
      </c>
      <c r="H305" s="1" t="s">
        <v>2014</v>
      </c>
      <c r="I305" s="102">
        <v>1</v>
      </c>
      <c r="J305" s="1" t="s">
        <v>158</v>
      </c>
      <c r="K305" s="1" t="s">
        <v>22</v>
      </c>
      <c r="L305" s="103">
        <v>27099</v>
      </c>
      <c r="M305" s="104">
        <v>43</v>
      </c>
      <c r="N305" s="1" t="s">
        <v>177</v>
      </c>
      <c r="O305" s="1" t="s">
        <v>24</v>
      </c>
      <c r="P305" s="1" t="s">
        <v>365</v>
      </c>
      <c r="Q305" s="1" t="s">
        <v>1382</v>
      </c>
      <c r="R305" s="62">
        <v>0</v>
      </c>
      <c r="S305" s="102">
        <v>0</v>
      </c>
      <c r="T305" s="62">
        <v>0</v>
      </c>
      <c r="U305" s="102">
        <v>0</v>
      </c>
      <c r="V305" s="54" t="s">
        <v>2015</v>
      </c>
      <c r="W305" s="105">
        <v>1031.2</v>
      </c>
      <c r="X305" s="62">
        <v>0</v>
      </c>
      <c r="Y305" s="102">
        <v>0</v>
      </c>
      <c r="Z305" s="62">
        <v>0</v>
      </c>
      <c r="AA305" s="102">
        <v>0</v>
      </c>
      <c r="AB305" s="62">
        <v>0</v>
      </c>
      <c r="AC305" s="106" t="s">
        <v>206</v>
      </c>
      <c r="AD305" s="106" t="s">
        <v>206</v>
      </c>
      <c r="AE305" s="106" t="s">
        <v>206</v>
      </c>
      <c r="AF305" s="106" t="s">
        <v>206</v>
      </c>
      <c r="AG305" s="106" t="s">
        <v>206</v>
      </c>
      <c r="AH305" s="106" t="s">
        <v>206</v>
      </c>
      <c r="AI305" s="1" t="s">
        <v>357</v>
      </c>
      <c r="AJ305" s="1" t="s">
        <v>206</v>
      </c>
      <c r="AK305" s="1" t="s">
        <v>503</v>
      </c>
      <c r="AL305" s="1" t="s">
        <v>197</v>
      </c>
      <c r="AM305" s="106" t="s">
        <v>27</v>
      </c>
      <c r="AN305" s="1" t="s">
        <v>357</v>
      </c>
      <c r="AO305" s="1" t="s">
        <v>208</v>
      </c>
      <c r="AP305" s="1" t="s">
        <v>847</v>
      </c>
      <c r="AQ305" s="1" t="s">
        <v>1374</v>
      </c>
      <c r="AR305" s="1" t="s">
        <v>206</v>
      </c>
      <c r="AS305" s="106" t="s">
        <v>206</v>
      </c>
      <c r="AT305" s="1" t="s">
        <v>206</v>
      </c>
      <c r="AU305" s="106" t="s">
        <v>206</v>
      </c>
      <c r="AV305" s="106" t="s">
        <v>206</v>
      </c>
      <c r="AW305" s="106" t="s">
        <v>35</v>
      </c>
      <c r="AX305" s="106" t="s">
        <v>206</v>
      </c>
      <c r="AY305" s="106" t="s">
        <v>206</v>
      </c>
      <c r="AZ305" s="1" t="s">
        <v>206</v>
      </c>
      <c r="BA305" s="106" t="s">
        <v>206</v>
      </c>
      <c r="BB305" s="106" t="s">
        <v>206</v>
      </c>
      <c r="BC305" s="106" t="s">
        <v>206</v>
      </c>
      <c r="BD305" s="106" t="s">
        <v>206</v>
      </c>
      <c r="BE305" s="106" t="s">
        <v>206</v>
      </c>
      <c r="BF305" s="107">
        <f>IF(AZ305="Não","Sim","Não")</f>
      </c>
      <c r="BG305" s="107">
        <f>IF(AZ305="NA","Sim","Não")</f>
      </c>
      <c r="BH305" s="106" t="s">
        <v>206</v>
      </c>
      <c r="BI305" s="1" t="s">
        <v>206</v>
      </c>
      <c r="BJ305" s="106" t="s">
        <v>206</v>
      </c>
      <c r="BK305" s="1" t="s">
        <v>1374</v>
      </c>
      <c r="BL305" s="102">
        <v>80</v>
      </c>
      <c r="BM305" s="1" t="s">
        <v>208</v>
      </c>
      <c r="BN305" s="1" t="s">
        <v>208</v>
      </c>
      <c r="BO305" s="1" t="s">
        <v>1374</v>
      </c>
      <c r="BP305" s="102">
        <v>80</v>
      </c>
      <c r="BQ305" s="1" t="s">
        <v>208</v>
      </c>
      <c r="BR305" s="1" t="s">
        <v>227</v>
      </c>
      <c r="BS305" s="106" t="s">
        <v>37</v>
      </c>
    </row>
    <row x14ac:dyDescent="0.25" r="306" customHeight="1" ht="17.25">
      <c r="A306" s="102">
        <v>305</v>
      </c>
      <c r="B306" s="1" t="s">
        <v>2016</v>
      </c>
      <c r="C306" s="102">
        <v>1</v>
      </c>
      <c r="D306" s="61" t="s">
        <v>1617</v>
      </c>
      <c r="E306" s="1" t="s">
        <v>105</v>
      </c>
      <c r="F306" s="1" t="s">
        <v>170</v>
      </c>
      <c r="G306" s="1" t="s">
        <v>39</v>
      </c>
      <c r="H306" s="1" t="s">
        <v>2017</v>
      </c>
      <c r="I306" s="102">
        <v>1</v>
      </c>
      <c r="J306" s="1" t="s">
        <v>158</v>
      </c>
      <c r="K306" s="1" t="s">
        <v>22</v>
      </c>
      <c r="L306" s="103">
        <v>34295</v>
      </c>
      <c r="M306" s="104">
        <v>23</v>
      </c>
      <c r="N306" s="1" t="s">
        <v>175</v>
      </c>
      <c r="O306" s="1" t="s">
        <v>24</v>
      </c>
      <c r="P306" s="1" t="s">
        <v>354</v>
      </c>
      <c r="Q306" s="1" t="s">
        <v>2018</v>
      </c>
      <c r="R306" s="54" t="s">
        <v>2019</v>
      </c>
      <c r="S306" s="105">
        <v>23.3</v>
      </c>
      <c r="T306" s="54" t="s">
        <v>2020</v>
      </c>
      <c r="U306" s="105">
        <v>27.6</v>
      </c>
      <c r="V306" s="54" t="s">
        <v>822</v>
      </c>
      <c r="W306" s="102">
        <v>3</v>
      </c>
      <c r="X306" s="62">
        <v>0</v>
      </c>
      <c r="Y306" s="102">
        <v>0</v>
      </c>
      <c r="Z306" s="62">
        <v>0</v>
      </c>
      <c r="AA306" s="102">
        <v>0</v>
      </c>
      <c r="AB306" s="62">
        <v>0</v>
      </c>
      <c r="AC306" s="106" t="s">
        <v>206</v>
      </c>
      <c r="AD306" s="106" t="s">
        <v>206</v>
      </c>
      <c r="AE306" s="106" t="s">
        <v>206</v>
      </c>
      <c r="AF306" s="106" t="s">
        <v>206</v>
      </c>
      <c r="AG306" s="106" t="s">
        <v>206</v>
      </c>
      <c r="AH306" s="106" t="s">
        <v>206</v>
      </c>
      <c r="AI306" s="1" t="s">
        <v>357</v>
      </c>
      <c r="AJ306" s="1" t="s">
        <v>206</v>
      </c>
      <c r="AK306" s="1" t="s">
        <v>520</v>
      </c>
      <c r="AL306" s="1" t="s">
        <v>197</v>
      </c>
      <c r="AM306" s="106" t="s">
        <v>27</v>
      </c>
      <c r="AN306" s="1" t="s">
        <v>357</v>
      </c>
      <c r="AO306" s="1" t="s">
        <v>208</v>
      </c>
      <c r="AP306" s="1" t="s">
        <v>206</v>
      </c>
      <c r="AQ306" s="1" t="s">
        <v>441</v>
      </c>
      <c r="AR306" s="1" t="s">
        <v>207</v>
      </c>
      <c r="AS306" s="106" t="s">
        <v>35</v>
      </c>
      <c r="AT306" s="1" t="s">
        <v>206</v>
      </c>
      <c r="AU306" s="106" t="s">
        <v>206</v>
      </c>
      <c r="AV306" s="106" t="s">
        <v>206</v>
      </c>
      <c r="AW306" s="106" t="s">
        <v>35</v>
      </c>
      <c r="AX306" s="106" t="s">
        <v>206</v>
      </c>
      <c r="AY306" s="106" t="s">
        <v>206</v>
      </c>
      <c r="AZ306" s="1" t="s">
        <v>206</v>
      </c>
      <c r="BA306" s="106" t="s">
        <v>206</v>
      </c>
      <c r="BB306" s="106" t="s">
        <v>206</v>
      </c>
      <c r="BC306" s="106" t="s">
        <v>206</v>
      </c>
      <c r="BD306" s="106" t="s">
        <v>206</v>
      </c>
      <c r="BE306" s="106" t="s">
        <v>206</v>
      </c>
      <c r="BF306" s="107">
        <f>IF(AZ306="Não","Sim","Não")</f>
      </c>
      <c r="BG306" s="107">
        <f>IF(AZ306="NA","Sim","Não")</f>
      </c>
      <c r="BH306" s="106" t="s">
        <v>206</v>
      </c>
      <c r="BI306" s="1" t="s">
        <v>238</v>
      </c>
      <c r="BJ306" s="106" t="s">
        <v>241</v>
      </c>
      <c r="BK306" s="1" t="s">
        <v>1374</v>
      </c>
      <c r="BL306" s="102">
        <v>80</v>
      </c>
      <c r="BM306" s="1" t="s">
        <v>208</v>
      </c>
      <c r="BN306" s="1" t="s">
        <v>208</v>
      </c>
      <c r="BO306" s="1" t="s">
        <v>1374</v>
      </c>
      <c r="BP306" s="102">
        <v>80</v>
      </c>
      <c r="BQ306" s="1" t="s">
        <v>208</v>
      </c>
      <c r="BR306" s="1" t="s">
        <v>227</v>
      </c>
      <c r="BS306" s="106" t="s">
        <v>37</v>
      </c>
    </row>
    <row x14ac:dyDescent="0.25" r="307" customHeight="1" ht="17.25">
      <c r="A307" s="102">
        <v>306</v>
      </c>
      <c r="B307" s="1" t="s">
        <v>2021</v>
      </c>
      <c r="C307" s="102">
        <v>1</v>
      </c>
      <c r="D307" s="61" t="s">
        <v>2022</v>
      </c>
      <c r="E307" s="1" t="s">
        <v>142</v>
      </c>
      <c r="F307" s="1" t="s">
        <v>22</v>
      </c>
      <c r="G307" s="1" t="s">
        <v>50</v>
      </c>
      <c r="H307" s="1" t="s">
        <v>2023</v>
      </c>
      <c r="I307" s="102">
        <v>1</v>
      </c>
      <c r="J307" s="1" t="s">
        <v>159</v>
      </c>
      <c r="K307" s="1" t="s">
        <v>22</v>
      </c>
      <c r="L307" s="103">
        <v>28439</v>
      </c>
      <c r="M307" s="104">
        <v>39</v>
      </c>
      <c r="N307" s="1" t="s">
        <v>176</v>
      </c>
      <c r="O307" s="1" t="s">
        <v>182</v>
      </c>
      <c r="P307" s="1" t="s">
        <v>365</v>
      </c>
      <c r="Q307" s="1" t="s">
        <v>366</v>
      </c>
      <c r="R307" s="54" t="s">
        <v>2024</v>
      </c>
      <c r="S307" s="105">
        <v>674.4</v>
      </c>
      <c r="T307" s="62">
        <v>0</v>
      </c>
      <c r="U307" s="102">
        <v>0</v>
      </c>
      <c r="V307" s="62">
        <v>0</v>
      </c>
      <c r="W307" s="102">
        <v>0</v>
      </c>
      <c r="X307" s="54" t="s">
        <v>2025</v>
      </c>
      <c r="Y307" s="105">
        <v>8.7</v>
      </c>
      <c r="Z307" s="62">
        <v>0</v>
      </c>
      <c r="AA307" s="102">
        <v>0</v>
      </c>
      <c r="AB307" s="57" t="s">
        <v>2026</v>
      </c>
      <c r="AC307" s="106" t="s">
        <v>206</v>
      </c>
      <c r="AD307" s="106" t="s">
        <v>206</v>
      </c>
      <c r="AE307" s="106" t="s">
        <v>35</v>
      </c>
      <c r="AF307" s="106" t="s">
        <v>206</v>
      </c>
      <c r="AG307" s="106" t="s">
        <v>206</v>
      </c>
      <c r="AH307" s="106" t="s">
        <v>206</v>
      </c>
      <c r="AI307" s="1" t="s">
        <v>357</v>
      </c>
      <c r="AJ307" s="1" t="s">
        <v>206</v>
      </c>
      <c r="AK307" s="1" t="s">
        <v>1677</v>
      </c>
      <c r="AL307" s="1" t="s">
        <v>197</v>
      </c>
      <c r="AM307" s="106" t="s">
        <v>27</v>
      </c>
      <c r="AN307" s="1" t="s">
        <v>357</v>
      </c>
      <c r="AO307" s="1" t="s">
        <v>208</v>
      </c>
      <c r="AP307" s="1" t="s">
        <v>206</v>
      </c>
      <c r="AQ307" s="1" t="s">
        <v>441</v>
      </c>
      <c r="AR307" s="1" t="s">
        <v>207</v>
      </c>
      <c r="AS307" s="106" t="s">
        <v>35</v>
      </c>
      <c r="AT307" s="1" t="s">
        <v>206</v>
      </c>
      <c r="AU307" s="106" t="s">
        <v>206</v>
      </c>
      <c r="AV307" s="106" t="s">
        <v>206</v>
      </c>
      <c r="AW307" s="106" t="s">
        <v>35</v>
      </c>
      <c r="AX307" s="106" t="s">
        <v>206</v>
      </c>
      <c r="AY307" s="106" t="s">
        <v>206</v>
      </c>
      <c r="AZ307" s="1" t="s">
        <v>206</v>
      </c>
      <c r="BA307" s="106" t="s">
        <v>206</v>
      </c>
      <c r="BB307" s="106" t="s">
        <v>206</v>
      </c>
      <c r="BC307" s="106" t="s">
        <v>206</v>
      </c>
      <c r="BD307" s="106" t="s">
        <v>206</v>
      </c>
      <c r="BE307" s="106" t="s">
        <v>206</v>
      </c>
      <c r="BF307" s="107">
        <f>IF(AZ307="Não","Sim","Não")</f>
      </c>
      <c r="BG307" s="107">
        <f>IF(AZ307="NA","Sim","Não")</f>
      </c>
      <c r="BH307" s="106" t="s">
        <v>206</v>
      </c>
      <c r="BI307" s="1" t="s">
        <v>238</v>
      </c>
      <c r="BJ307" s="106" t="s">
        <v>241</v>
      </c>
      <c r="BK307" s="1" t="s">
        <v>1374</v>
      </c>
      <c r="BL307" s="102">
        <v>80</v>
      </c>
      <c r="BM307" s="1" t="s">
        <v>208</v>
      </c>
      <c r="BN307" s="1" t="s">
        <v>208</v>
      </c>
      <c r="BO307" s="1" t="s">
        <v>1374</v>
      </c>
      <c r="BP307" s="102">
        <v>80</v>
      </c>
      <c r="BQ307" s="1" t="s">
        <v>208</v>
      </c>
      <c r="BR307" s="1" t="s">
        <v>227</v>
      </c>
      <c r="BS307" s="106" t="s">
        <v>37</v>
      </c>
    </row>
    <row x14ac:dyDescent="0.25" r="308" customHeight="1" ht="17.25">
      <c r="A308" s="102">
        <v>307</v>
      </c>
      <c r="B308" s="1" t="s">
        <v>2027</v>
      </c>
      <c r="C308" s="102">
        <v>1</v>
      </c>
      <c r="D308" s="61" t="s">
        <v>1635</v>
      </c>
      <c r="E308" s="1" t="s">
        <v>77</v>
      </c>
      <c r="F308" s="1" t="s">
        <v>22</v>
      </c>
      <c r="G308" s="1" t="s">
        <v>40</v>
      </c>
      <c r="H308" s="1" t="s">
        <v>2028</v>
      </c>
      <c r="I308" s="102">
        <v>1</v>
      </c>
      <c r="J308" s="1" t="s">
        <v>158</v>
      </c>
      <c r="K308" s="1" t="s">
        <v>22</v>
      </c>
      <c r="L308" s="103">
        <v>32963</v>
      </c>
      <c r="M308" s="104">
        <v>27</v>
      </c>
      <c r="N308" s="1" t="s">
        <v>176</v>
      </c>
      <c r="O308" s="1" t="s">
        <v>182</v>
      </c>
      <c r="P308" s="1" t="s">
        <v>464</v>
      </c>
      <c r="Q308" s="1" t="s">
        <v>2029</v>
      </c>
      <c r="R308" s="62">
        <v>0</v>
      </c>
      <c r="S308" s="102">
        <v>0</v>
      </c>
      <c r="T308" s="54" t="s">
        <v>2030</v>
      </c>
      <c r="U308" s="102">
        <v>5</v>
      </c>
      <c r="V308" s="54" t="s">
        <v>2031</v>
      </c>
      <c r="W308" s="105">
        <v>1.9</v>
      </c>
      <c r="X308" s="62">
        <v>0</v>
      </c>
      <c r="Y308" s="102">
        <v>0</v>
      </c>
      <c r="Z308" s="62">
        <v>0</v>
      </c>
      <c r="AA308" s="102">
        <v>0</v>
      </c>
      <c r="AB308" s="62">
        <v>0</v>
      </c>
      <c r="AC308" s="106" t="s">
        <v>206</v>
      </c>
      <c r="AD308" s="106" t="s">
        <v>206</v>
      </c>
      <c r="AE308" s="106" t="s">
        <v>206</v>
      </c>
      <c r="AF308" s="106" t="s">
        <v>206</v>
      </c>
      <c r="AG308" s="106" t="s">
        <v>206</v>
      </c>
      <c r="AH308" s="106" t="s">
        <v>206</v>
      </c>
      <c r="AI308" s="1" t="s">
        <v>357</v>
      </c>
      <c r="AJ308" s="1" t="s">
        <v>206</v>
      </c>
      <c r="AK308" s="1" t="s">
        <v>1108</v>
      </c>
      <c r="AL308" s="1" t="s">
        <v>197</v>
      </c>
      <c r="AM308" s="106" t="s">
        <v>27</v>
      </c>
      <c r="AN308" s="1" t="s">
        <v>357</v>
      </c>
      <c r="AO308" s="1" t="s">
        <v>208</v>
      </c>
      <c r="AP308" s="1" t="s">
        <v>423</v>
      </c>
      <c r="AQ308" s="1" t="s">
        <v>386</v>
      </c>
      <c r="AR308" s="1" t="s">
        <v>207</v>
      </c>
      <c r="AS308" s="106" t="s">
        <v>35</v>
      </c>
      <c r="AT308" s="1" t="s">
        <v>28</v>
      </c>
      <c r="AU308" s="106" t="s">
        <v>35</v>
      </c>
      <c r="AV308" s="106" t="s">
        <v>206</v>
      </c>
      <c r="AW308" s="106" t="s">
        <v>206</v>
      </c>
      <c r="AX308" s="106" t="s">
        <v>206</v>
      </c>
      <c r="AY308" s="106" t="s">
        <v>35</v>
      </c>
      <c r="AZ308" s="1" t="s">
        <v>206</v>
      </c>
      <c r="BA308" s="106" t="s">
        <v>206</v>
      </c>
      <c r="BB308" s="106" t="s">
        <v>206</v>
      </c>
      <c r="BC308" s="106" t="s">
        <v>206</v>
      </c>
      <c r="BD308" s="106" t="s">
        <v>206</v>
      </c>
      <c r="BE308" s="106" t="s">
        <v>206</v>
      </c>
      <c r="BF308" s="107">
        <f>IF(AZ308="Não","Sim","Não")</f>
      </c>
      <c r="BG308" s="107">
        <f>IF(AZ308="NA","Sim","Não")</f>
      </c>
      <c r="BH308" s="106" t="s">
        <v>206</v>
      </c>
      <c r="BI308" s="1" t="s">
        <v>238</v>
      </c>
      <c r="BJ308" s="106" t="s">
        <v>241</v>
      </c>
      <c r="BK308" s="1" t="s">
        <v>2032</v>
      </c>
      <c r="BL308" s="102">
        <v>81</v>
      </c>
      <c r="BM308" s="1" t="s">
        <v>208</v>
      </c>
      <c r="BN308" s="1" t="s">
        <v>208</v>
      </c>
      <c r="BO308" s="1" t="s">
        <v>2032</v>
      </c>
      <c r="BP308" s="102">
        <v>81</v>
      </c>
      <c r="BQ308" s="1" t="s">
        <v>208</v>
      </c>
      <c r="BR308" s="1" t="s">
        <v>227</v>
      </c>
      <c r="BS308" s="106" t="s">
        <v>37</v>
      </c>
    </row>
    <row x14ac:dyDescent="0.25" r="309" customHeight="1" ht="17.25">
      <c r="A309" s="102">
        <v>308</v>
      </c>
      <c r="B309" s="1" t="s">
        <v>2033</v>
      </c>
      <c r="C309" s="102">
        <v>1</v>
      </c>
      <c r="D309" s="61" t="s">
        <v>2034</v>
      </c>
      <c r="E309" s="1" t="s">
        <v>88</v>
      </c>
      <c r="F309" s="1" t="s">
        <v>170</v>
      </c>
      <c r="G309" s="1" t="s">
        <v>40</v>
      </c>
      <c r="H309" s="1" t="s">
        <v>2035</v>
      </c>
      <c r="I309" s="102">
        <v>1</v>
      </c>
      <c r="J309" s="1" t="s">
        <v>158</v>
      </c>
      <c r="K309" s="1" t="s">
        <v>22</v>
      </c>
      <c r="L309" s="103">
        <v>32521</v>
      </c>
      <c r="M309" s="104">
        <v>28</v>
      </c>
      <c r="N309" s="1" t="s">
        <v>177</v>
      </c>
      <c r="O309" s="1" t="s">
        <v>24</v>
      </c>
      <c r="P309" s="1" t="s">
        <v>365</v>
      </c>
      <c r="Q309" s="1" t="s">
        <v>445</v>
      </c>
      <c r="R309" s="62">
        <v>0</v>
      </c>
      <c r="S309" s="102">
        <v>0</v>
      </c>
      <c r="T309" s="54" t="s">
        <v>2036</v>
      </c>
      <c r="U309" s="105">
        <v>146.1</v>
      </c>
      <c r="V309" s="62">
        <v>0</v>
      </c>
      <c r="W309" s="102">
        <v>0</v>
      </c>
      <c r="X309" s="62">
        <v>0</v>
      </c>
      <c r="Y309" s="102">
        <v>0</v>
      </c>
      <c r="Z309" s="62">
        <v>0</v>
      </c>
      <c r="AA309" s="102">
        <v>0</v>
      </c>
      <c r="AB309" s="62">
        <v>0</v>
      </c>
      <c r="AC309" s="106" t="s">
        <v>206</v>
      </c>
      <c r="AD309" s="106" t="s">
        <v>206</v>
      </c>
      <c r="AE309" s="106" t="s">
        <v>206</v>
      </c>
      <c r="AF309" s="106" t="s">
        <v>206</v>
      </c>
      <c r="AG309" s="106" t="s">
        <v>206</v>
      </c>
      <c r="AH309" s="106" t="s">
        <v>206</v>
      </c>
      <c r="AI309" s="1" t="s">
        <v>357</v>
      </c>
      <c r="AJ309" s="1" t="s">
        <v>206</v>
      </c>
      <c r="AK309" s="1" t="s">
        <v>2037</v>
      </c>
      <c r="AL309" s="1" t="s">
        <v>197</v>
      </c>
      <c r="AM309" s="106" t="s">
        <v>27</v>
      </c>
      <c r="AN309" s="1" t="s">
        <v>357</v>
      </c>
      <c r="AO309" s="1" t="s">
        <v>208</v>
      </c>
      <c r="AP309" s="1" t="s">
        <v>1542</v>
      </c>
      <c r="AQ309" s="1" t="s">
        <v>492</v>
      </c>
      <c r="AR309" s="1" t="s">
        <v>207</v>
      </c>
      <c r="AS309" s="106" t="s">
        <v>35</v>
      </c>
      <c r="AT309" s="1" t="s">
        <v>206</v>
      </c>
      <c r="AU309" s="106" t="s">
        <v>206</v>
      </c>
      <c r="AV309" s="106" t="s">
        <v>206</v>
      </c>
      <c r="AW309" s="106" t="s">
        <v>35</v>
      </c>
      <c r="AX309" s="106" t="s">
        <v>206</v>
      </c>
      <c r="AY309" s="106" t="s">
        <v>206</v>
      </c>
      <c r="AZ309" s="1" t="s">
        <v>206</v>
      </c>
      <c r="BA309" s="106" t="s">
        <v>206</v>
      </c>
      <c r="BB309" s="106" t="s">
        <v>206</v>
      </c>
      <c r="BC309" s="106" t="s">
        <v>206</v>
      </c>
      <c r="BD309" s="106" t="s">
        <v>206</v>
      </c>
      <c r="BE309" s="106" t="s">
        <v>206</v>
      </c>
      <c r="BF309" s="107">
        <f>IF(AZ309="Não","Sim","Não")</f>
      </c>
      <c r="BG309" s="107">
        <f>IF(AZ309="NA","Sim","Não")</f>
      </c>
      <c r="BH309" s="106" t="s">
        <v>206</v>
      </c>
      <c r="BI309" s="1" t="s">
        <v>238</v>
      </c>
      <c r="BJ309" s="106" t="s">
        <v>241</v>
      </c>
      <c r="BK309" s="1" t="s">
        <v>2038</v>
      </c>
      <c r="BL309" s="105">
        <v>81.66666666666667</v>
      </c>
      <c r="BM309" s="1" t="s">
        <v>208</v>
      </c>
      <c r="BN309" s="1" t="s">
        <v>208</v>
      </c>
      <c r="BO309" s="1" t="s">
        <v>2038</v>
      </c>
      <c r="BP309" s="105">
        <v>81.66666666666667</v>
      </c>
      <c r="BQ309" s="1" t="s">
        <v>208</v>
      </c>
      <c r="BR309" s="1" t="s">
        <v>227</v>
      </c>
      <c r="BS309" s="106" t="s">
        <v>37</v>
      </c>
    </row>
    <row x14ac:dyDescent="0.25" r="310" customHeight="1" ht="17.25">
      <c r="A310" s="102">
        <v>309</v>
      </c>
      <c r="B310" s="1" t="s">
        <v>2039</v>
      </c>
      <c r="C310" s="102">
        <v>1</v>
      </c>
      <c r="D310" s="61" t="s">
        <v>861</v>
      </c>
      <c r="E310" s="1" t="s">
        <v>143</v>
      </c>
      <c r="F310" s="1" t="s">
        <v>170</v>
      </c>
      <c r="G310" s="1" t="s">
        <v>48</v>
      </c>
      <c r="H310" s="1" t="s">
        <v>2040</v>
      </c>
      <c r="I310" s="102">
        <v>1</v>
      </c>
      <c r="J310" s="1" t="s">
        <v>158</v>
      </c>
      <c r="K310" s="1" t="s">
        <v>22</v>
      </c>
      <c r="L310" s="103">
        <v>29853</v>
      </c>
      <c r="M310" s="104">
        <v>35</v>
      </c>
      <c r="N310" s="1" t="s">
        <v>175</v>
      </c>
      <c r="O310" s="1" t="s">
        <v>24</v>
      </c>
      <c r="P310" s="1" t="s">
        <v>365</v>
      </c>
      <c r="Q310" s="1" t="s">
        <v>2041</v>
      </c>
      <c r="R310" s="62">
        <v>0</v>
      </c>
      <c r="S310" s="102">
        <v>0</v>
      </c>
      <c r="T310" s="54" t="s">
        <v>2042</v>
      </c>
      <c r="U310" s="102">
        <v>15</v>
      </c>
      <c r="V310" s="62">
        <v>0</v>
      </c>
      <c r="W310" s="102">
        <v>0</v>
      </c>
      <c r="X310" s="62">
        <v>0</v>
      </c>
      <c r="Y310" s="102">
        <v>0</v>
      </c>
      <c r="Z310" s="62">
        <v>0</v>
      </c>
      <c r="AA310" s="102">
        <v>0</v>
      </c>
      <c r="AB310" s="62">
        <v>0</v>
      </c>
      <c r="AC310" s="106" t="s">
        <v>206</v>
      </c>
      <c r="AD310" s="106" t="s">
        <v>206</v>
      </c>
      <c r="AE310" s="106" t="s">
        <v>206</v>
      </c>
      <c r="AF310" s="106" t="s">
        <v>206</v>
      </c>
      <c r="AG310" s="106" t="s">
        <v>206</v>
      </c>
      <c r="AH310" s="106" t="s">
        <v>206</v>
      </c>
      <c r="AI310" s="1" t="s">
        <v>1220</v>
      </c>
      <c r="AJ310" s="1" t="s">
        <v>206</v>
      </c>
      <c r="AK310" s="1" t="s">
        <v>455</v>
      </c>
      <c r="AL310" s="1" t="s">
        <v>197</v>
      </c>
      <c r="AM310" s="106" t="s">
        <v>27</v>
      </c>
      <c r="AN310" s="1" t="s">
        <v>1220</v>
      </c>
      <c r="AO310" s="1" t="s">
        <v>208</v>
      </c>
      <c r="AP310" s="1" t="s">
        <v>2043</v>
      </c>
      <c r="AQ310" s="1" t="s">
        <v>492</v>
      </c>
      <c r="AR310" s="1" t="s">
        <v>207</v>
      </c>
      <c r="AS310" s="106" t="s">
        <v>35</v>
      </c>
      <c r="AT310" s="1" t="s">
        <v>206</v>
      </c>
      <c r="AU310" s="106" t="s">
        <v>206</v>
      </c>
      <c r="AV310" s="106" t="s">
        <v>206</v>
      </c>
      <c r="AW310" s="106" t="s">
        <v>35</v>
      </c>
      <c r="AX310" s="106" t="s">
        <v>206</v>
      </c>
      <c r="AY310" s="106" t="s">
        <v>206</v>
      </c>
      <c r="AZ310" s="1" t="s">
        <v>206</v>
      </c>
      <c r="BA310" s="106" t="s">
        <v>206</v>
      </c>
      <c r="BB310" s="106" t="s">
        <v>206</v>
      </c>
      <c r="BC310" s="106" t="s">
        <v>206</v>
      </c>
      <c r="BD310" s="106" t="s">
        <v>206</v>
      </c>
      <c r="BE310" s="106" t="s">
        <v>206</v>
      </c>
      <c r="BF310" s="107">
        <f>IF(AZ310="Não","Sim","Não")</f>
      </c>
      <c r="BG310" s="107">
        <f>IF(AZ310="NA","Sim","Não")</f>
      </c>
      <c r="BH310" s="106" t="s">
        <v>206</v>
      </c>
      <c r="BI310" s="1" t="s">
        <v>238</v>
      </c>
      <c r="BJ310" s="106" t="s">
        <v>241</v>
      </c>
      <c r="BK310" s="1" t="s">
        <v>2038</v>
      </c>
      <c r="BL310" s="105">
        <v>81.66666666666667</v>
      </c>
      <c r="BM310" s="1" t="s">
        <v>2044</v>
      </c>
      <c r="BN310" s="1" t="s">
        <v>208</v>
      </c>
      <c r="BO310" s="1" t="s">
        <v>2045</v>
      </c>
      <c r="BP310" s="105">
        <v>130.66666666666666</v>
      </c>
      <c r="BQ310" s="1" t="s">
        <v>208</v>
      </c>
      <c r="BR310" s="1" t="s">
        <v>227</v>
      </c>
      <c r="BS310" s="106" t="s">
        <v>232</v>
      </c>
    </row>
    <row x14ac:dyDescent="0.25" r="311" customHeight="1" ht="17.25">
      <c r="A311" s="102">
        <v>310</v>
      </c>
      <c r="B311" s="1" t="s">
        <v>2046</v>
      </c>
      <c r="C311" s="102">
        <v>1</v>
      </c>
      <c r="D311" s="61" t="s">
        <v>505</v>
      </c>
      <c r="E311" s="1" t="s">
        <v>121</v>
      </c>
      <c r="F311" s="1" t="s">
        <v>170</v>
      </c>
      <c r="G311" s="1" t="s">
        <v>66</v>
      </c>
      <c r="H311" s="1" t="s">
        <v>2047</v>
      </c>
      <c r="I311" s="102">
        <v>1</v>
      </c>
      <c r="J311" s="1" t="s">
        <v>158</v>
      </c>
      <c r="K311" s="1" t="s">
        <v>22</v>
      </c>
      <c r="L311" s="103">
        <v>34359</v>
      </c>
      <c r="M311" s="104">
        <v>23</v>
      </c>
      <c r="N311" s="1" t="s">
        <v>175</v>
      </c>
      <c r="O311" s="1" t="s">
        <v>24</v>
      </c>
      <c r="P311" s="1" t="s">
        <v>517</v>
      </c>
      <c r="Q311" s="1" t="s">
        <v>2048</v>
      </c>
      <c r="R311" s="54" t="s">
        <v>2049</v>
      </c>
      <c r="S311" s="105">
        <v>26.2</v>
      </c>
      <c r="T311" s="54" t="s">
        <v>2050</v>
      </c>
      <c r="U311" s="105">
        <v>70.5</v>
      </c>
      <c r="V311" s="62">
        <v>0</v>
      </c>
      <c r="W311" s="102">
        <v>0</v>
      </c>
      <c r="X311" s="62">
        <v>0</v>
      </c>
      <c r="Y311" s="102">
        <v>0</v>
      </c>
      <c r="Z311" s="62">
        <v>0</v>
      </c>
      <c r="AA311" s="102">
        <v>0</v>
      </c>
      <c r="AB311" s="62">
        <v>0</v>
      </c>
      <c r="AC311" s="106" t="s">
        <v>206</v>
      </c>
      <c r="AD311" s="106" t="s">
        <v>206</v>
      </c>
      <c r="AE311" s="106" t="s">
        <v>206</v>
      </c>
      <c r="AF311" s="106" t="s">
        <v>206</v>
      </c>
      <c r="AG311" s="106" t="s">
        <v>206</v>
      </c>
      <c r="AH311" s="106" t="s">
        <v>206</v>
      </c>
      <c r="AI311" s="1" t="s">
        <v>357</v>
      </c>
      <c r="AJ311" s="1" t="s">
        <v>206</v>
      </c>
      <c r="AK311" s="1" t="s">
        <v>373</v>
      </c>
      <c r="AL311" s="1" t="s">
        <v>197</v>
      </c>
      <c r="AM311" s="106" t="s">
        <v>27</v>
      </c>
      <c r="AN311" s="1" t="s">
        <v>357</v>
      </c>
      <c r="AO311" s="1" t="s">
        <v>208</v>
      </c>
      <c r="AP311" s="1" t="s">
        <v>847</v>
      </c>
      <c r="AQ311" s="1" t="s">
        <v>492</v>
      </c>
      <c r="AR311" s="1" t="s">
        <v>207</v>
      </c>
      <c r="AS311" s="106" t="s">
        <v>35</v>
      </c>
      <c r="AT311" s="1" t="s">
        <v>206</v>
      </c>
      <c r="AU311" s="106" t="s">
        <v>206</v>
      </c>
      <c r="AV311" s="106" t="s">
        <v>206</v>
      </c>
      <c r="AW311" s="106" t="s">
        <v>35</v>
      </c>
      <c r="AX311" s="106" t="s">
        <v>206</v>
      </c>
      <c r="AY311" s="106" t="s">
        <v>206</v>
      </c>
      <c r="AZ311" s="1" t="s">
        <v>206</v>
      </c>
      <c r="BA311" s="106" t="s">
        <v>206</v>
      </c>
      <c r="BB311" s="106" t="s">
        <v>206</v>
      </c>
      <c r="BC311" s="106" t="s">
        <v>206</v>
      </c>
      <c r="BD311" s="106" t="s">
        <v>206</v>
      </c>
      <c r="BE311" s="106" t="s">
        <v>206</v>
      </c>
      <c r="BF311" s="107">
        <f>IF(AZ311="Não","Sim","Não")</f>
      </c>
      <c r="BG311" s="107">
        <f>IF(AZ311="NA","Sim","Não")</f>
      </c>
      <c r="BH311" s="106" t="s">
        <v>206</v>
      </c>
      <c r="BI311" s="1" t="s">
        <v>238</v>
      </c>
      <c r="BJ311" s="106" t="s">
        <v>241</v>
      </c>
      <c r="BK311" s="1" t="s">
        <v>2038</v>
      </c>
      <c r="BL311" s="105">
        <v>81.66666666666667</v>
      </c>
      <c r="BM311" s="1" t="s">
        <v>208</v>
      </c>
      <c r="BN311" s="1" t="s">
        <v>208</v>
      </c>
      <c r="BO311" s="1" t="s">
        <v>2038</v>
      </c>
      <c r="BP311" s="105">
        <v>81.66666666666667</v>
      </c>
      <c r="BQ311" s="1" t="s">
        <v>208</v>
      </c>
      <c r="BR311" s="1" t="s">
        <v>227</v>
      </c>
      <c r="BS311" s="106" t="s">
        <v>37</v>
      </c>
    </row>
    <row x14ac:dyDescent="0.25" r="312" customHeight="1" ht="17.25">
      <c r="A312" s="102">
        <v>311</v>
      </c>
      <c r="B312" s="1" t="s">
        <v>2051</v>
      </c>
      <c r="C312" s="102">
        <v>1</v>
      </c>
      <c r="D312" s="61">
        <v>42800</v>
      </c>
      <c r="E312" s="1" t="s">
        <v>110</v>
      </c>
      <c r="F312" s="1" t="s">
        <v>170</v>
      </c>
      <c r="G312" s="1" t="s">
        <v>65</v>
      </c>
      <c r="H312" s="1" t="s">
        <v>2052</v>
      </c>
      <c r="I312" s="102">
        <v>1</v>
      </c>
      <c r="J312" s="1" t="s">
        <v>158</v>
      </c>
      <c r="K312" s="1" t="s">
        <v>22</v>
      </c>
      <c r="L312" s="103">
        <v>29104</v>
      </c>
      <c r="M312" s="104">
        <v>37</v>
      </c>
      <c r="N312" s="1" t="s">
        <v>175</v>
      </c>
      <c r="O312" s="1" t="s">
        <v>24</v>
      </c>
      <c r="P312" s="1" t="s">
        <v>354</v>
      </c>
      <c r="Q312" s="1" t="s">
        <v>2053</v>
      </c>
      <c r="R312" s="54" t="s">
        <v>2054</v>
      </c>
      <c r="S312" s="105">
        <v>2.6</v>
      </c>
      <c r="T312" s="54" t="s">
        <v>2055</v>
      </c>
      <c r="U312" s="105">
        <v>73.3</v>
      </c>
      <c r="V312" s="62">
        <v>0</v>
      </c>
      <c r="W312" s="102">
        <v>0</v>
      </c>
      <c r="X312" s="62">
        <v>0</v>
      </c>
      <c r="Y312" s="102">
        <v>0</v>
      </c>
      <c r="Z312" s="62">
        <v>0</v>
      </c>
      <c r="AA312" s="102">
        <v>0</v>
      </c>
      <c r="AB312" s="62">
        <v>0</v>
      </c>
      <c r="AC312" s="106" t="s">
        <v>206</v>
      </c>
      <c r="AD312" s="106" t="s">
        <v>206</v>
      </c>
      <c r="AE312" s="106" t="s">
        <v>206</v>
      </c>
      <c r="AF312" s="106" t="s">
        <v>206</v>
      </c>
      <c r="AG312" s="106" t="s">
        <v>206</v>
      </c>
      <c r="AH312" s="106" t="s">
        <v>206</v>
      </c>
      <c r="AI312" s="1" t="s">
        <v>357</v>
      </c>
      <c r="AJ312" s="1" t="s">
        <v>404</v>
      </c>
      <c r="AK312" s="1" t="s">
        <v>503</v>
      </c>
      <c r="AL312" s="1" t="s">
        <v>198</v>
      </c>
      <c r="AM312" s="106" t="s">
        <v>27</v>
      </c>
      <c r="AN312" s="1" t="s">
        <v>357</v>
      </c>
      <c r="AO312" s="1" t="s">
        <v>206</v>
      </c>
      <c r="AP312" s="1" t="s">
        <v>2043</v>
      </c>
      <c r="AQ312" s="1" t="s">
        <v>492</v>
      </c>
      <c r="AR312" s="1" t="s">
        <v>207</v>
      </c>
      <c r="AS312" s="106" t="s">
        <v>35</v>
      </c>
      <c r="AT312" s="1" t="s">
        <v>206</v>
      </c>
      <c r="AU312" s="106" t="s">
        <v>206</v>
      </c>
      <c r="AV312" s="106" t="s">
        <v>206</v>
      </c>
      <c r="AW312" s="106" t="s">
        <v>35</v>
      </c>
      <c r="AX312" s="106" t="s">
        <v>206</v>
      </c>
      <c r="AY312" s="106" t="s">
        <v>206</v>
      </c>
      <c r="AZ312" s="1" t="s">
        <v>206</v>
      </c>
      <c r="BA312" s="106" t="s">
        <v>206</v>
      </c>
      <c r="BB312" s="106" t="s">
        <v>206</v>
      </c>
      <c r="BC312" s="106" t="s">
        <v>206</v>
      </c>
      <c r="BD312" s="106" t="s">
        <v>206</v>
      </c>
      <c r="BE312" s="106" t="s">
        <v>206</v>
      </c>
      <c r="BF312" s="107">
        <f>IF(AZ312="Não","Sim","Não")</f>
      </c>
      <c r="BG312" s="107">
        <f>IF(AZ312="NA","Sim","Não")</f>
      </c>
      <c r="BH312" s="106" t="s">
        <v>206</v>
      </c>
      <c r="BI312" s="1" t="s">
        <v>238</v>
      </c>
      <c r="BJ312" s="106" t="s">
        <v>241</v>
      </c>
      <c r="BK312" s="1" t="s">
        <v>2038</v>
      </c>
      <c r="BL312" s="105">
        <v>81.66666666666667</v>
      </c>
      <c r="BM312" s="1" t="s">
        <v>208</v>
      </c>
      <c r="BN312" s="1" t="s">
        <v>208</v>
      </c>
      <c r="BO312" s="1" t="s">
        <v>2038</v>
      </c>
      <c r="BP312" s="105">
        <v>81.66666666666667</v>
      </c>
      <c r="BQ312" s="1" t="s">
        <v>208</v>
      </c>
      <c r="BR312" s="1" t="s">
        <v>227</v>
      </c>
      <c r="BS312" s="106" t="s">
        <v>37</v>
      </c>
    </row>
    <row x14ac:dyDescent="0.25" r="313" customHeight="1" ht="17.25">
      <c r="A313" s="102">
        <v>312</v>
      </c>
      <c r="B313" s="1" t="s">
        <v>2056</v>
      </c>
      <c r="C313" s="102">
        <v>1</v>
      </c>
      <c r="D313" s="61">
        <v>42849</v>
      </c>
      <c r="E313" s="1" t="s">
        <v>128</v>
      </c>
      <c r="F313" s="1" t="s">
        <v>22</v>
      </c>
      <c r="G313" s="1" t="s">
        <v>52</v>
      </c>
      <c r="H313" s="1" t="s">
        <v>2057</v>
      </c>
      <c r="I313" s="102">
        <v>1</v>
      </c>
      <c r="J313" s="1" t="s">
        <v>158</v>
      </c>
      <c r="K313" s="1" t="s">
        <v>22</v>
      </c>
      <c r="L313" s="103">
        <v>34241</v>
      </c>
      <c r="M313" s="104">
        <v>23</v>
      </c>
      <c r="N313" s="1" t="s">
        <v>177</v>
      </c>
      <c r="O313" s="1" t="s">
        <v>24</v>
      </c>
      <c r="P313" s="1" t="s">
        <v>365</v>
      </c>
      <c r="Q313" s="1" t="s">
        <v>1675</v>
      </c>
      <c r="R313" s="54" t="s">
        <v>2058</v>
      </c>
      <c r="S313" s="105">
        <v>0.9</v>
      </c>
      <c r="T313" s="54" t="s">
        <v>2059</v>
      </c>
      <c r="U313" s="105">
        <v>61.7</v>
      </c>
      <c r="V313" s="62">
        <v>0</v>
      </c>
      <c r="W313" s="102">
        <v>0</v>
      </c>
      <c r="X313" s="62">
        <v>0</v>
      </c>
      <c r="Y313" s="102">
        <v>0</v>
      </c>
      <c r="Z313" s="62">
        <v>0</v>
      </c>
      <c r="AA313" s="102">
        <v>0</v>
      </c>
      <c r="AB313" s="62">
        <v>0</v>
      </c>
      <c r="AC313" s="106" t="s">
        <v>206</v>
      </c>
      <c r="AD313" s="106" t="s">
        <v>206</v>
      </c>
      <c r="AE313" s="106" t="s">
        <v>206</v>
      </c>
      <c r="AF313" s="106" t="s">
        <v>206</v>
      </c>
      <c r="AG313" s="106" t="s">
        <v>206</v>
      </c>
      <c r="AH313" s="106" t="s">
        <v>206</v>
      </c>
      <c r="AI313" s="1" t="s">
        <v>357</v>
      </c>
      <c r="AJ313" s="1" t="s">
        <v>206</v>
      </c>
      <c r="AK313" s="1" t="s">
        <v>430</v>
      </c>
      <c r="AL313" s="1" t="s">
        <v>197</v>
      </c>
      <c r="AM313" s="106" t="s">
        <v>27</v>
      </c>
      <c r="AN313" s="1" t="s">
        <v>357</v>
      </c>
      <c r="AO313" s="1" t="s">
        <v>208</v>
      </c>
      <c r="AP313" s="1" t="s">
        <v>847</v>
      </c>
      <c r="AQ313" s="1" t="s">
        <v>492</v>
      </c>
      <c r="AR313" s="1" t="s">
        <v>207</v>
      </c>
      <c r="AS313" s="106" t="s">
        <v>35</v>
      </c>
      <c r="AT313" s="1" t="s">
        <v>206</v>
      </c>
      <c r="AU313" s="106" t="s">
        <v>206</v>
      </c>
      <c r="AV313" s="106" t="s">
        <v>206</v>
      </c>
      <c r="AW313" s="106" t="s">
        <v>35</v>
      </c>
      <c r="AX313" s="106" t="s">
        <v>206</v>
      </c>
      <c r="AY313" s="106" t="s">
        <v>206</v>
      </c>
      <c r="AZ313" s="1" t="s">
        <v>206</v>
      </c>
      <c r="BA313" s="106" t="s">
        <v>206</v>
      </c>
      <c r="BB313" s="106" t="s">
        <v>206</v>
      </c>
      <c r="BC313" s="106" t="s">
        <v>206</v>
      </c>
      <c r="BD313" s="106" t="s">
        <v>206</v>
      </c>
      <c r="BE313" s="106" t="s">
        <v>206</v>
      </c>
      <c r="BF313" s="107">
        <f>IF(AZ313="Não","Sim","Não")</f>
      </c>
      <c r="BG313" s="107">
        <f>IF(AZ313="NA","Sim","Não")</f>
      </c>
      <c r="BH313" s="106" t="s">
        <v>206</v>
      </c>
      <c r="BI313" s="1" t="s">
        <v>206</v>
      </c>
      <c r="BJ313" s="106" t="s">
        <v>206</v>
      </c>
      <c r="BK313" s="1" t="s">
        <v>2038</v>
      </c>
      <c r="BL313" s="105">
        <v>81.66666666666667</v>
      </c>
      <c r="BM313" s="1" t="s">
        <v>208</v>
      </c>
      <c r="BN313" s="1" t="s">
        <v>208</v>
      </c>
      <c r="BO313" s="1" t="s">
        <v>2038</v>
      </c>
      <c r="BP313" s="105">
        <v>81.66666666666667</v>
      </c>
      <c r="BQ313" s="1" t="s">
        <v>208</v>
      </c>
      <c r="BR313" s="1" t="s">
        <v>227</v>
      </c>
      <c r="BS313" s="106" t="s">
        <v>37</v>
      </c>
    </row>
    <row x14ac:dyDescent="0.25" r="314" customHeight="1" ht="17.25">
      <c r="A314" s="102">
        <v>313</v>
      </c>
      <c r="B314" s="1" t="s">
        <v>2060</v>
      </c>
      <c r="C314" s="102">
        <v>1</v>
      </c>
      <c r="D314" s="61" t="s">
        <v>1782</v>
      </c>
      <c r="E314" s="1" t="s">
        <v>88</v>
      </c>
      <c r="F314" s="1" t="s">
        <v>170</v>
      </c>
      <c r="G314" s="1" t="s">
        <v>40</v>
      </c>
      <c r="H314" s="1" t="s">
        <v>2061</v>
      </c>
      <c r="I314" s="102">
        <v>1</v>
      </c>
      <c r="J314" s="1" t="s">
        <v>158</v>
      </c>
      <c r="K314" s="1" t="s">
        <v>22</v>
      </c>
      <c r="L314" s="103">
        <v>30893</v>
      </c>
      <c r="M314" s="104">
        <v>32</v>
      </c>
      <c r="N314" s="1" t="s">
        <v>176</v>
      </c>
      <c r="O314" s="1" t="s">
        <v>182</v>
      </c>
      <c r="P314" s="1" t="s">
        <v>464</v>
      </c>
      <c r="Q314" s="1" t="s">
        <v>2062</v>
      </c>
      <c r="R314" s="62">
        <v>0</v>
      </c>
      <c r="S314" s="102">
        <v>0</v>
      </c>
      <c r="T314" s="54" t="s">
        <v>2063</v>
      </c>
      <c r="U314" s="105">
        <v>1.5</v>
      </c>
      <c r="V314" s="62">
        <v>0</v>
      </c>
      <c r="W314" s="102">
        <v>0</v>
      </c>
      <c r="X314" s="62">
        <v>0</v>
      </c>
      <c r="Y314" s="102">
        <v>0</v>
      </c>
      <c r="Z314" s="62">
        <v>0</v>
      </c>
      <c r="AA314" s="102">
        <v>0</v>
      </c>
      <c r="AB314" s="62">
        <v>0</v>
      </c>
      <c r="AC314" s="106" t="s">
        <v>206</v>
      </c>
      <c r="AD314" s="106" t="s">
        <v>206</v>
      </c>
      <c r="AE314" s="106" t="s">
        <v>206</v>
      </c>
      <c r="AF314" s="106" t="s">
        <v>206</v>
      </c>
      <c r="AG314" s="106" t="s">
        <v>206</v>
      </c>
      <c r="AH314" s="106" t="s">
        <v>206</v>
      </c>
      <c r="AI314" s="1" t="s">
        <v>371</v>
      </c>
      <c r="AJ314" s="1" t="s">
        <v>372</v>
      </c>
      <c r="AK314" s="1" t="s">
        <v>430</v>
      </c>
      <c r="AL314" s="1" t="s">
        <v>198</v>
      </c>
      <c r="AM314" s="106" t="s">
        <v>27</v>
      </c>
      <c r="AN314" s="1" t="s">
        <v>357</v>
      </c>
      <c r="AO314" s="1" t="s">
        <v>206</v>
      </c>
      <c r="AP314" s="1" t="s">
        <v>603</v>
      </c>
      <c r="AQ314" s="1" t="s">
        <v>492</v>
      </c>
      <c r="AR314" s="1" t="s">
        <v>206</v>
      </c>
      <c r="AS314" s="106" t="s">
        <v>206</v>
      </c>
      <c r="AT314" s="1" t="s">
        <v>206</v>
      </c>
      <c r="AU314" s="106" t="s">
        <v>206</v>
      </c>
      <c r="AV314" s="106" t="s">
        <v>206</v>
      </c>
      <c r="AW314" s="106" t="s">
        <v>35</v>
      </c>
      <c r="AX314" s="106" t="s">
        <v>206</v>
      </c>
      <c r="AY314" s="106" t="s">
        <v>206</v>
      </c>
      <c r="AZ314" s="1" t="s">
        <v>30</v>
      </c>
      <c r="BA314" s="106" t="s">
        <v>35</v>
      </c>
      <c r="BB314" s="106" t="s">
        <v>206</v>
      </c>
      <c r="BC314" s="106" t="s">
        <v>206</v>
      </c>
      <c r="BD314" s="106" t="s">
        <v>206</v>
      </c>
      <c r="BE314" s="106" t="s">
        <v>206</v>
      </c>
      <c r="BF314" s="107">
        <f>IF(AZ314="Não","Sim","Não")</f>
      </c>
      <c r="BG314" s="107">
        <f>IF(AZ314="NA","Sim","Não")</f>
      </c>
      <c r="BH314" s="106" t="s">
        <v>35</v>
      </c>
      <c r="BI314" s="1" t="s">
        <v>238</v>
      </c>
      <c r="BJ314" s="106" t="s">
        <v>241</v>
      </c>
      <c r="BK314" s="1" t="s">
        <v>2038</v>
      </c>
      <c r="BL314" s="105">
        <v>81.66666666666667</v>
      </c>
      <c r="BM314" s="1" t="s">
        <v>208</v>
      </c>
      <c r="BN314" s="1" t="s">
        <v>208</v>
      </c>
      <c r="BO314" s="1" t="s">
        <v>2038</v>
      </c>
      <c r="BP314" s="105">
        <v>81.66666666666667</v>
      </c>
      <c r="BQ314" s="1" t="s">
        <v>208</v>
      </c>
      <c r="BR314" s="1" t="s">
        <v>228</v>
      </c>
      <c r="BS314" s="106" t="s">
        <v>228</v>
      </c>
    </row>
    <row x14ac:dyDescent="0.25" r="315" customHeight="1" ht="17.25">
      <c r="A315" s="102">
        <v>314</v>
      </c>
      <c r="B315" s="1" t="s">
        <v>2064</v>
      </c>
      <c r="C315" s="102">
        <v>1</v>
      </c>
      <c r="D315" s="61" t="s">
        <v>1925</v>
      </c>
      <c r="E315" s="1" t="s">
        <v>107</v>
      </c>
      <c r="F315" s="1" t="s">
        <v>22</v>
      </c>
      <c r="G315" s="1" t="s">
        <v>62</v>
      </c>
      <c r="H315" s="1" t="s">
        <v>2065</v>
      </c>
      <c r="I315" s="102">
        <v>1</v>
      </c>
      <c r="J315" s="1" t="s">
        <v>158</v>
      </c>
      <c r="K315" s="1" t="s">
        <v>22</v>
      </c>
      <c r="L315" s="103">
        <v>34940</v>
      </c>
      <c r="M315" s="104">
        <v>21</v>
      </c>
      <c r="N315" s="1" t="s">
        <v>176</v>
      </c>
      <c r="O315" s="1" t="s">
        <v>182</v>
      </c>
      <c r="P315" s="1" t="s">
        <v>464</v>
      </c>
      <c r="Q315" s="1" t="s">
        <v>2066</v>
      </c>
      <c r="R315" s="62">
        <v>0</v>
      </c>
      <c r="S315" s="102">
        <v>0</v>
      </c>
      <c r="T315" s="54" t="s">
        <v>2067</v>
      </c>
      <c r="U315" s="105">
        <v>19.5</v>
      </c>
      <c r="V315" s="62">
        <v>0</v>
      </c>
      <c r="W315" s="102">
        <v>0</v>
      </c>
      <c r="X315" s="62">
        <v>0</v>
      </c>
      <c r="Y315" s="102">
        <v>0</v>
      </c>
      <c r="Z315" s="62">
        <v>0</v>
      </c>
      <c r="AA315" s="102">
        <v>0</v>
      </c>
      <c r="AB315" s="62">
        <v>0</v>
      </c>
      <c r="AC315" s="106" t="s">
        <v>206</v>
      </c>
      <c r="AD315" s="106" t="s">
        <v>206</v>
      </c>
      <c r="AE315" s="106" t="s">
        <v>206</v>
      </c>
      <c r="AF315" s="106" t="s">
        <v>206</v>
      </c>
      <c r="AG315" s="106" t="s">
        <v>206</v>
      </c>
      <c r="AH315" s="106" t="s">
        <v>206</v>
      </c>
      <c r="AI315" s="1" t="s">
        <v>357</v>
      </c>
      <c r="AJ315" s="1" t="s">
        <v>206</v>
      </c>
      <c r="AK315" s="1" t="s">
        <v>1855</v>
      </c>
      <c r="AL315" s="1" t="s">
        <v>197</v>
      </c>
      <c r="AM315" s="106" t="s">
        <v>27</v>
      </c>
      <c r="AN315" s="1" t="s">
        <v>357</v>
      </c>
      <c r="AO315" s="1" t="s">
        <v>208</v>
      </c>
      <c r="AP315" s="1" t="s">
        <v>385</v>
      </c>
      <c r="AQ315" s="1" t="s">
        <v>492</v>
      </c>
      <c r="AR315" s="1" t="s">
        <v>207</v>
      </c>
      <c r="AS315" s="106" t="s">
        <v>35</v>
      </c>
      <c r="AT315" s="1" t="s">
        <v>206</v>
      </c>
      <c r="AU315" s="106" t="s">
        <v>206</v>
      </c>
      <c r="AV315" s="106" t="s">
        <v>206</v>
      </c>
      <c r="AW315" s="106" t="s">
        <v>35</v>
      </c>
      <c r="AX315" s="106" t="s">
        <v>206</v>
      </c>
      <c r="AY315" s="106" t="s">
        <v>206</v>
      </c>
      <c r="AZ315" s="1" t="s">
        <v>206</v>
      </c>
      <c r="BA315" s="106" t="s">
        <v>206</v>
      </c>
      <c r="BB315" s="106" t="s">
        <v>206</v>
      </c>
      <c r="BC315" s="106" t="s">
        <v>206</v>
      </c>
      <c r="BD315" s="106" t="s">
        <v>206</v>
      </c>
      <c r="BE315" s="106" t="s">
        <v>206</v>
      </c>
      <c r="BF315" s="107">
        <f>IF(AZ315="Não","Sim","Não")</f>
      </c>
      <c r="BG315" s="107">
        <f>IF(AZ315="NA","Sim","Não")</f>
      </c>
      <c r="BH315" s="106" t="s">
        <v>206</v>
      </c>
      <c r="BI315" s="1" t="s">
        <v>238</v>
      </c>
      <c r="BJ315" s="106" t="s">
        <v>241</v>
      </c>
      <c r="BK315" s="1" t="s">
        <v>2038</v>
      </c>
      <c r="BL315" s="105">
        <v>81.66666666666667</v>
      </c>
      <c r="BM315" s="1" t="s">
        <v>208</v>
      </c>
      <c r="BN315" s="1" t="s">
        <v>208</v>
      </c>
      <c r="BO315" s="1" t="s">
        <v>2038</v>
      </c>
      <c r="BP315" s="105">
        <v>81.66666666666667</v>
      </c>
      <c r="BQ315" s="1" t="s">
        <v>208</v>
      </c>
      <c r="BR315" s="1" t="s">
        <v>227</v>
      </c>
      <c r="BS315" s="106" t="s">
        <v>37</v>
      </c>
    </row>
    <row x14ac:dyDescent="0.25" r="316" customHeight="1" ht="17.25">
      <c r="A316" s="102">
        <v>315</v>
      </c>
      <c r="B316" s="1" t="s">
        <v>2068</v>
      </c>
      <c r="C316" s="102">
        <v>1</v>
      </c>
      <c r="D316" s="61" t="s">
        <v>790</v>
      </c>
      <c r="E316" s="1" t="s">
        <v>123</v>
      </c>
      <c r="F316" s="1" t="s">
        <v>170</v>
      </c>
      <c r="G316" s="1" t="s">
        <v>58</v>
      </c>
      <c r="H316" s="1" t="s">
        <v>2069</v>
      </c>
      <c r="I316" s="102">
        <v>1</v>
      </c>
      <c r="J316" s="1" t="s">
        <v>158</v>
      </c>
      <c r="K316" s="1" t="s">
        <v>22</v>
      </c>
      <c r="L316" s="103">
        <v>34530</v>
      </c>
      <c r="M316" s="104">
        <v>22</v>
      </c>
      <c r="N316" s="1" t="s">
        <v>175</v>
      </c>
      <c r="O316" s="1" t="s">
        <v>24</v>
      </c>
      <c r="P316" s="1" t="s">
        <v>354</v>
      </c>
      <c r="Q316" s="1" t="s">
        <v>1419</v>
      </c>
      <c r="R316" s="54" t="s">
        <v>2070</v>
      </c>
      <c r="S316" s="102">
        <v>275</v>
      </c>
      <c r="T316" s="54" t="s">
        <v>2071</v>
      </c>
      <c r="U316" s="105">
        <v>61.6</v>
      </c>
      <c r="V316" s="62">
        <v>0</v>
      </c>
      <c r="W316" s="102">
        <v>0</v>
      </c>
      <c r="X316" s="62">
        <v>0</v>
      </c>
      <c r="Y316" s="102">
        <v>0</v>
      </c>
      <c r="Z316" s="62">
        <v>0</v>
      </c>
      <c r="AA316" s="102">
        <v>0</v>
      </c>
      <c r="AB316" s="62">
        <v>0</v>
      </c>
      <c r="AC316" s="106" t="s">
        <v>206</v>
      </c>
      <c r="AD316" s="106" t="s">
        <v>206</v>
      </c>
      <c r="AE316" s="106" t="s">
        <v>206</v>
      </c>
      <c r="AF316" s="106" t="s">
        <v>206</v>
      </c>
      <c r="AG316" s="106" t="s">
        <v>206</v>
      </c>
      <c r="AH316" s="106" t="s">
        <v>206</v>
      </c>
      <c r="AI316" s="1" t="s">
        <v>371</v>
      </c>
      <c r="AJ316" s="1" t="s">
        <v>206</v>
      </c>
      <c r="AK316" s="1" t="s">
        <v>2072</v>
      </c>
      <c r="AL316" s="1" t="s">
        <v>198</v>
      </c>
      <c r="AM316" s="106" t="s">
        <v>27</v>
      </c>
      <c r="AN316" s="1" t="s">
        <v>357</v>
      </c>
      <c r="AO316" s="1" t="s">
        <v>208</v>
      </c>
      <c r="AP316" s="1" t="s">
        <v>206</v>
      </c>
      <c r="AQ316" s="1" t="s">
        <v>441</v>
      </c>
      <c r="AR316" s="1" t="s">
        <v>207</v>
      </c>
      <c r="AS316" s="106" t="s">
        <v>35</v>
      </c>
      <c r="AT316" s="1" t="s">
        <v>206</v>
      </c>
      <c r="AU316" s="106" t="s">
        <v>206</v>
      </c>
      <c r="AV316" s="106" t="s">
        <v>206</v>
      </c>
      <c r="AW316" s="106" t="s">
        <v>35</v>
      </c>
      <c r="AX316" s="106" t="s">
        <v>206</v>
      </c>
      <c r="AY316" s="106" t="s">
        <v>206</v>
      </c>
      <c r="AZ316" s="1" t="s">
        <v>30</v>
      </c>
      <c r="BA316" s="106" t="s">
        <v>35</v>
      </c>
      <c r="BB316" s="106" t="s">
        <v>206</v>
      </c>
      <c r="BC316" s="106" t="s">
        <v>206</v>
      </c>
      <c r="BD316" s="106" t="s">
        <v>206</v>
      </c>
      <c r="BE316" s="106" t="s">
        <v>206</v>
      </c>
      <c r="BF316" s="107">
        <f>IF(AZ316="Não","Sim","Não")</f>
      </c>
      <c r="BG316" s="107">
        <f>IF(AZ316="NA","Sim","Não")</f>
      </c>
      <c r="BH316" s="106" t="s">
        <v>35</v>
      </c>
      <c r="BI316" s="1" t="s">
        <v>238</v>
      </c>
      <c r="BJ316" s="106" t="s">
        <v>241</v>
      </c>
      <c r="BK316" s="1" t="s">
        <v>2038</v>
      </c>
      <c r="BL316" s="105">
        <v>81.66666666666667</v>
      </c>
      <c r="BM316" s="1" t="s">
        <v>208</v>
      </c>
      <c r="BN316" s="1" t="s">
        <v>208</v>
      </c>
      <c r="BO316" s="1" t="s">
        <v>2038</v>
      </c>
      <c r="BP316" s="105">
        <v>81.66666666666667</v>
      </c>
      <c r="BQ316" s="1" t="s">
        <v>208</v>
      </c>
      <c r="BR316" s="1" t="s">
        <v>227</v>
      </c>
      <c r="BS316" s="106" t="s">
        <v>37</v>
      </c>
    </row>
    <row x14ac:dyDescent="0.25" r="317" customHeight="1" ht="17.25">
      <c r="A317" s="102">
        <v>316</v>
      </c>
      <c r="B317" s="1" t="s">
        <v>2073</v>
      </c>
      <c r="C317" s="102">
        <v>1</v>
      </c>
      <c r="D317" s="61">
        <v>42930</v>
      </c>
      <c r="E317" s="1" t="s">
        <v>89</v>
      </c>
      <c r="F317" s="1" t="s">
        <v>22</v>
      </c>
      <c r="G317" s="1" t="s">
        <v>38</v>
      </c>
      <c r="H317" s="1" t="s">
        <v>2074</v>
      </c>
      <c r="I317" s="102">
        <v>1</v>
      </c>
      <c r="J317" s="1" t="s">
        <v>158</v>
      </c>
      <c r="K317" s="1" t="s">
        <v>22</v>
      </c>
      <c r="L317" s="103">
        <v>32988</v>
      </c>
      <c r="M317" s="104">
        <v>27</v>
      </c>
      <c r="N317" s="1" t="s">
        <v>175</v>
      </c>
      <c r="O317" s="1" t="s">
        <v>24</v>
      </c>
      <c r="P317" s="1" t="s">
        <v>354</v>
      </c>
      <c r="Q317" s="1" t="s">
        <v>2075</v>
      </c>
      <c r="R317" s="62">
        <v>0</v>
      </c>
      <c r="S317" s="102">
        <v>0</v>
      </c>
      <c r="T317" s="62">
        <v>0</v>
      </c>
      <c r="U317" s="102">
        <v>0</v>
      </c>
      <c r="V317" s="54" t="s">
        <v>2076</v>
      </c>
      <c r="W317" s="105">
        <v>0.2</v>
      </c>
      <c r="X317" s="62">
        <v>0</v>
      </c>
      <c r="Y317" s="102">
        <v>0</v>
      </c>
      <c r="Z317" s="62">
        <v>0</v>
      </c>
      <c r="AA317" s="102">
        <v>0</v>
      </c>
      <c r="AB317" s="62">
        <v>0</v>
      </c>
      <c r="AC317" s="106" t="s">
        <v>206</v>
      </c>
      <c r="AD317" s="106" t="s">
        <v>206</v>
      </c>
      <c r="AE317" s="106" t="s">
        <v>206</v>
      </c>
      <c r="AF317" s="106" t="s">
        <v>206</v>
      </c>
      <c r="AG317" s="106" t="s">
        <v>206</v>
      </c>
      <c r="AH317" s="106" t="s">
        <v>206</v>
      </c>
      <c r="AI317" s="1" t="s">
        <v>357</v>
      </c>
      <c r="AJ317" s="1" t="s">
        <v>206</v>
      </c>
      <c r="AK317" s="1" t="s">
        <v>476</v>
      </c>
      <c r="AL317" s="1" t="s">
        <v>197</v>
      </c>
      <c r="AM317" s="106" t="s">
        <v>27</v>
      </c>
      <c r="AN317" s="1" t="s">
        <v>357</v>
      </c>
      <c r="AO317" s="1" t="s">
        <v>208</v>
      </c>
      <c r="AP317" s="1" t="s">
        <v>2043</v>
      </c>
      <c r="AQ317" s="1" t="s">
        <v>492</v>
      </c>
      <c r="AR317" s="1" t="s">
        <v>207</v>
      </c>
      <c r="AS317" s="106" t="s">
        <v>35</v>
      </c>
      <c r="AT317" s="1" t="s">
        <v>206</v>
      </c>
      <c r="AU317" s="106" t="s">
        <v>206</v>
      </c>
      <c r="AV317" s="106" t="s">
        <v>206</v>
      </c>
      <c r="AW317" s="106" t="s">
        <v>35</v>
      </c>
      <c r="AX317" s="106" t="s">
        <v>206</v>
      </c>
      <c r="AY317" s="106" t="s">
        <v>206</v>
      </c>
      <c r="AZ317" s="1" t="s">
        <v>206</v>
      </c>
      <c r="BA317" s="106" t="s">
        <v>206</v>
      </c>
      <c r="BB317" s="106" t="s">
        <v>206</v>
      </c>
      <c r="BC317" s="106" t="s">
        <v>206</v>
      </c>
      <c r="BD317" s="106" t="s">
        <v>206</v>
      </c>
      <c r="BE317" s="106" t="s">
        <v>206</v>
      </c>
      <c r="BF317" s="107">
        <f>IF(AZ317="Não","Sim","Não")</f>
      </c>
      <c r="BG317" s="107">
        <f>IF(AZ317="NA","Sim","Não")</f>
      </c>
      <c r="BH317" s="106" t="s">
        <v>206</v>
      </c>
      <c r="BI317" s="1" t="s">
        <v>238</v>
      </c>
      <c r="BJ317" s="106" t="s">
        <v>241</v>
      </c>
      <c r="BK317" s="1" t="s">
        <v>2038</v>
      </c>
      <c r="BL317" s="105">
        <v>81.66666666666667</v>
      </c>
      <c r="BM317" s="1" t="s">
        <v>208</v>
      </c>
      <c r="BN317" s="1" t="s">
        <v>208</v>
      </c>
      <c r="BO317" s="1" t="s">
        <v>2038</v>
      </c>
      <c r="BP317" s="105">
        <v>81.66666666666667</v>
      </c>
      <c r="BQ317" s="1" t="s">
        <v>208</v>
      </c>
      <c r="BR317" s="1" t="s">
        <v>227</v>
      </c>
      <c r="BS317" s="106" t="s">
        <v>37</v>
      </c>
    </row>
    <row x14ac:dyDescent="0.25" r="318" customHeight="1" ht="17.25">
      <c r="A318" s="102">
        <v>317</v>
      </c>
      <c r="B318" s="1" t="s">
        <v>2077</v>
      </c>
      <c r="C318" s="102">
        <v>1</v>
      </c>
      <c r="D318" s="61" t="s">
        <v>2078</v>
      </c>
      <c r="E318" s="1" t="s">
        <v>117</v>
      </c>
      <c r="F318" s="1" t="s">
        <v>170</v>
      </c>
      <c r="G318" s="1" t="s">
        <v>47</v>
      </c>
      <c r="H318" s="1" t="s">
        <v>2079</v>
      </c>
      <c r="I318" s="102">
        <v>1</v>
      </c>
      <c r="J318" s="1" t="s">
        <v>158</v>
      </c>
      <c r="K318" s="1" t="s">
        <v>22</v>
      </c>
      <c r="L318" s="103">
        <v>29819</v>
      </c>
      <c r="M318" s="104">
        <v>35</v>
      </c>
      <c r="N318" s="1" t="s">
        <v>175</v>
      </c>
      <c r="O318" s="1" t="s">
        <v>24</v>
      </c>
      <c r="P318" s="1" t="s">
        <v>354</v>
      </c>
      <c r="Q318" s="1" t="s">
        <v>2080</v>
      </c>
      <c r="R318" s="62">
        <v>0</v>
      </c>
      <c r="S318" s="102">
        <v>0</v>
      </c>
      <c r="T318" s="54" t="s">
        <v>2081</v>
      </c>
      <c r="U318" s="105">
        <v>7.2</v>
      </c>
      <c r="V318" s="54" t="s">
        <v>2082</v>
      </c>
      <c r="W318" s="105">
        <v>21.1</v>
      </c>
      <c r="X318" s="62">
        <v>0</v>
      </c>
      <c r="Y318" s="102">
        <v>0</v>
      </c>
      <c r="Z318" s="62">
        <v>0</v>
      </c>
      <c r="AA318" s="102">
        <v>0</v>
      </c>
      <c r="AB318" s="62">
        <v>0</v>
      </c>
      <c r="AC318" s="106" t="s">
        <v>206</v>
      </c>
      <c r="AD318" s="106" t="s">
        <v>206</v>
      </c>
      <c r="AE318" s="106" t="s">
        <v>206</v>
      </c>
      <c r="AF318" s="106" t="s">
        <v>206</v>
      </c>
      <c r="AG318" s="106" t="s">
        <v>206</v>
      </c>
      <c r="AH318" s="106" t="s">
        <v>206</v>
      </c>
      <c r="AI318" s="1" t="s">
        <v>357</v>
      </c>
      <c r="AJ318" s="1" t="s">
        <v>206</v>
      </c>
      <c r="AK318" s="1" t="s">
        <v>1166</v>
      </c>
      <c r="AL318" s="1" t="s">
        <v>197</v>
      </c>
      <c r="AM318" s="106" t="s">
        <v>27</v>
      </c>
      <c r="AN318" s="1" t="s">
        <v>357</v>
      </c>
      <c r="AO318" s="1" t="s">
        <v>208</v>
      </c>
      <c r="AP318" s="1" t="s">
        <v>2083</v>
      </c>
      <c r="AQ318" s="1" t="s">
        <v>492</v>
      </c>
      <c r="AR318" s="1" t="s">
        <v>207</v>
      </c>
      <c r="AS318" s="106" t="s">
        <v>35</v>
      </c>
      <c r="AT318" s="1" t="s">
        <v>206</v>
      </c>
      <c r="AU318" s="106" t="s">
        <v>206</v>
      </c>
      <c r="AV318" s="106" t="s">
        <v>206</v>
      </c>
      <c r="AW318" s="106" t="s">
        <v>35</v>
      </c>
      <c r="AX318" s="106" t="s">
        <v>206</v>
      </c>
      <c r="AY318" s="106" t="s">
        <v>206</v>
      </c>
      <c r="AZ318" s="1" t="s">
        <v>206</v>
      </c>
      <c r="BA318" s="106" t="s">
        <v>206</v>
      </c>
      <c r="BB318" s="106" t="s">
        <v>206</v>
      </c>
      <c r="BC318" s="106" t="s">
        <v>206</v>
      </c>
      <c r="BD318" s="106" t="s">
        <v>206</v>
      </c>
      <c r="BE318" s="106" t="s">
        <v>206</v>
      </c>
      <c r="BF318" s="107">
        <f>IF(AZ318="Não","Sim","Não")</f>
      </c>
      <c r="BG318" s="107">
        <f>IF(AZ318="NA","Sim","Não")</f>
      </c>
      <c r="BH318" s="106" t="s">
        <v>206</v>
      </c>
      <c r="BI318" s="1" t="s">
        <v>238</v>
      </c>
      <c r="BJ318" s="106" t="s">
        <v>241</v>
      </c>
      <c r="BK318" s="1" t="s">
        <v>2038</v>
      </c>
      <c r="BL318" s="105">
        <v>81.66666666666667</v>
      </c>
      <c r="BM318" s="1" t="s">
        <v>208</v>
      </c>
      <c r="BN318" s="1" t="s">
        <v>208</v>
      </c>
      <c r="BO318" s="1" t="s">
        <v>2038</v>
      </c>
      <c r="BP318" s="105">
        <v>81.66666666666667</v>
      </c>
      <c r="BQ318" s="1" t="s">
        <v>208</v>
      </c>
      <c r="BR318" s="1" t="s">
        <v>227</v>
      </c>
      <c r="BS318" s="106" t="s">
        <v>37</v>
      </c>
    </row>
    <row x14ac:dyDescent="0.25" r="319" customHeight="1" ht="17.25">
      <c r="A319" s="102">
        <v>318</v>
      </c>
      <c r="B319" s="1" t="s">
        <v>2084</v>
      </c>
      <c r="C319" s="102">
        <v>1</v>
      </c>
      <c r="D319" s="61" t="s">
        <v>1782</v>
      </c>
      <c r="E319" s="1" t="s">
        <v>107</v>
      </c>
      <c r="F319" s="1" t="s">
        <v>22</v>
      </c>
      <c r="G319" s="1" t="s">
        <v>62</v>
      </c>
      <c r="H319" s="1" t="s">
        <v>2085</v>
      </c>
      <c r="I319" s="102">
        <v>1</v>
      </c>
      <c r="J319" s="1" t="s">
        <v>159</v>
      </c>
      <c r="K319" s="1" t="s">
        <v>22</v>
      </c>
      <c r="L319" s="103">
        <v>30211</v>
      </c>
      <c r="M319" s="104">
        <v>34</v>
      </c>
      <c r="N319" s="1" t="s">
        <v>175</v>
      </c>
      <c r="O319" s="1" t="s">
        <v>24</v>
      </c>
      <c r="P319" s="1" t="s">
        <v>517</v>
      </c>
      <c r="Q319" s="1" t="s">
        <v>366</v>
      </c>
      <c r="R319" s="62">
        <v>0</v>
      </c>
      <c r="S319" s="102">
        <v>0</v>
      </c>
      <c r="T319" s="62">
        <v>0</v>
      </c>
      <c r="U319" s="102">
        <v>0</v>
      </c>
      <c r="V319" s="54" t="s">
        <v>2086</v>
      </c>
      <c r="W319" s="102">
        <v>54</v>
      </c>
      <c r="X319" s="62">
        <v>0</v>
      </c>
      <c r="Y319" s="102">
        <v>0</v>
      </c>
      <c r="Z319" s="62">
        <v>0</v>
      </c>
      <c r="AA319" s="102">
        <v>0</v>
      </c>
      <c r="AB319" s="62">
        <v>0</v>
      </c>
      <c r="AC319" s="106" t="s">
        <v>206</v>
      </c>
      <c r="AD319" s="106" t="s">
        <v>206</v>
      </c>
      <c r="AE319" s="106" t="s">
        <v>206</v>
      </c>
      <c r="AF319" s="106" t="s">
        <v>206</v>
      </c>
      <c r="AG319" s="106" t="s">
        <v>206</v>
      </c>
      <c r="AH319" s="106" t="s">
        <v>206</v>
      </c>
      <c r="AI319" s="1" t="s">
        <v>357</v>
      </c>
      <c r="AJ319" s="1" t="s">
        <v>206</v>
      </c>
      <c r="AK319" s="1" t="s">
        <v>430</v>
      </c>
      <c r="AL319" s="1" t="s">
        <v>197</v>
      </c>
      <c r="AM319" s="106" t="s">
        <v>27</v>
      </c>
      <c r="AN319" s="1" t="s">
        <v>357</v>
      </c>
      <c r="AO319" s="1" t="s">
        <v>208</v>
      </c>
      <c r="AP319" s="1" t="s">
        <v>2087</v>
      </c>
      <c r="AQ319" s="1" t="s">
        <v>492</v>
      </c>
      <c r="AR319" s="1" t="s">
        <v>207</v>
      </c>
      <c r="AS319" s="106" t="s">
        <v>35</v>
      </c>
      <c r="AT319" s="1" t="s">
        <v>206</v>
      </c>
      <c r="AU319" s="106" t="s">
        <v>206</v>
      </c>
      <c r="AV319" s="106" t="s">
        <v>206</v>
      </c>
      <c r="AW319" s="106" t="s">
        <v>35</v>
      </c>
      <c r="AX319" s="106" t="s">
        <v>206</v>
      </c>
      <c r="AY319" s="106" t="s">
        <v>206</v>
      </c>
      <c r="AZ319" s="1" t="s">
        <v>206</v>
      </c>
      <c r="BA319" s="106" t="s">
        <v>206</v>
      </c>
      <c r="BB319" s="106" t="s">
        <v>206</v>
      </c>
      <c r="BC319" s="106" t="s">
        <v>206</v>
      </c>
      <c r="BD319" s="106" t="s">
        <v>206</v>
      </c>
      <c r="BE319" s="106" t="s">
        <v>206</v>
      </c>
      <c r="BF319" s="107">
        <f>IF(AZ319="Não","Sim","Não")</f>
      </c>
      <c r="BG319" s="107">
        <f>IF(AZ319="NA","Sim","Não")</f>
      </c>
      <c r="BH319" s="106" t="s">
        <v>206</v>
      </c>
      <c r="BI319" s="1" t="s">
        <v>238</v>
      </c>
      <c r="BJ319" s="106" t="s">
        <v>241</v>
      </c>
      <c r="BK319" s="1" t="s">
        <v>2038</v>
      </c>
      <c r="BL319" s="105">
        <v>81.66666666666667</v>
      </c>
      <c r="BM319" s="1" t="s">
        <v>208</v>
      </c>
      <c r="BN319" s="1" t="s">
        <v>208</v>
      </c>
      <c r="BO319" s="1" t="s">
        <v>2038</v>
      </c>
      <c r="BP319" s="105">
        <v>81.66666666666667</v>
      </c>
      <c r="BQ319" s="1" t="s">
        <v>208</v>
      </c>
      <c r="BR319" s="1" t="s">
        <v>227</v>
      </c>
      <c r="BS319" s="106" t="s">
        <v>37</v>
      </c>
    </row>
    <row x14ac:dyDescent="0.25" r="320" customHeight="1" ht="17.25">
      <c r="A320" s="102">
        <v>319</v>
      </c>
      <c r="B320" s="1" t="s">
        <v>2088</v>
      </c>
      <c r="C320" s="102">
        <v>1</v>
      </c>
      <c r="D320" s="61" t="s">
        <v>2089</v>
      </c>
      <c r="E320" s="1" t="s">
        <v>103</v>
      </c>
      <c r="F320" s="1" t="s">
        <v>22</v>
      </c>
      <c r="G320" s="1" t="s">
        <v>54</v>
      </c>
      <c r="H320" s="1" t="s">
        <v>2090</v>
      </c>
      <c r="I320" s="102">
        <v>1</v>
      </c>
      <c r="J320" s="1" t="s">
        <v>158</v>
      </c>
      <c r="K320" s="1" t="s">
        <v>22</v>
      </c>
      <c r="L320" s="103">
        <v>32791</v>
      </c>
      <c r="M320" s="104">
        <v>27</v>
      </c>
      <c r="N320" s="1" t="s">
        <v>177</v>
      </c>
      <c r="O320" s="1" t="s">
        <v>24</v>
      </c>
      <c r="P320" s="1" t="s">
        <v>365</v>
      </c>
      <c r="Q320" s="1" t="s">
        <v>366</v>
      </c>
      <c r="R320" s="54" t="s">
        <v>2091</v>
      </c>
      <c r="S320" s="105">
        <v>189.4</v>
      </c>
      <c r="T320" s="54" t="s">
        <v>2092</v>
      </c>
      <c r="U320" s="105">
        <v>5.4</v>
      </c>
      <c r="V320" s="54" t="s">
        <v>2093</v>
      </c>
      <c r="W320" s="105">
        <v>50.6</v>
      </c>
      <c r="X320" s="62">
        <v>0</v>
      </c>
      <c r="Y320" s="102">
        <v>0</v>
      </c>
      <c r="Z320" s="62">
        <v>0</v>
      </c>
      <c r="AA320" s="102">
        <v>0</v>
      </c>
      <c r="AB320" s="62">
        <v>0</v>
      </c>
      <c r="AC320" s="106" t="s">
        <v>206</v>
      </c>
      <c r="AD320" s="106" t="s">
        <v>206</v>
      </c>
      <c r="AE320" s="106" t="s">
        <v>206</v>
      </c>
      <c r="AF320" s="106" t="s">
        <v>206</v>
      </c>
      <c r="AG320" s="106" t="s">
        <v>206</v>
      </c>
      <c r="AH320" s="106" t="s">
        <v>206</v>
      </c>
      <c r="AI320" s="1" t="s">
        <v>357</v>
      </c>
      <c r="AJ320" s="1" t="s">
        <v>206</v>
      </c>
      <c r="AK320" s="1" t="s">
        <v>520</v>
      </c>
      <c r="AL320" s="1" t="s">
        <v>197</v>
      </c>
      <c r="AM320" s="106" t="s">
        <v>27</v>
      </c>
      <c r="AN320" s="1" t="s">
        <v>357</v>
      </c>
      <c r="AO320" s="1" t="s">
        <v>208</v>
      </c>
      <c r="AP320" s="1" t="s">
        <v>653</v>
      </c>
      <c r="AQ320" s="1" t="s">
        <v>492</v>
      </c>
      <c r="AR320" s="1" t="s">
        <v>207</v>
      </c>
      <c r="AS320" s="106" t="s">
        <v>35</v>
      </c>
      <c r="AT320" s="1" t="s">
        <v>206</v>
      </c>
      <c r="AU320" s="106" t="s">
        <v>206</v>
      </c>
      <c r="AV320" s="106" t="s">
        <v>206</v>
      </c>
      <c r="AW320" s="106" t="s">
        <v>35</v>
      </c>
      <c r="AX320" s="106" t="s">
        <v>206</v>
      </c>
      <c r="AY320" s="106" t="s">
        <v>206</v>
      </c>
      <c r="AZ320" s="1" t="s">
        <v>206</v>
      </c>
      <c r="BA320" s="106" t="s">
        <v>206</v>
      </c>
      <c r="BB320" s="106" t="s">
        <v>206</v>
      </c>
      <c r="BC320" s="106" t="s">
        <v>206</v>
      </c>
      <c r="BD320" s="106" t="s">
        <v>206</v>
      </c>
      <c r="BE320" s="106" t="s">
        <v>206</v>
      </c>
      <c r="BF320" s="107">
        <f>IF(AZ320="Não","Sim","Não")</f>
      </c>
      <c r="BG320" s="107">
        <f>IF(AZ320="NA","Sim","Não")</f>
      </c>
      <c r="BH320" s="106" t="s">
        <v>206</v>
      </c>
      <c r="BI320" s="1" t="s">
        <v>238</v>
      </c>
      <c r="BJ320" s="106" t="s">
        <v>241</v>
      </c>
      <c r="BK320" s="1" t="s">
        <v>2038</v>
      </c>
      <c r="BL320" s="105">
        <v>81.66666666666667</v>
      </c>
      <c r="BM320" s="1" t="s">
        <v>208</v>
      </c>
      <c r="BN320" s="1" t="s">
        <v>208</v>
      </c>
      <c r="BO320" s="1" t="s">
        <v>2038</v>
      </c>
      <c r="BP320" s="105">
        <v>81.66666666666667</v>
      </c>
      <c r="BQ320" s="1" t="s">
        <v>208</v>
      </c>
      <c r="BR320" s="1" t="s">
        <v>227</v>
      </c>
      <c r="BS320" s="106" t="s">
        <v>37</v>
      </c>
    </row>
    <row x14ac:dyDescent="0.25" r="321" customHeight="1" ht="17.25">
      <c r="A321" s="102">
        <v>320</v>
      </c>
      <c r="B321" s="1" t="s">
        <v>2094</v>
      </c>
      <c r="C321" s="102">
        <v>1</v>
      </c>
      <c r="D321" s="61" t="s">
        <v>487</v>
      </c>
      <c r="E321" s="1" t="s">
        <v>82</v>
      </c>
      <c r="F321" s="1" t="s">
        <v>22</v>
      </c>
      <c r="G321" s="1" t="s">
        <v>59</v>
      </c>
      <c r="H321" s="1" t="s">
        <v>2095</v>
      </c>
      <c r="I321" s="102">
        <v>1</v>
      </c>
      <c r="J321" s="1" t="s">
        <v>158</v>
      </c>
      <c r="K321" s="1" t="s">
        <v>22</v>
      </c>
      <c r="L321" s="103">
        <v>32589</v>
      </c>
      <c r="M321" s="104">
        <v>28</v>
      </c>
      <c r="N321" s="1" t="s">
        <v>175</v>
      </c>
      <c r="O321" s="1" t="s">
        <v>24</v>
      </c>
      <c r="P321" s="1" t="s">
        <v>365</v>
      </c>
      <c r="Q321" s="1" t="s">
        <v>2096</v>
      </c>
      <c r="R321" s="62">
        <v>0</v>
      </c>
      <c r="S321" s="102">
        <v>0</v>
      </c>
      <c r="T321" s="54" t="s">
        <v>2097</v>
      </c>
      <c r="U321" s="105">
        <v>16.3</v>
      </c>
      <c r="V321" s="54" t="s">
        <v>2098</v>
      </c>
      <c r="W321" s="105">
        <v>3.9</v>
      </c>
      <c r="X321" s="62">
        <v>0</v>
      </c>
      <c r="Y321" s="102">
        <v>0</v>
      </c>
      <c r="Z321" s="62">
        <v>0</v>
      </c>
      <c r="AA321" s="102">
        <v>0</v>
      </c>
      <c r="AB321" s="62">
        <v>0</v>
      </c>
      <c r="AC321" s="106" t="s">
        <v>206</v>
      </c>
      <c r="AD321" s="106" t="s">
        <v>206</v>
      </c>
      <c r="AE321" s="106" t="s">
        <v>206</v>
      </c>
      <c r="AF321" s="106" t="s">
        <v>206</v>
      </c>
      <c r="AG321" s="106" t="s">
        <v>206</v>
      </c>
      <c r="AH321" s="106" t="s">
        <v>206</v>
      </c>
      <c r="AI321" s="1" t="s">
        <v>357</v>
      </c>
      <c r="AJ321" s="1" t="s">
        <v>206</v>
      </c>
      <c r="AK321" s="1" t="s">
        <v>1480</v>
      </c>
      <c r="AL321" s="1" t="s">
        <v>197</v>
      </c>
      <c r="AM321" s="106" t="s">
        <v>27</v>
      </c>
      <c r="AN321" s="1" t="s">
        <v>357</v>
      </c>
      <c r="AO321" s="1" t="s">
        <v>208</v>
      </c>
      <c r="AP321" s="1" t="s">
        <v>847</v>
      </c>
      <c r="AQ321" s="1" t="s">
        <v>492</v>
      </c>
      <c r="AR321" s="1" t="s">
        <v>207</v>
      </c>
      <c r="AS321" s="106" t="s">
        <v>35</v>
      </c>
      <c r="AT321" s="1" t="s">
        <v>206</v>
      </c>
      <c r="AU321" s="106" t="s">
        <v>206</v>
      </c>
      <c r="AV321" s="106" t="s">
        <v>206</v>
      </c>
      <c r="AW321" s="106" t="s">
        <v>35</v>
      </c>
      <c r="AX321" s="106" t="s">
        <v>206</v>
      </c>
      <c r="AY321" s="106" t="s">
        <v>206</v>
      </c>
      <c r="AZ321" s="1" t="s">
        <v>206</v>
      </c>
      <c r="BA321" s="106" t="s">
        <v>206</v>
      </c>
      <c r="BB321" s="106" t="s">
        <v>206</v>
      </c>
      <c r="BC321" s="106" t="s">
        <v>206</v>
      </c>
      <c r="BD321" s="106" t="s">
        <v>206</v>
      </c>
      <c r="BE321" s="106" t="s">
        <v>206</v>
      </c>
      <c r="BF321" s="107">
        <f>IF(AZ321="Não","Sim","Não")</f>
      </c>
      <c r="BG321" s="107">
        <f>IF(AZ321="NA","Sim","Não")</f>
      </c>
      <c r="BH321" s="106" t="s">
        <v>206</v>
      </c>
      <c r="BI321" s="1" t="s">
        <v>238</v>
      </c>
      <c r="BJ321" s="106" t="s">
        <v>241</v>
      </c>
      <c r="BK321" s="1" t="s">
        <v>2038</v>
      </c>
      <c r="BL321" s="105">
        <v>81.66666666666667</v>
      </c>
      <c r="BM321" s="1" t="s">
        <v>208</v>
      </c>
      <c r="BN321" s="1" t="s">
        <v>208</v>
      </c>
      <c r="BO321" s="1" t="s">
        <v>2038</v>
      </c>
      <c r="BP321" s="105">
        <v>81.66666666666667</v>
      </c>
      <c r="BQ321" s="1" t="s">
        <v>208</v>
      </c>
      <c r="BR321" s="1" t="s">
        <v>227</v>
      </c>
      <c r="BS321" s="106" t="s">
        <v>37</v>
      </c>
    </row>
    <row x14ac:dyDescent="0.25" r="322" customHeight="1" ht="17.25">
      <c r="A322" s="102">
        <v>321</v>
      </c>
      <c r="B322" s="1" t="s">
        <v>477</v>
      </c>
      <c r="C322" s="102">
        <v>1</v>
      </c>
      <c r="D322" s="61" t="s">
        <v>478</v>
      </c>
      <c r="E322" s="1" t="s">
        <v>81</v>
      </c>
      <c r="F322" s="1" t="s">
        <v>22</v>
      </c>
      <c r="G322" s="1" t="s">
        <v>44</v>
      </c>
      <c r="H322" s="1" t="s">
        <v>2099</v>
      </c>
      <c r="I322" s="102">
        <v>1</v>
      </c>
      <c r="J322" s="1" t="s">
        <v>158</v>
      </c>
      <c r="K322" s="1" t="s">
        <v>22</v>
      </c>
      <c r="L322" s="103">
        <v>33267</v>
      </c>
      <c r="M322" s="104">
        <v>26</v>
      </c>
      <c r="N322" s="1" t="s">
        <v>175</v>
      </c>
      <c r="O322" s="1" t="s">
        <v>24</v>
      </c>
      <c r="P322" s="1" t="s">
        <v>365</v>
      </c>
      <c r="Q322" s="1" t="s">
        <v>366</v>
      </c>
      <c r="R322" s="54" t="s">
        <v>481</v>
      </c>
      <c r="S322" s="105">
        <v>15.5</v>
      </c>
      <c r="T322" s="54" t="s">
        <v>482</v>
      </c>
      <c r="U322" s="105">
        <v>45.6</v>
      </c>
      <c r="V322" s="54" t="s">
        <v>483</v>
      </c>
      <c r="W322" s="105">
        <v>4.3</v>
      </c>
      <c r="X322" s="62">
        <v>0</v>
      </c>
      <c r="Y322" s="102">
        <v>0</v>
      </c>
      <c r="Z322" s="62">
        <v>0</v>
      </c>
      <c r="AA322" s="102">
        <v>0</v>
      </c>
      <c r="AB322" s="57" t="s">
        <v>484</v>
      </c>
      <c r="AC322" s="106" t="s">
        <v>206</v>
      </c>
      <c r="AD322" s="106" t="s">
        <v>206</v>
      </c>
      <c r="AE322" s="106" t="s">
        <v>206</v>
      </c>
      <c r="AF322" s="106" t="s">
        <v>206</v>
      </c>
      <c r="AG322" s="106" t="s">
        <v>35</v>
      </c>
      <c r="AH322" s="106" t="s">
        <v>206</v>
      </c>
      <c r="AI322" s="1" t="s">
        <v>371</v>
      </c>
      <c r="AJ322" s="1" t="s">
        <v>206</v>
      </c>
      <c r="AK322" s="1" t="s">
        <v>485</v>
      </c>
      <c r="AL322" s="1" t="s">
        <v>198</v>
      </c>
      <c r="AM322" s="106" t="s">
        <v>27</v>
      </c>
      <c r="AN322" s="1" t="s">
        <v>357</v>
      </c>
      <c r="AO322" s="1" t="s">
        <v>208</v>
      </c>
      <c r="AP322" s="1" t="s">
        <v>2043</v>
      </c>
      <c r="AQ322" s="1" t="s">
        <v>492</v>
      </c>
      <c r="AR322" s="1" t="s">
        <v>207</v>
      </c>
      <c r="AS322" s="106" t="s">
        <v>35</v>
      </c>
      <c r="AT322" s="1" t="s">
        <v>206</v>
      </c>
      <c r="AU322" s="106" t="s">
        <v>206</v>
      </c>
      <c r="AV322" s="106" t="s">
        <v>206</v>
      </c>
      <c r="AW322" s="106" t="s">
        <v>35</v>
      </c>
      <c r="AX322" s="106" t="s">
        <v>206</v>
      </c>
      <c r="AY322" s="106" t="s">
        <v>206</v>
      </c>
      <c r="AZ322" s="1" t="s">
        <v>30</v>
      </c>
      <c r="BA322" s="106" t="s">
        <v>35</v>
      </c>
      <c r="BB322" s="106" t="s">
        <v>206</v>
      </c>
      <c r="BC322" s="106" t="s">
        <v>206</v>
      </c>
      <c r="BD322" s="106" t="s">
        <v>206</v>
      </c>
      <c r="BE322" s="106" t="s">
        <v>206</v>
      </c>
      <c r="BF322" s="107">
        <f>IF(AZ322="Não","Sim","Não")</f>
      </c>
      <c r="BG322" s="107">
        <f>IF(AZ322="NA","Sim","Não")</f>
      </c>
      <c r="BH322" s="106" t="s">
        <v>35</v>
      </c>
      <c r="BI322" s="1" t="s">
        <v>238</v>
      </c>
      <c r="BJ322" s="106" t="s">
        <v>241</v>
      </c>
      <c r="BK322" s="1" t="s">
        <v>2038</v>
      </c>
      <c r="BL322" s="105">
        <v>81.66666666666667</v>
      </c>
      <c r="BM322" s="1" t="s">
        <v>208</v>
      </c>
      <c r="BN322" s="1" t="s">
        <v>208</v>
      </c>
      <c r="BO322" s="1" t="s">
        <v>2038</v>
      </c>
      <c r="BP322" s="105">
        <v>81.66666666666667</v>
      </c>
      <c r="BQ322" s="1" t="s">
        <v>208</v>
      </c>
      <c r="BR322" s="1" t="s">
        <v>227</v>
      </c>
      <c r="BS322" s="106" t="s">
        <v>37</v>
      </c>
    </row>
    <row x14ac:dyDescent="0.25" r="323" customHeight="1" ht="17.25">
      <c r="A323" s="102">
        <v>322</v>
      </c>
      <c r="B323" s="1" t="s">
        <v>2100</v>
      </c>
      <c r="C323" s="102">
        <v>1</v>
      </c>
      <c r="D323" s="61" t="s">
        <v>1233</v>
      </c>
      <c r="E323" s="1" t="s">
        <v>108</v>
      </c>
      <c r="F323" s="1" t="s">
        <v>170</v>
      </c>
      <c r="G323" s="1" t="s">
        <v>46</v>
      </c>
      <c r="H323" s="1" t="s">
        <v>2101</v>
      </c>
      <c r="I323" s="102">
        <v>1</v>
      </c>
      <c r="J323" s="1" t="s">
        <v>158</v>
      </c>
      <c r="K323" s="1" t="s">
        <v>22</v>
      </c>
      <c r="L323" s="103">
        <v>32519</v>
      </c>
      <c r="M323" s="104">
        <v>28</v>
      </c>
      <c r="N323" s="1" t="s">
        <v>176</v>
      </c>
      <c r="O323" s="1" t="s">
        <v>182</v>
      </c>
      <c r="P323" s="1" t="s">
        <v>615</v>
      </c>
      <c r="Q323" s="1" t="s">
        <v>2102</v>
      </c>
      <c r="R323" s="54" t="s">
        <v>2103</v>
      </c>
      <c r="S323" s="105">
        <v>88.2</v>
      </c>
      <c r="T323" s="54" t="s">
        <v>2104</v>
      </c>
      <c r="U323" s="105">
        <v>8.2</v>
      </c>
      <c r="V323" s="54" t="s">
        <v>2105</v>
      </c>
      <c r="W323" s="105">
        <v>13.3</v>
      </c>
      <c r="X323" s="62">
        <v>0</v>
      </c>
      <c r="Y323" s="102">
        <v>0</v>
      </c>
      <c r="Z323" s="62">
        <v>0</v>
      </c>
      <c r="AA323" s="102">
        <v>0</v>
      </c>
      <c r="AB323" s="62">
        <v>0</v>
      </c>
      <c r="AC323" s="106" t="s">
        <v>206</v>
      </c>
      <c r="AD323" s="106" t="s">
        <v>206</v>
      </c>
      <c r="AE323" s="106" t="s">
        <v>206</v>
      </c>
      <c r="AF323" s="106" t="s">
        <v>206</v>
      </c>
      <c r="AG323" s="106" t="s">
        <v>206</v>
      </c>
      <c r="AH323" s="106" t="s">
        <v>206</v>
      </c>
      <c r="AI323" s="1" t="s">
        <v>357</v>
      </c>
      <c r="AJ323" s="1" t="s">
        <v>206</v>
      </c>
      <c r="AK323" s="1" t="s">
        <v>373</v>
      </c>
      <c r="AL323" s="1" t="s">
        <v>197</v>
      </c>
      <c r="AM323" s="106" t="s">
        <v>27</v>
      </c>
      <c r="AN323" s="1" t="s">
        <v>357</v>
      </c>
      <c r="AO323" s="1" t="s">
        <v>208</v>
      </c>
      <c r="AP323" s="1" t="s">
        <v>431</v>
      </c>
      <c r="AQ323" s="1" t="s">
        <v>432</v>
      </c>
      <c r="AR323" s="1" t="s">
        <v>207</v>
      </c>
      <c r="AS323" s="106" t="s">
        <v>35</v>
      </c>
      <c r="AT323" s="1" t="s">
        <v>206</v>
      </c>
      <c r="AU323" s="106" t="s">
        <v>206</v>
      </c>
      <c r="AV323" s="106" t="s">
        <v>206</v>
      </c>
      <c r="AW323" s="106" t="s">
        <v>35</v>
      </c>
      <c r="AX323" s="106" t="s">
        <v>206</v>
      </c>
      <c r="AY323" s="106" t="s">
        <v>206</v>
      </c>
      <c r="AZ323" s="1" t="s">
        <v>206</v>
      </c>
      <c r="BA323" s="106" t="s">
        <v>206</v>
      </c>
      <c r="BB323" s="106" t="s">
        <v>206</v>
      </c>
      <c r="BC323" s="106" t="s">
        <v>206</v>
      </c>
      <c r="BD323" s="106" t="s">
        <v>206</v>
      </c>
      <c r="BE323" s="106" t="s">
        <v>206</v>
      </c>
      <c r="BF323" s="107">
        <f>IF(AZ323="Não","Sim","Não")</f>
      </c>
      <c r="BG323" s="107">
        <f>IF(AZ323="NA","Sim","Não")</f>
      </c>
      <c r="BH323" s="106" t="s">
        <v>206</v>
      </c>
      <c r="BI323" s="1" t="s">
        <v>238</v>
      </c>
      <c r="BJ323" s="106" t="s">
        <v>241</v>
      </c>
      <c r="BK323" s="1" t="s">
        <v>2038</v>
      </c>
      <c r="BL323" s="105">
        <v>81.66666666666667</v>
      </c>
      <c r="BM323" s="1" t="s">
        <v>208</v>
      </c>
      <c r="BN323" s="1" t="s">
        <v>208</v>
      </c>
      <c r="BO323" s="1" t="s">
        <v>2038</v>
      </c>
      <c r="BP323" s="105">
        <v>81.66666666666667</v>
      </c>
      <c r="BQ323" s="1" t="s">
        <v>208</v>
      </c>
      <c r="BR323" s="1" t="s">
        <v>227</v>
      </c>
      <c r="BS323" s="106" t="s">
        <v>37</v>
      </c>
    </row>
    <row x14ac:dyDescent="0.25" r="324" customHeight="1" ht="17.25">
      <c r="A324" s="102">
        <v>323</v>
      </c>
      <c r="B324" s="1" t="s">
        <v>2106</v>
      </c>
      <c r="C324" s="102">
        <v>1</v>
      </c>
      <c r="D324" s="61" t="s">
        <v>2107</v>
      </c>
      <c r="E324" s="1" t="s">
        <v>107</v>
      </c>
      <c r="F324" s="1" t="s">
        <v>22</v>
      </c>
      <c r="G324" s="1" t="s">
        <v>62</v>
      </c>
      <c r="H324" s="1" t="s">
        <v>2108</v>
      </c>
      <c r="I324" s="102">
        <v>1</v>
      </c>
      <c r="J324" s="1" t="s">
        <v>158</v>
      </c>
      <c r="K324" s="1" t="s">
        <v>170</v>
      </c>
      <c r="L324" s="103">
        <v>30585</v>
      </c>
      <c r="M324" s="104">
        <v>33</v>
      </c>
      <c r="N324" s="1" t="s">
        <v>176</v>
      </c>
      <c r="O324" s="1" t="s">
        <v>182</v>
      </c>
      <c r="P324" s="1" t="s">
        <v>365</v>
      </c>
      <c r="Q324" s="1" t="s">
        <v>511</v>
      </c>
      <c r="R324" s="54" t="s">
        <v>2109</v>
      </c>
      <c r="S324" s="105">
        <v>125.5</v>
      </c>
      <c r="T324" s="54" t="s">
        <v>2110</v>
      </c>
      <c r="U324" s="105">
        <v>29.5</v>
      </c>
      <c r="V324" s="54" t="s">
        <v>2111</v>
      </c>
      <c r="W324" s="105">
        <v>11.3</v>
      </c>
      <c r="X324" s="62">
        <v>0</v>
      </c>
      <c r="Y324" s="102">
        <v>0</v>
      </c>
      <c r="Z324" s="62">
        <v>0</v>
      </c>
      <c r="AA324" s="102">
        <v>0</v>
      </c>
      <c r="AB324" s="62">
        <v>0</v>
      </c>
      <c r="AC324" s="106" t="s">
        <v>206</v>
      </c>
      <c r="AD324" s="106" t="s">
        <v>206</v>
      </c>
      <c r="AE324" s="106" t="s">
        <v>206</v>
      </c>
      <c r="AF324" s="106" t="s">
        <v>206</v>
      </c>
      <c r="AG324" s="106" t="s">
        <v>206</v>
      </c>
      <c r="AH324" s="106" t="s">
        <v>206</v>
      </c>
      <c r="AI324" s="1" t="s">
        <v>357</v>
      </c>
      <c r="AJ324" s="1" t="s">
        <v>206</v>
      </c>
      <c r="AK324" s="1" t="s">
        <v>2112</v>
      </c>
      <c r="AL324" s="1" t="s">
        <v>197</v>
      </c>
      <c r="AM324" s="106" t="s">
        <v>27</v>
      </c>
      <c r="AN324" s="1" t="s">
        <v>357</v>
      </c>
      <c r="AO324" s="1" t="s">
        <v>208</v>
      </c>
      <c r="AP324" s="1" t="s">
        <v>2113</v>
      </c>
      <c r="AQ324" s="1" t="s">
        <v>492</v>
      </c>
      <c r="AR324" s="1" t="s">
        <v>207</v>
      </c>
      <c r="AS324" s="106" t="s">
        <v>35</v>
      </c>
      <c r="AT324" s="1" t="s">
        <v>206</v>
      </c>
      <c r="AU324" s="106" t="s">
        <v>206</v>
      </c>
      <c r="AV324" s="106" t="s">
        <v>206</v>
      </c>
      <c r="AW324" s="106" t="s">
        <v>35</v>
      </c>
      <c r="AX324" s="106" t="s">
        <v>206</v>
      </c>
      <c r="AY324" s="106" t="s">
        <v>206</v>
      </c>
      <c r="AZ324" s="1" t="s">
        <v>206</v>
      </c>
      <c r="BA324" s="106" t="s">
        <v>206</v>
      </c>
      <c r="BB324" s="106" t="s">
        <v>206</v>
      </c>
      <c r="BC324" s="106" t="s">
        <v>206</v>
      </c>
      <c r="BD324" s="106" t="s">
        <v>206</v>
      </c>
      <c r="BE324" s="106" t="s">
        <v>206</v>
      </c>
      <c r="BF324" s="107">
        <f>IF(AZ324="Não","Sim","Não")</f>
      </c>
      <c r="BG324" s="107">
        <f>IF(AZ324="NA","Sim","Não")</f>
      </c>
      <c r="BH324" s="106" t="s">
        <v>206</v>
      </c>
      <c r="BI324" s="1" t="s">
        <v>238</v>
      </c>
      <c r="BJ324" s="106" t="s">
        <v>241</v>
      </c>
      <c r="BK324" s="1" t="s">
        <v>2038</v>
      </c>
      <c r="BL324" s="105">
        <v>81.66666666666667</v>
      </c>
      <c r="BM324" s="1" t="s">
        <v>208</v>
      </c>
      <c r="BN324" s="1" t="s">
        <v>208</v>
      </c>
      <c r="BO324" s="1" t="s">
        <v>2038</v>
      </c>
      <c r="BP324" s="105">
        <v>81.66666666666667</v>
      </c>
      <c r="BQ324" s="1" t="s">
        <v>208</v>
      </c>
      <c r="BR324" s="1" t="s">
        <v>227</v>
      </c>
      <c r="BS324" s="106" t="s">
        <v>37</v>
      </c>
    </row>
    <row x14ac:dyDescent="0.25" r="325" customHeight="1" ht="17.25">
      <c r="A325" s="102">
        <v>324</v>
      </c>
      <c r="B325" s="1" t="s">
        <v>2114</v>
      </c>
      <c r="C325" s="102">
        <v>1</v>
      </c>
      <c r="D325" s="61">
        <v>42765</v>
      </c>
      <c r="E325" s="1" t="s">
        <v>89</v>
      </c>
      <c r="F325" s="1" t="s">
        <v>22</v>
      </c>
      <c r="G325" s="1" t="s">
        <v>38</v>
      </c>
      <c r="H325" s="1" t="s">
        <v>2115</v>
      </c>
      <c r="I325" s="102">
        <v>1</v>
      </c>
      <c r="J325" s="1" t="s">
        <v>158</v>
      </c>
      <c r="K325" s="1" t="s">
        <v>22</v>
      </c>
      <c r="L325" s="103">
        <v>32782</v>
      </c>
      <c r="M325" s="104">
        <v>27</v>
      </c>
      <c r="N325" s="1" t="s">
        <v>175</v>
      </c>
      <c r="O325" s="1" t="s">
        <v>24</v>
      </c>
      <c r="P325" s="1" t="s">
        <v>517</v>
      </c>
      <c r="Q325" s="1" t="s">
        <v>2116</v>
      </c>
      <c r="R325" s="54" t="s">
        <v>2117</v>
      </c>
      <c r="S325" s="102">
        <v>67</v>
      </c>
      <c r="T325" s="54" t="s">
        <v>2118</v>
      </c>
      <c r="U325" s="102">
        <v>10</v>
      </c>
      <c r="V325" s="54" t="s">
        <v>2119</v>
      </c>
      <c r="W325" s="102">
        <v>17</v>
      </c>
      <c r="X325" s="62">
        <v>0</v>
      </c>
      <c r="Y325" s="102">
        <v>0</v>
      </c>
      <c r="Z325" s="62">
        <v>0</v>
      </c>
      <c r="AA325" s="102">
        <v>0</v>
      </c>
      <c r="AB325" s="62">
        <v>0</v>
      </c>
      <c r="AC325" s="106" t="s">
        <v>206</v>
      </c>
      <c r="AD325" s="106" t="s">
        <v>206</v>
      </c>
      <c r="AE325" s="106" t="s">
        <v>206</v>
      </c>
      <c r="AF325" s="106" t="s">
        <v>206</v>
      </c>
      <c r="AG325" s="106" t="s">
        <v>206</v>
      </c>
      <c r="AH325" s="106" t="s">
        <v>206</v>
      </c>
      <c r="AI325" s="1" t="s">
        <v>357</v>
      </c>
      <c r="AJ325" s="1" t="s">
        <v>206</v>
      </c>
      <c r="AK325" s="1" t="s">
        <v>373</v>
      </c>
      <c r="AL325" s="1" t="s">
        <v>197</v>
      </c>
      <c r="AM325" s="106" t="s">
        <v>27</v>
      </c>
      <c r="AN325" s="1" t="s">
        <v>357</v>
      </c>
      <c r="AO325" s="1" t="s">
        <v>208</v>
      </c>
      <c r="AP325" s="1" t="s">
        <v>2043</v>
      </c>
      <c r="AQ325" s="1" t="s">
        <v>492</v>
      </c>
      <c r="AR325" s="1" t="s">
        <v>207</v>
      </c>
      <c r="AS325" s="106" t="s">
        <v>35</v>
      </c>
      <c r="AT325" s="1" t="s">
        <v>206</v>
      </c>
      <c r="AU325" s="106" t="s">
        <v>206</v>
      </c>
      <c r="AV325" s="106" t="s">
        <v>206</v>
      </c>
      <c r="AW325" s="106" t="s">
        <v>35</v>
      </c>
      <c r="AX325" s="106" t="s">
        <v>206</v>
      </c>
      <c r="AY325" s="106" t="s">
        <v>206</v>
      </c>
      <c r="AZ325" s="1" t="s">
        <v>206</v>
      </c>
      <c r="BA325" s="106" t="s">
        <v>206</v>
      </c>
      <c r="BB325" s="106" t="s">
        <v>206</v>
      </c>
      <c r="BC325" s="106" t="s">
        <v>206</v>
      </c>
      <c r="BD325" s="106" t="s">
        <v>206</v>
      </c>
      <c r="BE325" s="106" t="s">
        <v>206</v>
      </c>
      <c r="BF325" s="107">
        <f>IF(AZ325="Não","Sim","Não")</f>
      </c>
      <c r="BG325" s="107">
        <f>IF(AZ325="NA","Sim","Não")</f>
      </c>
      <c r="BH325" s="106" t="s">
        <v>206</v>
      </c>
      <c r="BI325" s="1" t="s">
        <v>238</v>
      </c>
      <c r="BJ325" s="106" t="s">
        <v>241</v>
      </c>
      <c r="BK325" s="1" t="s">
        <v>2038</v>
      </c>
      <c r="BL325" s="105">
        <v>81.66666666666667</v>
      </c>
      <c r="BM325" s="1" t="s">
        <v>208</v>
      </c>
      <c r="BN325" s="1" t="s">
        <v>208</v>
      </c>
      <c r="BO325" s="1" t="s">
        <v>2038</v>
      </c>
      <c r="BP325" s="105">
        <v>81.66666666666667</v>
      </c>
      <c r="BQ325" s="1" t="s">
        <v>208</v>
      </c>
      <c r="BR325" s="1" t="s">
        <v>227</v>
      </c>
      <c r="BS325" s="106" t="s">
        <v>37</v>
      </c>
    </row>
    <row x14ac:dyDescent="0.25" r="326" customHeight="1" ht="17.25">
      <c r="A326" s="102">
        <v>325</v>
      </c>
      <c r="B326" s="1" t="s">
        <v>2120</v>
      </c>
      <c r="C326" s="102">
        <v>1</v>
      </c>
      <c r="D326" s="61" t="s">
        <v>557</v>
      </c>
      <c r="E326" s="1" t="s">
        <v>101</v>
      </c>
      <c r="F326" s="1" t="s">
        <v>22</v>
      </c>
      <c r="G326" s="1" t="s">
        <v>59</v>
      </c>
      <c r="H326" s="1" t="s">
        <v>2121</v>
      </c>
      <c r="I326" s="102">
        <v>1</v>
      </c>
      <c r="J326" s="1" t="s">
        <v>158</v>
      </c>
      <c r="K326" s="1" t="s">
        <v>22</v>
      </c>
      <c r="L326" s="103">
        <v>33937</v>
      </c>
      <c r="M326" s="104">
        <v>24</v>
      </c>
      <c r="N326" s="1" t="s">
        <v>175</v>
      </c>
      <c r="O326" s="1" t="s">
        <v>24</v>
      </c>
      <c r="P326" s="1" t="s">
        <v>365</v>
      </c>
      <c r="Q326" s="1" t="s">
        <v>1637</v>
      </c>
      <c r="R326" s="62">
        <v>0</v>
      </c>
      <c r="S326" s="102">
        <v>0</v>
      </c>
      <c r="T326" s="54" t="s">
        <v>2122</v>
      </c>
      <c r="U326" s="105">
        <v>531.1</v>
      </c>
      <c r="V326" s="62">
        <v>0</v>
      </c>
      <c r="W326" s="102">
        <v>0</v>
      </c>
      <c r="X326" s="62">
        <v>0</v>
      </c>
      <c r="Y326" s="102">
        <v>0</v>
      </c>
      <c r="Z326" s="62">
        <v>0</v>
      </c>
      <c r="AA326" s="102">
        <v>0</v>
      </c>
      <c r="AB326" s="62">
        <v>0</v>
      </c>
      <c r="AC326" s="106" t="s">
        <v>206</v>
      </c>
      <c r="AD326" s="106" t="s">
        <v>206</v>
      </c>
      <c r="AE326" s="106" t="s">
        <v>206</v>
      </c>
      <c r="AF326" s="106" t="s">
        <v>206</v>
      </c>
      <c r="AG326" s="106" t="s">
        <v>206</v>
      </c>
      <c r="AH326" s="106" t="s">
        <v>206</v>
      </c>
      <c r="AI326" s="1" t="s">
        <v>357</v>
      </c>
      <c r="AJ326" s="1" t="s">
        <v>2123</v>
      </c>
      <c r="AK326" s="1" t="s">
        <v>373</v>
      </c>
      <c r="AL326" s="1" t="s">
        <v>197</v>
      </c>
      <c r="AM326" s="106" t="s">
        <v>27</v>
      </c>
      <c r="AN326" s="1" t="s">
        <v>357</v>
      </c>
      <c r="AO326" s="1" t="s">
        <v>2123</v>
      </c>
      <c r="AP326" s="1" t="s">
        <v>406</v>
      </c>
      <c r="AQ326" s="1" t="s">
        <v>386</v>
      </c>
      <c r="AR326" s="1" t="s">
        <v>207</v>
      </c>
      <c r="AS326" s="106" t="s">
        <v>35</v>
      </c>
      <c r="AT326" s="1" t="s">
        <v>206</v>
      </c>
      <c r="AU326" s="106" t="s">
        <v>206</v>
      </c>
      <c r="AV326" s="106" t="s">
        <v>206</v>
      </c>
      <c r="AW326" s="106" t="s">
        <v>35</v>
      </c>
      <c r="AX326" s="106" t="s">
        <v>206</v>
      </c>
      <c r="AY326" s="106" t="s">
        <v>206</v>
      </c>
      <c r="AZ326" s="1" t="s">
        <v>206</v>
      </c>
      <c r="BA326" s="106" t="s">
        <v>206</v>
      </c>
      <c r="BB326" s="106" t="s">
        <v>206</v>
      </c>
      <c r="BC326" s="106" t="s">
        <v>206</v>
      </c>
      <c r="BD326" s="106" t="s">
        <v>206</v>
      </c>
      <c r="BE326" s="106" t="s">
        <v>206</v>
      </c>
      <c r="BF326" s="107">
        <f>IF(AZ326="Não","Sim","Não")</f>
      </c>
      <c r="BG326" s="107">
        <f>IF(AZ326="NA","Sim","Não")</f>
      </c>
      <c r="BH326" s="106" t="s">
        <v>206</v>
      </c>
      <c r="BI326" s="1" t="s">
        <v>238</v>
      </c>
      <c r="BJ326" s="106" t="s">
        <v>241</v>
      </c>
      <c r="BK326" s="1" t="s">
        <v>375</v>
      </c>
      <c r="BL326" s="102">
        <v>84</v>
      </c>
      <c r="BM326" s="1" t="s">
        <v>208</v>
      </c>
      <c r="BN326" s="1" t="s">
        <v>206</v>
      </c>
      <c r="BO326" s="1" t="s">
        <v>375</v>
      </c>
      <c r="BP326" s="102">
        <v>84</v>
      </c>
      <c r="BQ326" s="1" t="s">
        <v>208</v>
      </c>
      <c r="BR326" s="1" t="s">
        <v>227</v>
      </c>
      <c r="BS326" s="106" t="s">
        <v>37</v>
      </c>
    </row>
    <row x14ac:dyDescent="0.25" r="327" customHeight="1" ht="17.25">
      <c r="A327" s="102">
        <v>326</v>
      </c>
      <c r="B327" s="1" t="s">
        <v>2124</v>
      </c>
      <c r="C327" s="102">
        <v>1</v>
      </c>
      <c r="D327" s="61">
        <v>42957</v>
      </c>
      <c r="E327" s="1" t="s">
        <v>112</v>
      </c>
      <c r="F327" s="1" t="s">
        <v>170</v>
      </c>
      <c r="G327" s="1" t="s">
        <v>61</v>
      </c>
      <c r="H327" s="1" t="s">
        <v>2125</v>
      </c>
      <c r="I327" s="102">
        <v>1</v>
      </c>
      <c r="J327" s="1" t="s">
        <v>158</v>
      </c>
      <c r="K327" s="1" t="s">
        <v>22</v>
      </c>
      <c r="L327" s="103">
        <v>29867</v>
      </c>
      <c r="M327" s="104">
        <v>35</v>
      </c>
      <c r="N327" s="1" t="s">
        <v>175</v>
      </c>
      <c r="O327" s="1" t="s">
        <v>24</v>
      </c>
      <c r="P327" s="1" t="s">
        <v>365</v>
      </c>
      <c r="Q327" s="1" t="s">
        <v>2126</v>
      </c>
      <c r="R327" s="54" t="s">
        <v>2127</v>
      </c>
      <c r="S327" s="105">
        <v>3.2</v>
      </c>
      <c r="T327" s="54" t="s">
        <v>2128</v>
      </c>
      <c r="U327" s="105">
        <v>0.3</v>
      </c>
      <c r="V327" s="62">
        <v>0</v>
      </c>
      <c r="W327" s="102">
        <v>0</v>
      </c>
      <c r="X327" s="62">
        <v>0</v>
      </c>
      <c r="Y327" s="102">
        <v>0</v>
      </c>
      <c r="Z327" s="62">
        <v>0</v>
      </c>
      <c r="AA327" s="102">
        <v>0</v>
      </c>
      <c r="AB327" s="62">
        <v>0</v>
      </c>
      <c r="AC327" s="106" t="s">
        <v>206</v>
      </c>
      <c r="AD327" s="106" t="s">
        <v>206</v>
      </c>
      <c r="AE327" s="106" t="s">
        <v>206</v>
      </c>
      <c r="AF327" s="106" t="s">
        <v>206</v>
      </c>
      <c r="AG327" s="106" t="s">
        <v>206</v>
      </c>
      <c r="AH327" s="106" t="s">
        <v>206</v>
      </c>
      <c r="AI327" s="1" t="s">
        <v>357</v>
      </c>
      <c r="AJ327" s="1" t="s">
        <v>206</v>
      </c>
      <c r="AK327" s="1" t="s">
        <v>1166</v>
      </c>
      <c r="AL327" s="1" t="s">
        <v>197</v>
      </c>
      <c r="AM327" s="106" t="s">
        <v>27</v>
      </c>
      <c r="AN327" s="1" t="s">
        <v>357</v>
      </c>
      <c r="AO327" s="1" t="s">
        <v>208</v>
      </c>
      <c r="AP327" s="1" t="s">
        <v>2043</v>
      </c>
      <c r="AQ327" s="1" t="s">
        <v>492</v>
      </c>
      <c r="AR327" s="1" t="s">
        <v>207</v>
      </c>
      <c r="AS327" s="106" t="s">
        <v>35</v>
      </c>
      <c r="AT327" s="1" t="s">
        <v>206</v>
      </c>
      <c r="AU327" s="106" t="s">
        <v>206</v>
      </c>
      <c r="AV327" s="106" t="s">
        <v>206</v>
      </c>
      <c r="AW327" s="106" t="s">
        <v>35</v>
      </c>
      <c r="AX327" s="106" t="s">
        <v>206</v>
      </c>
      <c r="AY327" s="106" t="s">
        <v>206</v>
      </c>
      <c r="AZ327" s="1" t="s">
        <v>206</v>
      </c>
      <c r="BA327" s="106" t="s">
        <v>206</v>
      </c>
      <c r="BB327" s="106" t="s">
        <v>206</v>
      </c>
      <c r="BC327" s="106" t="s">
        <v>206</v>
      </c>
      <c r="BD327" s="106" t="s">
        <v>206</v>
      </c>
      <c r="BE327" s="106" t="s">
        <v>206</v>
      </c>
      <c r="BF327" s="107">
        <f>IF(AZ327="Não","Sim","Não")</f>
      </c>
      <c r="BG327" s="107">
        <f>IF(AZ327="NA","Sim","Não")</f>
      </c>
      <c r="BH327" s="106" t="s">
        <v>206</v>
      </c>
      <c r="BI327" s="1" t="s">
        <v>238</v>
      </c>
      <c r="BJ327" s="106" t="s">
        <v>241</v>
      </c>
      <c r="BK327" s="1" t="s">
        <v>375</v>
      </c>
      <c r="BL327" s="102">
        <v>84</v>
      </c>
      <c r="BM327" s="1" t="s">
        <v>208</v>
      </c>
      <c r="BN327" s="1" t="s">
        <v>208</v>
      </c>
      <c r="BO327" s="1" t="s">
        <v>375</v>
      </c>
      <c r="BP327" s="102">
        <v>84</v>
      </c>
      <c r="BQ327" s="1" t="s">
        <v>208</v>
      </c>
      <c r="BR327" s="1" t="s">
        <v>227</v>
      </c>
      <c r="BS327" s="106" t="s">
        <v>37</v>
      </c>
    </row>
    <row x14ac:dyDescent="0.25" r="328" customHeight="1" ht="17.25">
      <c r="A328" s="102">
        <v>327</v>
      </c>
      <c r="B328" s="1" t="s">
        <v>2129</v>
      </c>
      <c r="C328" s="102">
        <v>1</v>
      </c>
      <c r="D328" s="61" t="s">
        <v>363</v>
      </c>
      <c r="E328" s="1" t="s">
        <v>144</v>
      </c>
      <c r="F328" s="1" t="s">
        <v>170</v>
      </c>
      <c r="G328" s="1" t="s">
        <v>48</v>
      </c>
      <c r="H328" s="1" t="s">
        <v>2130</v>
      </c>
      <c r="I328" s="102">
        <v>1</v>
      </c>
      <c r="J328" s="1" t="s">
        <v>158</v>
      </c>
      <c r="K328" s="1" t="s">
        <v>22</v>
      </c>
      <c r="L328" s="103">
        <v>32525</v>
      </c>
      <c r="M328" s="104">
        <v>28</v>
      </c>
      <c r="N328" s="1" t="s">
        <v>175</v>
      </c>
      <c r="O328" s="1" t="s">
        <v>24</v>
      </c>
      <c r="P328" s="1" t="s">
        <v>517</v>
      </c>
      <c r="Q328" s="1" t="s">
        <v>472</v>
      </c>
      <c r="R328" s="54" t="s">
        <v>2131</v>
      </c>
      <c r="S328" s="105">
        <v>35.8</v>
      </c>
      <c r="T328" s="54" t="s">
        <v>2132</v>
      </c>
      <c r="U328" s="105">
        <v>158.8</v>
      </c>
      <c r="V328" s="62">
        <v>0</v>
      </c>
      <c r="W328" s="102">
        <v>0</v>
      </c>
      <c r="X328" s="62">
        <v>0</v>
      </c>
      <c r="Y328" s="102">
        <v>0</v>
      </c>
      <c r="Z328" s="62">
        <v>0</v>
      </c>
      <c r="AA328" s="102">
        <v>0</v>
      </c>
      <c r="AB328" s="62">
        <v>0</v>
      </c>
      <c r="AC328" s="106" t="s">
        <v>206</v>
      </c>
      <c r="AD328" s="106" t="s">
        <v>206</v>
      </c>
      <c r="AE328" s="106" t="s">
        <v>206</v>
      </c>
      <c r="AF328" s="106" t="s">
        <v>206</v>
      </c>
      <c r="AG328" s="106" t="s">
        <v>206</v>
      </c>
      <c r="AH328" s="106" t="s">
        <v>206</v>
      </c>
      <c r="AI328" s="1" t="s">
        <v>357</v>
      </c>
      <c r="AJ328" s="1" t="s">
        <v>206</v>
      </c>
      <c r="AK328" s="1" t="s">
        <v>1480</v>
      </c>
      <c r="AL328" s="1" t="s">
        <v>197</v>
      </c>
      <c r="AM328" s="106" t="s">
        <v>27</v>
      </c>
      <c r="AN328" s="1" t="s">
        <v>357</v>
      </c>
      <c r="AO328" s="1" t="s">
        <v>208</v>
      </c>
      <c r="AP328" s="1" t="s">
        <v>847</v>
      </c>
      <c r="AQ328" s="1" t="s">
        <v>386</v>
      </c>
      <c r="AR328" s="1" t="s">
        <v>207</v>
      </c>
      <c r="AS328" s="106" t="s">
        <v>35</v>
      </c>
      <c r="AT328" s="1" t="s">
        <v>206</v>
      </c>
      <c r="AU328" s="106" t="s">
        <v>206</v>
      </c>
      <c r="AV328" s="106" t="s">
        <v>206</v>
      </c>
      <c r="AW328" s="106" t="s">
        <v>35</v>
      </c>
      <c r="AX328" s="106" t="s">
        <v>206</v>
      </c>
      <c r="AY328" s="106" t="s">
        <v>206</v>
      </c>
      <c r="AZ328" s="1" t="s">
        <v>206</v>
      </c>
      <c r="BA328" s="106" t="s">
        <v>206</v>
      </c>
      <c r="BB328" s="106" t="s">
        <v>206</v>
      </c>
      <c r="BC328" s="106" t="s">
        <v>206</v>
      </c>
      <c r="BD328" s="106" t="s">
        <v>206</v>
      </c>
      <c r="BE328" s="106" t="s">
        <v>206</v>
      </c>
      <c r="BF328" s="107">
        <f>IF(AZ328="Não","Sim","Não")</f>
      </c>
      <c r="BG328" s="107">
        <f>IF(AZ328="NA","Sim","Não")</f>
      </c>
      <c r="BH328" s="106" t="s">
        <v>206</v>
      </c>
      <c r="BI328" s="1" t="s">
        <v>238</v>
      </c>
      <c r="BJ328" s="106" t="s">
        <v>241</v>
      </c>
      <c r="BK328" s="1" t="s">
        <v>375</v>
      </c>
      <c r="BL328" s="102">
        <v>84</v>
      </c>
      <c r="BM328" s="1" t="s">
        <v>208</v>
      </c>
      <c r="BN328" s="1" t="s">
        <v>208</v>
      </c>
      <c r="BO328" s="1" t="s">
        <v>375</v>
      </c>
      <c r="BP328" s="102">
        <v>84</v>
      </c>
      <c r="BQ328" s="1" t="s">
        <v>208</v>
      </c>
      <c r="BR328" s="1" t="s">
        <v>227</v>
      </c>
      <c r="BS328" s="106" t="s">
        <v>37</v>
      </c>
    </row>
    <row x14ac:dyDescent="0.25" r="329" customHeight="1" ht="17.25">
      <c r="A329" s="102">
        <v>328</v>
      </c>
      <c r="B329" s="1" t="s">
        <v>2133</v>
      </c>
      <c r="C329" s="102">
        <v>1</v>
      </c>
      <c r="D329" s="61" t="s">
        <v>400</v>
      </c>
      <c r="E329" s="1" t="s">
        <v>101</v>
      </c>
      <c r="F329" s="1" t="s">
        <v>22</v>
      </c>
      <c r="G329" s="1" t="s">
        <v>59</v>
      </c>
      <c r="H329" s="1" t="s">
        <v>2134</v>
      </c>
      <c r="I329" s="102">
        <v>1</v>
      </c>
      <c r="J329" s="1" t="s">
        <v>158</v>
      </c>
      <c r="K329" s="1" t="s">
        <v>22</v>
      </c>
      <c r="L329" s="103">
        <v>33546</v>
      </c>
      <c r="M329" s="104">
        <v>25</v>
      </c>
      <c r="N329" s="1" t="s">
        <v>175</v>
      </c>
      <c r="O329" s="1" t="s">
        <v>24</v>
      </c>
      <c r="P329" s="1" t="s">
        <v>365</v>
      </c>
      <c r="Q329" s="1" t="s">
        <v>2135</v>
      </c>
      <c r="R329" s="54" t="s">
        <v>2136</v>
      </c>
      <c r="S329" s="105">
        <v>226.4</v>
      </c>
      <c r="T329" s="54" t="s">
        <v>2137</v>
      </c>
      <c r="U329" s="105">
        <v>111.5</v>
      </c>
      <c r="V329" s="62">
        <v>0</v>
      </c>
      <c r="W329" s="102">
        <v>0</v>
      </c>
      <c r="X329" s="62">
        <v>0</v>
      </c>
      <c r="Y329" s="102">
        <v>0</v>
      </c>
      <c r="Z329" s="62">
        <v>0</v>
      </c>
      <c r="AA329" s="102">
        <v>0</v>
      </c>
      <c r="AB329" s="62">
        <v>0</v>
      </c>
      <c r="AC329" s="106" t="s">
        <v>206</v>
      </c>
      <c r="AD329" s="106" t="s">
        <v>206</v>
      </c>
      <c r="AE329" s="106" t="s">
        <v>206</v>
      </c>
      <c r="AF329" s="106" t="s">
        <v>206</v>
      </c>
      <c r="AG329" s="106" t="s">
        <v>206</v>
      </c>
      <c r="AH329" s="106" t="s">
        <v>206</v>
      </c>
      <c r="AI329" s="1" t="s">
        <v>357</v>
      </c>
      <c r="AJ329" s="1" t="s">
        <v>206</v>
      </c>
      <c r="AK329" s="1" t="s">
        <v>1579</v>
      </c>
      <c r="AL329" s="1" t="s">
        <v>197</v>
      </c>
      <c r="AM329" s="106" t="s">
        <v>27</v>
      </c>
      <c r="AN329" s="1" t="s">
        <v>357</v>
      </c>
      <c r="AO329" s="1" t="s">
        <v>208</v>
      </c>
      <c r="AP329" s="1" t="s">
        <v>653</v>
      </c>
      <c r="AQ329" s="1" t="s">
        <v>386</v>
      </c>
      <c r="AR329" s="1" t="s">
        <v>207</v>
      </c>
      <c r="AS329" s="106" t="s">
        <v>35</v>
      </c>
      <c r="AT329" s="1" t="s">
        <v>28</v>
      </c>
      <c r="AU329" s="106" t="s">
        <v>35</v>
      </c>
      <c r="AV329" s="106" t="s">
        <v>206</v>
      </c>
      <c r="AW329" s="106" t="s">
        <v>206</v>
      </c>
      <c r="AX329" s="106" t="s">
        <v>206</v>
      </c>
      <c r="AY329" s="106" t="s">
        <v>35</v>
      </c>
      <c r="AZ329" s="1" t="s">
        <v>34</v>
      </c>
      <c r="BA329" s="106" t="s">
        <v>206</v>
      </c>
      <c r="BB329" s="106" t="s">
        <v>206</v>
      </c>
      <c r="BC329" s="106" t="s">
        <v>206</v>
      </c>
      <c r="BD329" s="106" t="s">
        <v>206</v>
      </c>
      <c r="BE329" s="106" t="s">
        <v>35</v>
      </c>
      <c r="BF329" s="107">
        <f>IF(AZ329="Não","Sim","Não")</f>
      </c>
      <c r="BG329" s="107">
        <f>IF(AZ329="NA","Sim","Não")</f>
      </c>
      <c r="BH329" s="106" t="s">
        <v>35</v>
      </c>
      <c r="BI329" s="1" t="s">
        <v>238</v>
      </c>
      <c r="BJ329" s="106" t="s">
        <v>241</v>
      </c>
      <c r="BK329" s="1" t="s">
        <v>375</v>
      </c>
      <c r="BL329" s="102">
        <v>84</v>
      </c>
      <c r="BM329" s="1" t="s">
        <v>208</v>
      </c>
      <c r="BN329" s="1" t="s">
        <v>208</v>
      </c>
      <c r="BO329" s="1" t="s">
        <v>375</v>
      </c>
      <c r="BP329" s="102">
        <v>84</v>
      </c>
      <c r="BQ329" s="1" t="s">
        <v>208</v>
      </c>
      <c r="BR329" s="1" t="s">
        <v>227</v>
      </c>
      <c r="BS329" s="106" t="s">
        <v>37</v>
      </c>
    </row>
    <row x14ac:dyDescent="0.25" r="330" customHeight="1" ht="17.25">
      <c r="A330" s="102">
        <v>329</v>
      </c>
      <c r="B330" s="1" t="s">
        <v>1908</v>
      </c>
      <c r="C330" s="102">
        <v>1</v>
      </c>
      <c r="D330" s="61" t="s">
        <v>1909</v>
      </c>
      <c r="E330" s="1" t="s">
        <v>79</v>
      </c>
      <c r="F330" s="1" t="s">
        <v>170</v>
      </c>
      <c r="G330" s="1" t="s">
        <v>66</v>
      </c>
      <c r="H330" s="1" t="s">
        <v>2138</v>
      </c>
      <c r="I330" s="102">
        <v>1</v>
      </c>
      <c r="J330" s="1" t="s">
        <v>158</v>
      </c>
      <c r="K330" s="1" t="s">
        <v>22</v>
      </c>
      <c r="L330" s="103">
        <v>31871</v>
      </c>
      <c r="M330" s="104">
        <v>30</v>
      </c>
      <c r="N330" s="1" t="s">
        <v>175</v>
      </c>
      <c r="O330" s="1" t="s">
        <v>24</v>
      </c>
      <c r="P330" s="1" t="s">
        <v>464</v>
      </c>
      <c r="Q330" s="1" t="s">
        <v>1911</v>
      </c>
      <c r="R330" s="54" t="s">
        <v>1912</v>
      </c>
      <c r="S330" s="105">
        <v>1841.9</v>
      </c>
      <c r="T330" s="54" t="s">
        <v>1913</v>
      </c>
      <c r="U330" s="102">
        <v>2883</v>
      </c>
      <c r="V330" s="62">
        <v>0</v>
      </c>
      <c r="W330" s="102">
        <v>0</v>
      </c>
      <c r="X330" s="62">
        <v>0</v>
      </c>
      <c r="Y330" s="102">
        <v>0</v>
      </c>
      <c r="Z330" s="62">
        <v>0</v>
      </c>
      <c r="AA330" s="102">
        <v>0</v>
      </c>
      <c r="AB330" s="62">
        <v>0</v>
      </c>
      <c r="AC330" s="106" t="s">
        <v>206</v>
      </c>
      <c r="AD330" s="106" t="s">
        <v>206</v>
      </c>
      <c r="AE330" s="106" t="s">
        <v>206</v>
      </c>
      <c r="AF330" s="106" t="s">
        <v>206</v>
      </c>
      <c r="AG330" s="106" t="s">
        <v>206</v>
      </c>
      <c r="AH330" s="106" t="s">
        <v>206</v>
      </c>
      <c r="AI330" s="1" t="s">
        <v>357</v>
      </c>
      <c r="AJ330" s="1" t="s">
        <v>206</v>
      </c>
      <c r="AK330" s="1" t="s">
        <v>1136</v>
      </c>
      <c r="AL330" s="1" t="s">
        <v>197</v>
      </c>
      <c r="AM330" s="106" t="s">
        <v>27</v>
      </c>
      <c r="AN330" s="1" t="s">
        <v>357</v>
      </c>
      <c r="AO330" s="1" t="s">
        <v>208</v>
      </c>
      <c r="AP330" s="1" t="s">
        <v>653</v>
      </c>
      <c r="AQ330" s="1" t="s">
        <v>386</v>
      </c>
      <c r="AR330" s="1" t="s">
        <v>207</v>
      </c>
      <c r="AS330" s="106" t="s">
        <v>35</v>
      </c>
      <c r="AT330" s="1" t="s">
        <v>206</v>
      </c>
      <c r="AU330" s="106" t="s">
        <v>206</v>
      </c>
      <c r="AV330" s="106" t="s">
        <v>206</v>
      </c>
      <c r="AW330" s="106" t="s">
        <v>35</v>
      </c>
      <c r="AX330" s="106" t="s">
        <v>206</v>
      </c>
      <c r="AY330" s="106" t="s">
        <v>206</v>
      </c>
      <c r="AZ330" s="1" t="s">
        <v>206</v>
      </c>
      <c r="BA330" s="106" t="s">
        <v>206</v>
      </c>
      <c r="BB330" s="106" t="s">
        <v>206</v>
      </c>
      <c r="BC330" s="106" t="s">
        <v>206</v>
      </c>
      <c r="BD330" s="106" t="s">
        <v>206</v>
      </c>
      <c r="BE330" s="106" t="s">
        <v>206</v>
      </c>
      <c r="BF330" s="107">
        <f>IF(AZ330="Não","Sim","Não")</f>
      </c>
      <c r="BG330" s="107">
        <f>IF(AZ330="NA","Sim","Não")</f>
      </c>
      <c r="BH330" s="106" t="s">
        <v>206</v>
      </c>
      <c r="BI330" s="1" t="s">
        <v>238</v>
      </c>
      <c r="BJ330" s="106" t="s">
        <v>241</v>
      </c>
      <c r="BK330" s="1" t="s">
        <v>375</v>
      </c>
      <c r="BL330" s="102">
        <v>84</v>
      </c>
      <c r="BM330" s="1" t="s">
        <v>208</v>
      </c>
      <c r="BN330" s="1" t="s">
        <v>208</v>
      </c>
      <c r="BO330" s="1" t="s">
        <v>375</v>
      </c>
      <c r="BP330" s="102">
        <v>84</v>
      </c>
      <c r="BQ330" s="1" t="s">
        <v>208</v>
      </c>
      <c r="BR330" s="1" t="s">
        <v>227</v>
      </c>
      <c r="BS330" s="106" t="s">
        <v>37</v>
      </c>
    </row>
    <row x14ac:dyDescent="0.25" r="331" customHeight="1" ht="17.25">
      <c r="A331" s="102">
        <v>330</v>
      </c>
      <c r="B331" s="1" t="s">
        <v>2139</v>
      </c>
      <c r="C331" s="102">
        <v>1</v>
      </c>
      <c r="D331" s="61" t="s">
        <v>840</v>
      </c>
      <c r="E331" s="1" t="s">
        <v>86</v>
      </c>
      <c r="F331" s="1" t="s">
        <v>22</v>
      </c>
      <c r="G331" s="1" t="s">
        <v>50</v>
      </c>
      <c r="H331" s="1" t="s">
        <v>2140</v>
      </c>
      <c r="I331" s="102">
        <v>1</v>
      </c>
      <c r="J331" s="1" t="s">
        <v>159</v>
      </c>
      <c r="K331" s="1" t="s">
        <v>22</v>
      </c>
      <c r="L331" s="103">
        <v>30218</v>
      </c>
      <c r="M331" s="104">
        <v>35</v>
      </c>
      <c r="N331" s="1" t="s">
        <v>176</v>
      </c>
      <c r="O331" s="1" t="s">
        <v>182</v>
      </c>
      <c r="P331" s="1" t="s">
        <v>2141</v>
      </c>
      <c r="Q331" s="1" t="s">
        <v>366</v>
      </c>
      <c r="R331" s="62">
        <v>0</v>
      </c>
      <c r="S331" s="102">
        <v>0</v>
      </c>
      <c r="T331" s="54" t="s">
        <v>2142</v>
      </c>
      <c r="U331" s="105">
        <v>1172.2</v>
      </c>
      <c r="V331" s="62">
        <v>0</v>
      </c>
      <c r="W331" s="102">
        <v>0</v>
      </c>
      <c r="X331" s="62">
        <v>0</v>
      </c>
      <c r="Y331" s="102">
        <v>0</v>
      </c>
      <c r="Z331" s="62">
        <v>0</v>
      </c>
      <c r="AA331" s="102">
        <v>0</v>
      </c>
      <c r="AB331" s="62">
        <v>0</v>
      </c>
      <c r="AC331" s="106" t="s">
        <v>206</v>
      </c>
      <c r="AD331" s="106" t="s">
        <v>206</v>
      </c>
      <c r="AE331" s="106" t="s">
        <v>206</v>
      </c>
      <c r="AF331" s="106" t="s">
        <v>206</v>
      </c>
      <c r="AG331" s="106" t="s">
        <v>206</v>
      </c>
      <c r="AH331" s="106" t="s">
        <v>206</v>
      </c>
      <c r="AI331" s="1" t="s">
        <v>357</v>
      </c>
      <c r="AJ331" s="1" t="s">
        <v>206</v>
      </c>
      <c r="AK331" s="1" t="s">
        <v>405</v>
      </c>
      <c r="AL331" s="1" t="s">
        <v>197</v>
      </c>
      <c r="AM331" s="106" t="s">
        <v>27</v>
      </c>
      <c r="AN331" s="1" t="s">
        <v>357</v>
      </c>
      <c r="AO331" s="1" t="s">
        <v>208</v>
      </c>
      <c r="AP331" s="1" t="s">
        <v>1994</v>
      </c>
      <c r="AQ331" s="1" t="s">
        <v>375</v>
      </c>
      <c r="AR331" s="1" t="s">
        <v>206</v>
      </c>
      <c r="AS331" s="106" t="s">
        <v>206</v>
      </c>
      <c r="AT331" s="1" t="s">
        <v>206</v>
      </c>
      <c r="AU331" s="106" t="s">
        <v>206</v>
      </c>
      <c r="AV331" s="106" t="s">
        <v>206</v>
      </c>
      <c r="AW331" s="106" t="s">
        <v>35</v>
      </c>
      <c r="AX331" s="106" t="s">
        <v>206</v>
      </c>
      <c r="AY331" s="106" t="s">
        <v>206</v>
      </c>
      <c r="AZ331" s="1" t="s">
        <v>206</v>
      </c>
      <c r="BA331" s="106" t="s">
        <v>206</v>
      </c>
      <c r="BB331" s="106" t="s">
        <v>206</v>
      </c>
      <c r="BC331" s="106" t="s">
        <v>206</v>
      </c>
      <c r="BD331" s="106" t="s">
        <v>206</v>
      </c>
      <c r="BE331" s="106" t="s">
        <v>206</v>
      </c>
      <c r="BF331" s="107">
        <f>IF(AZ331="Não","Sim","Não")</f>
      </c>
      <c r="BG331" s="107">
        <f>IF(AZ331="NA","Sim","Não")</f>
      </c>
      <c r="BH331" s="106" t="s">
        <v>206</v>
      </c>
      <c r="BI331" s="1" t="s">
        <v>206</v>
      </c>
      <c r="BJ331" s="106" t="s">
        <v>206</v>
      </c>
      <c r="BK331" s="1" t="s">
        <v>375</v>
      </c>
      <c r="BL331" s="102">
        <v>84</v>
      </c>
      <c r="BM331" s="1" t="s">
        <v>208</v>
      </c>
      <c r="BN331" s="1" t="s">
        <v>208</v>
      </c>
      <c r="BO331" s="1" t="s">
        <v>375</v>
      </c>
      <c r="BP331" s="102">
        <v>84</v>
      </c>
      <c r="BQ331" s="1" t="s">
        <v>208</v>
      </c>
      <c r="BR331" s="1" t="s">
        <v>227</v>
      </c>
      <c r="BS331" s="106" t="s">
        <v>37</v>
      </c>
    </row>
    <row x14ac:dyDescent="0.25" r="332" customHeight="1" ht="17.25">
      <c r="A332" s="102">
        <v>331</v>
      </c>
      <c r="B332" s="1" t="s">
        <v>2143</v>
      </c>
      <c r="C332" s="102">
        <v>1</v>
      </c>
      <c r="D332" s="61" t="s">
        <v>1967</v>
      </c>
      <c r="E332" s="1" t="s">
        <v>119</v>
      </c>
      <c r="F332" s="1" t="s">
        <v>170</v>
      </c>
      <c r="G332" s="1" t="s">
        <v>51</v>
      </c>
      <c r="H332" s="1" t="s">
        <v>2144</v>
      </c>
      <c r="I332" s="102">
        <v>1</v>
      </c>
      <c r="J332" s="1" t="s">
        <v>158</v>
      </c>
      <c r="K332" s="1" t="s">
        <v>22</v>
      </c>
      <c r="L332" s="103">
        <v>33778</v>
      </c>
      <c r="M332" s="104">
        <v>24</v>
      </c>
      <c r="N332" s="1" t="s">
        <v>175</v>
      </c>
      <c r="O332" s="1" t="s">
        <v>24</v>
      </c>
      <c r="P332" s="1" t="s">
        <v>365</v>
      </c>
      <c r="Q332" s="1" t="s">
        <v>366</v>
      </c>
      <c r="R332" s="54" t="s">
        <v>2145</v>
      </c>
      <c r="S332" s="102">
        <v>263</v>
      </c>
      <c r="T332" s="54" t="s">
        <v>2146</v>
      </c>
      <c r="U332" s="105">
        <v>64.6</v>
      </c>
      <c r="V332" s="62">
        <v>0</v>
      </c>
      <c r="W332" s="102">
        <v>0</v>
      </c>
      <c r="X332" s="62">
        <v>0</v>
      </c>
      <c r="Y332" s="102">
        <v>0</v>
      </c>
      <c r="Z332" s="62">
        <v>0</v>
      </c>
      <c r="AA332" s="102">
        <v>0</v>
      </c>
      <c r="AB332" s="62">
        <v>0</v>
      </c>
      <c r="AC332" s="106" t="s">
        <v>206</v>
      </c>
      <c r="AD332" s="106" t="s">
        <v>206</v>
      </c>
      <c r="AE332" s="106" t="s">
        <v>206</v>
      </c>
      <c r="AF332" s="106" t="s">
        <v>206</v>
      </c>
      <c r="AG332" s="106" t="s">
        <v>206</v>
      </c>
      <c r="AH332" s="106" t="s">
        <v>206</v>
      </c>
      <c r="AI332" s="1" t="s">
        <v>357</v>
      </c>
      <c r="AJ332" s="1" t="s">
        <v>206</v>
      </c>
      <c r="AK332" s="1" t="s">
        <v>373</v>
      </c>
      <c r="AL332" s="1" t="s">
        <v>197</v>
      </c>
      <c r="AM332" s="106" t="s">
        <v>27</v>
      </c>
      <c r="AN332" s="1" t="s">
        <v>357</v>
      </c>
      <c r="AO332" s="1" t="s">
        <v>208</v>
      </c>
      <c r="AP332" s="1" t="s">
        <v>1994</v>
      </c>
      <c r="AQ332" s="1" t="s">
        <v>375</v>
      </c>
      <c r="AR332" s="1" t="s">
        <v>206</v>
      </c>
      <c r="AS332" s="106" t="s">
        <v>206</v>
      </c>
      <c r="AT332" s="1" t="s">
        <v>206</v>
      </c>
      <c r="AU332" s="106" t="s">
        <v>206</v>
      </c>
      <c r="AV332" s="106" t="s">
        <v>206</v>
      </c>
      <c r="AW332" s="106" t="s">
        <v>35</v>
      </c>
      <c r="AX332" s="106" t="s">
        <v>206</v>
      </c>
      <c r="AY332" s="106" t="s">
        <v>206</v>
      </c>
      <c r="AZ332" s="1" t="s">
        <v>206</v>
      </c>
      <c r="BA332" s="106" t="s">
        <v>206</v>
      </c>
      <c r="BB332" s="106" t="s">
        <v>206</v>
      </c>
      <c r="BC332" s="106" t="s">
        <v>206</v>
      </c>
      <c r="BD332" s="106" t="s">
        <v>206</v>
      </c>
      <c r="BE332" s="106" t="s">
        <v>206</v>
      </c>
      <c r="BF332" s="107">
        <f>IF(AZ332="Não","Sim","Não")</f>
      </c>
      <c r="BG332" s="107">
        <f>IF(AZ332="NA","Sim","Não")</f>
      </c>
      <c r="BH332" s="106" t="s">
        <v>206</v>
      </c>
      <c r="BI332" s="1" t="s">
        <v>238</v>
      </c>
      <c r="BJ332" s="106" t="s">
        <v>241</v>
      </c>
      <c r="BK332" s="1" t="s">
        <v>375</v>
      </c>
      <c r="BL332" s="102">
        <v>84</v>
      </c>
      <c r="BM332" s="1" t="s">
        <v>208</v>
      </c>
      <c r="BN332" s="1" t="s">
        <v>208</v>
      </c>
      <c r="BO332" s="1" t="s">
        <v>375</v>
      </c>
      <c r="BP332" s="102">
        <v>84</v>
      </c>
      <c r="BQ332" s="1" t="s">
        <v>208</v>
      </c>
      <c r="BR332" s="1" t="s">
        <v>227</v>
      </c>
      <c r="BS332" s="106" t="s">
        <v>37</v>
      </c>
    </row>
    <row x14ac:dyDescent="0.25" r="333" customHeight="1" ht="17.25">
      <c r="A333" s="102">
        <v>332</v>
      </c>
      <c r="B333" s="1" t="s">
        <v>2147</v>
      </c>
      <c r="C333" s="102">
        <v>1</v>
      </c>
      <c r="D333" s="61" t="s">
        <v>352</v>
      </c>
      <c r="E333" s="1" t="s">
        <v>131</v>
      </c>
      <c r="F333" s="1" t="s">
        <v>170</v>
      </c>
      <c r="G333" s="1" t="s">
        <v>43</v>
      </c>
      <c r="H333" s="1" t="s">
        <v>2148</v>
      </c>
      <c r="I333" s="102">
        <v>1</v>
      </c>
      <c r="J333" s="1" t="s">
        <v>158</v>
      </c>
      <c r="K333" s="1" t="s">
        <v>22</v>
      </c>
      <c r="L333" s="103">
        <v>33280</v>
      </c>
      <c r="M333" s="104">
        <v>26</v>
      </c>
      <c r="N333" s="1" t="s">
        <v>179</v>
      </c>
      <c r="O333" s="1" t="s">
        <v>182</v>
      </c>
      <c r="P333" s="1" t="s">
        <v>365</v>
      </c>
      <c r="Q333" s="1" t="s">
        <v>1235</v>
      </c>
      <c r="R333" s="62">
        <v>0</v>
      </c>
      <c r="S333" s="102">
        <v>0</v>
      </c>
      <c r="T333" s="54" t="s">
        <v>2149</v>
      </c>
      <c r="U333" s="105">
        <v>756.4</v>
      </c>
      <c r="V333" s="62">
        <v>0</v>
      </c>
      <c r="W333" s="102">
        <v>0</v>
      </c>
      <c r="X333" s="62">
        <v>0</v>
      </c>
      <c r="Y333" s="102">
        <v>0</v>
      </c>
      <c r="Z333" s="62">
        <v>0</v>
      </c>
      <c r="AA333" s="102">
        <v>0</v>
      </c>
      <c r="AB333" s="62">
        <v>0</v>
      </c>
      <c r="AC333" s="106" t="s">
        <v>206</v>
      </c>
      <c r="AD333" s="106" t="s">
        <v>206</v>
      </c>
      <c r="AE333" s="106" t="s">
        <v>206</v>
      </c>
      <c r="AF333" s="106" t="s">
        <v>206</v>
      </c>
      <c r="AG333" s="106" t="s">
        <v>206</v>
      </c>
      <c r="AH333" s="106" t="s">
        <v>206</v>
      </c>
      <c r="AI333" s="1" t="s">
        <v>357</v>
      </c>
      <c r="AJ333" s="1" t="s">
        <v>206</v>
      </c>
      <c r="AK333" s="1" t="s">
        <v>1166</v>
      </c>
      <c r="AL333" s="1" t="s">
        <v>197</v>
      </c>
      <c r="AM333" s="106" t="s">
        <v>27</v>
      </c>
      <c r="AN333" s="1" t="s">
        <v>357</v>
      </c>
      <c r="AO333" s="1" t="s">
        <v>208</v>
      </c>
      <c r="AP333" s="1" t="s">
        <v>406</v>
      </c>
      <c r="AQ333" s="1" t="s">
        <v>386</v>
      </c>
      <c r="AR333" s="1" t="s">
        <v>207</v>
      </c>
      <c r="AS333" s="106" t="s">
        <v>35</v>
      </c>
      <c r="AT333" s="1" t="s">
        <v>206</v>
      </c>
      <c r="AU333" s="106" t="s">
        <v>206</v>
      </c>
      <c r="AV333" s="106" t="s">
        <v>206</v>
      </c>
      <c r="AW333" s="106" t="s">
        <v>35</v>
      </c>
      <c r="AX333" s="106" t="s">
        <v>206</v>
      </c>
      <c r="AY333" s="106" t="s">
        <v>206</v>
      </c>
      <c r="AZ333" s="1" t="s">
        <v>206</v>
      </c>
      <c r="BA333" s="106" t="s">
        <v>206</v>
      </c>
      <c r="BB333" s="106" t="s">
        <v>206</v>
      </c>
      <c r="BC333" s="106" t="s">
        <v>206</v>
      </c>
      <c r="BD333" s="106" t="s">
        <v>206</v>
      </c>
      <c r="BE333" s="106" t="s">
        <v>206</v>
      </c>
      <c r="BF333" s="107">
        <f>IF(AZ333="Não","Sim","Não")</f>
      </c>
      <c r="BG333" s="107">
        <f>IF(AZ333="NA","Sim","Não")</f>
      </c>
      <c r="BH333" s="106" t="s">
        <v>206</v>
      </c>
      <c r="BI333" s="1" t="s">
        <v>238</v>
      </c>
      <c r="BJ333" s="106" t="s">
        <v>241</v>
      </c>
      <c r="BK333" s="1" t="s">
        <v>375</v>
      </c>
      <c r="BL333" s="102">
        <v>84</v>
      </c>
      <c r="BM333" s="1" t="s">
        <v>208</v>
      </c>
      <c r="BN333" s="1" t="s">
        <v>208</v>
      </c>
      <c r="BO333" s="1" t="s">
        <v>375</v>
      </c>
      <c r="BP333" s="102">
        <v>84</v>
      </c>
      <c r="BQ333" s="1" t="s">
        <v>208</v>
      </c>
      <c r="BR333" s="1" t="s">
        <v>227</v>
      </c>
      <c r="BS333" s="106" t="s">
        <v>37</v>
      </c>
    </row>
    <row x14ac:dyDescent="0.25" r="334" customHeight="1" ht="17.25">
      <c r="A334" s="102">
        <v>333</v>
      </c>
      <c r="B334" s="1" t="s">
        <v>2150</v>
      </c>
      <c r="C334" s="102">
        <v>1</v>
      </c>
      <c r="D334" s="61" t="s">
        <v>1049</v>
      </c>
      <c r="E334" s="1" t="s">
        <v>99</v>
      </c>
      <c r="F334" s="1" t="s">
        <v>170</v>
      </c>
      <c r="G334" s="1" t="s">
        <v>54</v>
      </c>
      <c r="H334" s="1" t="s">
        <v>2151</v>
      </c>
      <c r="I334" s="102">
        <v>1</v>
      </c>
      <c r="J334" s="1" t="s">
        <v>159</v>
      </c>
      <c r="K334" s="1" t="s">
        <v>22</v>
      </c>
      <c r="L334" s="103">
        <v>32178</v>
      </c>
      <c r="M334" s="104">
        <v>29</v>
      </c>
      <c r="N334" s="1" t="s">
        <v>177</v>
      </c>
      <c r="O334" s="1" t="s">
        <v>24</v>
      </c>
      <c r="P334" s="1" t="s">
        <v>354</v>
      </c>
      <c r="Q334" s="1" t="s">
        <v>2152</v>
      </c>
      <c r="R334" s="54" t="s">
        <v>2153</v>
      </c>
      <c r="S334" s="105">
        <v>680.4</v>
      </c>
      <c r="T334" s="62">
        <v>0</v>
      </c>
      <c r="U334" s="102">
        <v>0</v>
      </c>
      <c r="V334" s="54" t="s">
        <v>2154</v>
      </c>
      <c r="W334" s="105">
        <v>780.9</v>
      </c>
      <c r="X334" s="62">
        <v>0</v>
      </c>
      <c r="Y334" s="102">
        <v>0</v>
      </c>
      <c r="Z334" s="62">
        <v>0</v>
      </c>
      <c r="AA334" s="102">
        <v>0</v>
      </c>
      <c r="AB334" s="62">
        <v>0</v>
      </c>
      <c r="AC334" s="106" t="s">
        <v>206</v>
      </c>
      <c r="AD334" s="106" t="s">
        <v>206</v>
      </c>
      <c r="AE334" s="106" t="s">
        <v>206</v>
      </c>
      <c r="AF334" s="106" t="s">
        <v>206</v>
      </c>
      <c r="AG334" s="106" t="s">
        <v>206</v>
      </c>
      <c r="AH334" s="106" t="s">
        <v>206</v>
      </c>
      <c r="AI334" s="1" t="s">
        <v>357</v>
      </c>
      <c r="AJ334" s="1" t="s">
        <v>206</v>
      </c>
      <c r="AK334" s="1" t="s">
        <v>1677</v>
      </c>
      <c r="AL334" s="1" t="s">
        <v>197</v>
      </c>
      <c r="AM334" s="106" t="s">
        <v>27</v>
      </c>
      <c r="AN334" s="1" t="s">
        <v>357</v>
      </c>
      <c r="AO334" s="1" t="s">
        <v>208</v>
      </c>
      <c r="AP334" s="1" t="s">
        <v>406</v>
      </c>
      <c r="AQ334" s="1" t="s">
        <v>386</v>
      </c>
      <c r="AR334" s="1" t="s">
        <v>207</v>
      </c>
      <c r="AS334" s="106" t="s">
        <v>35</v>
      </c>
      <c r="AT334" s="1" t="s">
        <v>206</v>
      </c>
      <c r="AU334" s="106" t="s">
        <v>206</v>
      </c>
      <c r="AV334" s="106" t="s">
        <v>206</v>
      </c>
      <c r="AW334" s="106" t="s">
        <v>35</v>
      </c>
      <c r="AX334" s="106" t="s">
        <v>206</v>
      </c>
      <c r="AY334" s="106" t="s">
        <v>206</v>
      </c>
      <c r="AZ334" s="1" t="s">
        <v>206</v>
      </c>
      <c r="BA334" s="106" t="s">
        <v>206</v>
      </c>
      <c r="BB334" s="106" t="s">
        <v>206</v>
      </c>
      <c r="BC334" s="106" t="s">
        <v>206</v>
      </c>
      <c r="BD334" s="106" t="s">
        <v>206</v>
      </c>
      <c r="BE334" s="106" t="s">
        <v>206</v>
      </c>
      <c r="BF334" s="107">
        <f>IF(AZ334="Não","Sim","Não")</f>
      </c>
      <c r="BG334" s="107">
        <f>IF(AZ334="NA","Sim","Não")</f>
      </c>
      <c r="BH334" s="106" t="s">
        <v>206</v>
      </c>
      <c r="BI334" s="1" t="s">
        <v>238</v>
      </c>
      <c r="BJ334" s="106" t="s">
        <v>241</v>
      </c>
      <c r="BK334" s="1" t="s">
        <v>375</v>
      </c>
      <c r="BL334" s="102">
        <v>84</v>
      </c>
      <c r="BM334" s="1" t="s">
        <v>208</v>
      </c>
      <c r="BN334" s="1" t="s">
        <v>208</v>
      </c>
      <c r="BO334" s="1" t="s">
        <v>375</v>
      </c>
      <c r="BP334" s="102">
        <v>84</v>
      </c>
      <c r="BQ334" s="1" t="s">
        <v>208</v>
      </c>
      <c r="BR334" s="1" t="s">
        <v>227</v>
      </c>
      <c r="BS334" s="106" t="s">
        <v>37</v>
      </c>
    </row>
    <row x14ac:dyDescent="0.25" r="335" customHeight="1" ht="17.25">
      <c r="A335" s="102">
        <v>334</v>
      </c>
      <c r="B335" s="1" t="s">
        <v>2155</v>
      </c>
      <c r="C335" s="102">
        <v>1</v>
      </c>
      <c r="D335" s="61" t="s">
        <v>983</v>
      </c>
      <c r="E335" s="1" t="s">
        <v>87</v>
      </c>
      <c r="F335" s="1" t="s">
        <v>22</v>
      </c>
      <c r="G335" s="1" t="s">
        <v>62</v>
      </c>
      <c r="H335" s="1" t="s">
        <v>2156</v>
      </c>
      <c r="I335" s="102">
        <v>1</v>
      </c>
      <c r="J335" s="1" t="s">
        <v>158</v>
      </c>
      <c r="K335" s="1" t="s">
        <v>22</v>
      </c>
      <c r="L335" s="103">
        <v>33745</v>
      </c>
      <c r="M335" s="104">
        <v>25</v>
      </c>
      <c r="N335" s="1" t="s">
        <v>176</v>
      </c>
      <c r="O335" s="1" t="s">
        <v>182</v>
      </c>
      <c r="P335" s="1" t="s">
        <v>365</v>
      </c>
      <c r="Q335" s="1" t="s">
        <v>2157</v>
      </c>
      <c r="R335" s="54" t="s">
        <v>2158</v>
      </c>
      <c r="S335" s="105">
        <v>13.3</v>
      </c>
      <c r="T335" s="54" t="s">
        <v>2159</v>
      </c>
      <c r="U335" s="105">
        <v>22.2</v>
      </c>
      <c r="V335" s="54" t="s">
        <v>2160</v>
      </c>
      <c r="W335" s="105">
        <v>5.5</v>
      </c>
      <c r="X335" s="62">
        <v>0</v>
      </c>
      <c r="Y335" s="102">
        <v>0</v>
      </c>
      <c r="Z335" s="62">
        <v>0</v>
      </c>
      <c r="AA335" s="102">
        <v>0</v>
      </c>
      <c r="AB335" s="62">
        <v>0</v>
      </c>
      <c r="AC335" s="106" t="s">
        <v>206</v>
      </c>
      <c r="AD335" s="106" t="s">
        <v>206</v>
      </c>
      <c r="AE335" s="106" t="s">
        <v>206</v>
      </c>
      <c r="AF335" s="106" t="s">
        <v>206</v>
      </c>
      <c r="AG335" s="106" t="s">
        <v>206</v>
      </c>
      <c r="AH335" s="106" t="s">
        <v>206</v>
      </c>
      <c r="AI335" s="1" t="s">
        <v>357</v>
      </c>
      <c r="AJ335" s="1" t="s">
        <v>206</v>
      </c>
      <c r="AK335" s="1" t="s">
        <v>1136</v>
      </c>
      <c r="AL335" s="1" t="s">
        <v>197</v>
      </c>
      <c r="AM335" s="106" t="s">
        <v>27</v>
      </c>
      <c r="AN335" s="1" t="s">
        <v>357</v>
      </c>
      <c r="AO335" s="1" t="s">
        <v>208</v>
      </c>
      <c r="AP335" s="1" t="s">
        <v>2161</v>
      </c>
      <c r="AQ335" s="1" t="s">
        <v>386</v>
      </c>
      <c r="AR335" s="1" t="s">
        <v>207</v>
      </c>
      <c r="AS335" s="106" t="s">
        <v>35</v>
      </c>
      <c r="AT335" s="1" t="s">
        <v>206</v>
      </c>
      <c r="AU335" s="106" t="s">
        <v>206</v>
      </c>
      <c r="AV335" s="106" t="s">
        <v>206</v>
      </c>
      <c r="AW335" s="106" t="s">
        <v>35</v>
      </c>
      <c r="AX335" s="106" t="s">
        <v>206</v>
      </c>
      <c r="AY335" s="106" t="s">
        <v>206</v>
      </c>
      <c r="AZ335" s="1" t="s">
        <v>206</v>
      </c>
      <c r="BA335" s="106" t="s">
        <v>206</v>
      </c>
      <c r="BB335" s="106" t="s">
        <v>206</v>
      </c>
      <c r="BC335" s="106" t="s">
        <v>206</v>
      </c>
      <c r="BD335" s="106" t="s">
        <v>206</v>
      </c>
      <c r="BE335" s="106" t="s">
        <v>206</v>
      </c>
      <c r="BF335" s="107">
        <f>IF(AZ335="Não","Sim","Não")</f>
      </c>
      <c r="BG335" s="107">
        <f>IF(AZ335="NA","Sim","Não")</f>
      </c>
      <c r="BH335" s="106" t="s">
        <v>206</v>
      </c>
      <c r="BI335" s="1" t="s">
        <v>238</v>
      </c>
      <c r="BJ335" s="106" t="s">
        <v>241</v>
      </c>
      <c r="BK335" s="1" t="s">
        <v>375</v>
      </c>
      <c r="BL335" s="102">
        <v>84</v>
      </c>
      <c r="BM335" s="1" t="s">
        <v>208</v>
      </c>
      <c r="BN335" s="1" t="s">
        <v>208</v>
      </c>
      <c r="BO335" s="1" t="s">
        <v>375</v>
      </c>
      <c r="BP335" s="102">
        <v>84</v>
      </c>
      <c r="BQ335" s="1" t="s">
        <v>208</v>
      </c>
      <c r="BR335" s="1" t="s">
        <v>227</v>
      </c>
      <c r="BS335" s="106" t="s">
        <v>37</v>
      </c>
    </row>
    <row x14ac:dyDescent="0.25" r="336" customHeight="1" ht="17.25">
      <c r="A336" s="102">
        <v>335</v>
      </c>
      <c r="B336" s="1" t="s">
        <v>2162</v>
      </c>
      <c r="C336" s="102">
        <v>1</v>
      </c>
      <c r="D336" s="61" t="s">
        <v>1765</v>
      </c>
      <c r="E336" s="1" t="s">
        <v>92</v>
      </c>
      <c r="F336" s="1" t="s">
        <v>22</v>
      </c>
      <c r="G336" s="1" t="s">
        <v>57</v>
      </c>
      <c r="H336" s="1" t="s">
        <v>2163</v>
      </c>
      <c r="I336" s="102">
        <v>1</v>
      </c>
      <c r="J336" s="1" t="s">
        <v>158</v>
      </c>
      <c r="K336" s="1" t="s">
        <v>22</v>
      </c>
      <c r="L336" s="103">
        <v>33703</v>
      </c>
      <c r="M336" s="104">
        <v>25</v>
      </c>
      <c r="N336" s="1" t="s">
        <v>176</v>
      </c>
      <c r="O336" s="1" t="s">
        <v>182</v>
      </c>
      <c r="P336" s="1" t="s">
        <v>365</v>
      </c>
      <c r="Q336" s="1" t="s">
        <v>2164</v>
      </c>
      <c r="R336" s="54" t="s">
        <v>2165</v>
      </c>
      <c r="S336" s="105">
        <v>72.4</v>
      </c>
      <c r="T336" s="54" t="s">
        <v>2166</v>
      </c>
      <c r="U336" s="105">
        <v>43.3</v>
      </c>
      <c r="V336" s="54" t="s">
        <v>2167</v>
      </c>
      <c r="W336" s="105">
        <v>4.4</v>
      </c>
      <c r="X336" s="62">
        <v>0</v>
      </c>
      <c r="Y336" s="102">
        <v>0</v>
      </c>
      <c r="Z336" s="62">
        <v>0</v>
      </c>
      <c r="AA336" s="102">
        <v>0</v>
      </c>
      <c r="AB336" s="62">
        <v>0</v>
      </c>
      <c r="AC336" s="106" t="s">
        <v>206</v>
      </c>
      <c r="AD336" s="106" t="s">
        <v>206</v>
      </c>
      <c r="AE336" s="106" t="s">
        <v>206</v>
      </c>
      <c r="AF336" s="106" t="s">
        <v>206</v>
      </c>
      <c r="AG336" s="106" t="s">
        <v>206</v>
      </c>
      <c r="AH336" s="106" t="s">
        <v>206</v>
      </c>
      <c r="AI336" s="1" t="s">
        <v>357</v>
      </c>
      <c r="AJ336" s="1" t="s">
        <v>206</v>
      </c>
      <c r="AK336" s="1" t="s">
        <v>455</v>
      </c>
      <c r="AL336" s="1" t="s">
        <v>197</v>
      </c>
      <c r="AM336" s="106" t="s">
        <v>27</v>
      </c>
      <c r="AN336" s="1" t="s">
        <v>357</v>
      </c>
      <c r="AO336" s="1" t="s">
        <v>208</v>
      </c>
      <c r="AP336" s="1" t="s">
        <v>1608</v>
      </c>
      <c r="AQ336" s="1" t="s">
        <v>375</v>
      </c>
      <c r="AR336" s="1" t="s">
        <v>206</v>
      </c>
      <c r="AS336" s="106" t="s">
        <v>206</v>
      </c>
      <c r="AT336" s="1" t="s">
        <v>206</v>
      </c>
      <c r="AU336" s="106" t="s">
        <v>206</v>
      </c>
      <c r="AV336" s="106" t="s">
        <v>206</v>
      </c>
      <c r="AW336" s="106" t="s">
        <v>35</v>
      </c>
      <c r="AX336" s="106" t="s">
        <v>206</v>
      </c>
      <c r="AY336" s="106" t="s">
        <v>206</v>
      </c>
      <c r="AZ336" s="1" t="s">
        <v>206</v>
      </c>
      <c r="BA336" s="106" t="s">
        <v>206</v>
      </c>
      <c r="BB336" s="106" t="s">
        <v>206</v>
      </c>
      <c r="BC336" s="106" t="s">
        <v>206</v>
      </c>
      <c r="BD336" s="106" t="s">
        <v>206</v>
      </c>
      <c r="BE336" s="106" t="s">
        <v>206</v>
      </c>
      <c r="BF336" s="107">
        <f>IF(AZ336="Não","Sim","Não")</f>
      </c>
      <c r="BG336" s="107">
        <f>IF(AZ336="NA","Sim","Não")</f>
      </c>
      <c r="BH336" s="106" t="s">
        <v>206</v>
      </c>
      <c r="BI336" s="1" t="s">
        <v>206</v>
      </c>
      <c r="BJ336" s="106" t="s">
        <v>206</v>
      </c>
      <c r="BK336" s="1" t="s">
        <v>375</v>
      </c>
      <c r="BL336" s="102">
        <v>84</v>
      </c>
      <c r="BM336" s="1" t="s">
        <v>208</v>
      </c>
      <c r="BN336" s="1" t="s">
        <v>208</v>
      </c>
      <c r="BO336" s="1" t="s">
        <v>375</v>
      </c>
      <c r="BP336" s="102">
        <v>84</v>
      </c>
      <c r="BQ336" s="1" t="s">
        <v>208</v>
      </c>
      <c r="BR336" s="1" t="s">
        <v>227</v>
      </c>
      <c r="BS336" s="106" t="s">
        <v>37</v>
      </c>
    </row>
    <row x14ac:dyDescent="0.25" r="337" customHeight="1" ht="17.25">
      <c r="A337" s="102">
        <v>336</v>
      </c>
      <c r="B337" s="1" t="s">
        <v>2168</v>
      </c>
      <c r="C337" s="102">
        <v>1</v>
      </c>
      <c r="D337" s="61">
        <v>42832</v>
      </c>
      <c r="E337" s="1" t="s">
        <v>91</v>
      </c>
      <c r="F337" s="1" t="s">
        <v>170</v>
      </c>
      <c r="G337" s="1" t="s">
        <v>61</v>
      </c>
      <c r="H337" s="1" t="s">
        <v>2169</v>
      </c>
      <c r="I337" s="102">
        <v>1</v>
      </c>
      <c r="J337" s="1" t="s">
        <v>158</v>
      </c>
      <c r="K337" s="1" t="s">
        <v>22</v>
      </c>
      <c r="L337" s="103">
        <v>31672</v>
      </c>
      <c r="M337" s="104">
        <v>30</v>
      </c>
      <c r="N337" s="1" t="s">
        <v>175</v>
      </c>
      <c r="O337" s="1" t="s">
        <v>24</v>
      </c>
      <c r="P337" s="1" t="s">
        <v>365</v>
      </c>
      <c r="Q337" s="1" t="s">
        <v>2170</v>
      </c>
      <c r="R337" s="54" t="s">
        <v>2171</v>
      </c>
      <c r="S337" s="105">
        <v>88.4</v>
      </c>
      <c r="T337" s="54" t="s">
        <v>2172</v>
      </c>
      <c r="U337" s="105">
        <v>14.86</v>
      </c>
      <c r="V337" s="54" t="s">
        <v>2173</v>
      </c>
      <c r="W337" s="105">
        <v>6.8</v>
      </c>
      <c r="X337" s="62">
        <v>0</v>
      </c>
      <c r="Y337" s="102">
        <v>0</v>
      </c>
      <c r="Z337" s="62">
        <v>0</v>
      </c>
      <c r="AA337" s="102">
        <v>0</v>
      </c>
      <c r="AB337" s="62">
        <v>0</v>
      </c>
      <c r="AC337" s="106" t="s">
        <v>206</v>
      </c>
      <c r="AD337" s="106" t="s">
        <v>206</v>
      </c>
      <c r="AE337" s="106" t="s">
        <v>206</v>
      </c>
      <c r="AF337" s="106" t="s">
        <v>206</v>
      </c>
      <c r="AG337" s="106" t="s">
        <v>206</v>
      </c>
      <c r="AH337" s="106" t="s">
        <v>206</v>
      </c>
      <c r="AI337" s="1" t="s">
        <v>357</v>
      </c>
      <c r="AJ337" s="1" t="s">
        <v>206</v>
      </c>
      <c r="AK337" s="1" t="s">
        <v>2174</v>
      </c>
      <c r="AL337" s="1" t="s">
        <v>197</v>
      </c>
      <c r="AM337" s="106" t="s">
        <v>27</v>
      </c>
      <c r="AN337" s="1" t="s">
        <v>357</v>
      </c>
      <c r="AO337" s="1" t="s">
        <v>208</v>
      </c>
      <c r="AP337" s="1" t="s">
        <v>847</v>
      </c>
      <c r="AQ337" s="1" t="s">
        <v>386</v>
      </c>
      <c r="AR337" s="1" t="s">
        <v>207</v>
      </c>
      <c r="AS337" s="106" t="s">
        <v>35</v>
      </c>
      <c r="AT337" s="1" t="s">
        <v>206</v>
      </c>
      <c r="AU337" s="106" t="s">
        <v>206</v>
      </c>
      <c r="AV337" s="106" t="s">
        <v>206</v>
      </c>
      <c r="AW337" s="106" t="s">
        <v>35</v>
      </c>
      <c r="AX337" s="106" t="s">
        <v>206</v>
      </c>
      <c r="AY337" s="106" t="s">
        <v>206</v>
      </c>
      <c r="AZ337" s="1" t="s">
        <v>206</v>
      </c>
      <c r="BA337" s="106" t="s">
        <v>206</v>
      </c>
      <c r="BB337" s="106" t="s">
        <v>206</v>
      </c>
      <c r="BC337" s="106" t="s">
        <v>206</v>
      </c>
      <c r="BD337" s="106" t="s">
        <v>206</v>
      </c>
      <c r="BE337" s="106" t="s">
        <v>206</v>
      </c>
      <c r="BF337" s="107">
        <f>IF(AZ337="Não","Sim","Não")</f>
      </c>
      <c r="BG337" s="107">
        <f>IF(AZ337="NA","Sim","Não")</f>
      </c>
      <c r="BH337" s="106" t="s">
        <v>206</v>
      </c>
      <c r="BI337" s="1" t="s">
        <v>206</v>
      </c>
      <c r="BJ337" s="106" t="s">
        <v>206</v>
      </c>
      <c r="BK337" s="1" t="s">
        <v>375</v>
      </c>
      <c r="BL337" s="102">
        <v>84</v>
      </c>
      <c r="BM337" s="1" t="s">
        <v>208</v>
      </c>
      <c r="BN337" s="1" t="s">
        <v>208</v>
      </c>
      <c r="BO337" s="1" t="s">
        <v>375</v>
      </c>
      <c r="BP337" s="102">
        <v>84</v>
      </c>
      <c r="BQ337" s="1" t="s">
        <v>208</v>
      </c>
      <c r="BR337" s="1" t="s">
        <v>227</v>
      </c>
      <c r="BS337" s="106" t="s">
        <v>37</v>
      </c>
    </row>
    <row x14ac:dyDescent="0.25" r="338" customHeight="1" ht="17.25">
      <c r="A338" s="102">
        <v>337</v>
      </c>
      <c r="B338" s="1" t="s">
        <v>426</v>
      </c>
      <c r="C338" s="102">
        <v>1</v>
      </c>
      <c r="D338" s="61" t="s">
        <v>427</v>
      </c>
      <c r="E338" s="1" t="s">
        <v>108</v>
      </c>
      <c r="F338" s="1" t="s">
        <v>170</v>
      </c>
      <c r="G338" s="1" t="s">
        <v>46</v>
      </c>
      <c r="H338" s="1" t="s">
        <v>2175</v>
      </c>
      <c r="I338" s="102">
        <v>1</v>
      </c>
      <c r="J338" s="1" t="s">
        <v>158</v>
      </c>
      <c r="K338" s="1" t="s">
        <v>22</v>
      </c>
      <c r="L338" s="103">
        <v>34527</v>
      </c>
      <c r="M338" s="104">
        <v>23</v>
      </c>
      <c r="N338" s="1" t="s">
        <v>175</v>
      </c>
      <c r="O338" s="1" t="s">
        <v>24</v>
      </c>
      <c r="P338" s="1" t="s">
        <v>365</v>
      </c>
      <c r="Q338" s="1" t="s">
        <v>429</v>
      </c>
      <c r="R338" s="54" t="s">
        <v>2176</v>
      </c>
      <c r="S338" s="105">
        <v>215.2</v>
      </c>
      <c r="T338" s="54" t="s">
        <v>2177</v>
      </c>
      <c r="U338" s="102">
        <v>88</v>
      </c>
      <c r="V338" s="54" t="s">
        <v>2178</v>
      </c>
      <c r="W338" s="105">
        <v>23.3</v>
      </c>
      <c r="X338" s="62">
        <v>0</v>
      </c>
      <c r="Y338" s="102">
        <v>0</v>
      </c>
      <c r="Z338" s="62">
        <v>0</v>
      </c>
      <c r="AA338" s="102">
        <v>0</v>
      </c>
      <c r="AB338" s="62">
        <v>0</v>
      </c>
      <c r="AC338" s="106" t="s">
        <v>206</v>
      </c>
      <c r="AD338" s="106" t="s">
        <v>206</v>
      </c>
      <c r="AE338" s="106" t="s">
        <v>206</v>
      </c>
      <c r="AF338" s="106" t="s">
        <v>206</v>
      </c>
      <c r="AG338" s="106" t="s">
        <v>206</v>
      </c>
      <c r="AH338" s="106" t="s">
        <v>206</v>
      </c>
      <c r="AI338" s="1" t="s">
        <v>371</v>
      </c>
      <c r="AJ338" s="1" t="s">
        <v>206</v>
      </c>
      <c r="AK338" s="1" t="s">
        <v>373</v>
      </c>
      <c r="AL338" s="1" t="s">
        <v>198</v>
      </c>
      <c r="AM338" s="106" t="s">
        <v>27</v>
      </c>
      <c r="AN338" s="1" t="s">
        <v>357</v>
      </c>
      <c r="AO338" s="1" t="s">
        <v>208</v>
      </c>
      <c r="AP338" s="1" t="s">
        <v>2179</v>
      </c>
      <c r="AQ338" s="1" t="s">
        <v>386</v>
      </c>
      <c r="AR338" s="1" t="s">
        <v>207</v>
      </c>
      <c r="AS338" s="106" t="s">
        <v>35</v>
      </c>
      <c r="AT338" s="1" t="s">
        <v>206</v>
      </c>
      <c r="AU338" s="106" t="s">
        <v>206</v>
      </c>
      <c r="AV338" s="106" t="s">
        <v>206</v>
      </c>
      <c r="AW338" s="106" t="s">
        <v>35</v>
      </c>
      <c r="AX338" s="106" t="s">
        <v>206</v>
      </c>
      <c r="AY338" s="106" t="s">
        <v>206</v>
      </c>
      <c r="AZ338" s="1" t="s">
        <v>206</v>
      </c>
      <c r="BA338" s="106" t="s">
        <v>206</v>
      </c>
      <c r="BB338" s="106" t="s">
        <v>206</v>
      </c>
      <c r="BC338" s="106" t="s">
        <v>206</v>
      </c>
      <c r="BD338" s="106" t="s">
        <v>206</v>
      </c>
      <c r="BE338" s="106" t="s">
        <v>206</v>
      </c>
      <c r="BF338" s="107">
        <f>IF(AZ338="Não","Sim","Não")</f>
      </c>
      <c r="BG338" s="107">
        <f>IF(AZ338="NA","Sim","Não")</f>
      </c>
      <c r="BH338" s="106" t="s">
        <v>206</v>
      </c>
      <c r="BI338" s="1" t="s">
        <v>238</v>
      </c>
      <c r="BJ338" s="106" t="s">
        <v>241</v>
      </c>
      <c r="BK338" s="1" t="s">
        <v>375</v>
      </c>
      <c r="BL338" s="102">
        <v>84</v>
      </c>
      <c r="BM338" s="1" t="s">
        <v>208</v>
      </c>
      <c r="BN338" s="1" t="s">
        <v>208</v>
      </c>
      <c r="BO338" s="1" t="s">
        <v>375</v>
      </c>
      <c r="BP338" s="102">
        <v>84</v>
      </c>
      <c r="BQ338" s="1" t="s">
        <v>208</v>
      </c>
      <c r="BR338" s="1" t="s">
        <v>227</v>
      </c>
      <c r="BS338" s="106" t="s">
        <v>37</v>
      </c>
    </row>
    <row x14ac:dyDescent="0.25" r="339" customHeight="1" ht="17.25">
      <c r="A339" s="102">
        <v>338</v>
      </c>
      <c r="B339" s="1" t="s">
        <v>362</v>
      </c>
      <c r="C339" s="102">
        <v>1</v>
      </c>
      <c r="D339" s="61" t="s">
        <v>363</v>
      </c>
      <c r="E339" s="1" t="s">
        <v>77</v>
      </c>
      <c r="F339" s="1" t="s">
        <v>22</v>
      </c>
      <c r="G339" s="1" t="s">
        <v>40</v>
      </c>
      <c r="H339" s="1" t="s">
        <v>2180</v>
      </c>
      <c r="I339" s="102">
        <v>1</v>
      </c>
      <c r="J339" s="1" t="s">
        <v>158</v>
      </c>
      <c r="K339" s="1" t="s">
        <v>22</v>
      </c>
      <c r="L339" s="103">
        <v>34973</v>
      </c>
      <c r="M339" s="104">
        <v>21</v>
      </c>
      <c r="N339" s="1" t="s">
        <v>175</v>
      </c>
      <c r="O339" s="1" t="s">
        <v>24</v>
      </c>
      <c r="P339" s="1" t="s">
        <v>365</v>
      </c>
      <c r="Q339" s="1" t="s">
        <v>2181</v>
      </c>
      <c r="R339" s="54" t="s">
        <v>367</v>
      </c>
      <c r="S339" s="105">
        <v>148.5</v>
      </c>
      <c r="T339" s="54" t="s">
        <v>368</v>
      </c>
      <c r="U339" s="105">
        <v>36.6</v>
      </c>
      <c r="V339" s="54" t="s">
        <v>369</v>
      </c>
      <c r="W339" s="105">
        <v>1.1</v>
      </c>
      <c r="X339" s="62">
        <v>0</v>
      </c>
      <c r="Y339" s="102">
        <v>0</v>
      </c>
      <c r="Z339" s="62">
        <v>0</v>
      </c>
      <c r="AA339" s="102">
        <v>0</v>
      </c>
      <c r="AB339" s="57" t="s">
        <v>370</v>
      </c>
      <c r="AC339" s="106" t="s">
        <v>206</v>
      </c>
      <c r="AD339" s="106" t="s">
        <v>206</v>
      </c>
      <c r="AE339" s="106" t="s">
        <v>35</v>
      </c>
      <c r="AF339" s="106" t="s">
        <v>35</v>
      </c>
      <c r="AG339" s="106" t="s">
        <v>206</v>
      </c>
      <c r="AH339" s="106" t="s">
        <v>206</v>
      </c>
      <c r="AI339" s="1" t="s">
        <v>371</v>
      </c>
      <c r="AJ339" s="1" t="s">
        <v>372</v>
      </c>
      <c r="AK339" s="1" t="s">
        <v>1579</v>
      </c>
      <c r="AL339" s="1" t="s">
        <v>198</v>
      </c>
      <c r="AM339" s="106" t="s">
        <v>27</v>
      </c>
      <c r="AN339" s="1" t="s">
        <v>357</v>
      </c>
      <c r="AO339" s="1" t="s">
        <v>206</v>
      </c>
      <c r="AP339" s="1" t="s">
        <v>374</v>
      </c>
      <c r="AQ339" s="1" t="s">
        <v>375</v>
      </c>
      <c r="AR339" s="1" t="s">
        <v>206</v>
      </c>
      <c r="AS339" s="106" t="s">
        <v>206</v>
      </c>
      <c r="AT339" s="1" t="s">
        <v>28</v>
      </c>
      <c r="AU339" s="106" t="s">
        <v>35</v>
      </c>
      <c r="AV339" s="106" t="s">
        <v>206</v>
      </c>
      <c r="AW339" s="106" t="s">
        <v>206</v>
      </c>
      <c r="AX339" s="106" t="s">
        <v>206</v>
      </c>
      <c r="AY339" s="106" t="s">
        <v>35</v>
      </c>
      <c r="AZ339" s="1" t="s">
        <v>30</v>
      </c>
      <c r="BA339" s="106" t="s">
        <v>35</v>
      </c>
      <c r="BB339" s="106" t="s">
        <v>206</v>
      </c>
      <c r="BC339" s="106" t="s">
        <v>206</v>
      </c>
      <c r="BD339" s="106" t="s">
        <v>206</v>
      </c>
      <c r="BE339" s="106" t="s">
        <v>206</v>
      </c>
      <c r="BF339" s="107">
        <f>IF(AZ339="Não","Sim","Não")</f>
      </c>
      <c r="BG339" s="107">
        <f>IF(AZ339="NA","Sim","Não")</f>
      </c>
      <c r="BH339" s="106" t="s">
        <v>35</v>
      </c>
      <c r="BI339" s="1" t="s">
        <v>206</v>
      </c>
      <c r="BJ339" s="106" t="s">
        <v>206</v>
      </c>
      <c r="BK339" s="1" t="s">
        <v>2182</v>
      </c>
      <c r="BL339" s="105">
        <v>87.5</v>
      </c>
      <c r="BM339" s="1" t="s">
        <v>208</v>
      </c>
      <c r="BN339" s="1" t="s">
        <v>208</v>
      </c>
      <c r="BO339" s="1" t="s">
        <v>2182</v>
      </c>
      <c r="BP339" s="105">
        <v>87.5</v>
      </c>
      <c r="BQ339" s="1" t="s">
        <v>208</v>
      </c>
      <c r="BR339" s="1" t="s">
        <v>227</v>
      </c>
      <c r="BS339" s="106" t="s">
        <v>37</v>
      </c>
    </row>
    <row x14ac:dyDescent="0.25" r="340" customHeight="1" ht="17.25">
      <c r="A340" s="102">
        <v>339</v>
      </c>
      <c r="B340" s="1" t="s">
        <v>2183</v>
      </c>
      <c r="C340" s="102">
        <v>1</v>
      </c>
      <c r="D340" s="61" t="s">
        <v>2184</v>
      </c>
      <c r="E340" s="1" t="s">
        <v>111</v>
      </c>
      <c r="F340" s="1" t="s">
        <v>22</v>
      </c>
      <c r="G340" s="1" t="s">
        <v>47</v>
      </c>
      <c r="H340" s="1" t="s">
        <v>2185</v>
      </c>
      <c r="I340" s="102">
        <v>1</v>
      </c>
      <c r="J340" s="1" t="s">
        <v>158</v>
      </c>
      <c r="K340" s="1" t="s">
        <v>22</v>
      </c>
      <c r="L340" s="103">
        <v>32339</v>
      </c>
      <c r="M340" s="104">
        <v>29</v>
      </c>
      <c r="N340" s="1" t="s">
        <v>175</v>
      </c>
      <c r="O340" s="1" t="s">
        <v>24</v>
      </c>
      <c r="P340" s="1" t="s">
        <v>464</v>
      </c>
      <c r="Q340" s="1" t="s">
        <v>2186</v>
      </c>
      <c r="R340" s="54" t="s">
        <v>2187</v>
      </c>
      <c r="S340" s="102">
        <v>9903</v>
      </c>
      <c r="T340" s="62">
        <v>0</v>
      </c>
      <c r="U340" s="102">
        <v>0</v>
      </c>
      <c r="V340" s="62">
        <v>0</v>
      </c>
      <c r="W340" s="102">
        <v>0</v>
      </c>
      <c r="X340" s="62">
        <v>0</v>
      </c>
      <c r="Y340" s="102">
        <v>0</v>
      </c>
      <c r="Z340" s="62">
        <v>0</v>
      </c>
      <c r="AA340" s="102">
        <v>0</v>
      </c>
      <c r="AB340" s="62">
        <v>0</v>
      </c>
      <c r="AC340" s="106" t="s">
        <v>206</v>
      </c>
      <c r="AD340" s="106" t="s">
        <v>206</v>
      </c>
      <c r="AE340" s="106" t="s">
        <v>206</v>
      </c>
      <c r="AF340" s="106" t="s">
        <v>206</v>
      </c>
      <c r="AG340" s="106" t="s">
        <v>206</v>
      </c>
      <c r="AH340" s="106" t="s">
        <v>206</v>
      </c>
      <c r="AI340" s="1" t="s">
        <v>357</v>
      </c>
      <c r="AJ340" s="1" t="s">
        <v>206</v>
      </c>
      <c r="AK340" s="1" t="s">
        <v>1108</v>
      </c>
      <c r="AL340" s="1" t="s">
        <v>197</v>
      </c>
      <c r="AM340" s="106" t="s">
        <v>27</v>
      </c>
      <c r="AN340" s="1" t="s">
        <v>357</v>
      </c>
      <c r="AO340" s="1" t="s">
        <v>208</v>
      </c>
      <c r="AP340" s="1" t="s">
        <v>406</v>
      </c>
      <c r="AQ340" s="1" t="s">
        <v>2188</v>
      </c>
      <c r="AR340" s="1" t="s">
        <v>207</v>
      </c>
      <c r="AS340" s="106" t="s">
        <v>35</v>
      </c>
      <c r="AT340" s="1" t="s">
        <v>28</v>
      </c>
      <c r="AU340" s="106" t="s">
        <v>35</v>
      </c>
      <c r="AV340" s="106" t="s">
        <v>206</v>
      </c>
      <c r="AW340" s="106" t="s">
        <v>206</v>
      </c>
      <c r="AX340" s="106" t="s">
        <v>206</v>
      </c>
      <c r="AY340" s="106" t="s">
        <v>35</v>
      </c>
      <c r="AZ340" s="1" t="s">
        <v>206</v>
      </c>
      <c r="BA340" s="106" t="s">
        <v>206</v>
      </c>
      <c r="BB340" s="106" t="s">
        <v>206</v>
      </c>
      <c r="BC340" s="106" t="s">
        <v>206</v>
      </c>
      <c r="BD340" s="106" t="s">
        <v>206</v>
      </c>
      <c r="BE340" s="106" t="s">
        <v>206</v>
      </c>
      <c r="BF340" s="107">
        <f>IF(AZ340="Não","Sim","Não")</f>
      </c>
      <c r="BG340" s="107">
        <f>IF(AZ340="NA","Sim","Não")</f>
      </c>
      <c r="BH340" s="106" t="s">
        <v>206</v>
      </c>
      <c r="BI340" s="1" t="s">
        <v>206</v>
      </c>
      <c r="BJ340" s="106" t="s">
        <v>206</v>
      </c>
      <c r="BK340" s="1" t="s">
        <v>2188</v>
      </c>
      <c r="BL340" s="102">
        <v>90</v>
      </c>
      <c r="BM340" s="1" t="s">
        <v>208</v>
      </c>
      <c r="BN340" s="1" t="s">
        <v>208</v>
      </c>
      <c r="BO340" s="1" t="s">
        <v>2188</v>
      </c>
      <c r="BP340" s="102">
        <v>90</v>
      </c>
      <c r="BQ340" s="1" t="s">
        <v>208</v>
      </c>
      <c r="BR340" s="1" t="s">
        <v>227</v>
      </c>
      <c r="BS340" s="106" t="s">
        <v>37</v>
      </c>
    </row>
    <row x14ac:dyDescent="0.25" r="341" customHeight="1" ht="17.25">
      <c r="A341" s="102">
        <v>340</v>
      </c>
      <c r="B341" s="1" t="s">
        <v>2183</v>
      </c>
      <c r="C341" s="102">
        <v>0</v>
      </c>
      <c r="D341" s="61" t="s">
        <v>2184</v>
      </c>
      <c r="E341" s="1" t="s">
        <v>111</v>
      </c>
      <c r="F341" s="1" t="s">
        <v>22</v>
      </c>
      <c r="G341" s="1" t="s">
        <v>47</v>
      </c>
      <c r="H341" s="1" t="s">
        <v>2189</v>
      </c>
      <c r="I341" s="102">
        <v>1</v>
      </c>
      <c r="J341" s="1" t="s">
        <v>158</v>
      </c>
      <c r="K341" s="1" t="s">
        <v>22</v>
      </c>
      <c r="L341" s="103">
        <v>31328</v>
      </c>
      <c r="M341" s="104">
        <v>31</v>
      </c>
      <c r="N341" s="1" t="s">
        <v>175</v>
      </c>
      <c r="O341" s="1" t="s">
        <v>24</v>
      </c>
      <c r="P341" s="1" t="s">
        <v>615</v>
      </c>
      <c r="Q341" s="1" t="s">
        <v>2186</v>
      </c>
      <c r="R341" s="54" t="s">
        <v>2187</v>
      </c>
      <c r="S341" s="102">
        <v>9903</v>
      </c>
      <c r="T341" s="62">
        <v>0</v>
      </c>
      <c r="U341" s="102">
        <v>0</v>
      </c>
      <c r="V341" s="62">
        <v>0</v>
      </c>
      <c r="W341" s="102">
        <v>0</v>
      </c>
      <c r="X341" s="62">
        <v>0</v>
      </c>
      <c r="Y341" s="102">
        <v>0</v>
      </c>
      <c r="Z341" s="62">
        <v>0</v>
      </c>
      <c r="AA341" s="102">
        <v>0</v>
      </c>
      <c r="AB341" s="62">
        <v>0</v>
      </c>
      <c r="AC341" s="106" t="s">
        <v>206</v>
      </c>
      <c r="AD341" s="106" t="s">
        <v>206</v>
      </c>
      <c r="AE341" s="106" t="s">
        <v>206</v>
      </c>
      <c r="AF341" s="106" t="s">
        <v>206</v>
      </c>
      <c r="AG341" s="106" t="s">
        <v>206</v>
      </c>
      <c r="AH341" s="106" t="s">
        <v>206</v>
      </c>
      <c r="AI341" s="1" t="s">
        <v>357</v>
      </c>
      <c r="AJ341" s="1" t="s">
        <v>206</v>
      </c>
      <c r="AK341" s="1" t="s">
        <v>358</v>
      </c>
      <c r="AL341" s="1" t="s">
        <v>197</v>
      </c>
      <c r="AM341" s="106" t="s">
        <v>27</v>
      </c>
      <c r="AN341" s="1" t="s">
        <v>357</v>
      </c>
      <c r="AO341" s="1" t="s">
        <v>208</v>
      </c>
      <c r="AP341" s="1" t="s">
        <v>406</v>
      </c>
      <c r="AQ341" s="1" t="s">
        <v>2188</v>
      </c>
      <c r="AR341" s="1" t="s">
        <v>206</v>
      </c>
      <c r="AS341" s="106" t="s">
        <v>206</v>
      </c>
      <c r="AT341" s="1" t="s">
        <v>206</v>
      </c>
      <c r="AU341" s="106" t="s">
        <v>206</v>
      </c>
      <c r="AV341" s="106" t="s">
        <v>206</v>
      </c>
      <c r="AW341" s="106" t="s">
        <v>35</v>
      </c>
      <c r="AX341" s="106" t="s">
        <v>206</v>
      </c>
      <c r="AY341" s="106" t="s">
        <v>206</v>
      </c>
      <c r="AZ341" s="1" t="s">
        <v>206</v>
      </c>
      <c r="BA341" s="106" t="s">
        <v>206</v>
      </c>
      <c r="BB341" s="106" t="s">
        <v>206</v>
      </c>
      <c r="BC341" s="106" t="s">
        <v>206</v>
      </c>
      <c r="BD341" s="106" t="s">
        <v>206</v>
      </c>
      <c r="BE341" s="106" t="s">
        <v>206</v>
      </c>
      <c r="BF341" s="107">
        <f>IF(AZ341="Não","Sim","Não")</f>
      </c>
      <c r="BG341" s="107">
        <f>IF(AZ341="NA","Sim","Não")</f>
      </c>
      <c r="BH341" s="106" t="s">
        <v>206</v>
      </c>
      <c r="BI341" s="1" t="s">
        <v>206</v>
      </c>
      <c r="BJ341" s="106" t="s">
        <v>206</v>
      </c>
      <c r="BK341" s="1" t="s">
        <v>2188</v>
      </c>
      <c r="BL341" s="102">
        <v>90</v>
      </c>
      <c r="BM341" s="1" t="s">
        <v>208</v>
      </c>
      <c r="BN341" s="1" t="s">
        <v>208</v>
      </c>
      <c r="BO341" s="1" t="s">
        <v>2188</v>
      </c>
      <c r="BP341" s="102">
        <v>90</v>
      </c>
      <c r="BQ341" s="1" t="s">
        <v>208</v>
      </c>
      <c r="BR341" s="1" t="s">
        <v>227</v>
      </c>
      <c r="BS341" s="106" t="s">
        <v>37</v>
      </c>
    </row>
    <row x14ac:dyDescent="0.25" r="342" customHeight="1" ht="17.25">
      <c r="A342" s="102">
        <v>341</v>
      </c>
      <c r="B342" s="1" t="s">
        <v>2190</v>
      </c>
      <c r="C342" s="102">
        <v>1</v>
      </c>
      <c r="D342" s="61" t="s">
        <v>2191</v>
      </c>
      <c r="E342" s="1" t="s">
        <v>114</v>
      </c>
      <c r="F342" s="1" t="s">
        <v>22</v>
      </c>
      <c r="G342" s="1" t="s">
        <v>51</v>
      </c>
      <c r="H342" s="1" t="s">
        <v>2192</v>
      </c>
      <c r="I342" s="102">
        <v>1</v>
      </c>
      <c r="J342" s="1" t="s">
        <v>158</v>
      </c>
      <c r="K342" s="1" t="s">
        <v>22</v>
      </c>
      <c r="L342" s="103">
        <v>31416</v>
      </c>
      <c r="M342" s="104">
        <v>31</v>
      </c>
      <c r="N342" s="1" t="s">
        <v>175</v>
      </c>
      <c r="O342" s="1" t="s">
        <v>24</v>
      </c>
      <c r="P342" s="1" t="s">
        <v>365</v>
      </c>
      <c r="Q342" s="1" t="s">
        <v>2193</v>
      </c>
      <c r="R342" s="54" t="s">
        <v>2194</v>
      </c>
      <c r="S342" s="105">
        <v>260.9</v>
      </c>
      <c r="T342" s="54" t="s">
        <v>2195</v>
      </c>
      <c r="U342" s="105">
        <v>84.4</v>
      </c>
      <c r="V342" s="54" t="s">
        <v>2196</v>
      </c>
      <c r="W342" s="105">
        <v>25.6</v>
      </c>
      <c r="X342" s="62">
        <v>0</v>
      </c>
      <c r="Y342" s="102">
        <v>0</v>
      </c>
      <c r="Z342" s="62">
        <v>0</v>
      </c>
      <c r="AA342" s="102">
        <v>0</v>
      </c>
      <c r="AB342" s="62">
        <v>0</v>
      </c>
      <c r="AC342" s="106" t="s">
        <v>206</v>
      </c>
      <c r="AD342" s="106" t="s">
        <v>206</v>
      </c>
      <c r="AE342" s="106" t="s">
        <v>206</v>
      </c>
      <c r="AF342" s="106" t="s">
        <v>206</v>
      </c>
      <c r="AG342" s="106" t="s">
        <v>206</v>
      </c>
      <c r="AH342" s="106" t="s">
        <v>206</v>
      </c>
      <c r="AI342" s="1" t="s">
        <v>357</v>
      </c>
      <c r="AJ342" s="1" t="s">
        <v>206</v>
      </c>
      <c r="AK342" s="1" t="s">
        <v>1166</v>
      </c>
      <c r="AL342" s="1" t="s">
        <v>197</v>
      </c>
      <c r="AM342" s="106" t="s">
        <v>27</v>
      </c>
      <c r="AN342" s="1" t="s">
        <v>357</v>
      </c>
      <c r="AO342" s="1" t="s">
        <v>208</v>
      </c>
      <c r="AP342" s="1" t="s">
        <v>374</v>
      </c>
      <c r="AQ342" s="1" t="s">
        <v>654</v>
      </c>
      <c r="AR342" s="1" t="s">
        <v>207</v>
      </c>
      <c r="AS342" s="106" t="s">
        <v>35</v>
      </c>
      <c r="AT342" s="1" t="s">
        <v>206</v>
      </c>
      <c r="AU342" s="106" t="s">
        <v>206</v>
      </c>
      <c r="AV342" s="106" t="s">
        <v>206</v>
      </c>
      <c r="AW342" s="106" t="s">
        <v>35</v>
      </c>
      <c r="AX342" s="106" t="s">
        <v>206</v>
      </c>
      <c r="AY342" s="106" t="s">
        <v>206</v>
      </c>
      <c r="AZ342" s="1" t="s">
        <v>206</v>
      </c>
      <c r="BA342" s="106" t="s">
        <v>206</v>
      </c>
      <c r="BB342" s="106" t="s">
        <v>206</v>
      </c>
      <c r="BC342" s="106" t="s">
        <v>206</v>
      </c>
      <c r="BD342" s="106" t="s">
        <v>206</v>
      </c>
      <c r="BE342" s="106" t="s">
        <v>206</v>
      </c>
      <c r="BF342" s="107">
        <f>IF(AZ342="Não","Sim","Não")</f>
      </c>
      <c r="BG342" s="107">
        <f>IF(AZ342="NA","Sim","Não")</f>
      </c>
      <c r="BH342" s="106" t="s">
        <v>206</v>
      </c>
      <c r="BI342" s="1" t="s">
        <v>238</v>
      </c>
      <c r="BJ342" s="106" t="s">
        <v>241</v>
      </c>
      <c r="BK342" s="1" t="s">
        <v>2188</v>
      </c>
      <c r="BL342" s="102">
        <v>90</v>
      </c>
      <c r="BM342" s="1" t="s">
        <v>208</v>
      </c>
      <c r="BN342" s="1" t="s">
        <v>208</v>
      </c>
      <c r="BO342" s="1" t="s">
        <v>2188</v>
      </c>
      <c r="BP342" s="102">
        <v>90</v>
      </c>
      <c r="BQ342" s="1" t="s">
        <v>208</v>
      </c>
      <c r="BR342" s="1" t="s">
        <v>227</v>
      </c>
      <c r="BS342" s="106" t="s">
        <v>37</v>
      </c>
    </row>
    <row x14ac:dyDescent="0.25" r="343" customHeight="1" ht="17.25">
      <c r="A343" s="102">
        <v>342</v>
      </c>
      <c r="B343" s="1" t="s">
        <v>2197</v>
      </c>
      <c r="C343" s="102">
        <v>1</v>
      </c>
      <c r="D343" s="61" t="s">
        <v>2198</v>
      </c>
      <c r="E343" s="1" t="s">
        <v>145</v>
      </c>
      <c r="F343" s="1" t="s">
        <v>170</v>
      </c>
      <c r="G343" s="1" t="s">
        <v>51</v>
      </c>
      <c r="H343" s="1" t="s">
        <v>2199</v>
      </c>
      <c r="I343" s="102">
        <v>1</v>
      </c>
      <c r="J343" s="1" t="s">
        <v>159</v>
      </c>
      <c r="K343" s="1" t="s">
        <v>22</v>
      </c>
      <c r="L343" s="103">
        <v>29627</v>
      </c>
      <c r="M343" s="104">
        <v>36</v>
      </c>
      <c r="N343" s="1" t="s">
        <v>175</v>
      </c>
      <c r="O343" s="1" t="s">
        <v>24</v>
      </c>
      <c r="P343" s="1" t="s">
        <v>464</v>
      </c>
      <c r="Q343" s="1" t="s">
        <v>366</v>
      </c>
      <c r="R343" s="54" t="s">
        <v>2200</v>
      </c>
      <c r="S343" s="102">
        <v>11293</v>
      </c>
      <c r="T343" s="54" t="s">
        <v>2201</v>
      </c>
      <c r="U343" s="102">
        <v>2051</v>
      </c>
      <c r="V343" s="54" t="s">
        <v>2202</v>
      </c>
      <c r="W343" s="105">
        <v>273.67</v>
      </c>
      <c r="X343" s="62">
        <v>0</v>
      </c>
      <c r="Y343" s="102">
        <v>0</v>
      </c>
      <c r="Z343" s="62">
        <v>0</v>
      </c>
      <c r="AA343" s="102">
        <v>0</v>
      </c>
      <c r="AB343" s="62">
        <v>0</v>
      </c>
      <c r="AC343" s="106" t="s">
        <v>206</v>
      </c>
      <c r="AD343" s="106" t="s">
        <v>206</v>
      </c>
      <c r="AE343" s="106" t="s">
        <v>206</v>
      </c>
      <c r="AF343" s="106" t="s">
        <v>206</v>
      </c>
      <c r="AG343" s="106" t="s">
        <v>206</v>
      </c>
      <c r="AH343" s="106" t="s">
        <v>206</v>
      </c>
      <c r="AI343" s="1" t="s">
        <v>357</v>
      </c>
      <c r="AJ343" s="1" t="s">
        <v>206</v>
      </c>
      <c r="AK343" s="1" t="s">
        <v>1275</v>
      </c>
      <c r="AL343" s="1" t="s">
        <v>197</v>
      </c>
      <c r="AM343" s="106" t="s">
        <v>27</v>
      </c>
      <c r="AN343" s="1" t="s">
        <v>357</v>
      </c>
      <c r="AO343" s="1" t="s">
        <v>208</v>
      </c>
      <c r="AP343" s="1" t="s">
        <v>847</v>
      </c>
      <c r="AQ343" s="1" t="s">
        <v>2188</v>
      </c>
      <c r="AR343" s="1" t="s">
        <v>206</v>
      </c>
      <c r="AS343" s="106" t="s">
        <v>206</v>
      </c>
      <c r="AT343" s="1" t="s">
        <v>206</v>
      </c>
      <c r="AU343" s="106" t="s">
        <v>206</v>
      </c>
      <c r="AV343" s="106" t="s">
        <v>206</v>
      </c>
      <c r="AW343" s="106" t="s">
        <v>35</v>
      </c>
      <c r="AX343" s="106" t="s">
        <v>206</v>
      </c>
      <c r="AY343" s="106" t="s">
        <v>206</v>
      </c>
      <c r="AZ343" s="1" t="s">
        <v>206</v>
      </c>
      <c r="BA343" s="106" t="s">
        <v>206</v>
      </c>
      <c r="BB343" s="106" t="s">
        <v>206</v>
      </c>
      <c r="BC343" s="106" t="s">
        <v>206</v>
      </c>
      <c r="BD343" s="106" t="s">
        <v>206</v>
      </c>
      <c r="BE343" s="106" t="s">
        <v>206</v>
      </c>
      <c r="BF343" s="107">
        <f>IF(AZ343="Não","Sim","Não")</f>
      </c>
      <c r="BG343" s="107">
        <f>IF(AZ343="NA","Sim","Não")</f>
      </c>
      <c r="BH343" s="106" t="s">
        <v>206</v>
      </c>
      <c r="BI343" s="1" t="s">
        <v>206</v>
      </c>
      <c r="BJ343" s="106" t="s">
        <v>206</v>
      </c>
      <c r="BK343" s="1" t="s">
        <v>2188</v>
      </c>
      <c r="BL343" s="102">
        <v>90</v>
      </c>
      <c r="BM343" s="1" t="s">
        <v>208</v>
      </c>
      <c r="BN343" s="1" t="s">
        <v>208</v>
      </c>
      <c r="BO343" s="1" t="s">
        <v>2188</v>
      </c>
      <c r="BP343" s="102">
        <v>90</v>
      </c>
      <c r="BQ343" s="1" t="s">
        <v>208</v>
      </c>
      <c r="BR343" s="1" t="s">
        <v>227</v>
      </c>
      <c r="BS343" s="106" t="s">
        <v>37</v>
      </c>
    </row>
    <row x14ac:dyDescent="0.25" r="344" customHeight="1" ht="17.25">
      <c r="A344" s="102">
        <v>343</v>
      </c>
      <c r="B344" s="1" t="s">
        <v>2203</v>
      </c>
      <c r="C344" s="102">
        <v>0</v>
      </c>
      <c r="D344" s="61" t="s">
        <v>948</v>
      </c>
      <c r="E344" s="1" t="s">
        <v>94</v>
      </c>
      <c r="F344" s="1" t="s">
        <v>170</v>
      </c>
      <c r="G344" s="1" t="s">
        <v>69</v>
      </c>
      <c r="H344" s="1" t="s">
        <v>2204</v>
      </c>
      <c r="I344" s="102">
        <v>1</v>
      </c>
      <c r="J344" s="1" t="s">
        <v>159</v>
      </c>
      <c r="K344" s="1" t="s">
        <v>170</v>
      </c>
      <c r="L344" s="103">
        <v>34451</v>
      </c>
      <c r="M344" s="104">
        <v>23</v>
      </c>
      <c r="N344" s="1" t="s">
        <v>176</v>
      </c>
      <c r="O344" s="1" t="s">
        <v>182</v>
      </c>
      <c r="P344" s="1" t="s">
        <v>464</v>
      </c>
      <c r="Q344" s="1" t="s">
        <v>2205</v>
      </c>
      <c r="R344" s="62">
        <v>0</v>
      </c>
      <c r="S344" s="102">
        <v>0</v>
      </c>
      <c r="T344" s="54" t="s">
        <v>2206</v>
      </c>
      <c r="U344" s="102">
        <v>3000</v>
      </c>
      <c r="V344" s="62">
        <v>0</v>
      </c>
      <c r="W344" s="102">
        <v>0</v>
      </c>
      <c r="X344" s="54" t="s">
        <v>2207</v>
      </c>
      <c r="Y344" s="105">
        <v>246.3</v>
      </c>
      <c r="Z344" s="57" t="s">
        <v>2208</v>
      </c>
      <c r="AA344" s="105">
        <v>0.2</v>
      </c>
      <c r="AB344" s="57" t="s">
        <v>2209</v>
      </c>
      <c r="AC344" s="106" t="s">
        <v>35</v>
      </c>
      <c r="AD344" s="106" t="s">
        <v>35</v>
      </c>
      <c r="AE344" s="106" t="s">
        <v>206</v>
      </c>
      <c r="AF344" s="106" t="s">
        <v>206</v>
      </c>
      <c r="AG344" s="106" t="s">
        <v>206</v>
      </c>
      <c r="AH344" s="106" t="s">
        <v>206</v>
      </c>
      <c r="AI344" s="1" t="s">
        <v>2210</v>
      </c>
      <c r="AJ344" s="1" t="s">
        <v>2211</v>
      </c>
      <c r="AK344" s="1" t="s">
        <v>405</v>
      </c>
      <c r="AL344" s="1" t="s">
        <v>198</v>
      </c>
      <c r="AM344" s="106" t="s">
        <v>27</v>
      </c>
      <c r="AN344" s="1" t="s">
        <v>2210</v>
      </c>
      <c r="AO344" s="1" t="s">
        <v>2212</v>
      </c>
      <c r="AP344" s="1" t="s">
        <v>1645</v>
      </c>
      <c r="AQ344" s="1" t="s">
        <v>2188</v>
      </c>
      <c r="AR344" s="1" t="s">
        <v>206</v>
      </c>
      <c r="AS344" s="106" t="s">
        <v>206</v>
      </c>
      <c r="AT344" s="1" t="s">
        <v>206</v>
      </c>
      <c r="AU344" s="106" t="s">
        <v>206</v>
      </c>
      <c r="AV344" s="106" t="s">
        <v>206</v>
      </c>
      <c r="AW344" s="106" t="s">
        <v>35</v>
      </c>
      <c r="AX344" s="106" t="s">
        <v>206</v>
      </c>
      <c r="AY344" s="106" t="s">
        <v>206</v>
      </c>
      <c r="AZ344" s="1" t="s">
        <v>206</v>
      </c>
      <c r="BA344" s="106" t="s">
        <v>206</v>
      </c>
      <c r="BB344" s="106" t="s">
        <v>206</v>
      </c>
      <c r="BC344" s="106" t="s">
        <v>206</v>
      </c>
      <c r="BD344" s="106" t="s">
        <v>206</v>
      </c>
      <c r="BE344" s="106" t="s">
        <v>206</v>
      </c>
      <c r="BF344" s="107">
        <f>IF(AZ344="Não","Sim","Não")</f>
      </c>
      <c r="BG344" s="107">
        <f>IF(AZ344="NA","Sim","Não")</f>
      </c>
      <c r="BH344" s="106" t="s">
        <v>206</v>
      </c>
      <c r="BI344" s="1" t="s">
        <v>206</v>
      </c>
      <c r="BJ344" s="106" t="s">
        <v>206</v>
      </c>
      <c r="BK344" s="1" t="s">
        <v>2188</v>
      </c>
      <c r="BL344" s="102">
        <v>90</v>
      </c>
      <c r="BM344" s="1" t="s">
        <v>386</v>
      </c>
      <c r="BN344" s="1" t="s">
        <v>2213</v>
      </c>
      <c r="BO344" s="1" t="s">
        <v>2214</v>
      </c>
      <c r="BP344" s="102">
        <v>372</v>
      </c>
      <c r="BQ344" s="1" t="s">
        <v>208</v>
      </c>
      <c r="BR344" s="1" t="s">
        <v>227</v>
      </c>
      <c r="BS344" s="106" t="s">
        <v>232</v>
      </c>
    </row>
    <row x14ac:dyDescent="0.25" r="345" customHeight="1" ht="17.25">
      <c r="A345" s="102">
        <v>344</v>
      </c>
      <c r="B345" s="1" t="s">
        <v>2203</v>
      </c>
      <c r="C345" s="102">
        <v>1</v>
      </c>
      <c r="D345" s="61" t="s">
        <v>948</v>
      </c>
      <c r="E345" s="1" t="s">
        <v>94</v>
      </c>
      <c r="F345" s="1" t="s">
        <v>170</v>
      </c>
      <c r="G345" s="1" t="s">
        <v>69</v>
      </c>
      <c r="H345" s="1" t="s">
        <v>2215</v>
      </c>
      <c r="I345" s="102">
        <v>1</v>
      </c>
      <c r="J345" s="1" t="s">
        <v>159</v>
      </c>
      <c r="K345" s="1" t="s">
        <v>22</v>
      </c>
      <c r="L345" s="103">
        <v>32915</v>
      </c>
      <c r="M345" s="104">
        <v>27</v>
      </c>
      <c r="N345" s="1" t="s">
        <v>176</v>
      </c>
      <c r="O345" s="1" t="s">
        <v>182</v>
      </c>
      <c r="P345" s="1" t="s">
        <v>464</v>
      </c>
      <c r="Q345" s="1" t="s">
        <v>2205</v>
      </c>
      <c r="R345" s="62">
        <v>0</v>
      </c>
      <c r="S345" s="102">
        <v>0</v>
      </c>
      <c r="T345" s="54" t="s">
        <v>2206</v>
      </c>
      <c r="U345" s="102">
        <v>3000</v>
      </c>
      <c r="V345" s="62">
        <v>0</v>
      </c>
      <c r="W345" s="102">
        <v>0</v>
      </c>
      <c r="X345" s="54" t="s">
        <v>2207</v>
      </c>
      <c r="Y345" s="105">
        <v>246.3</v>
      </c>
      <c r="Z345" s="57" t="s">
        <v>2208</v>
      </c>
      <c r="AA345" s="105">
        <v>0.2</v>
      </c>
      <c r="AB345" s="57" t="s">
        <v>2209</v>
      </c>
      <c r="AC345" s="106" t="s">
        <v>35</v>
      </c>
      <c r="AD345" s="106" t="s">
        <v>35</v>
      </c>
      <c r="AE345" s="106" t="s">
        <v>206</v>
      </c>
      <c r="AF345" s="106" t="s">
        <v>206</v>
      </c>
      <c r="AG345" s="106" t="s">
        <v>206</v>
      </c>
      <c r="AH345" s="106" t="s">
        <v>206</v>
      </c>
      <c r="AI345" s="1" t="s">
        <v>2210</v>
      </c>
      <c r="AJ345" s="1" t="s">
        <v>2211</v>
      </c>
      <c r="AK345" s="1" t="s">
        <v>405</v>
      </c>
      <c r="AL345" s="1" t="s">
        <v>198</v>
      </c>
      <c r="AM345" s="106" t="s">
        <v>27</v>
      </c>
      <c r="AN345" s="1" t="s">
        <v>2210</v>
      </c>
      <c r="AO345" s="1" t="s">
        <v>2212</v>
      </c>
      <c r="AP345" s="1" t="s">
        <v>1645</v>
      </c>
      <c r="AQ345" s="1" t="s">
        <v>2188</v>
      </c>
      <c r="AR345" s="1" t="s">
        <v>206</v>
      </c>
      <c r="AS345" s="106" t="s">
        <v>206</v>
      </c>
      <c r="AT345" s="1" t="s">
        <v>206</v>
      </c>
      <c r="AU345" s="106" t="s">
        <v>206</v>
      </c>
      <c r="AV345" s="106" t="s">
        <v>206</v>
      </c>
      <c r="AW345" s="106" t="s">
        <v>35</v>
      </c>
      <c r="AX345" s="106" t="s">
        <v>206</v>
      </c>
      <c r="AY345" s="106" t="s">
        <v>206</v>
      </c>
      <c r="AZ345" s="1" t="s">
        <v>206</v>
      </c>
      <c r="BA345" s="106" t="s">
        <v>206</v>
      </c>
      <c r="BB345" s="106" t="s">
        <v>206</v>
      </c>
      <c r="BC345" s="106" t="s">
        <v>206</v>
      </c>
      <c r="BD345" s="106" t="s">
        <v>206</v>
      </c>
      <c r="BE345" s="106" t="s">
        <v>206</v>
      </c>
      <c r="BF345" s="107">
        <f>IF(AZ345="Não","Sim","Não")</f>
      </c>
      <c r="BG345" s="107">
        <f>IF(AZ345="NA","Sim","Não")</f>
      </c>
      <c r="BH345" s="106" t="s">
        <v>206</v>
      </c>
      <c r="BI345" s="1" t="s">
        <v>206</v>
      </c>
      <c r="BJ345" s="106" t="s">
        <v>206</v>
      </c>
      <c r="BK345" s="1" t="s">
        <v>2188</v>
      </c>
      <c r="BL345" s="102">
        <v>90</v>
      </c>
      <c r="BM345" s="1" t="s">
        <v>386</v>
      </c>
      <c r="BN345" s="1" t="s">
        <v>2213</v>
      </c>
      <c r="BO345" s="1" t="s">
        <v>2214</v>
      </c>
      <c r="BP345" s="102">
        <v>372</v>
      </c>
      <c r="BQ345" s="1" t="s">
        <v>208</v>
      </c>
      <c r="BR345" s="1" t="s">
        <v>227</v>
      </c>
      <c r="BS345" s="106" t="s">
        <v>232</v>
      </c>
    </row>
    <row x14ac:dyDescent="0.25" r="346" customHeight="1" ht="17.25">
      <c r="A346" s="102">
        <v>345</v>
      </c>
      <c r="B346" s="1" t="s">
        <v>2203</v>
      </c>
      <c r="C346" s="102">
        <v>0</v>
      </c>
      <c r="D346" s="61" t="s">
        <v>948</v>
      </c>
      <c r="E346" s="1" t="s">
        <v>94</v>
      </c>
      <c r="F346" s="1" t="s">
        <v>170</v>
      </c>
      <c r="G346" s="1" t="s">
        <v>69</v>
      </c>
      <c r="H346" s="1" t="s">
        <v>2216</v>
      </c>
      <c r="I346" s="102">
        <v>1</v>
      </c>
      <c r="J346" s="1" t="s">
        <v>159</v>
      </c>
      <c r="K346" s="1" t="s">
        <v>22</v>
      </c>
      <c r="L346" s="103">
        <v>34566</v>
      </c>
      <c r="M346" s="104">
        <v>23</v>
      </c>
      <c r="N346" s="1" t="s">
        <v>176</v>
      </c>
      <c r="O346" s="1" t="s">
        <v>182</v>
      </c>
      <c r="P346" s="1" t="s">
        <v>464</v>
      </c>
      <c r="Q346" s="1" t="s">
        <v>2205</v>
      </c>
      <c r="R346" s="62">
        <v>0</v>
      </c>
      <c r="S346" s="102">
        <v>0</v>
      </c>
      <c r="T346" s="54" t="s">
        <v>2206</v>
      </c>
      <c r="U346" s="102">
        <v>3000</v>
      </c>
      <c r="V346" s="62">
        <v>0</v>
      </c>
      <c r="W346" s="102">
        <v>0</v>
      </c>
      <c r="X346" s="54" t="s">
        <v>2207</v>
      </c>
      <c r="Y346" s="105">
        <v>246.3</v>
      </c>
      <c r="Z346" s="57" t="s">
        <v>2208</v>
      </c>
      <c r="AA346" s="105">
        <v>0.2</v>
      </c>
      <c r="AB346" s="57" t="s">
        <v>2209</v>
      </c>
      <c r="AC346" s="106" t="s">
        <v>35</v>
      </c>
      <c r="AD346" s="106" t="s">
        <v>35</v>
      </c>
      <c r="AE346" s="106" t="s">
        <v>206</v>
      </c>
      <c r="AF346" s="106" t="s">
        <v>206</v>
      </c>
      <c r="AG346" s="106" t="s">
        <v>206</v>
      </c>
      <c r="AH346" s="106" t="s">
        <v>206</v>
      </c>
      <c r="AI346" s="1" t="s">
        <v>2210</v>
      </c>
      <c r="AJ346" s="1" t="s">
        <v>2211</v>
      </c>
      <c r="AK346" s="1" t="s">
        <v>2217</v>
      </c>
      <c r="AL346" s="1" t="s">
        <v>198</v>
      </c>
      <c r="AM346" s="106" t="s">
        <v>27</v>
      </c>
      <c r="AN346" s="1" t="s">
        <v>2210</v>
      </c>
      <c r="AO346" s="1" t="s">
        <v>2212</v>
      </c>
      <c r="AP346" s="1" t="s">
        <v>1645</v>
      </c>
      <c r="AQ346" s="1" t="s">
        <v>2188</v>
      </c>
      <c r="AR346" s="1" t="s">
        <v>206</v>
      </c>
      <c r="AS346" s="106" t="s">
        <v>206</v>
      </c>
      <c r="AT346" s="1" t="s">
        <v>206</v>
      </c>
      <c r="AU346" s="106" t="s">
        <v>206</v>
      </c>
      <c r="AV346" s="106" t="s">
        <v>206</v>
      </c>
      <c r="AW346" s="106" t="s">
        <v>35</v>
      </c>
      <c r="AX346" s="106" t="s">
        <v>206</v>
      </c>
      <c r="AY346" s="106" t="s">
        <v>206</v>
      </c>
      <c r="AZ346" s="1" t="s">
        <v>206</v>
      </c>
      <c r="BA346" s="106" t="s">
        <v>206</v>
      </c>
      <c r="BB346" s="106" t="s">
        <v>206</v>
      </c>
      <c r="BC346" s="106" t="s">
        <v>206</v>
      </c>
      <c r="BD346" s="106" t="s">
        <v>206</v>
      </c>
      <c r="BE346" s="106" t="s">
        <v>206</v>
      </c>
      <c r="BF346" s="107">
        <f>IF(AZ346="Não","Sim","Não")</f>
      </c>
      <c r="BG346" s="107">
        <f>IF(AZ346="NA","Sim","Não")</f>
      </c>
      <c r="BH346" s="106" t="s">
        <v>206</v>
      </c>
      <c r="BI346" s="1" t="s">
        <v>206</v>
      </c>
      <c r="BJ346" s="106" t="s">
        <v>206</v>
      </c>
      <c r="BK346" s="1" t="s">
        <v>2188</v>
      </c>
      <c r="BL346" s="102">
        <v>90</v>
      </c>
      <c r="BM346" s="1" t="s">
        <v>386</v>
      </c>
      <c r="BN346" s="1" t="s">
        <v>2213</v>
      </c>
      <c r="BO346" s="1" t="s">
        <v>2214</v>
      </c>
      <c r="BP346" s="102">
        <v>372</v>
      </c>
      <c r="BQ346" s="1" t="s">
        <v>208</v>
      </c>
      <c r="BR346" s="1" t="s">
        <v>227</v>
      </c>
      <c r="BS346" s="106" t="s">
        <v>232</v>
      </c>
    </row>
    <row x14ac:dyDescent="0.25" r="347" customHeight="1" ht="17.25">
      <c r="A347" s="102">
        <v>346</v>
      </c>
      <c r="B347" s="1" t="s">
        <v>1966</v>
      </c>
      <c r="C347" s="102">
        <v>0</v>
      </c>
      <c r="D347" s="61" t="s">
        <v>1967</v>
      </c>
      <c r="E347" s="1" t="s">
        <v>128</v>
      </c>
      <c r="F347" s="1" t="s">
        <v>22</v>
      </c>
      <c r="G347" s="1" t="s">
        <v>52</v>
      </c>
      <c r="H347" s="1" t="s">
        <v>2218</v>
      </c>
      <c r="I347" s="102">
        <v>1</v>
      </c>
      <c r="J347" s="1" t="s">
        <v>164</v>
      </c>
      <c r="K347" s="1" t="s">
        <v>22</v>
      </c>
      <c r="L347" s="103">
        <v>27590</v>
      </c>
      <c r="M347" s="104">
        <v>41</v>
      </c>
      <c r="N347" s="1" t="s">
        <v>177</v>
      </c>
      <c r="O347" s="1" t="s">
        <v>24</v>
      </c>
      <c r="P347" s="1" t="s">
        <v>354</v>
      </c>
      <c r="Q347" s="1" t="s">
        <v>1969</v>
      </c>
      <c r="R347" s="62">
        <v>0</v>
      </c>
      <c r="S347" s="102">
        <v>0</v>
      </c>
      <c r="T347" s="54" t="s">
        <v>1970</v>
      </c>
      <c r="U347" s="105">
        <v>3609.2</v>
      </c>
      <c r="V347" s="62">
        <v>0</v>
      </c>
      <c r="W347" s="102">
        <v>0</v>
      </c>
      <c r="X347" s="62">
        <v>0</v>
      </c>
      <c r="Y347" s="102">
        <v>0</v>
      </c>
      <c r="Z347" s="62">
        <v>0</v>
      </c>
      <c r="AA347" s="102">
        <v>0</v>
      </c>
      <c r="AB347" s="62">
        <v>0</v>
      </c>
      <c r="AC347" s="106" t="s">
        <v>206</v>
      </c>
      <c r="AD347" s="106" t="s">
        <v>206</v>
      </c>
      <c r="AE347" s="106" t="s">
        <v>206</v>
      </c>
      <c r="AF347" s="106" t="s">
        <v>206</v>
      </c>
      <c r="AG347" s="106" t="s">
        <v>206</v>
      </c>
      <c r="AH347" s="106" t="s">
        <v>206</v>
      </c>
      <c r="AI347" s="1" t="s">
        <v>371</v>
      </c>
      <c r="AJ347" s="1" t="s">
        <v>206</v>
      </c>
      <c r="AK347" s="1" t="s">
        <v>2219</v>
      </c>
      <c r="AL347" s="1" t="s">
        <v>198</v>
      </c>
      <c r="AM347" s="106" t="s">
        <v>27</v>
      </c>
      <c r="AN347" s="1" t="s">
        <v>357</v>
      </c>
      <c r="AO347" s="1" t="s">
        <v>208</v>
      </c>
      <c r="AP347" s="1" t="s">
        <v>847</v>
      </c>
      <c r="AQ347" s="1" t="s">
        <v>1374</v>
      </c>
      <c r="AR347" s="1" t="s">
        <v>206</v>
      </c>
      <c r="AS347" s="106" t="s">
        <v>206</v>
      </c>
      <c r="AT347" s="1" t="s">
        <v>28</v>
      </c>
      <c r="AU347" s="106" t="s">
        <v>35</v>
      </c>
      <c r="AV347" s="106" t="s">
        <v>206</v>
      </c>
      <c r="AW347" s="106" t="s">
        <v>206</v>
      </c>
      <c r="AX347" s="106" t="s">
        <v>206</v>
      </c>
      <c r="AY347" s="106" t="s">
        <v>35</v>
      </c>
      <c r="AZ347" s="1" t="s">
        <v>32</v>
      </c>
      <c r="BA347" s="106" t="s">
        <v>206</v>
      </c>
      <c r="BB347" s="106" t="s">
        <v>206</v>
      </c>
      <c r="BC347" s="106" t="s">
        <v>35</v>
      </c>
      <c r="BD347" s="106" t="s">
        <v>206</v>
      </c>
      <c r="BE347" s="106" t="s">
        <v>206</v>
      </c>
      <c r="BF347" s="107">
        <f>IF(AZ347="Não","Sim","Não")</f>
      </c>
      <c r="BG347" s="107">
        <f>IF(AZ347="NA","Sim","Não")</f>
      </c>
      <c r="BH347" s="106" t="s">
        <v>35</v>
      </c>
      <c r="BI347" s="1" t="s">
        <v>206</v>
      </c>
      <c r="BJ347" s="106" t="s">
        <v>206</v>
      </c>
      <c r="BK347" s="1" t="s">
        <v>2220</v>
      </c>
      <c r="BL347" s="105">
        <v>93.33333333333333</v>
      </c>
      <c r="BM347" s="1" t="s">
        <v>208</v>
      </c>
      <c r="BN347" s="1" t="s">
        <v>208</v>
      </c>
      <c r="BO347" s="1" t="s">
        <v>2220</v>
      </c>
      <c r="BP347" s="105">
        <v>93.33333333333333</v>
      </c>
      <c r="BQ347" s="1" t="s">
        <v>208</v>
      </c>
      <c r="BR347" s="1" t="s">
        <v>227</v>
      </c>
      <c r="BS347" s="106" t="s">
        <v>37</v>
      </c>
    </row>
    <row x14ac:dyDescent="0.25" r="348" customHeight="1" ht="17.25">
      <c r="A348" s="102">
        <v>347</v>
      </c>
      <c r="B348" s="1" t="s">
        <v>1952</v>
      </c>
      <c r="C348" s="102">
        <v>0</v>
      </c>
      <c r="D348" s="61" t="s">
        <v>1635</v>
      </c>
      <c r="E348" s="1" t="s">
        <v>87</v>
      </c>
      <c r="F348" s="1" t="s">
        <v>22</v>
      </c>
      <c r="G348" s="1" t="s">
        <v>62</v>
      </c>
      <c r="H348" s="1" t="s">
        <v>2221</v>
      </c>
      <c r="I348" s="102">
        <v>1</v>
      </c>
      <c r="J348" s="1" t="s">
        <v>158</v>
      </c>
      <c r="K348" s="1" t="s">
        <v>22</v>
      </c>
      <c r="L348" s="103">
        <v>32519</v>
      </c>
      <c r="M348" s="104">
        <v>28</v>
      </c>
      <c r="N348" s="1" t="s">
        <v>176</v>
      </c>
      <c r="O348" s="1" t="s">
        <v>182</v>
      </c>
      <c r="P348" s="1" t="s">
        <v>365</v>
      </c>
      <c r="Q348" s="1" t="s">
        <v>1954</v>
      </c>
      <c r="R348" s="54" t="s">
        <v>1955</v>
      </c>
      <c r="S348" s="102">
        <v>10700</v>
      </c>
      <c r="T348" s="62">
        <v>0</v>
      </c>
      <c r="U348" s="102">
        <v>0</v>
      </c>
      <c r="V348" s="62">
        <v>0</v>
      </c>
      <c r="W348" s="102">
        <v>0</v>
      </c>
      <c r="X348" s="62">
        <v>0</v>
      </c>
      <c r="Y348" s="102">
        <v>0</v>
      </c>
      <c r="Z348" s="62">
        <v>0</v>
      </c>
      <c r="AA348" s="102">
        <v>0</v>
      </c>
      <c r="AB348" s="62">
        <v>0</v>
      </c>
      <c r="AC348" s="106" t="s">
        <v>206</v>
      </c>
      <c r="AD348" s="106" t="s">
        <v>206</v>
      </c>
      <c r="AE348" s="106" t="s">
        <v>206</v>
      </c>
      <c r="AF348" s="106" t="s">
        <v>206</v>
      </c>
      <c r="AG348" s="106" t="s">
        <v>206</v>
      </c>
      <c r="AH348" s="106" t="s">
        <v>206</v>
      </c>
      <c r="AI348" s="1" t="s">
        <v>357</v>
      </c>
      <c r="AJ348" s="1" t="s">
        <v>206</v>
      </c>
      <c r="AK348" s="1" t="s">
        <v>1206</v>
      </c>
      <c r="AL348" s="1" t="s">
        <v>197</v>
      </c>
      <c r="AM348" s="106" t="s">
        <v>27</v>
      </c>
      <c r="AN348" s="1" t="s">
        <v>357</v>
      </c>
      <c r="AO348" s="1" t="s">
        <v>208</v>
      </c>
      <c r="AP348" s="1" t="s">
        <v>406</v>
      </c>
      <c r="AQ348" s="1" t="s">
        <v>1374</v>
      </c>
      <c r="AR348" s="1" t="s">
        <v>206</v>
      </c>
      <c r="AS348" s="106" t="s">
        <v>206</v>
      </c>
      <c r="AT348" s="1" t="s">
        <v>206</v>
      </c>
      <c r="AU348" s="106" t="s">
        <v>206</v>
      </c>
      <c r="AV348" s="106" t="s">
        <v>206</v>
      </c>
      <c r="AW348" s="106" t="s">
        <v>35</v>
      </c>
      <c r="AX348" s="106" t="s">
        <v>206</v>
      </c>
      <c r="AY348" s="106" t="s">
        <v>206</v>
      </c>
      <c r="AZ348" s="1" t="s">
        <v>220</v>
      </c>
      <c r="BA348" s="106" t="s">
        <v>35</v>
      </c>
      <c r="BB348" s="106" t="s">
        <v>206</v>
      </c>
      <c r="BC348" s="106" t="s">
        <v>35</v>
      </c>
      <c r="BD348" s="106" t="s">
        <v>206</v>
      </c>
      <c r="BE348" s="106" t="s">
        <v>206</v>
      </c>
      <c r="BF348" s="107">
        <f>IF(AZ348="Não","Sim","Não")</f>
      </c>
      <c r="BG348" s="107">
        <f>IF(AZ348="NA","Sim","Não")</f>
      </c>
      <c r="BH348" s="106" t="s">
        <v>35</v>
      </c>
      <c r="BI348" s="1" t="s">
        <v>206</v>
      </c>
      <c r="BJ348" s="106" t="s">
        <v>206</v>
      </c>
      <c r="BK348" s="1" t="s">
        <v>360</v>
      </c>
      <c r="BL348" s="102">
        <v>96</v>
      </c>
      <c r="BM348" s="1" t="s">
        <v>208</v>
      </c>
      <c r="BN348" s="1" t="s">
        <v>208</v>
      </c>
      <c r="BO348" s="1" t="s">
        <v>360</v>
      </c>
      <c r="BP348" s="102">
        <v>96</v>
      </c>
      <c r="BQ348" s="1" t="s">
        <v>208</v>
      </c>
      <c r="BR348" s="1" t="s">
        <v>227</v>
      </c>
      <c r="BS348" s="106" t="s">
        <v>37</v>
      </c>
    </row>
    <row x14ac:dyDescent="0.25" r="349" customHeight="1" ht="17.25">
      <c r="A349" s="102">
        <v>348</v>
      </c>
      <c r="B349" s="1" t="s">
        <v>2222</v>
      </c>
      <c r="C349" s="102">
        <v>1</v>
      </c>
      <c r="D349" s="61" t="s">
        <v>896</v>
      </c>
      <c r="E349" s="1" t="s">
        <v>119</v>
      </c>
      <c r="F349" s="1" t="s">
        <v>170</v>
      </c>
      <c r="G349" s="1" t="s">
        <v>51</v>
      </c>
      <c r="H349" s="1" t="s">
        <v>2223</v>
      </c>
      <c r="I349" s="102">
        <v>1</v>
      </c>
      <c r="J349" s="1" t="s">
        <v>158</v>
      </c>
      <c r="K349" s="1" t="s">
        <v>22</v>
      </c>
      <c r="L349" s="103">
        <v>32801</v>
      </c>
      <c r="M349" s="104">
        <v>27</v>
      </c>
      <c r="N349" s="1" t="s">
        <v>175</v>
      </c>
      <c r="O349" s="1" t="s">
        <v>24</v>
      </c>
      <c r="P349" s="1" t="s">
        <v>517</v>
      </c>
      <c r="Q349" s="1" t="s">
        <v>2224</v>
      </c>
      <c r="R349" s="62">
        <v>0</v>
      </c>
      <c r="S349" s="102">
        <v>0</v>
      </c>
      <c r="T349" s="54" t="s">
        <v>2225</v>
      </c>
      <c r="U349" s="105">
        <v>14016.6</v>
      </c>
      <c r="V349" s="62">
        <v>0</v>
      </c>
      <c r="W349" s="102">
        <v>0</v>
      </c>
      <c r="X349" s="62">
        <v>0</v>
      </c>
      <c r="Y349" s="102">
        <v>0</v>
      </c>
      <c r="Z349" s="62">
        <v>0</v>
      </c>
      <c r="AA349" s="102">
        <v>0</v>
      </c>
      <c r="AB349" s="62">
        <v>0</v>
      </c>
      <c r="AC349" s="106" t="s">
        <v>206</v>
      </c>
      <c r="AD349" s="106" t="s">
        <v>206</v>
      </c>
      <c r="AE349" s="106" t="s">
        <v>206</v>
      </c>
      <c r="AF349" s="106" t="s">
        <v>206</v>
      </c>
      <c r="AG349" s="106" t="s">
        <v>206</v>
      </c>
      <c r="AH349" s="106" t="s">
        <v>206</v>
      </c>
      <c r="AI349" s="1" t="s">
        <v>371</v>
      </c>
      <c r="AJ349" s="1" t="s">
        <v>206</v>
      </c>
      <c r="AK349" s="1" t="s">
        <v>2226</v>
      </c>
      <c r="AL349" s="1" t="s">
        <v>198</v>
      </c>
      <c r="AM349" s="106" t="s">
        <v>27</v>
      </c>
      <c r="AN349" s="1" t="s">
        <v>357</v>
      </c>
      <c r="AO349" s="1" t="s">
        <v>208</v>
      </c>
      <c r="AP349" s="1" t="s">
        <v>847</v>
      </c>
      <c r="AQ349" s="1" t="s">
        <v>360</v>
      </c>
      <c r="AR349" s="1" t="s">
        <v>206</v>
      </c>
      <c r="AS349" s="106" t="s">
        <v>206</v>
      </c>
      <c r="AT349" s="1" t="s">
        <v>206</v>
      </c>
      <c r="AU349" s="106" t="s">
        <v>206</v>
      </c>
      <c r="AV349" s="106" t="s">
        <v>206</v>
      </c>
      <c r="AW349" s="106" t="s">
        <v>35</v>
      </c>
      <c r="AX349" s="106" t="s">
        <v>206</v>
      </c>
      <c r="AY349" s="106" t="s">
        <v>206</v>
      </c>
      <c r="AZ349" s="1" t="s">
        <v>206</v>
      </c>
      <c r="BA349" s="106" t="s">
        <v>206</v>
      </c>
      <c r="BB349" s="106" t="s">
        <v>206</v>
      </c>
      <c r="BC349" s="106" t="s">
        <v>206</v>
      </c>
      <c r="BD349" s="106" t="s">
        <v>206</v>
      </c>
      <c r="BE349" s="106" t="s">
        <v>206</v>
      </c>
      <c r="BF349" s="107">
        <f>IF(AZ349="Não","Sim","Não")</f>
      </c>
      <c r="BG349" s="107">
        <f>IF(AZ349="NA","Sim","Não")</f>
      </c>
      <c r="BH349" s="106" t="s">
        <v>206</v>
      </c>
      <c r="BI349" s="1" t="s">
        <v>206</v>
      </c>
      <c r="BJ349" s="106" t="s">
        <v>206</v>
      </c>
      <c r="BK349" s="1" t="s">
        <v>360</v>
      </c>
      <c r="BL349" s="102">
        <v>96</v>
      </c>
      <c r="BM349" s="1" t="s">
        <v>208</v>
      </c>
      <c r="BN349" s="1" t="s">
        <v>208</v>
      </c>
      <c r="BO349" s="1" t="s">
        <v>360</v>
      </c>
      <c r="BP349" s="102">
        <v>96</v>
      </c>
      <c r="BQ349" s="1" t="s">
        <v>208</v>
      </c>
      <c r="BR349" s="1" t="s">
        <v>227</v>
      </c>
      <c r="BS349" s="106" t="s">
        <v>37</v>
      </c>
    </row>
    <row x14ac:dyDescent="0.25" r="350" customHeight="1" ht="17.25">
      <c r="A350" s="102">
        <v>349</v>
      </c>
      <c r="B350" s="1" t="s">
        <v>1775</v>
      </c>
      <c r="C350" s="102">
        <v>0</v>
      </c>
      <c r="D350" s="61" t="s">
        <v>1776</v>
      </c>
      <c r="E350" s="1" t="s">
        <v>114</v>
      </c>
      <c r="F350" s="1" t="s">
        <v>22</v>
      </c>
      <c r="G350" s="1" t="s">
        <v>51</v>
      </c>
      <c r="H350" s="1" t="s">
        <v>2227</v>
      </c>
      <c r="I350" s="102">
        <v>1</v>
      </c>
      <c r="J350" s="1" t="s">
        <v>158</v>
      </c>
      <c r="K350" s="1" t="s">
        <v>170</v>
      </c>
      <c r="L350" s="103">
        <v>33792</v>
      </c>
      <c r="M350" s="104">
        <v>24</v>
      </c>
      <c r="N350" s="1" t="s">
        <v>175</v>
      </c>
      <c r="O350" s="1" t="s">
        <v>24</v>
      </c>
      <c r="P350" s="1" t="s">
        <v>354</v>
      </c>
      <c r="Q350" s="1" t="s">
        <v>1778</v>
      </c>
      <c r="R350" s="54" t="s">
        <v>1779</v>
      </c>
      <c r="S350" s="105">
        <v>31.4</v>
      </c>
      <c r="T350" s="62">
        <v>0</v>
      </c>
      <c r="U350" s="102">
        <v>0</v>
      </c>
      <c r="V350" s="54" t="s">
        <v>1780</v>
      </c>
      <c r="W350" s="105">
        <v>2.5</v>
      </c>
      <c r="X350" s="62">
        <v>0</v>
      </c>
      <c r="Y350" s="102">
        <v>0</v>
      </c>
      <c r="Z350" s="62">
        <v>0</v>
      </c>
      <c r="AA350" s="102">
        <v>0</v>
      </c>
      <c r="AB350" s="62">
        <v>0</v>
      </c>
      <c r="AC350" s="106" t="s">
        <v>206</v>
      </c>
      <c r="AD350" s="106" t="s">
        <v>206</v>
      </c>
      <c r="AE350" s="106" t="s">
        <v>206</v>
      </c>
      <c r="AF350" s="106" t="s">
        <v>206</v>
      </c>
      <c r="AG350" s="106" t="s">
        <v>206</v>
      </c>
      <c r="AH350" s="106" t="s">
        <v>206</v>
      </c>
      <c r="AI350" s="1" t="s">
        <v>357</v>
      </c>
      <c r="AJ350" s="1" t="s">
        <v>206</v>
      </c>
      <c r="AK350" s="1" t="s">
        <v>645</v>
      </c>
      <c r="AL350" s="1" t="s">
        <v>197</v>
      </c>
      <c r="AM350" s="106" t="s">
        <v>27</v>
      </c>
      <c r="AN350" s="1" t="s">
        <v>357</v>
      </c>
      <c r="AO350" s="1" t="s">
        <v>208</v>
      </c>
      <c r="AP350" s="1" t="s">
        <v>2228</v>
      </c>
      <c r="AQ350" s="1" t="s">
        <v>386</v>
      </c>
      <c r="AR350" s="1" t="s">
        <v>207</v>
      </c>
      <c r="AS350" s="106" t="s">
        <v>35</v>
      </c>
      <c r="AT350" s="1" t="s">
        <v>206</v>
      </c>
      <c r="AU350" s="106" t="s">
        <v>206</v>
      </c>
      <c r="AV350" s="106" t="s">
        <v>206</v>
      </c>
      <c r="AW350" s="106" t="s">
        <v>35</v>
      </c>
      <c r="AX350" s="106" t="s">
        <v>206</v>
      </c>
      <c r="AY350" s="106" t="s">
        <v>206</v>
      </c>
      <c r="AZ350" s="1" t="s">
        <v>34</v>
      </c>
      <c r="BA350" s="106" t="s">
        <v>206</v>
      </c>
      <c r="BB350" s="106" t="s">
        <v>206</v>
      </c>
      <c r="BC350" s="106" t="s">
        <v>206</v>
      </c>
      <c r="BD350" s="106" t="s">
        <v>206</v>
      </c>
      <c r="BE350" s="106" t="s">
        <v>35</v>
      </c>
      <c r="BF350" s="107">
        <f>IF(AZ350="Não","Sim","Não")</f>
      </c>
      <c r="BG350" s="107">
        <f>IF(AZ350="NA","Sim","Não")</f>
      </c>
      <c r="BH350" s="106" t="s">
        <v>35</v>
      </c>
      <c r="BI350" s="1" t="s">
        <v>238</v>
      </c>
      <c r="BJ350" s="106" t="s">
        <v>241</v>
      </c>
      <c r="BK350" s="1" t="s">
        <v>2229</v>
      </c>
      <c r="BL350" s="105">
        <v>100.8</v>
      </c>
      <c r="BM350" s="1" t="s">
        <v>208</v>
      </c>
      <c r="BN350" s="1" t="s">
        <v>208</v>
      </c>
      <c r="BO350" s="1" t="s">
        <v>2229</v>
      </c>
      <c r="BP350" s="105">
        <v>100.8</v>
      </c>
      <c r="BQ350" s="1" t="s">
        <v>208</v>
      </c>
      <c r="BR350" s="1" t="s">
        <v>227</v>
      </c>
      <c r="BS350" s="106" t="s">
        <v>232</v>
      </c>
    </row>
    <row x14ac:dyDescent="0.25" r="351" customHeight="1" ht="17.25">
      <c r="A351" s="102">
        <v>350</v>
      </c>
      <c r="B351" s="1" t="s">
        <v>2230</v>
      </c>
      <c r="C351" s="102">
        <v>1</v>
      </c>
      <c r="D351" s="61" t="s">
        <v>2231</v>
      </c>
      <c r="E351" s="1" t="s">
        <v>147</v>
      </c>
      <c r="F351" s="1" t="s">
        <v>170</v>
      </c>
      <c r="G351" s="1" t="s">
        <v>45</v>
      </c>
      <c r="H351" s="1" t="s">
        <v>1680</v>
      </c>
      <c r="I351" s="102">
        <v>1</v>
      </c>
      <c r="J351" s="1" t="s">
        <v>159</v>
      </c>
      <c r="K351" s="1" t="s">
        <v>22</v>
      </c>
      <c r="L351" s="103">
        <v>27653</v>
      </c>
      <c r="M351" s="104">
        <v>42</v>
      </c>
      <c r="N351" s="1" t="s">
        <v>176</v>
      </c>
      <c r="O351" s="1" t="s">
        <v>182</v>
      </c>
      <c r="P351" s="1" t="s">
        <v>517</v>
      </c>
      <c r="Q351" s="1" t="s">
        <v>366</v>
      </c>
      <c r="R351" s="54" t="s">
        <v>2232</v>
      </c>
      <c r="S351" s="105">
        <v>17349.6</v>
      </c>
      <c r="T351" s="62">
        <v>0</v>
      </c>
      <c r="U351" s="102">
        <v>0</v>
      </c>
      <c r="V351" s="62">
        <v>0</v>
      </c>
      <c r="W351" s="102">
        <v>0</v>
      </c>
      <c r="X351" s="62">
        <v>0</v>
      </c>
      <c r="Y351" s="102">
        <v>0</v>
      </c>
      <c r="Z351" s="62">
        <v>0</v>
      </c>
      <c r="AA351" s="102">
        <v>0</v>
      </c>
      <c r="AB351" s="62">
        <v>0</v>
      </c>
      <c r="AC351" s="106" t="s">
        <v>206</v>
      </c>
      <c r="AD351" s="106" t="s">
        <v>206</v>
      </c>
      <c r="AE351" s="106" t="s">
        <v>206</v>
      </c>
      <c r="AF351" s="106" t="s">
        <v>206</v>
      </c>
      <c r="AG351" s="106" t="s">
        <v>206</v>
      </c>
      <c r="AH351" s="106" t="s">
        <v>206</v>
      </c>
      <c r="AI351" s="1" t="s">
        <v>357</v>
      </c>
      <c r="AJ351" s="1" t="s">
        <v>206</v>
      </c>
      <c r="AK351" s="1" t="s">
        <v>405</v>
      </c>
      <c r="AL351" s="1" t="s">
        <v>197</v>
      </c>
      <c r="AM351" s="106" t="s">
        <v>27</v>
      </c>
      <c r="AN351" s="1" t="s">
        <v>357</v>
      </c>
      <c r="AO351" s="1" t="s">
        <v>208</v>
      </c>
      <c r="AP351" s="1" t="s">
        <v>2087</v>
      </c>
      <c r="AQ351" s="1" t="s">
        <v>375</v>
      </c>
      <c r="AR351" s="1" t="s">
        <v>207</v>
      </c>
      <c r="AS351" s="106" t="s">
        <v>35</v>
      </c>
      <c r="AT351" s="1" t="s">
        <v>206</v>
      </c>
      <c r="AU351" s="106" t="s">
        <v>206</v>
      </c>
      <c r="AV351" s="106" t="s">
        <v>206</v>
      </c>
      <c r="AW351" s="106" t="s">
        <v>35</v>
      </c>
      <c r="AX351" s="106" t="s">
        <v>206</v>
      </c>
      <c r="AY351" s="106" t="s">
        <v>206</v>
      </c>
      <c r="AZ351" s="1" t="s">
        <v>206</v>
      </c>
      <c r="BA351" s="106" t="s">
        <v>206</v>
      </c>
      <c r="BB351" s="106" t="s">
        <v>206</v>
      </c>
      <c r="BC351" s="106" t="s">
        <v>206</v>
      </c>
      <c r="BD351" s="106" t="s">
        <v>206</v>
      </c>
      <c r="BE351" s="106" t="s">
        <v>206</v>
      </c>
      <c r="BF351" s="107">
        <f>IF(AZ351="Não","Sim","Não")</f>
      </c>
      <c r="BG351" s="107">
        <f>IF(AZ351="NA","Sim","Não")</f>
      </c>
      <c r="BH351" s="106" t="s">
        <v>206</v>
      </c>
      <c r="BI351" s="1" t="s">
        <v>238</v>
      </c>
      <c r="BJ351" s="106" t="s">
        <v>241</v>
      </c>
      <c r="BK351" s="1" t="s">
        <v>2233</v>
      </c>
      <c r="BL351" s="102">
        <v>98</v>
      </c>
      <c r="BM351" s="1" t="s">
        <v>208</v>
      </c>
      <c r="BN351" s="1" t="s">
        <v>208</v>
      </c>
      <c r="BO351" s="1" t="s">
        <v>2233</v>
      </c>
      <c r="BP351" s="102">
        <v>98</v>
      </c>
      <c r="BQ351" s="1" t="s">
        <v>208</v>
      </c>
      <c r="BR351" s="1" t="s">
        <v>227</v>
      </c>
      <c r="BS351" s="106" t="s">
        <v>232</v>
      </c>
    </row>
    <row x14ac:dyDescent="0.25" r="352" customHeight="1" ht="17.25">
      <c r="A352" s="102">
        <v>351</v>
      </c>
      <c r="B352" s="1" t="s">
        <v>2234</v>
      </c>
      <c r="C352" s="102">
        <v>1</v>
      </c>
      <c r="D352" s="61" t="s">
        <v>2235</v>
      </c>
      <c r="E352" s="1" t="s">
        <v>77</v>
      </c>
      <c r="F352" s="1" t="s">
        <v>22</v>
      </c>
      <c r="G352" s="1" t="s">
        <v>40</v>
      </c>
      <c r="H352" s="1" t="s">
        <v>2236</v>
      </c>
      <c r="I352" s="102">
        <v>1</v>
      </c>
      <c r="J352" s="1" t="s">
        <v>158</v>
      </c>
      <c r="K352" s="1" t="s">
        <v>22</v>
      </c>
      <c r="L352" s="103">
        <v>26887</v>
      </c>
      <c r="M352" s="104">
        <v>43</v>
      </c>
      <c r="N352" s="1" t="s">
        <v>176</v>
      </c>
      <c r="O352" s="1" t="s">
        <v>182</v>
      </c>
      <c r="P352" s="1" t="s">
        <v>365</v>
      </c>
      <c r="Q352" s="1" t="s">
        <v>2237</v>
      </c>
      <c r="R352" s="62">
        <v>0</v>
      </c>
      <c r="S352" s="102">
        <v>0</v>
      </c>
      <c r="T352" s="54" t="s">
        <v>2238</v>
      </c>
      <c r="U352" s="105">
        <v>72.3</v>
      </c>
      <c r="V352" s="62">
        <v>0</v>
      </c>
      <c r="W352" s="102">
        <v>0</v>
      </c>
      <c r="X352" s="62">
        <v>0</v>
      </c>
      <c r="Y352" s="102">
        <v>0</v>
      </c>
      <c r="Z352" s="62">
        <v>0</v>
      </c>
      <c r="AA352" s="102">
        <v>0</v>
      </c>
      <c r="AB352" s="62">
        <v>0</v>
      </c>
      <c r="AC352" s="106" t="s">
        <v>206</v>
      </c>
      <c r="AD352" s="106" t="s">
        <v>206</v>
      </c>
      <c r="AE352" s="106" t="s">
        <v>206</v>
      </c>
      <c r="AF352" s="106" t="s">
        <v>206</v>
      </c>
      <c r="AG352" s="106" t="s">
        <v>206</v>
      </c>
      <c r="AH352" s="106" t="s">
        <v>206</v>
      </c>
      <c r="AI352" s="1" t="s">
        <v>357</v>
      </c>
      <c r="AJ352" s="1" t="s">
        <v>2239</v>
      </c>
      <c r="AK352" s="1" t="s">
        <v>384</v>
      </c>
      <c r="AL352" s="1" t="s">
        <v>197</v>
      </c>
      <c r="AM352" s="106" t="s">
        <v>27</v>
      </c>
      <c r="AN352" s="1" t="s">
        <v>357</v>
      </c>
      <c r="AO352" s="1" t="s">
        <v>2239</v>
      </c>
      <c r="AP352" s="1" t="s">
        <v>359</v>
      </c>
      <c r="AQ352" s="1" t="s">
        <v>375</v>
      </c>
      <c r="AR352" s="1" t="s">
        <v>207</v>
      </c>
      <c r="AS352" s="106" t="s">
        <v>35</v>
      </c>
      <c r="AT352" s="1" t="s">
        <v>206</v>
      </c>
      <c r="AU352" s="106" t="s">
        <v>206</v>
      </c>
      <c r="AV352" s="106" t="s">
        <v>206</v>
      </c>
      <c r="AW352" s="106" t="s">
        <v>35</v>
      </c>
      <c r="AX352" s="106" t="s">
        <v>206</v>
      </c>
      <c r="AY352" s="106" t="s">
        <v>206</v>
      </c>
      <c r="AZ352" s="1" t="s">
        <v>206</v>
      </c>
      <c r="BA352" s="106" t="s">
        <v>206</v>
      </c>
      <c r="BB352" s="106" t="s">
        <v>206</v>
      </c>
      <c r="BC352" s="106" t="s">
        <v>206</v>
      </c>
      <c r="BD352" s="106" t="s">
        <v>206</v>
      </c>
      <c r="BE352" s="106" t="s">
        <v>206</v>
      </c>
      <c r="BF352" s="107">
        <f>IF(AZ352="Não","Sim","Não")</f>
      </c>
      <c r="BG352" s="107">
        <f>IF(AZ352="NA","Sim","Não")</f>
      </c>
      <c r="BH352" s="106" t="s">
        <v>206</v>
      </c>
      <c r="BI352" s="1" t="s">
        <v>238</v>
      </c>
      <c r="BJ352" s="106" t="s">
        <v>241</v>
      </c>
      <c r="BK352" s="1" t="s">
        <v>2233</v>
      </c>
      <c r="BL352" s="102">
        <v>98</v>
      </c>
      <c r="BM352" s="1" t="s">
        <v>208</v>
      </c>
      <c r="BN352" s="1" t="s">
        <v>2240</v>
      </c>
      <c r="BO352" s="1" t="s">
        <v>2241</v>
      </c>
      <c r="BP352" s="105">
        <v>110.83333333333333</v>
      </c>
      <c r="BQ352" s="1" t="s">
        <v>208</v>
      </c>
      <c r="BR352" s="1" t="s">
        <v>227</v>
      </c>
      <c r="BS352" s="106" t="s">
        <v>232</v>
      </c>
    </row>
    <row x14ac:dyDescent="0.25" r="353" customHeight="1" ht="17.25">
      <c r="A353" s="102">
        <v>352</v>
      </c>
      <c r="B353" s="1" t="s">
        <v>2242</v>
      </c>
      <c r="C353" s="102">
        <v>1</v>
      </c>
      <c r="D353" s="61" t="s">
        <v>1006</v>
      </c>
      <c r="E353" s="1" t="s">
        <v>150</v>
      </c>
      <c r="F353" s="1" t="s">
        <v>170</v>
      </c>
      <c r="G353" s="1" t="s">
        <v>52</v>
      </c>
      <c r="H353" s="1" t="s">
        <v>2243</v>
      </c>
      <c r="I353" s="102">
        <v>1</v>
      </c>
      <c r="J353" s="1" t="s">
        <v>158</v>
      </c>
      <c r="K353" s="1" t="s">
        <v>22</v>
      </c>
      <c r="L353" s="103">
        <v>32372</v>
      </c>
      <c r="M353" s="104">
        <v>29</v>
      </c>
      <c r="N353" s="1" t="s">
        <v>176</v>
      </c>
      <c r="O353" s="1" t="s">
        <v>182</v>
      </c>
      <c r="P353" s="1" t="s">
        <v>517</v>
      </c>
      <c r="Q353" s="1" t="s">
        <v>2244</v>
      </c>
      <c r="R353" s="54" t="s">
        <v>2245</v>
      </c>
      <c r="S353" s="105">
        <v>116.1</v>
      </c>
      <c r="T353" s="54" t="s">
        <v>2246</v>
      </c>
      <c r="U353" s="105">
        <v>7.7</v>
      </c>
      <c r="V353" s="54" t="s">
        <v>2247</v>
      </c>
      <c r="W353" s="105">
        <v>12.6</v>
      </c>
      <c r="X353" s="62">
        <v>0</v>
      </c>
      <c r="Y353" s="102">
        <v>0</v>
      </c>
      <c r="Z353" s="62">
        <v>0</v>
      </c>
      <c r="AA353" s="102">
        <v>0</v>
      </c>
      <c r="AB353" s="62">
        <v>0</v>
      </c>
      <c r="AC353" s="106" t="s">
        <v>206</v>
      </c>
      <c r="AD353" s="106" t="s">
        <v>206</v>
      </c>
      <c r="AE353" s="106" t="s">
        <v>206</v>
      </c>
      <c r="AF353" s="106" t="s">
        <v>206</v>
      </c>
      <c r="AG353" s="106" t="s">
        <v>206</v>
      </c>
      <c r="AH353" s="106" t="s">
        <v>206</v>
      </c>
      <c r="AI353" s="1" t="s">
        <v>357</v>
      </c>
      <c r="AJ353" s="1" t="s">
        <v>372</v>
      </c>
      <c r="AK353" s="1" t="s">
        <v>422</v>
      </c>
      <c r="AL353" s="1" t="s">
        <v>198</v>
      </c>
      <c r="AM353" s="106" t="s">
        <v>27</v>
      </c>
      <c r="AN353" s="1" t="s">
        <v>357</v>
      </c>
      <c r="AO353" s="1" t="s">
        <v>206</v>
      </c>
      <c r="AP353" s="1" t="s">
        <v>847</v>
      </c>
      <c r="AQ353" s="1" t="s">
        <v>386</v>
      </c>
      <c r="AR353" s="1" t="s">
        <v>207</v>
      </c>
      <c r="AS353" s="106" t="s">
        <v>35</v>
      </c>
      <c r="AT353" s="1" t="s">
        <v>206</v>
      </c>
      <c r="AU353" s="106" t="s">
        <v>206</v>
      </c>
      <c r="AV353" s="106" t="s">
        <v>206</v>
      </c>
      <c r="AW353" s="106" t="s">
        <v>35</v>
      </c>
      <c r="AX353" s="106" t="s">
        <v>206</v>
      </c>
      <c r="AY353" s="106" t="s">
        <v>206</v>
      </c>
      <c r="AZ353" s="1" t="s">
        <v>30</v>
      </c>
      <c r="BA353" s="106" t="s">
        <v>35</v>
      </c>
      <c r="BB353" s="106" t="s">
        <v>206</v>
      </c>
      <c r="BC353" s="106" t="s">
        <v>206</v>
      </c>
      <c r="BD353" s="106" t="s">
        <v>206</v>
      </c>
      <c r="BE353" s="106" t="s">
        <v>206</v>
      </c>
      <c r="BF353" s="107">
        <f>IF(AZ353="Não","Sim","Não")</f>
      </c>
      <c r="BG353" s="107">
        <f>IF(AZ353="NA","Sim","Não")</f>
      </c>
      <c r="BH353" s="106" t="s">
        <v>35</v>
      </c>
      <c r="BI353" s="1" t="s">
        <v>238</v>
      </c>
      <c r="BJ353" s="106" t="s">
        <v>241</v>
      </c>
      <c r="BK353" s="1" t="s">
        <v>2233</v>
      </c>
      <c r="BL353" s="102">
        <v>98</v>
      </c>
      <c r="BM353" s="1" t="s">
        <v>208</v>
      </c>
      <c r="BN353" s="1" t="s">
        <v>208</v>
      </c>
      <c r="BO353" s="1" t="s">
        <v>2233</v>
      </c>
      <c r="BP353" s="102">
        <v>98</v>
      </c>
      <c r="BQ353" s="1" t="s">
        <v>208</v>
      </c>
      <c r="BR353" s="1" t="s">
        <v>227</v>
      </c>
      <c r="BS353" s="106" t="s">
        <v>232</v>
      </c>
    </row>
    <row x14ac:dyDescent="0.25" r="354" customHeight="1" ht="17.25">
      <c r="A354" s="102">
        <v>353</v>
      </c>
      <c r="B354" s="1" t="s">
        <v>2248</v>
      </c>
      <c r="C354" s="102">
        <v>1</v>
      </c>
      <c r="D354" s="61" t="s">
        <v>2249</v>
      </c>
      <c r="E354" s="1" t="s">
        <v>120</v>
      </c>
      <c r="F354" s="1" t="s">
        <v>170</v>
      </c>
      <c r="G354" s="1" t="s">
        <v>52</v>
      </c>
      <c r="H354" s="1" t="s">
        <v>2250</v>
      </c>
      <c r="I354" s="102">
        <v>1</v>
      </c>
      <c r="J354" s="1" t="s">
        <v>158</v>
      </c>
      <c r="K354" s="1" t="s">
        <v>22</v>
      </c>
      <c r="L354" s="103">
        <v>32904</v>
      </c>
      <c r="M354" s="104">
        <v>27</v>
      </c>
      <c r="N354" s="1" t="s">
        <v>175</v>
      </c>
      <c r="O354" s="1" t="s">
        <v>24</v>
      </c>
      <c r="P354" s="1" t="s">
        <v>354</v>
      </c>
      <c r="Q354" s="1" t="s">
        <v>2251</v>
      </c>
      <c r="R354" s="54" t="s">
        <v>2252</v>
      </c>
      <c r="S354" s="105">
        <v>864.3</v>
      </c>
      <c r="T354" s="62">
        <v>0</v>
      </c>
      <c r="U354" s="102">
        <v>0</v>
      </c>
      <c r="V354" s="62">
        <v>0</v>
      </c>
      <c r="W354" s="102">
        <v>0</v>
      </c>
      <c r="X354" s="62">
        <v>0</v>
      </c>
      <c r="Y354" s="102">
        <v>0</v>
      </c>
      <c r="Z354" s="62">
        <v>0</v>
      </c>
      <c r="AA354" s="102">
        <v>0</v>
      </c>
      <c r="AB354" s="62">
        <v>0</v>
      </c>
      <c r="AC354" s="106" t="s">
        <v>206</v>
      </c>
      <c r="AD354" s="106" t="s">
        <v>206</v>
      </c>
      <c r="AE354" s="106" t="s">
        <v>206</v>
      </c>
      <c r="AF354" s="106" t="s">
        <v>206</v>
      </c>
      <c r="AG354" s="106" t="s">
        <v>206</v>
      </c>
      <c r="AH354" s="106" t="s">
        <v>206</v>
      </c>
      <c r="AI354" s="1" t="s">
        <v>357</v>
      </c>
      <c r="AJ354" s="1" t="s">
        <v>206</v>
      </c>
      <c r="AK354" s="1" t="s">
        <v>2253</v>
      </c>
      <c r="AL354" s="1" t="s">
        <v>197</v>
      </c>
      <c r="AM354" s="106" t="s">
        <v>27</v>
      </c>
      <c r="AN354" s="1" t="s">
        <v>357</v>
      </c>
      <c r="AO354" s="1" t="s">
        <v>208</v>
      </c>
      <c r="AP354" s="1" t="s">
        <v>406</v>
      </c>
      <c r="AQ354" s="1" t="s">
        <v>654</v>
      </c>
      <c r="AR354" s="1" t="s">
        <v>207</v>
      </c>
      <c r="AS354" s="106" t="s">
        <v>35</v>
      </c>
      <c r="AT354" s="1" t="s">
        <v>206</v>
      </c>
      <c r="AU354" s="106" t="s">
        <v>206</v>
      </c>
      <c r="AV354" s="106" t="s">
        <v>206</v>
      </c>
      <c r="AW354" s="106" t="s">
        <v>35</v>
      </c>
      <c r="AX354" s="106" t="s">
        <v>206</v>
      </c>
      <c r="AY354" s="106" t="s">
        <v>206</v>
      </c>
      <c r="AZ354" s="1" t="s">
        <v>206</v>
      </c>
      <c r="BA354" s="106" t="s">
        <v>206</v>
      </c>
      <c r="BB354" s="106" t="s">
        <v>206</v>
      </c>
      <c r="BC354" s="106" t="s">
        <v>206</v>
      </c>
      <c r="BD354" s="106" t="s">
        <v>206</v>
      </c>
      <c r="BE354" s="106" t="s">
        <v>206</v>
      </c>
      <c r="BF354" s="107">
        <f>IF(AZ354="Não","Sim","Não")</f>
      </c>
      <c r="BG354" s="107">
        <f>IF(AZ354="NA","Sim","Não")</f>
      </c>
      <c r="BH354" s="106" t="s">
        <v>206</v>
      </c>
      <c r="BI354" s="1" t="s">
        <v>238</v>
      </c>
      <c r="BJ354" s="106" t="s">
        <v>241</v>
      </c>
      <c r="BK354" s="1" t="s">
        <v>2254</v>
      </c>
      <c r="BL354" s="102">
        <v>100</v>
      </c>
      <c r="BM354" s="1" t="s">
        <v>208</v>
      </c>
      <c r="BN354" s="1" t="s">
        <v>208</v>
      </c>
      <c r="BO354" s="1" t="s">
        <v>2254</v>
      </c>
      <c r="BP354" s="102">
        <v>100</v>
      </c>
      <c r="BQ354" s="1" t="s">
        <v>208</v>
      </c>
      <c r="BR354" s="1" t="s">
        <v>227</v>
      </c>
      <c r="BS354" s="106" t="s">
        <v>232</v>
      </c>
    </row>
    <row x14ac:dyDescent="0.25" r="355" customHeight="1" ht="17.25">
      <c r="A355" s="102">
        <v>354</v>
      </c>
      <c r="B355" s="1" t="s">
        <v>2255</v>
      </c>
      <c r="C355" s="102">
        <v>1</v>
      </c>
      <c r="D355" s="61" t="s">
        <v>1422</v>
      </c>
      <c r="E355" s="1" t="s">
        <v>120</v>
      </c>
      <c r="F355" s="1" t="s">
        <v>170</v>
      </c>
      <c r="G355" s="1" t="s">
        <v>52</v>
      </c>
      <c r="H355" s="1" t="s">
        <v>2256</v>
      </c>
      <c r="I355" s="102">
        <v>1</v>
      </c>
      <c r="J355" s="1" t="s">
        <v>158</v>
      </c>
      <c r="K355" s="1" t="s">
        <v>22</v>
      </c>
      <c r="L355" s="103">
        <v>29831</v>
      </c>
      <c r="M355" s="104">
        <v>36</v>
      </c>
      <c r="N355" s="1" t="s">
        <v>175</v>
      </c>
      <c r="O355" s="1" t="s">
        <v>24</v>
      </c>
      <c r="P355" s="1" t="s">
        <v>517</v>
      </c>
      <c r="Q355" s="1" t="s">
        <v>2257</v>
      </c>
      <c r="R355" s="62">
        <v>0</v>
      </c>
      <c r="S355" s="102">
        <v>0</v>
      </c>
      <c r="T355" s="54" t="s">
        <v>2258</v>
      </c>
      <c r="U355" s="102">
        <v>21500</v>
      </c>
      <c r="V355" s="62">
        <v>0</v>
      </c>
      <c r="W355" s="102">
        <v>0</v>
      </c>
      <c r="X355" s="62">
        <v>0</v>
      </c>
      <c r="Y355" s="102">
        <v>0</v>
      </c>
      <c r="Z355" s="62">
        <v>0</v>
      </c>
      <c r="AA355" s="102">
        <v>0</v>
      </c>
      <c r="AB355" s="62">
        <v>0</v>
      </c>
      <c r="AC355" s="106" t="s">
        <v>206</v>
      </c>
      <c r="AD355" s="106" t="s">
        <v>206</v>
      </c>
      <c r="AE355" s="106" t="s">
        <v>206</v>
      </c>
      <c r="AF355" s="106" t="s">
        <v>206</v>
      </c>
      <c r="AG355" s="106" t="s">
        <v>206</v>
      </c>
      <c r="AH355" s="106" t="s">
        <v>206</v>
      </c>
      <c r="AI355" s="1" t="s">
        <v>357</v>
      </c>
      <c r="AJ355" s="1" t="s">
        <v>206</v>
      </c>
      <c r="AK355" s="1" t="s">
        <v>1206</v>
      </c>
      <c r="AL355" s="1" t="s">
        <v>197</v>
      </c>
      <c r="AM355" s="106" t="s">
        <v>27</v>
      </c>
      <c r="AN355" s="1" t="s">
        <v>357</v>
      </c>
      <c r="AO355" s="1" t="s">
        <v>208</v>
      </c>
      <c r="AP355" s="1" t="s">
        <v>385</v>
      </c>
      <c r="AQ355" s="1" t="s">
        <v>2259</v>
      </c>
      <c r="AR355" s="1" t="s">
        <v>206</v>
      </c>
      <c r="AS355" s="106" t="s">
        <v>206</v>
      </c>
      <c r="AT355" s="1" t="s">
        <v>206</v>
      </c>
      <c r="AU355" s="106" t="s">
        <v>206</v>
      </c>
      <c r="AV355" s="106" t="s">
        <v>206</v>
      </c>
      <c r="AW355" s="106" t="s">
        <v>35</v>
      </c>
      <c r="AX355" s="106" t="s">
        <v>206</v>
      </c>
      <c r="AY355" s="106" t="s">
        <v>206</v>
      </c>
      <c r="AZ355" s="1" t="s">
        <v>206</v>
      </c>
      <c r="BA355" s="106" t="s">
        <v>206</v>
      </c>
      <c r="BB355" s="106" t="s">
        <v>206</v>
      </c>
      <c r="BC355" s="106" t="s">
        <v>206</v>
      </c>
      <c r="BD355" s="106" t="s">
        <v>206</v>
      </c>
      <c r="BE355" s="106" t="s">
        <v>206</v>
      </c>
      <c r="BF355" s="107">
        <f>IF(AZ355="Não","Sim","Não")</f>
      </c>
      <c r="BG355" s="107">
        <f>IF(AZ355="NA","Sim","Não")</f>
      </c>
      <c r="BH355" s="106" t="s">
        <v>206</v>
      </c>
      <c r="BI355" s="1" t="s">
        <v>206</v>
      </c>
      <c r="BJ355" s="106" t="s">
        <v>206</v>
      </c>
      <c r="BK355" s="1" t="s">
        <v>2259</v>
      </c>
      <c r="BL355" s="102">
        <v>102</v>
      </c>
      <c r="BM355" s="1" t="s">
        <v>208</v>
      </c>
      <c r="BN355" s="1" t="s">
        <v>208</v>
      </c>
      <c r="BO355" s="1" t="s">
        <v>2259</v>
      </c>
      <c r="BP355" s="102">
        <v>102</v>
      </c>
      <c r="BQ355" s="1" t="s">
        <v>208</v>
      </c>
      <c r="BR355" s="1" t="s">
        <v>227</v>
      </c>
      <c r="BS355" s="106" t="s">
        <v>232</v>
      </c>
    </row>
    <row x14ac:dyDescent="0.25" r="356" customHeight="1" ht="17.25">
      <c r="A356" s="102">
        <v>355</v>
      </c>
      <c r="B356" s="1" t="s">
        <v>1736</v>
      </c>
      <c r="C356" s="102">
        <v>1</v>
      </c>
      <c r="D356" s="61" t="s">
        <v>1737</v>
      </c>
      <c r="E356" s="1" t="s">
        <v>90</v>
      </c>
      <c r="F356" s="1" t="s">
        <v>170</v>
      </c>
      <c r="G356" s="1" t="s">
        <v>41</v>
      </c>
      <c r="H356" s="1" t="s">
        <v>2260</v>
      </c>
      <c r="I356" s="102">
        <v>1</v>
      </c>
      <c r="J356" s="1" t="s">
        <v>158</v>
      </c>
      <c r="K356" s="1" t="s">
        <v>22</v>
      </c>
      <c r="L356" s="103">
        <v>27523</v>
      </c>
      <c r="M356" s="104">
        <v>42</v>
      </c>
      <c r="N356" s="1" t="s">
        <v>176</v>
      </c>
      <c r="O356" s="1" t="s">
        <v>182</v>
      </c>
      <c r="P356" s="1" t="s">
        <v>354</v>
      </c>
      <c r="Q356" s="1" t="s">
        <v>1739</v>
      </c>
      <c r="R356" s="54" t="s">
        <v>1740</v>
      </c>
      <c r="S356" s="102">
        <v>316</v>
      </c>
      <c r="T356" s="54" t="s">
        <v>1741</v>
      </c>
      <c r="U356" s="105">
        <v>463.5</v>
      </c>
      <c r="V356" s="62">
        <v>0</v>
      </c>
      <c r="W356" s="102">
        <v>0</v>
      </c>
      <c r="X356" s="62">
        <v>0</v>
      </c>
      <c r="Y356" s="102">
        <v>0</v>
      </c>
      <c r="Z356" s="62">
        <v>0</v>
      </c>
      <c r="AA356" s="102">
        <v>0</v>
      </c>
      <c r="AB356" s="62">
        <v>0</v>
      </c>
      <c r="AC356" s="106" t="s">
        <v>206</v>
      </c>
      <c r="AD356" s="106" t="s">
        <v>206</v>
      </c>
      <c r="AE356" s="106" t="s">
        <v>206</v>
      </c>
      <c r="AF356" s="106" t="s">
        <v>206</v>
      </c>
      <c r="AG356" s="106" t="s">
        <v>206</v>
      </c>
      <c r="AH356" s="106" t="s">
        <v>206</v>
      </c>
      <c r="AI356" s="1" t="s">
        <v>357</v>
      </c>
      <c r="AJ356" s="1" t="s">
        <v>206</v>
      </c>
      <c r="AK356" s="1" t="s">
        <v>1705</v>
      </c>
      <c r="AL356" s="1" t="s">
        <v>197</v>
      </c>
      <c r="AM356" s="106" t="s">
        <v>27</v>
      </c>
      <c r="AN356" s="1" t="s">
        <v>357</v>
      </c>
      <c r="AO356" s="1" t="s">
        <v>208</v>
      </c>
      <c r="AP356" s="1" t="s">
        <v>603</v>
      </c>
      <c r="AQ356" s="1" t="s">
        <v>492</v>
      </c>
      <c r="AR356" s="1" t="s">
        <v>207</v>
      </c>
      <c r="AS356" s="106" t="s">
        <v>35</v>
      </c>
      <c r="AT356" s="1" t="s">
        <v>206</v>
      </c>
      <c r="AU356" s="106" t="s">
        <v>206</v>
      </c>
      <c r="AV356" s="106" t="s">
        <v>206</v>
      </c>
      <c r="AW356" s="106" t="s">
        <v>35</v>
      </c>
      <c r="AX356" s="106" t="s">
        <v>206</v>
      </c>
      <c r="AY356" s="106" t="s">
        <v>206</v>
      </c>
      <c r="AZ356" s="1" t="s">
        <v>30</v>
      </c>
      <c r="BA356" s="106" t="s">
        <v>35</v>
      </c>
      <c r="BB356" s="106" t="s">
        <v>206</v>
      </c>
      <c r="BC356" s="106" t="s">
        <v>206</v>
      </c>
      <c r="BD356" s="106" t="s">
        <v>206</v>
      </c>
      <c r="BE356" s="106" t="s">
        <v>206</v>
      </c>
      <c r="BF356" s="107">
        <f>IF(AZ356="Não","Sim","Não")</f>
      </c>
      <c r="BG356" s="107">
        <f>IF(AZ356="NA","Sim","Não")</f>
      </c>
      <c r="BH356" s="106" t="s">
        <v>35</v>
      </c>
      <c r="BI356" s="1" t="s">
        <v>206</v>
      </c>
      <c r="BJ356" s="106" t="s">
        <v>206</v>
      </c>
      <c r="BK356" s="1" t="s">
        <v>2261</v>
      </c>
      <c r="BL356" s="105">
        <v>108.86666666666666</v>
      </c>
      <c r="BM356" s="1" t="s">
        <v>208</v>
      </c>
      <c r="BN356" s="1" t="s">
        <v>208</v>
      </c>
      <c r="BO356" s="1" t="s">
        <v>2261</v>
      </c>
      <c r="BP356" s="105">
        <v>108.86666666666666</v>
      </c>
      <c r="BQ356" s="1" t="s">
        <v>208</v>
      </c>
      <c r="BR356" s="1" t="s">
        <v>227</v>
      </c>
      <c r="BS356" s="106" t="s">
        <v>232</v>
      </c>
    </row>
    <row x14ac:dyDescent="0.25" r="357" customHeight="1" ht="17.25">
      <c r="A357" s="102">
        <v>356</v>
      </c>
      <c r="B357" s="1" t="s">
        <v>2262</v>
      </c>
      <c r="C357" s="102">
        <v>1</v>
      </c>
      <c r="D357" s="61" t="s">
        <v>1021</v>
      </c>
      <c r="E357" s="1" t="s">
        <v>137</v>
      </c>
      <c r="F357" s="1" t="s">
        <v>170</v>
      </c>
      <c r="G357" s="1" t="s">
        <v>58</v>
      </c>
      <c r="H357" s="1" t="s">
        <v>2263</v>
      </c>
      <c r="I357" s="102">
        <v>1</v>
      </c>
      <c r="J357" s="1" t="s">
        <v>159</v>
      </c>
      <c r="K357" s="1" t="s">
        <v>22</v>
      </c>
      <c r="L357" s="103">
        <v>33554</v>
      </c>
      <c r="M357" s="104">
        <v>25</v>
      </c>
      <c r="N357" s="1" t="s">
        <v>175</v>
      </c>
      <c r="O357" s="1" t="s">
        <v>24</v>
      </c>
      <c r="P357" s="1" t="s">
        <v>354</v>
      </c>
      <c r="Q357" s="1" t="s">
        <v>2264</v>
      </c>
      <c r="R357" s="54" t="s">
        <v>2265</v>
      </c>
      <c r="S357" s="102">
        <v>14402</v>
      </c>
      <c r="T357" s="54" t="s">
        <v>2266</v>
      </c>
      <c r="U357" s="105">
        <v>300.5</v>
      </c>
      <c r="V357" s="62">
        <v>0</v>
      </c>
      <c r="W357" s="102">
        <v>0</v>
      </c>
      <c r="X357" s="62">
        <v>0</v>
      </c>
      <c r="Y357" s="102">
        <v>0</v>
      </c>
      <c r="Z357" s="62">
        <v>0</v>
      </c>
      <c r="AA357" s="102">
        <v>0</v>
      </c>
      <c r="AB357" s="62">
        <v>0</v>
      </c>
      <c r="AC357" s="106" t="s">
        <v>206</v>
      </c>
      <c r="AD357" s="106" t="s">
        <v>206</v>
      </c>
      <c r="AE357" s="106" t="s">
        <v>206</v>
      </c>
      <c r="AF357" s="106" t="s">
        <v>206</v>
      </c>
      <c r="AG357" s="106" t="s">
        <v>206</v>
      </c>
      <c r="AH357" s="106" t="s">
        <v>206</v>
      </c>
      <c r="AI357" s="1" t="s">
        <v>1220</v>
      </c>
      <c r="AJ357" s="1" t="s">
        <v>1221</v>
      </c>
      <c r="AK357" s="1" t="s">
        <v>373</v>
      </c>
      <c r="AL357" s="1" t="s">
        <v>197</v>
      </c>
      <c r="AM357" s="106" t="s">
        <v>27</v>
      </c>
      <c r="AN357" s="1" t="s">
        <v>1220</v>
      </c>
      <c r="AO357" s="1" t="s">
        <v>1221</v>
      </c>
      <c r="AP357" s="1" t="s">
        <v>406</v>
      </c>
      <c r="AQ357" s="1" t="s">
        <v>375</v>
      </c>
      <c r="AR357" s="1" t="s">
        <v>207</v>
      </c>
      <c r="AS357" s="106" t="s">
        <v>35</v>
      </c>
      <c r="AT357" s="1" t="s">
        <v>206</v>
      </c>
      <c r="AU357" s="106" t="s">
        <v>206</v>
      </c>
      <c r="AV357" s="106" t="s">
        <v>206</v>
      </c>
      <c r="AW357" s="106" t="s">
        <v>35</v>
      </c>
      <c r="AX357" s="106" t="s">
        <v>206</v>
      </c>
      <c r="AY357" s="106" t="s">
        <v>206</v>
      </c>
      <c r="AZ357" s="1" t="s">
        <v>206</v>
      </c>
      <c r="BA357" s="106" t="s">
        <v>206</v>
      </c>
      <c r="BB357" s="106" t="s">
        <v>206</v>
      </c>
      <c r="BC357" s="106" t="s">
        <v>206</v>
      </c>
      <c r="BD357" s="106" t="s">
        <v>206</v>
      </c>
      <c r="BE357" s="106" t="s">
        <v>206</v>
      </c>
      <c r="BF357" s="107">
        <f>IF(AZ357="Não","Sim","Não")</f>
      </c>
      <c r="BG357" s="107">
        <f>IF(AZ357="NA","Sim","Não")</f>
      </c>
      <c r="BH357" s="106" t="s">
        <v>206</v>
      </c>
      <c r="BI357" s="1" t="s">
        <v>238</v>
      </c>
      <c r="BJ357" s="106" t="s">
        <v>241</v>
      </c>
      <c r="BK357" s="1" t="s">
        <v>1822</v>
      </c>
      <c r="BL357" s="102">
        <v>112</v>
      </c>
      <c r="BM357" s="1" t="s">
        <v>1276</v>
      </c>
      <c r="BN357" s="1" t="s">
        <v>677</v>
      </c>
      <c r="BO357" s="1" t="s">
        <v>2267</v>
      </c>
      <c r="BP357" s="102">
        <v>192</v>
      </c>
      <c r="BQ357" s="1" t="s">
        <v>208</v>
      </c>
      <c r="BR357" s="1" t="s">
        <v>227</v>
      </c>
      <c r="BS357" s="106" t="s">
        <v>232</v>
      </c>
    </row>
    <row x14ac:dyDescent="0.25" r="358" customHeight="1" ht="17.25">
      <c r="A358" s="102">
        <v>357</v>
      </c>
      <c r="B358" s="1" t="s">
        <v>2268</v>
      </c>
      <c r="C358" s="102">
        <v>1</v>
      </c>
      <c r="D358" s="61" t="s">
        <v>1556</v>
      </c>
      <c r="E358" s="1" t="s">
        <v>83</v>
      </c>
      <c r="F358" s="1" t="s">
        <v>22</v>
      </c>
      <c r="G358" s="1" t="s">
        <v>68</v>
      </c>
      <c r="H358" s="1" t="s">
        <v>2269</v>
      </c>
      <c r="I358" s="102">
        <v>1</v>
      </c>
      <c r="J358" s="1" t="s">
        <v>159</v>
      </c>
      <c r="K358" s="1" t="s">
        <v>22</v>
      </c>
      <c r="L358" s="103">
        <v>25831</v>
      </c>
      <c r="M358" s="104">
        <v>46</v>
      </c>
      <c r="N358" s="1" t="s">
        <v>176</v>
      </c>
      <c r="O358" s="1" t="s">
        <v>182</v>
      </c>
      <c r="P358" s="1" t="s">
        <v>365</v>
      </c>
      <c r="Q358" s="1" t="s">
        <v>2270</v>
      </c>
      <c r="R358" s="54" t="s">
        <v>2271</v>
      </c>
      <c r="S358" s="105">
        <v>8969.6</v>
      </c>
      <c r="T358" s="54" t="s">
        <v>2272</v>
      </c>
      <c r="U358" s="105">
        <v>1372.4</v>
      </c>
      <c r="V358" s="62">
        <v>0</v>
      </c>
      <c r="W358" s="102">
        <v>0</v>
      </c>
      <c r="X358" s="62">
        <v>0</v>
      </c>
      <c r="Y358" s="102">
        <v>0</v>
      </c>
      <c r="Z358" s="62">
        <v>0</v>
      </c>
      <c r="AA358" s="102">
        <v>0</v>
      </c>
      <c r="AB358" s="62">
        <v>0</v>
      </c>
      <c r="AC358" s="106" t="s">
        <v>206</v>
      </c>
      <c r="AD358" s="106" t="s">
        <v>206</v>
      </c>
      <c r="AE358" s="106" t="s">
        <v>206</v>
      </c>
      <c r="AF358" s="106" t="s">
        <v>206</v>
      </c>
      <c r="AG358" s="106" t="s">
        <v>206</v>
      </c>
      <c r="AH358" s="106" t="s">
        <v>206</v>
      </c>
      <c r="AI358" s="1" t="s">
        <v>357</v>
      </c>
      <c r="AJ358" s="1" t="s">
        <v>526</v>
      </c>
      <c r="AK358" s="1" t="s">
        <v>2273</v>
      </c>
      <c r="AL358" s="1" t="s">
        <v>197</v>
      </c>
      <c r="AM358" s="106" t="s">
        <v>27</v>
      </c>
      <c r="AN358" s="1" t="s">
        <v>357</v>
      </c>
      <c r="AO358" s="1" t="s">
        <v>526</v>
      </c>
      <c r="AP358" s="1" t="s">
        <v>406</v>
      </c>
      <c r="AQ358" s="1" t="s">
        <v>2254</v>
      </c>
      <c r="AR358" s="1" t="s">
        <v>207</v>
      </c>
      <c r="AS358" s="106" t="s">
        <v>35</v>
      </c>
      <c r="AT358" s="1" t="s">
        <v>206</v>
      </c>
      <c r="AU358" s="106" t="s">
        <v>206</v>
      </c>
      <c r="AV358" s="106" t="s">
        <v>206</v>
      </c>
      <c r="AW358" s="106" t="s">
        <v>35</v>
      </c>
      <c r="AX358" s="106" t="s">
        <v>206</v>
      </c>
      <c r="AY358" s="106" t="s">
        <v>206</v>
      </c>
      <c r="AZ358" s="1" t="s">
        <v>206</v>
      </c>
      <c r="BA358" s="106" t="s">
        <v>206</v>
      </c>
      <c r="BB358" s="106" t="s">
        <v>206</v>
      </c>
      <c r="BC358" s="106" t="s">
        <v>206</v>
      </c>
      <c r="BD358" s="106" t="s">
        <v>206</v>
      </c>
      <c r="BE358" s="106" t="s">
        <v>206</v>
      </c>
      <c r="BF358" s="107">
        <f>IF(AZ358="Não","Sim","Não")</f>
      </c>
      <c r="BG358" s="107">
        <f>IF(AZ358="NA","Sim","Não")</f>
      </c>
      <c r="BH358" s="106" t="s">
        <v>206</v>
      </c>
      <c r="BI358" s="1" t="s">
        <v>206</v>
      </c>
      <c r="BJ358" s="106" t="s">
        <v>206</v>
      </c>
      <c r="BK358" s="1" t="s">
        <v>397</v>
      </c>
      <c r="BL358" s="105">
        <v>116.66666666666667</v>
      </c>
      <c r="BM358" s="1" t="s">
        <v>208</v>
      </c>
      <c r="BN358" s="1" t="s">
        <v>492</v>
      </c>
      <c r="BO358" s="1" t="s">
        <v>2274</v>
      </c>
      <c r="BP358" s="105">
        <v>186.66666666666666</v>
      </c>
      <c r="BQ358" s="1" t="s">
        <v>208</v>
      </c>
      <c r="BR358" s="1" t="s">
        <v>227</v>
      </c>
      <c r="BS358" s="106" t="s">
        <v>232</v>
      </c>
    </row>
    <row x14ac:dyDescent="0.25" r="359" customHeight="1" ht="17.25">
      <c r="A359" s="102">
        <v>358</v>
      </c>
      <c r="B359" s="1" t="s">
        <v>1984</v>
      </c>
      <c r="C359" s="102">
        <v>1</v>
      </c>
      <c r="D359" s="61" t="s">
        <v>1985</v>
      </c>
      <c r="E359" s="1" t="s">
        <v>140</v>
      </c>
      <c r="F359" s="1" t="s">
        <v>170</v>
      </c>
      <c r="G359" s="1" t="s">
        <v>51</v>
      </c>
      <c r="H359" s="1" t="s">
        <v>2275</v>
      </c>
      <c r="I359" s="102">
        <v>1</v>
      </c>
      <c r="J359" s="1" t="s">
        <v>158</v>
      </c>
      <c r="K359" s="1" t="s">
        <v>22</v>
      </c>
      <c r="L359" s="103">
        <v>30725</v>
      </c>
      <c r="M359" s="104">
        <v>33</v>
      </c>
      <c r="N359" s="1" t="s">
        <v>177</v>
      </c>
      <c r="O359" s="1" t="s">
        <v>24</v>
      </c>
      <c r="P359" s="1" t="s">
        <v>365</v>
      </c>
      <c r="Q359" s="1" t="s">
        <v>366</v>
      </c>
      <c r="R359" s="62">
        <v>0</v>
      </c>
      <c r="S359" s="102">
        <v>0</v>
      </c>
      <c r="T359" s="62">
        <v>0</v>
      </c>
      <c r="U359" s="102">
        <v>0</v>
      </c>
      <c r="V359" s="62">
        <v>0</v>
      </c>
      <c r="W359" s="102">
        <v>0</v>
      </c>
      <c r="X359" s="62">
        <v>0</v>
      </c>
      <c r="Y359" s="102">
        <v>0</v>
      </c>
      <c r="Z359" s="62">
        <v>0</v>
      </c>
      <c r="AA359" s="102">
        <v>0</v>
      </c>
      <c r="AB359" s="62">
        <v>0</v>
      </c>
      <c r="AC359" s="106" t="s">
        <v>206</v>
      </c>
      <c r="AD359" s="106" t="s">
        <v>206</v>
      </c>
      <c r="AE359" s="106" t="s">
        <v>206</v>
      </c>
      <c r="AF359" s="106" t="s">
        <v>206</v>
      </c>
      <c r="AG359" s="106" t="s">
        <v>206</v>
      </c>
      <c r="AH359" s="106" t="s">
        <v>206</v>
      </c>
      <c r="AI359" s="1" t="s">
        <v>371</v>
      </c>
      <c r="AJ359" s="1" t="s">
        <v>206</v>
      </c>
      <c r="AK359" s="1" t="s">
        <v>1206</v>
      </c>
      <c r="AL359" s="1" t="s">
        <v>199</v>
      </c>
      <c r="AM359" s="106" t="s">
        <v>203</v>
      </c>
      <c r="AN359" s="1" t="s">
        <v>208</v>
      </c>
      <c r="AO359" s="1" t="s">
        <v>208</v>
      </c>
      <c r="AP359" s="1" t="s">
        <v>208</v>
      </c>
      <c r="AQ359" s="1" t="s">
        <v>208</v>
      </c>
      <c r="AR359" s="1" t="s">
        <v>208</v>
      </c>
      <c r="AS359" s="106" t="s">
        <v>208</v>
      </c>
      <c r="AT359" s="1" t="s">
        <v>208</v>
      </c>
      <c r="AU359" s="106" t="s">
        <v>206</v>
      </c>
      <c r="AV359" s="106" t="s">
        <v>206</v>
      </c>
      <c r="AW359" s="106" t="s">
        <v>206</v>
      </c>
      <c r="AX359" s="106" t="s">
        <v>35</v>
      </c>
      <c r="AY359" s="106" t="s">
        <v>208</v>
      </c>
      <c r="AZ359" s="1" t="s">
        <v>208</v>
      </c>
      <c r="BA359" s="106" t="s">
        <v>206</v>
      </c>
      <c r="BB359" s="106" t="s">
        <v>206</v>
      </c>
      <c r="BC359" s="106" t="s">
        <v>206</v>
      </c>
      <c r="BD359" s="106" t="s">
        <v>206</v>
      </c>
      <c r="BE359" s="106" t="s">
        <v>206</v>
      </c>
      <c r="BF359" s="107">
        <f>IF(AZ359="Não","Sim","Não")</f>
      </c>
      <c r="BG359" s="107">
        <f>IF(AZ359="NA","Sim","Não")</f>
      </c>
      <c r="BH359" s="106" t="s">
        <v>208</v>
      </c>
      <c r="BI359" s="1" t="s">
        <v>208</v>
      </c>
      <c r="BJ359" s="106" t="s">
        <v>241</v>
      </c>
      <c r="BK359" s="1" t="s">
        <v>208</v>
      </c>
      <c r="BL359" s="102">
        <v>0</v>
      </c>
      <c r="BM359" s="1" t="s">
        <v>208</v>
      </c>
      <c r="BN359" s="1" t="s">
        <v>208</v>
      </c>
      <c r="BO359" s="1" t="s">
        <v>208</v>
      </c>
      <c r="BP359" s="102">
        <v>0</v>
      </c>
      <c r="BQ359" s="1" t="s">
        <v>208</v>
      </c>
      <c r="BR359" s="1" t="s">
        <v>208</v>
      </c>
      <c r="BS359" s="106" t="s">
        <v>208</v>
      </c>
    </row>
    <row x14ac:dyDescent="0.25" r="360" customHeight="1" ht="17.25">
      <c r="A360" s="102">
        <v>359</v>
      </c>
      <c r="B360" s="1" t="s">
        <v>1616</v>
      </c>
      <c r="C360" s="102">
        <v>1</v>
      </c>
      <c r="D360" s="61" t="s">
        <v>1617</v>
      </c>
      <c r="E360" s="1" t="s">
        <v>103</v>
      </c>
      <c r="F360" s="1" t="s">
        <v>22</v>
      </c>
      <c r="G360" s="1" t="s">
        <v>54</v>
      </c>
      <c r="H360" s="1" t="s">
        <v>2276</v>
      </c>
      <c r="I360" s="102">
        <v>1</v>
      </c>
      <c r="J360" s="1" t="s">
        <v>158</v>
      </c>
      <c r="K360" s="1" t="s">
        <v>22</v>
      </c>
      <c r="L360" s="103">
        <v>36023</v>
      </c>
      <c r="M360" s="104">
        <v>18</v>
      </c>
      <c r="N360" s="1" t="s">
        <v>175</v>
      </c>
      <c r="O360" s="1" t="s">
        <v>24</v>
      </c>
      <c r="P360" s="1" t="s">
        <v>354</v>
      </c>
      <c r="Q360" s="1" t="s">
        <v>366</v>
      </c>
      <c r="R360" s="62">
        <v>0</v>
      </c>
      <c r="S360" s="102">
        <v>0</v>
      </c>
      <c r="T360" s="62">
        <v>0</v>
      </c>
      <c r="U360" s="102">
        <v>0</v>
      </c>
      <c r="V360" s="62">
        <v>0</v>
      </c>
      <c r="W360" s="102">
        <v>0</v>
      </c>
      <c r="X360" s="62">
        <v>0</v>
      </c>
      <c r="Y360" s="102">
        <v>0</v>
      </c>
      <c r="Z360" s="62">
        <v>0</v>
      </c>
      <c r="AA360" s="102">
        <v>0</v>
      </c>
      <c r="AB360" s="62">
        <v>0</v>
      </c>
      <c r="AC360" s="106" t="s">
        <v>206</v>
      </c>
      <c r="AD360" s="106" t="s">
        <v>206</v>
      </c>
      <c r="AE360" s="106" t="s">
        <v>206</v>
      </c>
      <c r="AF360" s="106" t="s">
        <v>206</v>
      </c>
      <c r="AG360" s="106" t="s">
        <v>206</v>
      </c>
      <c r="AH360" s="106" t="s">
        <v>206</v>
      </c>
      <c r="AI360" s="1" t="s">
        <v>357</v>
      </c>
      <c r="AJ360" s="1" t="s">
        <v>206</v>
      </c>
      <c r="AK360" s="1" t="s">
        <v>555</v>
      </c>
      <c r="AL360" s="1" t="s">
        <v>199</v>
      </c>
      <c r="AM360" s="106" t="s">
        <v>203</v>
      </c>
      <c r="AN360" s="1" t="s">
        <v>208</v>
      </c>
      <c r="AO360" s="1" t="s">
        <v>208</v>
      </c>
      <c r="AP360" s="1" t="s">
        <v>208</v>
      </c>
      <c r="AQ360" s="1" t="s">
        <v>208</v>
      </c>
      <c r="AR360" s="1" t="s">
        <v>208</v>
      </c>
      <c r="AS360" s="106" t="s">
        <v>208</v>
      </c>
      <c r="AT360" s="1" t="s">
        <v>208</v>
      </c>
      <c r="AU360" s="106" t="s">
        <v>206</v>
      </c>
      <c r="AV360" s="106" t="s">
        <v>206</v>
      </c>
      <c r="AW360" s="106" t="s">
        <v>206</v>
      </c>
      <c r="AX360" s="106" t="s">
        <v>35</v>
      </c>
      <c r="AY360" s="106" t="s">
        <v>208</v>
      </c>
      <c r="AZ360" s="1" t="s">
        <v>208</v>
      </c>
      <c r="BA360" s="106" t="s">
        <v>206</v>
      </c>
      <c r="BB360" s="106" t="s">
        <v>206</v>
      </c>
      <c r="BC360" s="106" t="s">
        <v>206</v>
      </c>
      <c r="BD360" s="106" t="s">
        <v>206</v>
      </c>
      <c r="BE360" s="106" t="s">
        <v>206</v>
      </c>
      <c r="BF360" s="107">
        <f>IF(AZ360="Não","Sim","Não")</f>
      </c>
      <c r="BG360" s="107">
        <f>IF(AZ360="NA","Sim","Não")</f>
      </c>
      <c r="BH360" s="106" t="s">
        <v>208</v>
      </c>
      <c r="BI360" s="1" t="s">
        <v>208</v>
      </c>
      <c r="BJ360" s="106" t="s">
        <v>241</v>
      </c>
      <c r="BK360" s="1" t="s">
        <v>208</v>
      </c>
      <c r="BL360" s="102">
        <v>0</v>
      </c>
      <c r="BM360" s="1" t="s">
        <v>208</v>
      </c>
      <c r="BN360" s="1" t="s">
        <v>208</v>
      </c>
      <c r="BO360" s="1" t="s">
        <v>208</v>
      </c>
      <c r="BP360" s="102">
        <v>0</v>
      </c>
      <c r="BQ360" s="1" t="s">
        <v>208</v>
      </c>
      <c r="BR360" s="1" t="s">
        <v>208</v>
      </c>
      <c r="BS360" s="106" t="s">
        <v>208</v>
      </c>
    </row>
    <row x14ac:dyDescent="0.25" r="361" customHeight="1" ht="17.25">
      <c r="A361" s="102">
        <v>360</v>
      </c>
      <c r="B361" s="1" t="s">
        <v>1223</v>
      </c>
      <c r="C361" s="102">
        <v>0</v>
      </c>
      <c r="D361" s="61" t="s">
        <v>1224</v>
      </c>
      <c r="E361" s="1" t="s">
        <v>86</v>
      </c>
      <c r="F361" s="1" t="s">
        <v>22</v>
      </c>
      <c r="G361" s="1" t="s">
        <v>50</v>
      </c>
      <c r="H361" s="1" t="s">
        <v>2277</v>
      </c>
      <c r="I361" s="102">
        <v>1</v>
      </c>
      <c r="J361" s="1" t="s">
        <v>158</v>
      </c>
      <c r="K361" s="1" t="s">
        <v>170</v>
      </c>
      <c r="L361" s="103">
        <v>32002</v>
      </c>
      <c r="M361" s="104">
        <v>30</v>
      </c>
      <c r="N361" s="1" t="s">
        <v>176</v>
      </c>
      <c r="O361" s="1" t="s">
        <v>182</v>
      </c>
      <c r="P361" s="1" t="s">
        <v>365</v>
      </c>
      <c r="Q361" s="1" t="s">
        <v>2278</v>
      </c>
      <c r="R361" s="62">
        <v>0</v>
      </c>
      <c r="S361" s="102">
        <v>0</v>
      </c>
      <c r="T361" s="62">
        <v>0</v>
      </c>
      <c r="U361" s="102">
        <v>0</v>
      </c>
      <c r="V361" s="62">
        <v>0</v>
      </c>
      <c r="W361" s="102">
        <v>0</v>
      </c>
      <c r="X361" s="62">
        <v>0</v>
      </c>
      <c r="Y361" s="102">
        <v>0</v>
      </c>
      <c r="Z361" s="62">
        <v>0</v>
      </c>
      <c r="AA361" s="102">
        <v>0</v>
      </c>
      <c r="AB361" s="62">
        <v>0</v>
      </c>
      <c r="AC361" s="106" t="s">
        <v>206</v>
      </c>
      <c r="AD361" s="106" t="s">
        <v>206</v>
      </c>
      <c r="AE361" s="106" t="s">
        <v>206</v>
      </c>
      <c r="AF361" s="106" t="s">
        <v>206</v>
      </c>
      <c r="AG361" s="106" t="s">
        <v>206</v>
      </c>
      <c r="AH361" s="106" t="s">
        <v>206</v>
      </c>
      <c r="AI361" s="1" t="s">
        <v>357</v>
      </c>
      <c r="AJ361" s="1" t="s">
        <v>206</v>
      </c>
      <c r="AK361" s="1" t="s">
        <v>430</v>
      </c>
      <c r="AL361" s="1" t="s">
        <v>199</v>
      </c>
      <c r="AM361" s="106" t="s">
        <v>203</v>
      </c>
      <c r="AN361" s="1" t="s">
        <v>208</v>
      </c>
      <c r="AO361" s="1" t="s">
        <v>208</v>
      </c>
      <c r="AP361" s="1" t="s">
        <v>208</v>
      </c>
      <c r="AQ361" s="1" t="s">
        <v>208</v>
      </c>
      <c r="AR361" s="1" t="s">
        <v>208</v>
      </c>
      <c r="AS361" s="106" t="s">
        <v>208</v>
      </c>
      <c r="AT361" s="1" t="s">
        <v>208</v>
      </c>
      <c r="AU361" s="106" t="s">
        <v>206</v>
      </c>
      <c r="AV361" s="106" t="s">
        <v>206</v>
      </c>
      <c r="AW361" s="106" t="s">
        <v>206</v>
      </c>
      <c r="AX361" s="106" t="s">
        <v>35</v>
      </c>
      <c r="AY361" s="106" t="s">
        <v>208</v>
      </c>
      <c r="AZ361" s="1" t="s">
        <v>208</v>
      </c>
      <c r="BA361" s="106" t="s">
        <v>206</v>
      </c>
      <c r="BB361" s="106" t="s">
        <v>206</v>
      </c>
      <c r="BC361" s="106" t="s">
        <v>206</v>
      </c>
      <c r="BD361" s="106" t="s">
        <v>206</v>
      </c>
      <c r="BE361" s="106" t="s">
        <v>206</v>
      </c>
      <c r="BF361" s="107">
        <f>IF(AZ361="Não","Sim","Não")</f>
      </c>
      <c r="BG361" s="107">
        <f>IF(AZ361="NA","Sim","Não")</f>
      </c>
      <c r="BH361" s="106" t="s">
        <v>208</v>
      </c>
      <c r="BI361" s="1" t="s">
        <v>208</v>
      </c>
      <c r="BJ361" s="106" t="s">
        <v>241</v>
      </c>
      <c r="BK361" s="1" t="s">
        <v>208</v>
      </c>
      <c r="BL361" s="102">
        <v>0</v>
      </c>
      <c r="BM361" s="1" t="s">
        <v>208</v>
      </c>
      <c r="BN361" s="1" t="s">
        <v>208</v>
      </c>
      <c r="BO361" s="1" t="s">
        <v>208</v>
      </c>
      <c r="BP361" s="102">
        <v>0</v>
      </c>
      <c r="BQ361" s="1" t="s">
        <v>208</v>
      </c>
      <c r="BR361" s="1" t="s">
        <v>208</v>
      </c>
      <c r="BS361" s="106" t="s">
        <v>208</v>
      </c>
    </row>
    <row x14ac:dyDescent="0.25" r="362" customHeight="1" ht="17.25">
      <c r="A362" s="102">
        <v>361</v>
      </c>
      <c r="B362" s="1" t="s">
        <v>530</v>
      </c>
      <c r="C362" s="102">
        <v>0</v>
      </c>
      <c r="D362" s="61" t="s">
        <v>531</v>
      </c>
      <c r="E362" s="1" t="s">
        <v>78</v>
      </c>
      <c r="F362" s="1" t="s">
        <v>22</v>
      </c>
      <c r="G362" s="1" t="s">
        <v>64</v>
      </c>
      <c r="H362" s="1" t="s">
        <v>2279</v>
      </c>
      <c r="I362" s="102">
        <v>1</v>
      </c>
      <c r="J362" s="1" t="s">
        <v>158</v>
      </c>
      <c r="K362" s="1" t="s">
        <v>22</v>
      </c>
      <c r="L362" s="103">
        <v>32578</v>
      </c>
      <c r="M362" s="104">
        <v>28</v>
      </c>
      <c r="N362" s="1" t="s">
        <v>176</v>
      </c>
      <c r="O362" s="1" t="s">
        <v>182</v>
      </c>
      <c r="P362" s="1" t="s">
        <v>365</v>
      </c>
      <c r="Q362" s="1" t="s">
        <v>366</v>
      </c>
      <c r="R362" s="62">
        <v>0</v>
      </c>
      <c r="S362" s="102">
        <v>0</v>
      </c>
      <c r="T362" s="62">
        <v>0</v>
      </c>
      <c r="U362" s="102">
        <v>0</v>
      </c>
      <c r="V362" s="62">
        <v>0</v>
      </c>
      <c r="W362" s="102">
        <v>0</v>
      </c>
      <c r="X362" s="62">
        <v>0</v>
      </c>
      <c r="Y362" s="102">
        <v>0</v>
      </c>
      <c r="Z362" s="62">
        <v>0</v>
      </c>
      <c r="AA362" s="102">
        <v>0</v>
      </c>
      <c r="AB362" s="62">
        <v>0</v>
      </c>
      <c r="AC362" s="106" t="s">
        <v>206</v>
      </c>
      <c r="AD362" s="106" t="s">
        <v>206</v>
      </c>
      <c r="AE362" s="106" t="s">
        <v>206</v>
      </c>
      <c r="AF362" s="106" t="s">
        <v>206</v>
      </c>
      <c r="AG362" s="106" t="s">
        <v>206</v>
      </c>
      <c r="AH362" s="106" t="s">
        <v>206</v>
      </c>
      <c r="AI362" s="1" t="s">
        <v>357</v>
      </c>
      <c r="AJ362" s="1" t="s">
        <v>206</v>
      </c>
      <c r="AK362" s="1" t="s">
        <v>430</v>
      </c>
      <c r="AL362" s="1" t="s">
        <v>199</v>
      </c>
      <c r="AM362" s="106" t="s">
        <v>203</v>
      </c>
      <c r="AN362" s="1" t="s">
        <v>208</v>
      </c>
      <c r="AO362" s="1" t="s">
        <v>208</v>
      </c>
      <c r="AP362" s="1" t="s">
        <v>208</v>
      </c>
      <c r="AQ362" s="1" t="s">
        <v>208</v>
      </c>
      <c r="AR362" s="1" t="s">
        <v>208</v>
      </c>
      <c r="AS362" s="106" t="s">
        <v>208</v>
      </c>
      <c r="AT362" s="1" t="s">
        <v>208</v>
      </c>
      <c r="AU362" s="106" t="s">
        <v>206</v>
      </c>
      <c r="AV362" s="106" t="s">
        <v>206</v>
      </c>
      <c r="AW362" s="106" t="s">
        <v>206</v>
      </c>
      <c r="AX362" s="106" t="s">
        <v>35</v>
      </c>
      <c r="AY362" s="106" t="s">
        <v>208</v>
      </c>
      <c r="AZ362" s="1" t="s">
        <v>208</v>
      </c>
      <c r="BA362" s="106" t="s">
        <v>206</v>
      </c>
      <c r="BB362" s="106" t="s">
        <v>206</v>
      </c>
      <c r="BC362" s="106" t="s">
        <v>206</v>
      </c>
      <c r="BD362" s="106" t="s">
        <v>206</v>
      </c>
      <c r="BE362" s="106" t="s">
        <v>206</v>
      </c>
      <c r="BF362" s="107">
        <f>IF(AZ362="Não","Sim","Não")</f>
      </c>
      <c r="BG362" s="107">
        <f>IF(AZ362="NA","Sim","Não")</f>
      </c>
      <c r="BH362" s="106" t="s">
        <v>208</v>
      </c>
      <c r="BI362" s="1" t="s">
        <v>208</v>
      </c>
      <c r="BJ362" s="106" t="s">
        <v>241</v>
      </c>
      <c r="BK362" s="1" t="s">
        <v>208</v>
      </c>
      <c r="BL362" s="102">
        <v>0</v>
      </c>
      <c r="BM362" s="1" t="s">
        <v>208</v>
      </c>
      <c r="BN362" s="1" t="s">
        <v>208</v>
      </c>
      <c r="BO362" s="1" t="s">
        <v>208</v>
      </c>
      <c r="BP362" s="102">
        <v>0</v>
      </c>
      <c r="BQ362" s="1" t="s">
        <v>208</v>
      </c>
      <c r="BR362" s="1" t="s">
        <v>208</v>
      </c>
      <c r="BS362" s="106" t="s">
        <v>208</v>
      </c>
    </row>
    <row x14ac:dyDescent="0.25" r="363" customHeight="1" ht="17.25">
      <c r="A363" s="102">
        <v>362</v>
      </c>
      <c r="B363" s="1" t="s">
        <v>2280</v>
      </c>
      <c r="C363" s="102">
        <v>1</v>
      </c>
      <c r="D363" s="61" t="s">
        <v>1810</v>
      </c>
      <c r="E363" s="1" t="s">
        <v>85</v>
      </c>
      <c r="F363" s="1" t="s">
        <v>22</v>
      </c>
      <c r="G363" s="1" t="s">
        <v>45</v>
      </c>
      <c r="H363" s="1" t="s">
        <v>2281</v>
      </c>
      <c r="I363" s="102">
        <v>1</v>
      </c>
      <c r="J363" s="1" t="s">
        <v>159</v>
      </c>
      <c r="K363" s="1" t="s">
        <v>22</v>
      </c>
      <c r="L363" s="103">
        <v>32645</v>
      </c>
      <c r="M363" s="104">
        <v>28</v>
      </c>
      <c r="N363" s="1" t="s">
        <v>175</v>
      </c>
      <c r="O363" s="1" t="s">
        <v>24</v>
      </c>
      <c r="P363" s="1" t="s">
        <v>464</v>
      </c>
      <c r="Q363" s="1" t="s">
        <v>2282</v>
      </c>
      <c r="R363" s="54" t="s">
        <v>2283</v>
      </c>
      <c r="S363" s="105">
        <v>26.1</v>
      </c>
      <c r="T363" s="62">
        <v>0</v>
      </c>
      <c r="U363" s="102">
        <v>0</v>
      </c>
      <c r="V363" s="62">
        <v>0</v>
      </c>
      <c r="W363" s="102">
        <v>0</v>
      </c>
      <c r="X363" s="62">
        <v>0</v>
      </c>
      <c r="Y363" s="102">
        <v>0</v>
      </c>
      <c r="Z363" s="62">
        <v>0</v>
      </c>
      <c r="AA363" s="102">
        <v>0</v>
      </c>
      <c r="AB363" s="62">
        <v>0</v>
      </c>
      <c r="AC363" s="106" t="s">
        <v>206</v>
      </c>
      <c r="AD363" s="106" t="s">
        <v>206</v>
      </c>
      <c r="AE363" s="106" t="s">
        <v>206</v>
      </c>
      <c r="AF363" s="106" t="s">
        <v>206</v>
      </c>
      <c r="AG363" s="106" t="s">
        <v>206</v>
      </c>
      <c r="AH363" s="106" t="s">
        <v>206</v>
      </c>
      <c r="AI363" s="1" t="s">
        <v>357</v>
      </c>
      <c r="AJ363" s="1" t="s">
        <v>206</v>
      </c>
      <c r="AK363" s="1" t="s">
        <v>2284</v>
      </c>
      <c r="AL363" s="1" t="s">
        <v>200</v>
      </c>
      <c r="AM363" s="106" t="s">
        <v>203</v>
      </c>
      <c r="AN363" s="1" t="s">
        <v>2285</v>
      </c>
      <c r="AO363" s="1" t="s">
        <v>208</v>
      </c>
      <c r="AP363" s="1" t="s">
        <v>208</v>
      </c>
      <c r="AQ363" s="1" t="s">
        <v>208</v>
      </c>
      <c r="AR363" s="1" t="s">
        <v>208</v>
      </c>
      <c r="AS363" s="106" t="s">
        <v>208</v>
      </c>
      <c r="AT363" s="1" t="s">
        <v>208</v>
      </c>
      <c r="AU363" s="106" t="s">
        <v>206</v>
      </c>
      <c r="AV363" s="106" t="s">
        <v>206</v>
      </c>
      <c r="AW363" s="106" t="s">
        <v>206</v>
      </c>
      <c r="AX363" s="106" t="s">
        <v>35</v>
      </c>
      <c r="AY363" s="106" t="s">
        <v>208</v>
      </c>
      <c r="AZ363" s="1" t="s">
        <v>208</v>
      </c>
      <c r="BA363" s="106" t="s">
        <v>206</v>
      </c>
      <c r="BB363" s="106" t="s">
        <v>206</v>
      </c>
      <c r="BC363" s="106" t="s">
        <v>206</v>
      </c>
      <c r="BD363" s="106" t="s">
        <v>206</v>
      </c>
      <c r="BE363" s="106" t="s">
        <v>206</v>
      </c>
      <c r="BF363" s="107">
        <f>IF(AZ363="Não","Sim","Não")</f>
      </c>
      <c r="BG363" s="107">
        <f>IF(AZ363="NA","Sim","Não")</f>
      </c>
      <c r="BH363" s="106" t="s">
        <v>208</v>
      </c>
      <c r="BI363" s="1" t="s">
        <v>208</v>
      </c>
      <c r="BJ363" s="106" t="s">
        <v>241</v>
      </c>
      <c r="BK363" s="1" t="s">
        <v>208</v>
      </c>
      <c r="BL363" s="102">
        <v>0</v>
      </c>
      <c r="BM363" s="1" t="s">
        <v>206</v>
      </c>
      <c r="BN363" s="1" t="s">
        <v>208</v>
      </c>
      <c r="BO363" s="1" t="s">
        <v>208</v>
      </c>
      <c r="BP363" s="102">
        <v>0</v>
      </c>
      <c r="BQ363" s="1" t="s">
        <v>208</v>
      </c>
      <c r="BR363" s="1" t="s">
        <v>208</v>
      </c>
      <c r="BS363" s="106" t="s">
        <v>208</v>
      </c>
    </row>
    <row x14ac:dyDescent="0.25" r="364" customHeight="1" ht="17.25">
      <c r="A364" s="102">
        <v>363</v>
      </c>
      <c r="B364" s="1" t="s">
        <v>2286</v>
      </c>
      <c r="C364" s="102">
        <v>1</v>
      </c>
      <c r="D364" s="61" t="s">
        <v>531</v>
      </c>
      <c r="E364" s="1" t="s">
        <v>92</v>
      </c>
      <c r="F364" s="1" t="s">
        <v>22</v>
      </c>
      <c r="G364" s="1" t="s">
        <v>57</v>
      </c>
      <c r="H364" s="1" t="s">
        <v>2287</v>
      </c>
      <c r="I364" s="102">
        <v>1</v>
      </c>
      <c r="J364" s="1" t="s">
        <v>158</v>
      </c>
      <c r="K364" s="1" t="s">
        <v>22</v>
      </c>
      <c r="L364" s="103">
        <v>25664</v>
      </c>
      <c r="M364" s="104">
        <v>47</v>
      </c>
      <c r="N364" s="1" t="s">
        <v>175</v>
      </c>
      <c r="O364" s="1" t="s">
        <v>24</v>
      </c>
      <c r="P364" s="1" t="s">
        <v>365</v>
      </c>
      <c r="Q364" s="1" t="s">
        <v>903</v>
      </c>
      <c r="R364" s="54" t="s">
        <v>2288</v>
      </c>
      <c r="S364" s="105">
        <v>15.3</v>
      </c>
      <c r="T364" s="62">
        <v>0</v>
      </c>
      <c r="U364" s="102">
        <v>0</v>
      </c>
      <c r="V364" s="62">
        <v>0</v>
      </c>
      <c r="W364" s="102">
        <v>0</v>
      </c>
      <c r="X364" s="62">
        <v>0</v>
      </c>
      <c r="Y364" s="102">
        <v>0</v>
      </c>
      <c r="Z364" s="62">
        <v>0</v>
      </c>
      <c r="AA364" s="102">
        <v>0</v>
      </c>
      <c r="AB364" s="62">
        <v>0</v>
      </c>
      <c r="AC364" s="106" t="s">
        <v>206</v>
      </c>
      <c r="AD364" s="106" t="s">
        <v>206</v>
      </c>
      <c r="AE364" s="106" t="s">
        <v>206</v>
      </c>
      <c r="AF364" s="106" t="s">
        <v>206</v>
      </c>
      <c r="AG364" s="106" t="s">
        <v>206</v>
      </c>
      <c r="AH364" s="106" t="s">
        <v>206</v>
      </c>
      <c r="AI364" s="1" t="s">
        <v>357</v>
      </c>
      <c r="AJ364" s="1" t="s">
        <v>206</v>
      </c>
      <c r="AK364" s="1" t="s">
        <v>726</v>
      </c>
      <c r="AL364" s="1" t="s">
        <v>200</v>
      </c>
      <c r="AM364" s="106" t="s">
        <v>203</v>
      </c>
      <c r="AN364" s="1" t="s">
        <v>2285</v>
      </c>
      <c r="AO364" s="1" t="s">
        <v>208</v>
      </c>
      <c r="AP364" s="1" t="s">
        <v>208</v>
      </c>
      <c r="AQ364" s="1" t="s">
        <v>208</v>
      </c>
      <c r="AR364" s="1" t="s">
        <v>208</v>
      </c>
      <c r="AS364" s="106" t="s">
        <v>208</v>
      </c>
      <c r="AT364" s="1" t="s">
        <v>208</v>
      </c>
      <c r="AU364" s="106" t="s">
        <v>206</v>
      </c>
      <c r="AV364" s="106" t="s">
        <v>206</v>
      </c>
      <c r="AW364" s="106" t="s">
        <v>206</v>
      </c>
      <c r="AX364" s="106" t="s">
        <v>35</v>
      </c>
      <c r="AY364" s="106" t="s">
        <v>208</v>
      </c>
      <c r="AZ364" s="1" t="s">
        <v>208</v>
      </c>
      <c r="BA364" s="106" t="s">
        <v>206</v>
      </c>
      <c r="BB364" s="106" t="s">
        <v>206</v>
      </c>
      <c r="BC364" s="106" t="s">
        <v>206</v>
      </c>
      <c r="BD364" s="106" t="s">
        <v>206</v>
      </c>
      <c r="BE364" s="106" t="s">
        <v>206</v>
      </c>
      <c r="BF364" s="107">
        <f>IF(AZ364="Não","Sim","Não")</f>
      </c>
      <c r="BG364" s="107">
        <f>IF(AZ364="NA","Sim","Não")</f>
      </c>
      <c r="BH364" s="106" t="s">
        <v>208</v>
      </c>
      <c r="BI364" s="1" t="s">
        <v>208</v>
      </c>
      <c r="BJ364" s="106" t="s">
        <v>241</v>
      </c>
      <c r="BK364" s="1" t="s">
        <v>208</v>
      </c>
      <c r="BL364" s="102">
        <v>0</v>
      </c>
      <c r="BM364" s="1" t="s">
        <v>206</v>
      </c>
      <c r="BN364" s="1" t="s">
        <v>208</v>
      </c>
      <c r="BO364" s="1" t="s">
        <v>208</v>
      </c>
      <c r="BP364" s="102">
        <v>0</v>
      </c>
      <c r="BQ364" s="1" t="s">
        <v>208</v>
      </c>
      <c r="BR364" s="1" t="s">
        <v>208</v>
      </c>
      <c r="BS364" s="106" t="s">
        <v>208</v>
      </c>
    </row>
    <row x14ac:dyDescent="0.25" r="365" customHeight="1" ht="17.25">
      <c r="A365" s="102">
        <v>364</v>
      </c>
      <c r="B365" s="1" t="s">
        <v>2289</v>
      </c>
      <c r="C365" s="102">
        <v>1</v>
      </c>
      <c r="D365" s="61" t="s">
        <v>2290</v>
      </c>
      <c r="E365" s="1" t="s">
        <v>79</v>
      </c>
      <c r="F365" s="1" t="s">
        <v>170</v>
      </c>
      <c r="G365" s="1" t="s">
        <v>66</v>
      </c>
      <c r="H365" s="1" t="s">
        <v>2291</v>
      </c>
      <c r="I365" s="102">
        <v>1</v>
      </c>
      <c r="J365" s="1" t="s">
        <v>158</v>
      </c>
      <c r="K365" s="1" t="s">
        <v>22</v>
      </c>
      <c r="L365" s="103">
        <v>29977</v>
      </c>
      <c r="M365" s="104">
        <v>35</v>
      </c>
      <c r="N365" s="1" t="s">
        <v>176</v>
      </c>
      <c r="O365" s="1" t="s">
        <v>182</v>
      </c>
      <c r="P365" s="1" t="s">
        <v>517</v>
      </c>
      <c r="Q365" s="1" t="s">
        <v>2292</v>
      </c>
      <c r="R365" s="54" t="s">
        <v>2293</v>
      </c>
      <c r="S365" s="105">
        <v>33.2</v>
      </c>
      <c r="T365" s="62">
        <v>0</v>
      </c>
      <c r="U365" s="102">
        <v>0</v>
      </c>
      <c r="V365" s="62">
        <v>0</v>
      </c>
      <c r="W365" s="102">
        <v>0</v>
      </c>
      <c r="X365" s="62">
        <v>0</v>
      </c>
      <c r="Y365" s="102">
        <v>0</v>
      </c>
      <c r="Z365" s="62">
        <v>0</v>
      </c>
      <c r="AA365" s="102">
        <v>0</v>
      </c>
      <c r="AB365" s="62">
        <v>0</v>
      </c>
      <c r="AC365" s="106" t="s">
        <v>206</v>
      </c>
      <c r="AD365" s="106" t="s">
        <v>206</v>
      </c>
      <c r="AE365" s="106" t="s">
        <v>206</v>
      </c>
      <c r="AF365" s="106" t="s">
        <v>206</v>
      </c>
      <c r="AG365" s="106" t="s">
        <v>206</v>
      </c>
      <c r="AH365" s="106" t="s">
        <v>206</v>
      </c>
      <c r="AI365" s="1" t="s">
        <v>357</v>
      </c>
      <c r="AJ365" s="1" t="s">
        <v>206</v>
      </c>
      <c r="AK365" s="1" t="s">
        <v>430</v>
      </c>
      <c r="AL365" s="1" t="s">
        <v>199</v>
      </c>
      <c r="AM365" s="106" t="s">
        <v>203</v>
      </c>
      <c r="AN365" s="1" t="s">
        <v>208</v>
      </c>
      <c r="AO365" s="1" t="s">
        <v>208</v>
      </c>
      <c r="AP365" s="1" t="s">
        <v>208</v>
      </c>
      <c r="AQ365" s="1" t="s">
        <v>208</v>
      </c>
      <c r="AR365" s="1" t="s">
        <v>208</v>
      </c>
      <c r="AS365" s="106" t="s">
        <v>208</v>
      </c>
      <c r="AT365" s="1" t="s">
        <v>208</v>
      </c>
      <c r="AU365" s="106" t="s">
        <v>206</v>
      </c>
      <c r="AV365" s="106" t="s">
        <v>206</v>
      </c>
      <c r="AW365" s="106" t="s">
        <v>206</v>
      </c>
      <c r="AX365" s="106" t="s">
        <v>35</v>
      </c>
      <c r="AY365" s="106" t="s">
        <v>208</v>
      </c>
      <c r="AZ365" s="1" t="s">
        <v>208</v>
      </c>
      <c r="BA365" s="106" t="s">
        <v>206</v>
      </c>
      <c r="BB365" s="106" t="s">
        <v>206</v>
      </c>
      <c r="BC365" s="106" t="s">
        <v>206</v>
      </c>
      <c r="BD365" s="106" t="s">
        <v>206</v>
      </c>
      <c r="BE365" s="106" t="s">
        <v>206</v>
      </c>
      <c r="BF365" s="107">
        <f>IF(AZ365="Não","Sim","Não")</f>
      </c>
      <c r="BG365" s="107">
        <f>IF(AZ365="NA","Sim","Não")</f>
      </c>
      <c r="BH365" s="106" t="s">
        <v>208</v>
      </c>
      <c r="BI365" s="1" t="s">
        <v>208</v>
      </c>
      <c r="BJ365" s="106" t="s">
        <v>241</v>
      </c>
      <c r="BK365" s="1" t="s">
        <v>208</v>
      </c>
      <c r="BL365" s="102">
        <v>0</v>
      </c>
      <c r="BM365" s="1" t="s">
        <v>208</v>
      </c>
      <c r="BN365" s="1" t="s">
        <v>208</v>
      </c>
      <c r="BO365" s="1" t="s">
        <v>208</v>
      </c>
      <c r="BP365" s="102">
        <v>0</v>
      </c>
      <c r="BQ365" s="1" t="s">
        <v>208</v>
      </c>
      <c r="BR365" s="1" t="s">
        <v>208</v>
      </c>
      <c r="BS365" s="106" t="s">
        <v>208</v>
      </c>
    </row>
    <row x14ac:dyDescent="0.25" r="366" customHeight="1" ht="17.25">
      <c r="A366" s="102">
        <v>365</v>
      </c>
      <c r="B366" s="1" t="s">
        <v>2294</v>
      </c>
      <c r="C366" s="102">
        <v>1</v>
      </c>
      <c r="D366" s="61" t="s">
        <v>2295</v>
      </c>
      <c r="E366" s="1" t="s">
        <v>130</v>
      </c>
      <c r="F366" s="1" t="s">
        <v>170</v>
      </c>
      <c r="G366" s="1" t="s">
        <v>50</v>
      </c>
      <c r="H366" s="1" t="s">
        <v>2296</v>
      </c>
      <c r="I366" s="102">
        <v>1</v>
      </c>
      <c r="J366" s="1" t="s">
        <v>158</v>
      </c>
      <c r="K366" s="1" t="s">
        <v>22</v>
      </c>
      <c r="L366" s="103">
        <v>31837</v>
      </c>
      <c r="M366" s="104">
        <v>30</v>
      </c>
      <c r="N366" s="1" t="s">
        <v>176</v>
      </c>
      <c r="O366" s="1" t="s">
        <v>182</v>
      </c>
      <c r="P366" s="1" t="s">
        <v>464</v>
      </c>
      <c r="Q366" s="1" t="s">
        <v>2297</v>
      </c>
      <c r="R366" s="54" t="s">
        <v>2298</v>
      </c>
      <c r="S366" s="105">
        <v>23.9</v>
      </c>
      <c r="T366" s="62">
        <v>0</v>
      </c>
      <c r="U366" s="102">
        <v>0</v>
      </c>
      <c r="V366" s="62">
        <v>0</v>
      </c>
      <c r="W366" s="102">
        <v>0</v>
      </c>
      <c r="X366" s="62">
        <v>0</v>
      </c>
      <c r="Y366" s="102">
        <v>0</v>
      </c>
      <c r="Z366" s="62">
        <v>0</v>
      </c>
      <c r="AA366" s="102">
        <v>0</v>
      </c>
      <c r="AB366" s="62">
        <v>0</v>
      </c>
      <c r="AC366" s="106" t="s">
        <v>206</v>
      </c>
      <c r="AD366" s="106" t="s">
        <v>206</v>
      </c>
      <c r="AE366" s="106" t="s">
        <v>206</v>
      </c>
      <c r="AF366" s="106" t="s">
        <v>206</v>
      </c>
      <c r="AG366" s="106" t="s">
        <v>206</v>
      </c>
      <c r="AH366" s="106" t="s">
        <v>206</v>
      </c>
      <c r="AI366" s="1" t="s">
        <v>357</v>
      </c>
      <c r="AJ366" s="1" t="s">
        <v>831</v>
      </c>
      <c r="AK366" s="1" t="s">
        <v>2299</v>
      </c>
      <c r="AL366" s="1" t="s">
        <v>200</v>
      </c>
      <c r="AM366" s="106" t="s">
        <v>203</v>
      </c>
      <c r="AN366" s="1" t="s">
        <v>2285</v>
      </c>
      <c r="AO366" s="1" t="s">
        <v>206</v>
      </c>
      <c r="AP366" s="1" t="s">
        <v>208</v>
      </c>
      <c r="AQ366" s="1" t="s">
        <v>208</v>
      </c>
      <c r="AR366" s="1" t="s">
        <v>208</v>
      </c>
      <c r="AS366" s="106" t="s">
        <v>208</v>
      </c>
      <c r="AT366" s="1" t="s">
        <v>208</v>
      </c>
      <c r="AU366" s="106" t="s">
        <v>206</v>
      </c>
      <c r="AV366" s="106" t="s">
        <v>206</v>
      </c>
      <c r="AW366" s="106" t="s">
        <v>206</v>
      </c>
      <c r="AX366" s="106" t="s">
        <v>35</v>
      </c>
      <c r="AY366" s="106" t="s">
        <v>208</v>
      </c>
      <c r="AZ366" s="1" t="s">
        <v>208</v>
      </c>
      <c r="BA366" s="106" t="s">
        <v>206</v>
      </c>
      <c r="BB366" s="106" t="s">
        <v>206</v>
      </c>
      <c r="BC366" s="106" t="s">
        <v>206</v>
      </c>
      <c r="BD366" s="106" t="s">
        <v>206</v>
      </c>
      <c r="BE366" s="106" t="s">
        <v>206</v>
      </c>
      <c r="BF366" s="107">
        <f>IF(AZ366="Não","Sim","Não")</f>
      </c>
      <c r="BG366" s="107">
        <f>IF(AZ366="NA","Sim","Não")</f>
      </c>
      <c r="BH366" s="106" t="s">
        <v>208</v>
      </c>
      <c r="BI366" s="1" t="s">
        <v>208</v>
      </c>
      <c r="BJ366" s="106" t="s">
        <v>241</v>
      </c>
      <c r="BK366" s="1" t="s">
        <v>208</v>
      </c>
      <c r="BL366" s="102">
        <v>0</v>
      </c>
      <c r="BM366" s="1" t="s">
        <v>206</v>
      </c>
      <c r="BN366" s="1" t="s">
        <v>208</v>
      </c>
      <c r="BO366" s="1" t="s">
        <v>208</v>
      </c>
      <c r="BP366" s="102">
        <v>0</v>
      </c>
      <c r="BQ366" s="1" t="s">
        <v>208</v>
      </c>
      <c r="BR366" s="1" t="s">
        <v>208</v>
      </c>
      <c r="BS366" s="106" t="s">
        <v>208</v>
      </c>
    </row>
    <row x14ac:dyDescent="0.25" r="367" customHeight="1" ht="17.25">
      <c r="A367" s="102">
        <v>366</v>
      </c>
      <c r="B367" s="1" t="s">
        <v>2300</v>
      </c>
      <c r="C367" s="102">
        <v>1</v>
      </c>
      <c r="D367" s="61" t="s">
        <v>1589</v>
      </c>
      <c r="E367" s="1" t="s">
        <v>78</v>
      </c>
      <c r="F367" s="1" t="s">
        <v>22</v>
      </c>
      <c r="G367" s="1" t="s">
        <v>64</v>
      </c>
      <c r="H367" s="1" t="s">
        <v>2301</v>
      </c>
      <c r="I367" s="102">
        <v>1</v>
      </c>
      <c r="J367" s="1" t="s">
        <v>158</v>
      </c>
      <c r="K367" s="1" t="s">
        <v>22</v>
      </c>
      <c r="L367" s="103">
        <v>34141</v>
      </c>
      <c r="M367" s="104">
        <v>23</v>
      </c>
      <c r="N367" s="1" t="s">
        <v>176</v>
      </c>
      <c r="O367" s="1" t="s">
        <v>182</v>
      </c>
      <c r="P367" s="1" t="s">
        <v>464</v>
      </c>
      <c r="Q367" s="1" t="s">
        <v>2302</v>
      </c>
      <c r="R367" s="54" t="s">
        <v>2303</v>
      </c>
      <c r="S367" s="105">
        <v>100.3</v>
      </c>
      <c r="T367" s="62">
        <v>0</v>
      </c>
      <c r="U367" s="102">
        <v>0</v>
      </c>
      <c r="V367" s="62">
        <v>0</v>
      </c>
      <c r="W367" s="102">
        <v>0</v>
      </c>
      <c r="X367" s="62">
        <v>0</v>
      </c>
      <c r="Y367" s="102">
        <v>0</v>
      </c>
      <c r="Z367" s="62">
        <v>0</v>
      </c>
      <c r="AA367" s="102">
        <v>0</v>
      </c>
      <c r="AB367" s="62">
        <v>0</v>
      </c>
      <c r="AC367" s="106" t="s">
        <v>206</v>
      </c>
      <c r="AD367" s="106" t="s">
        <v>206</v>
      </c>
      <c r="AE367" s="106" t="s">
        <v>206</v>
      </c>
      <c r="AF367" s="106" t="s">
        <v>206</v>
      </c>
      <c r="AG367" s="106" t="s">
        <v>206</v>
      </c>
      <c r="AH367" s="106" t="s">
        <v>206</v>
      </c>
      <c r="AI367" s="1" t="s">
        <v>357</v>
      </c>
      <c r="AJ367" s="1" t="s">
        <v>206</v>
      </c>
      <c r="AK367" s="1" t="s">
        <v>2304</v>
      </c>
      <c r="AL367" s="1" t="s">
        <v>200</v>
      </c>
      <c r="AM367" s="106" t="s">
        <v>203</v>
      </c>
      <c r="AN367" s="1" t="s">
        <v>2285</v>
      </c>
      <c r="AO367" s="1" t="s">
        <v>208</v>
      </c>
      <c r="AP367" s="1" t="s">
        <v>208</v>
      </c>
      <c r="AQ367" s="1" t="s">
        <v>208</v>
      </c>
      <c r="AR367" s="1" t="s">
        <v>208</v>
      </c>
      <c r="AS367" s="106" t="s">
        <v>208</v>
      </c>
      <c r="AT367" s="1" t="s">
        <v>208</v>
      </c>
      <c r="AU367" s="106" t="s">
        <v>206</v>
      </c>
      <c r="AV367" s="106" t="s">
        <v>206</v>
      </c>
      <c r="AW367" s="106" t="s">
        <v>206</v>
      </c>
      <c r="AX367" s="106" t="s">
        <v>35</v>
      </c>
      <c r="AY367" s="106" t="s">
        <v>208</v>
      </c>
      <c r="AZ367" s="1" t="s">
        <v>208</v>
      </c>
      <c r="BA367" s="106" t="s">
        <v>206</v>
      </c>
      <c r="BB367" s="106" t="s">
        <v>206</v>
      </c>
      <c r="BC367" s="106" t="s">
        <v>206</v>
      </c>
      <c r="BD367" s="106" t="s">
        <v>206</v>
      </c>
      <c r="BE367" s="106" t="s">
        <v>206</v>
      </c>
      <c r="BF367" s="107">
        <f>IF(AZ367="Não","Sim","Não")</f>
      </c>
      <c r="BG367" s="107">
        <f>IF(AZ367="NA","Sim","Não")</f>
      </c>
      <c r="BH367" s="106" t="s">
        <v>208</v>
      </c>
      <c r="BI367" s="1" t="s">
        <v>208</v>
      </c>
      <c r="BJ367" s="106" t="s">
        <v>241</v>
      </c>
      <c r="BK367" s="1" t="s">
        <v>208</v>
      </c>
      <c r="BL367" s="102">
        <v>0</v>
      </c>
      <c r="BM367" s="1" t="s">
        <v>206</v>
      </c>
      <c r="BN367" s="1" t="s">
        <v>208</v>
      </c>
      <c r="BO367" s="1" t="s">
        <v>208</v>
      </c>
      <c r="BP367" s="102">
        <v>0</v>
      </c>
      <c r="BQ367" s="1" t="s">
        <v>208</v>
      </c>
      <c r="BR367" s="1" t="s">
        <v>208</v>
      </c>
      <c r="BS367" s="106" t="s">
        <v>208</v>
      </c>
    </row>
    <row x14ac:dyDescent="0.25" r="368" customHeight="1" ht="17.25">
      <c r="A368" s="102">
        <v>367</v>
      </c>
      <c r="B368" s="1" t="s">
        <v>2305</v>
      </c>
      <c r="C368" s="102">
        <v>1</v>
      </c>
      <c r="D368" s="61" t="s">
        <v>1049</v>
      </c>
      <c r="E368" s="1" t="s">
        <v>77</v>
      </c>
      <c r="F368" s="1" t="s">
        <v>22</v>
      </c>
      <c r="G368" s="1" t="s">
        <v>40</v>
      </c>
      <c r="H368" s="1" t="s">
        <v>2306</v>
      </c>
      <c r="I368" s="102">
        <v>1</v>
      </c>
      <c r="J368" s="1" t="s">
        <v>158</v>
      </c>
      <c r="K368" s="1" t="s">
        <v>22</v>
      </c>
      <c r="L368" s="103">
        <v>34757</v>
      </c>
      <c r="M368" s="104">
        <v>22</v>
      </c>
      <c r="N368" s="1" t="s">
        <v>175</v>
      </c>
      <c r="O368" s="1" t="s">
        <v>24</v>
      </c>
      <c r="P368" s="1" t="s">
        <v>365</v>
      </c>
      <c r="Q368" s="1" t="s">
        <v>2307</v>
      </c>
      <c r="R368" s="54" t="s">
        <v>2308</v>
      </c>
      <c r="S368" s="105">
        <v>47.2</v>
      </c>
      <c r="T368" s="62">
        <v>0</v>
      </c>
      <c r="U368" s="102">
        <v>0</v>
      </c>
      <c r="V368" s="62">
        <v>0</v>
      </c>
      <c r="W368" s="102">
        <v>0</v>
      </c>
      <c r="X368" s="62">
        <v>0</v>
      </c>
      <c r="Y368" s="102">
        <v>0</v>
      </c>
      <c r="Z368" s="62">
        <v>0</v>
      </c>
      <c r="AA368" s="102">
        <v>0</v>
      </c>
      <c r="AB368" s="62">
        <v>0</v>
      </c>
      <c r="AC368" s="106" t="s">
        <v>206</v>
      </c>
      <c r="AD368" s="106" t="s">
        <v>206</v>
      </c>
      <c r="AE368" s="106" t="s">
        <v>206</v>
      </c>
      <c r="AF368" s="106" t="s">
        <v>206</v>
      </c>
      <c r="AG368" s="106" t="s">
        <v>206</v>
      </c>
      <c r="AH368" s="106" t="s">
        <v>206</v>
      </c>
      <c r="AI368" s="1" t="s">
        <v>371</v>
      </c>
      <c r="AJ368" s="1" t="s">
        <v>206</v>
      </c>
      <c r="AK368" s="1" t="s">
        <v>555</v>
      </c>
      <c r="AL368" s="1" t="s">
        <v>199</v>
      </c>
      <c r="AM368" s="106" t="s">
        <v>203</v>
      </c>
      <c r="AN368" s="1" t="s">
        <v>208</v>
      </c>
      <c r="AO368" s="1" t="s">
        <v>208</v>
      </c>
      <c r="AP368" s="1" t="s">
        <v>208</v>
      </c>
      <c r="AQ368" s="1" t="s">
        <v>208</v>
      </c>
      <c r="AR368" s="1" t="s">
        <v>208</v>
      </c>
      <c r="AS368" s="106" t="s">
        <v>208</v>
      </c>
      <c r="AT368" s="1" t="s">
        <v>208</v>
      </c>
      <c r="AU368" s="106" t="s">
        <v>206</v>
      </c>
      <c r="AV368" s="106" t="s">
        <v>206</v>
      </c>
      <c r="AW368" s="106" t="s">
        <v>206</v>
      </c>
      <c r="AX368" s="106" t="s">
        <v>35</v>
      </c>
      <c r="AY368" s="106" t="s">
        <v>208</v>
      </c>
      <c r="AZ368" s="1" t="s">
        <v>208</v>
      </c>
      <c r="BA368" s="106" t="s">
        <v>206</v>
      </c>
      <c r="BB368" s="106" t="s">
        <v>206</v>
      </c>
      <c r="BC368" s="106" t="s">
        <v>206</v>
      </c>
      <c r="BD368" s="106" t="s">
        <v>206</v>
      </c>
      <c r="BE368" s="106" t="s">
        <v>206</v>
      </c>
      <c r="BF368" s="107">
        <f>IF(AZ368="Não","Sim","Não")</f>
      </c>
      <c r="BG368" s="107">
        <f>IF(AZ368="NA","Sim","Não")</f>
      </c>
      <c r="BH368" s="106" t="s">
        <v>208</v>
      </c>
      <c r="BI368" s="1" t="s">
        <v>208</v>
      </c>
      <c r="BJ368" s="106" t="s">
        <v>241</v>
      </c>
      <c r="BK368" s="1" t="s">
        <v>208</v>
      </c>
      <c r="BL368" s="102">
        <v>0</v>
      </c>
      <c r="BM368" s="1" t="s">
        <v>208</v>
      </c>
      <c r="BN368" s="1" t="s">
        <v>208</v>
      </c>
      <c r="BO368" s="1" t="s">
        <v>208</v>
      </c>
      <c r="BP368" s="102">
        <v>0</v>
      </c>
      <c r="BQ368" s="1" t="s">
        <v>208</v>
      </c>
      <c r="BR368" s="1" t="s">
        <v>208</v>
      </c>
      <c r="BS368" s="106" t="s">
        <v>208</v>
      </c>
    </row>
    <row x14ac:dyDescent="0.25" r="369" customHeight="1" ht="17.25">
      <c r="A369" s="102">
        <v>368</v>
      </c>
      <c r="B369" s="1" t="s">
        <v>2305</v>
      </c>
      <c r="C369" s="102">
        <v>0</v>
      </c>
      <c r="D369" s="61" t="s">
        <v>1049</v>
      </c>
      <c r="E369" s="1" t="s">
        <v>77</v>
      </c>
      <c r="F369" s="1" t="s">
        <v>22</v>
      </c>
      <c r="G369" s="1" t="s">
        <v>40</v>
      </c>
      <c r="H369" s="1" t="s">
        <v>2309</v>
      </c>
      <c r="I369" s="102">
        <v>1</v>
      </c>
      <c r="J369" s="1" t="s">
        <v>158</v>
      </c>
      <c r="K369" s="1" t="s">
        <v>22</v>
      </c>
      <c r="L369" s="103">
        <v>33756</v>
      </c>
      <c r="M369" s="104">
        <v>25</v>
      </c>
      <c r="N369" s="1" t="s">
        <v>177</v>
      </c>
      <c r="O369" s="1" t="s">
        <v>24</v>
      </c>
      <c r="P369" s="1" t="s">
        <v>365</v>
      </c>
      <c r="Q369" s="1" t="s">
        <v>2307</v>
      </c>
      <c r="R369" s="54" t="s">
        <v>2308</v>
      </c>
      <c r="S369" s="105">
        <v>47.2</v>
      </c>
      <c r="T369" s="62">
        <v>0</v>
      </c>
      <c r="U369" s="102">
        <v>0</v>
      </c>
      <c r="V369" s="62">
        <v>0</v>
      </c>
      <c r="W369" s="102">
        <v>0</v>
      </c>
      <c r="X369" s="62">
        <v>0</v>
      </c>
      <c r="Y369" s="102">
        <v>0</v>
      </c>
      <c r="Z369" s="62">
        <v>0</v>
      </c>
      <c r="AA369" s="102">
        <v>0</v>
      </c>
      <c r="AB369" s="62">
        <v>0</v>
      </c>
      <c r="AC369" s="106" t="s">
        <v>206</v>
      </c>
      <c r="AD369" s="106" t="s">
        <v>206</v>
      </c>
      <c r="AE369" s="106" t="s">
        <v>206</v>
      </c>
      <c r="AF369" s="106" t="s">
        <v>206</v>
      </c>
      <c r="AG369" s="106" t="s">
        <v>206</v>
      </c>
      <c r="AH369" s="106" t="s">
        <v>206</v>
      </c>
      <c r="AI369" s="1" t="s">
        <v>371</v>
      </c>
      <c r="AJ369" s="1" t="s">
        <v>206</v>
      </c>
      <c r="AK369" s="1" t="s">
        <v>555</v>
      </c>
      <c r="AL369" s="1" t="s">
        <v>199</v>
      </c>
      <c r="AM369" s="106" t="s">
        <v>203</v>
      </c>
      <c r="AN369" s="1" t="s">
        <v>208</v>
      </c>
      <c r="AO369" s="1" t="s">
        <v>208</v>
      </c>
      <c r="AP369" s="1" t="s">
        <v>208</v>
      </c>
      <c r="AQ369" s="1" t="s">
        <v>208</v>
      </c>
      <c r="AR369" s="1" t="s">
        <v>208</v>
      </c>
      <c r="AS369" s="106" t="s">
        <v>208</v>
      </c>
      <c r="AT369" s="1" t="s">
        <v>208</v>
      </c>
      <c r="AU369" s="106" t="s">
        <v>206</v>
      </c>
      <c r="AV369" s="106" t="s">
        <v>206</v>
      </c>
      <c r="AW369" s="106" t="s">
        <v>206</v>
      </c>
      <c r="AX369" s="106" t="s">
        <v>35</v>
      </c>
      <c r="AY369" s="106" t="s">
        <v>208</v>
      </c>
      <c r="AZ369" s="1" t="s">
        <v>208</v>
      </c>
      <c r="BA369" s="106" t="s">
        <v>206</v>
      </c>
      <c r="BB369" s="106" t="s">
        <v>206</v>
      </c>
      <c r="BC369" s="106" t="s">
        <v>206</v>
      </c>
      <c r="BD369" s="106" t="s">
        <v>206</v>
      </c>
      <c r="BE369" s="106" t="s">
        <v>206</v>
      </c>
      <c r="BF369" s="107">
        <f>IF(AZ369="Não","Sim","Não")</f>
      </c>
      <c r="BG369" s="107">
        <f>IF(AZ369="NA","Sim","Não")</f>
      </c>
      <c r="BH369" s="106" t="s">
        <v>208</v>
      </c>
      <c r="BI369" s="1" t="s">
        <v>208</v>
      </c>
      <c r="BJ369" s="106" t="s">
        <v>241</v>
      </c>
      <c r="BK369" s="1" t="s">
        <v>208</v>
      </c>
      <c r="BL369" s="102">
        <v>0</v>
      </c>
      <c r="BM369" s="1" t="s">
        <v>208</v>
      </c>
      <c r="BN369" s="1" t="s">
        <v>208</v>
      </c>
      <c r="BO369" s="1" t="s">
        <v>208</v>
      </c>
      <c r="BP369" s="102">
        <v>0</v>
      </c>
      <c r="BQ369" s="1" t="s">
        <v>208</v>
      </c>
      <c r="BR369" s="1" t="s">
        <v>208</v>
      </c>
      <c r="BS369" s="106" t="s">
        <v>208</v>
      </c>
    </row>
    <row x14ac:dyDescent="0.25" r="370" customHeight="1" ht="17.25">
      <c r="A370" s="102">
        <v>369</v>
      </c>
      <c r="B370" s="1" t="s">
        <v>2310</v>
      </c>
      <c r="C370" s="102">
        <v>1</v>
      </c>
      <c r="D370" s="61" t="s">
        <v>2311</v>
      </c>
      <c r="E370" s="1" t="s">
        <v>81</v>
      </c>
      <c r="F370" s="1" t="s">
        <v>22</v>
      </c>
      <c r="G370" s="1" t="s">
        <v>44</v>
      </c>
      <c r="H370" s="1" t="s">
        <v>2312</v>
      </c>
      <c r="I370" s="102">
        <v>1</v>
      </c>
      <c r="J370" s="1" t="s">
        <v>158</v>
      </c>
      <c r="K370" s="1" t="s">
        <v>22</v>
      </c>
      <c r="L370" s="103">
        <v>33559</v>
      </c>
      <c r="M370" s="104">
        <v>25</v>
      </c>
      <c r="N370" s="1" t="s">
        <v>175</v>
      </c>
      <c r="O370" s="1" t="s">
        <v>24</v>
      </c>
      <c r="P370" s="1" t="s">
        <v>365</v>
      </c>
      <c r="Q370" s="1" t="s">
        <v>2313</v>
      </c>
      <c r="R370" s="54" t="s">
        <v>2314</v>
      </c>
      <c r="S370" s="102">
        <v>68</v>
      </c>
      <c r="T370" s="62">
        <v>0</v>
      </c>
      <c r="U370" s="102">
        <v>0</v>
      </c>
      <c r="V370" s="62">
        <v>0</v>
      </c>
      <c r="W370" s="102">
        <v>0</v>
      </c>
      <c r="X370" s="62">
        <v>0</v>
      </c>
      <c r="Y370" s="102">
        <v>0</v>
      </c>
      <c r="Z370" s="62">
        <v>0</v>
      </c>
      <c r="AA370" s="102">
        <v>0</v>
      </c>
      <c r="AB370" s="62">
        <v>0</v>
      </c>
      <c r="AC370" s="106" t="s">
        <v>206</v>
      </c>
      <c r="AD370" s="106" t="s">
        <v>206</v>
      </c>
      <c r="AE370" s="106" t="s">
        <v>206</v>
      </c>
      <c r="AF370" s="106" t="s">
        <v>206</v>
      </c>
      <c r="AG370" s="106" t="s">
        <v>206</v>
      </c>
      <c r="AH370" s="106" t="s">
        <v>206</v>
      </c>
      <c r="AI370" s="1" t="s">
        <v>357</v>
      </c>
      <c r="AJ370" s="1" t="s">
        <v>206</v>
      </c>
      <c r="AK370" s="1" t="s">
        <v>2315</v>
      </c>
      <c r="AL370" s="1" t="s">
        <v>199</v>
      </c>
      <c r="AM370" s="106" t="s">
        <v>203</v>
      </c>
      <c r="AN370" s="1" t="s">
        <v>208</v>
      </c>
      <c r="AO370" s="1" t="s">
        <v>208</v>
      </c>
      <c r="AP370" s="1" t="s">
        <v>208</v>
      </c>
      <c r="AQ370" s="1" t="s">
        <v>208</v>
      </c>
      <c r="AR370" s="1" t="s">
        <v>208</v>
      </c>
      <c r="AS370" s="106" t="s">
        <v>208</v>
      </c>
      <c r="AT370" s="1" t="s">
        <v>208</v>
      </c>
      <c r="AU370" s="106" t="s">
        <v>206</v>
      </c>
      <c r="AV370" s="106" t="s">
        <v>206</v>
      </c>
      <c r="AW370" s="106" t="s">
        <v>206</v>
      </c>
      <c r="AX370" s="106" t="s">
        <v>35</v>
      </c>
      <c r="AY370" s="106" t="s">
        <v>208</v>
      </c>
      <c r="AZ370" s="1" t="s">
        <v>208</v>
      </c>
      <c r="BA370" s="106" t="s">
        <v>206</v>
      </c>
      <c r="BB370" s="106" t="s">
        <v>206</v>
      </c>
      <c r="BC370" s="106" t="s">
        <v>206</v>
      </c>
      <c r="BD370" s="106" t="s">
        <v>206</v>
      </c>
      <c r="BE370" s="106" t="s">
        <v>206</v>
      </c>
      <c r="BF370" s="107">
        <f>IF(AZ370="Não","Sim","Não")</f>
      </c>
      <c r="BG370" s="107">
        <f>IF(AZ370="NA","Sim","Não")</f>
      </c>
      <c r="BH370" s="106" t="s">
        <v>208</v>
      </c>
      <c r="BI370" s="1" t="s">
        <v>208</v>
      </c>
      <c r="BJ370" s="106" t="s">
        <v>241</v>
      </c>
      <c r="BK370" s="1" t="s">
        <v>208</v>
      </c>
      <c r="BL370" s="102">
        <v>0</v>
      </c>
      <c r="BM370" s="1" t="s">
        <v>208</v>
      </c>
      <c r="BN370" s="1" t="s">
        <v>208</v>
      </c>
      <c r="BO370" s="1" t="s">
        <v>208</v>
      </c>
      <c r="BP370" s="102">
        <v>0</v>
      </c>
      <c r="BQ370" s="1" t="s">
        <v>208</v>
      </c>
      <c r="BR370" s="1" t="s">
        <v>208</v>
      </c>
      <c r="BS370" s="106" t="s">
        <v>208</v>
      </c>
    </row>
    <row x14ac:dyDescent="0.25" r="371" customHeight="1" ht="17.25">
      <c r="A371" s="102">
        <v>370</v>
      </c>
      <c r="B371" s="1" t="s">
        <v>2316</v>
      </c>
      <c r="C371" s="102">
        <v>1</v>
      </c>
      <c r="D371" s="61" t="s">
        <v>764</v>
      </c>
      <c r="E371" s="1" t="s">
        <v>134</v>
      </c>
      <c r="F371" s="1" t="s">
        <v>22</v>
      </c>
      <c r="G371" s="1" t="s">
        <v>67</v>
      </c>
      <c r="H371" s="1" t="s">
        <v>2317</v>
      </c>
      <c r="I371" s="102">
        <v>1</v>
      </c>
      <c r="J371" s="1" t="s">
        <v>158</v>
      </c>
      <c r="K371" s="1" t="s">
        <v>22</v>
      </c>
      <c r="L371" s="103">
        <v>32383</v>
      </c>
      <c r="M371" s="104">
        <v>29</v>
      </c>
      <c r="N371" s="1" t="s">
        <v>177</v>
      </c>
      <c r="O371" s="1" t="s">
        <v>24</v>
      </c>
      <c r="P371" s="1" t="s">
        <v>365</v>
      </c>
      <c r="Q371" s="1" t="s">
        <v>2318</v>
      </c>
      <c r="R371" s="54" t="s">
        <v>2319</v>
      </c>
      <c r="S371" s="105">
        <v>17.8</v>
      </c>
      <c r="T371" s="62">
        <v>0</v>
      </c>
      <c r="U371" s="102">
        <v>0</v>
      </c>
      <c r="V371" s="62">
        <v>0</v>
      </c>
      <c r="W371" s="102">
        <v>0</v>
      </c>
      <c r="X371" s="62">
        <v>0</v>
      </c>
      <c r="Y371" s="102">
        <v>0</v>
      </c>
      <c r="Z371" s="62">
        <v>0</v>
      </c>
      <c r="AA371" s="102">
        <v>0</v>
      </c>
      <c r="AB371" s="62">
        <v>0</v>
      </c>
      <c r="AC371" s="106" t="s">
        <v>206</v>
      </c>
      <c r="AD371" s="106" t="s">
        <v>206</v>
      </c>
      <c r="AE371" s="106" t="s">
        <v>206</v>
      </c>
      <c r="AF371" s="106" t="s">
        <v>206</v>
      </c>
      <c r="AG371" s="106" t="s">
        <v>206</v>
      </c>
      <c r="AH371" s="106" t="s">
        <v>206</v>
      </c>
      <c r="AI371" s="1" t="s">
        <v>357</v>
      </c>
      <c r="AJ371" s="1" t="s">
        <v>206</v>
      </c>
      <c r="AK371" s="1" t="s">
        <v>2320</v>
      </c>
      <c r="AL371" s="1" t="s">
        <v>200</v>
      </c>
      <c r="AM371" s="106" t="s">
        <v>203</v>
      </c>
      <c r="AN371" s="1" t="s">
        <v>2285</v>
      </c>
      <c r="AO371" s="1" t="s">
        <v>208</v>
      </c>
      <c r="AP371" s="1" t="s">
        <v>208</v>
      </c>
      <c r="AQ371" s="1" t="s">
        <v>208</v>
      </c>
      <c r="AR371" s="1" t="s">
        <v>208</v>
      </c>
      <c r="AS371" s="106" t="s">
        <v>208</v>
      </c>
      <c r="AT371" s="1" t="s">
        <v>208</v>
      </c>
      <c r="AU371" s="106" t="s">
        <v>206</v>
      </c>
      <c r="AV371" s="106" t="s">
        <v>206</v>
      </c>
      <c r="AW371" s="106" t="s">
        <v>206</v>
      </c>
      <c r="AX371" s="106" t="s">
        <v>35</v>
      </c>
      <c r="AY371" s="106" t="s">
        <v>208</v>
      </c>
      <c r="AZ371" s="1" t="s">
        <v>208</v>
      </c>
      <c r="BA371" s="106" t="s">
        <v>206</v>
      </c>
      <c r="BB371" s="106" t="s">
        <v>206</v>
      </c>
      <c r="BC371" s="106" t="s">
        <v>206</v>
      </c>
      <c r="BD371" s="106" t="s">
        <v>206</v>
      </c>
      <c r="BE371" s="106" t="s">
        <v>206</v>
      </c>
      <c r="BF371" s="107">
        <f>IF(AZ371="Não","Sim","Não")</f>
      </c>
      <c r="BG371" s="107">
        <f>IF(AZ371="NA","Sim","Não")</f>
      </c>
      <c r="BH371" s="106" t="s">
        <v>208</v>
      </c>
      <c r="BI371" s="1" t="s">
        <v>208</v>
      </c>
      <c r="BJ371" s="106" t="s">
        <v>241</v>
      </c>
      <c r="BK371" s="1" t="s">
        <v>208</v>
      </c>
      <c r="BL371" s="102">
        <v>0</v>
      </c>
      <c r="BM371" s="1" t="s">
        <v>206</v>
      </c>
      <c r="BN371" s="1" t="s">
        <v>208</v>
      </c>
      <c r="BO371" s="1" t="s">
        <v>208</v>
      </c>
      <c r="BP371" s="102">
        <v>0</v>
      </c>
      <c r="BQ371" s="1" t="s">
        <v>208</v>
      </c>
      <c r="BR371" s="1" t="s">
        <v>208</v>
      </c>
      <c r="BS371" s="106" t="s">
        <v>208</v>
      </c>
    </row>
    <row x14ac:dyDescent="0.25" r="372" customHeight="1" ht="17.25">
      <c r="A372" s="102">
        <v>371</v>
      </c>
      <c r="B372" s="1" t="s">
        <v>993</v>
      </c>
      <c r="C372" s="102">
        <v>0</v>
      </c>
      <c r="D372" s="61" t="s">
        <v>994</v>
      </c>
      <c r="E372" s="1" t="s">
        <v>76</v>
      </c>
      <c r="F372" s="1" t="s">
        <v>22</v>
      </c>
      <c r="G372" s="1" t="s">
        <v>60</v>
      </c>
      <c r="H372" s="1" t="s">
        <v>2321</v>
      </c>
      <c r="I372" s="102">
        <v>1</v>
      </c>
      <c r="J372" s="1" t="s">
        <v>158</v>
      </c>
      <c r="K372" s="1" t="s">
        <v>22</v>
      </c>
      <c r="L372" s="103">
        <v>33856</v>
      </c>
      <c r="M372" s="104">
        <v>25</v>
      </c>
      <c r="N372" s="1" t="s">
        <v>175</v>
      </c>
      <c r="O372" s="1" t="s">
        <v>24</v>
      </c>
      <c r="P372" s="1" t="s">
        <v>365</v>
      </c>
      <c r="Q372" s="1" t="s">
        <v>366</v>
      </c>
      <c r="R372" s="62">
        <v>0</v>
      </c>
      <c r="S372" s="102">
        <v>0</v>
      </c>
      <c r="T372" s="54" t="s">
        <v>2322</v>
      </c>
      <c r="U372" s="105">
        <v>0.6</v>
      </c>
      <c r="V372" s="62">
        <v>0</v>
      </c>
      <c r="W372" s="102">
        <v>0</v>
      </c>
      <c r="X372" s="62">
        <v>0</v>
      </c>
      <c r="Y372" s="102">
        <v>0</v>
      </c>
      <c r="Z372" s="62">
        <v>0</v>
      </c>
      <c r="AA372" s="102">
        <v>0</v>
      </c>
      <c r="AB372" s="62">
        <v>0</v>
      </c>
      <c r="AC372" s="106" t="s">
        <v>206</v>
      </c>
      <c r="AD372" s="106" t="s">
        <v>206</v>
      </c>
      <c r="AE372" s="106" t="s">
        <v>206</v>
      </c>
      <c r="AF372" s="106" t="s">
        <v>206</v>
      </c>
      <c r="AG372" s="106" t="s">
        <v>206</v>
      </c>
      <c r="AH372" s="106" t="s">
        <v>206</v>
      </c>
      <c r="AI372" s="1" t="s">
        <v>371</v>
      </c>
      <c r="AJ372" s="1" t="s">
        <v>206</v>
      </c>
      <c r="AK372" s="1" t="s">
        <v>430</v>
      </c>
      <c r="AL372" s="1" t="s">
        <v>200</v>
      </c>
      <c r="AM372" s="106" t="s">
        <v>203</v>
      </c>
      <c r="AN372" s="1" t="s">
        <v>2285</v>
      </c>
      <c r="AO372" s="1" t="s">
        <v>208</v>
      </c>
      <c r="AP372" s="1" t="s">
        <v>208</v>
      </c>
      <c r="AQ372" s="1" t="s">
        <v>208</v>
      </c>
      <c r="AR372" s="1" t="s">
        <v>208</v>
      </c>
      <c r="AS372" s="106" t="s">
        <v>208</v>
      </c>
      <c r="AT372" s="1" t="s">
        <v>208</v>
      </c>
      <c r="AU372" s="106" t="s">
        <v>206</v>
      </c>
      <c r="AV372" s="106" t="s">
        <v>206</v>
      </c>
      <c r="AW372" s="106" t="s">
        <v>206</v>
      </c>
      <c r="AX372" s="106" t="s">
        <v>35</v>
      </c>
      <c r="AY372" s="106" t="s">
        <v>208</v>
      </c>
      <c r="AZ372" s="1" t="s">
        <v>208</v>
      </c>
      <c r="BA372" s="106" t="s">
        <v>206</v>
      </c>
      <c r="BB372" s="106" t="s">
        <v>206</v>
      </c>
      <c r="BC372" s="106" t="s">
        <v>206</v>
      </c>
      <c r="BD372" s="106" t="s">
        <v>206</v>
      </c>
      <c r="BE372" s="106" t="s">
        <v>206</v>
      </c>
      <c r="BF372" s="107">
        <f>IF(AZ372="Não","Sim","Não")</f>
      </c>
      <c r="BG372" s="107">
        <f>IF(AZ372="NA","Sim","Não")</f>
      </c>
      <c r="BH372" s="106" t="s">
        <v>208</v>
      </c>
      <c r="BI372" s="1" t="s">
        <v>208</v>
      </c>
      <c r="BJ372" s="106" t="s">
        <v>241</v>
      </c>
      <c r="BK372" s="1" t="s">
        <v>208</v>
      </c>
      <c r="BL372" s="102">
        <v>0</v>
      </c>
      <c r="BM372" s="1" t="s">
        <v>206</v>
      </c>
      <c r="BN372" s="1" t="s">
        <v>208</v>
      </c>
      <c r="BO372" s="1" t="s">
        <v>208</v>
      </c>
      <c r="BP372" s="102">
        <v>0</v>
      </c>
      <c r="BQ372" s="1" t="s">
        <v>208</v>
      </c>
      <c r="BR372" s="1" t="s">
        <v>208</v>
      </c>
      <c r="BS372" s="106" t="s">
        <v>208</v>
      </c>
    </row>
    <row x14ac:dyDescent="0.25" r="373" customHeight="1" ht="17.25">
      <c r="A373" s="102">
        <v>372</v>
      </c>
      <c r="B373" s="1" t="s">
        <v>2323</v>
      </c>
      <c r="C373" s="102">
        <v>1</v>
      </c>
      <c r="D373" s="61">
        <v>42807</v>
      </c>
      <c r="E373" s="1" t="s">
        <v>89</v>
      </c>
      <c r="F373" s="1" t="s">
        <v>22</v>
      </c>
      <c r="G373" s="1" t="s">
        <v>38</v>
      </c>
      <c r="H373" s="1" t="s">
        <v>2324</v>
      </c>
      <c r="I373" s="102">
        <v>1</v>
      </c>
      <c r="J373" s="1" t="s">
        <v>158</v>
      </c>
      <c r="K373" s="1" t="s">
        <v>22</v>
      </c>
      <c r="L373" s="103">
        <v>30612</v>
      </c>
      <c r="M373" s="104">
        <v>33</v>
      </c>
      <c r="N373" s="1" t="s">
        <v>176</v>
      </c>
      <c r="O373" s="1" t="s">
        <v>182</v>
      </c>
      <c r="P373" s="1" t="s">
        <v>517</v>
      </c>
      <c r="Q373" s="1" t="s">
        <v>2325</v>
      </c>
      <c r="R373" s="62">
        <v>0</v>
      </c>
      <c r="S373" s="102">
        <v>0</v>
      </c>
      <c r="T373" s="54" t="s">
        <v>2326</v>
      </c>
      <c r="U373" s="105">
        <v>931.2</v>
      </c>
      <c r="V373" s="62">
        <v>0</v>
      </c>
      <c r="W373" s="102">
        <v>0</v>
      </c>
      <c r="X373" s="62">
        <v>0</v>
      </c>
      <c r="Y373" s="102">
        <v>0</v>
      </c>
      <c r="Z373" s="62">
        <v>0</v>
      </c>
      <c r="AA373" s="102">
        <v>0</v>
      </c>
      <c r="AB373" s="62">
        <v>0</v>
      </c>
      <c r="AC373" s="106" t="s">
        <v>206</v>
      </c>
      <c r="AD373" s="106" t="s">
        <v>206</v>
      </c>
      <c r="AE373" s="106" t="s">
        <v>206</v>
      </c>
      <c r="AF373" s="106" t="s">
        <v>206</v>
      </c>
      <c r="AG373" s="106" t="s">
        <v>206</v>
      </c>
      <c r="AH373" s="106" t="s">
        <v>206</v>
      </c>
      <c r="AI373" s="1" t="s">
        <v>371</v>
      </c>
      <c r="AJ373" s="1" t="s">
        <v>206</v>
      </c>
      <c r="AK373" s="1" t="s">
        <v>358</v>
      </c>
      <c r="AL373" s="1" t="s">
        <v>199</v>
      </c>
      <c r="AM373" s="106" t="s">
        <v>203</v>
      </c>
      <c r="AN373" s="1" t="s">
        <v>208</v>
      </c>
      <c r="AO373" s="1" t="s">
        <v>208</v>
      </c>
      <c r="AP373" s="1" t="s">
        <v>208</v>
      </c>
      <c r="AQ373" s="1" t="s">
        <v>208</v>
      </c>
      <c r="AR373" s="1" t="s">
        <v>208</v>
      </c>
      <c r="AS373" s="106" t="s">
        <v>208</v>
      </c>
      <c r="AT373" s="1" t="s">
        <v>208</v>
      </c>
      <c r="AU373" s="106" t="s">
        <v>206</v>
      </c>
      <c r="AV373" s="106" t="s">
        <v>206</v>
      </c>
      <c r="AW373" s="106" t="s">
        <v>206</v>
      </c>
      <c r="AX373" s="106" t="s">
        <v>35</v>
      </c>
      <c r="AY373" s="106" t="s">
        <v>208</v>
      </c>
      <c r="AZ373" s="1" t="s">
        <v>208</v>
      </c>
      <c r="BA373" s="106" t="s">
        <v>206</v>
      </c>
      <c r="BB373" s="106" t="s">
        <v>206</v>
      </c>
      <c r="BC373" s="106" t="s">
        <v>206</v>
      </c>
      <c r="BD373" s="106" t="s">
        <v>206</v>
      </c>
      <c r="BE373" s="106" t="s">
        <v>206</v>
      </c>
      <c r="BF373" s="107">
        <f>IF(AZ373="Não","Sim","Não")</f>
      </c>
      <c r="BG373" s="107">
        <f>IF(AZ373="NA","Sim","Não")</f>
      </c>
      <c r="BH373" s="106" t="s">
        <v>208</v>
      </c>
      <c r="BI373" s="1" t="s">
        <v>208</v>
      </c>
      <c r="BJ373" s="106" t="s">
        <v>241</v>
      </c>
      <c r="BK373" s="1" t="s">
        <v>208</v>
      </c>
      <c r="BL373" s="102">
        <v>0</v>
      </c>
      <c r="BM373" s="1" t="s">
        <v>208</v>
      </c>
      <c r="BN373" s="1" t="s">
        <v>208</v>
      </c>
      <c r="BO373" s="1" t="s">
        <v>208</v>
      </c>
      <c r="BP373" s="102">
        <v>0</v>
      </c>
      <c r="BQ373" s="1" t="s">
        <v>208</v>
      </c>
      <c r="BR373" s="1" t="s">
        <v>208</v>
      </c>
      <c r="BS373" s="106" t="s">
        <v>208</v>
      </c>
    </row>
    <row x14ac:dyDescent="0.25" r="374" customHeight="1" ht="17.25">
      <c r="A374" s="102">
        <v>373</v>
      </c>
      <c r="B374" s="1" t="s">
        <v>2327</v>
      </c>
      <c r="C374" s="102">
        <v>1</v>
      </c>
      <c r="D374" s="61" t="s">
        <v>1249</v>
      </c>
      <c r="E374" s="1" t="s">
        <v>143</v>
      </c>
      <c r="F374" s="1" t="s">
        <v>170</v>
      </c>
      <c r="G374" s="1" t="s">
        <v>48</v>
      </c>
      <c r="H374" s="1" t="s">
        <v>2328</v>
      </c>
      <c r="I374" s="102">
        <v>1</v>
      </c>
      <c r="J374" s="1" t="s">
        <v>159</v>
      </c>
      <c r="K374" s="1" t="s">
        <v>22</v>
      </c>
      <c r="L374" s="103">
        <v>34009</v>
      </c>
      <c r="M374" s="104">
        <v>24</v>
      </c>
      <c r="N374" s="1" t="s">
        <v>175</v>
      </c>
      <c r="O374" s="1" t="s">
        <v>24</v>
      </c>
      <c r="P374" s="1" t="s">
        <v>365</v>
      </c>
      <c r="Q374" s="1" t="s">
        <v>2329</v>
      </c>
      <c r="R374" s="62">
        <v>0</v>
      </c>
      <c r="S374" s="102">
        <v>0</v>
      </c>
      <c r="T374" s="54" t="s">
        <v>2330</v>
      </c>
      <c r="U374" s="105">
        <v>46.2</v>
      </c>
      <c r="V374" s="62">
        <v>0</v>
      </c>
      <c r="W374" s="102">
        <v>0</v>
      </c>
      <c r="X374" s="62">
        <v>0</v>
      </c>
      <c r="Y374" s="102">
        <v>0</v>
      </c>
      <c r="Z374" s="62">
        <v>0</v>
      </c>
      <c r="AA374" s="102">
        <v>0</v>
      </c>
      <c r="AB374" s="62">
        <v>0</v>
      </c>
      <c r="AC374" s="106" t="s">
        <v>206</v>
      </c>
      <c r="AD374" s="106" t="s">
        <v>206</v>
      </c>
      <c r="AE374" s="106" t="s">
        <v>206</v>
      </c>
      <c r="AF374" s="106" t="s">
        <v>206</v>
      </c>
      <c r="AG374" s="106" t="s">
        <v>206</v>
      </c>
      <c r="AH374" s="106" t="s">
        <v>206</v>
      </c>
      <c r="AI374" s="1" t="s">
        <v>357</v>
      </c>
      <c r="AJ374" s="1" t="s">
        <v>526</v>
      </c>
      <c r="AK374" s="1" t="s">
        <v>2304</v>
      </c>
      <c r="AL374" s="1" t="s">
        <v>199</v>
      </c>
      <c r="AM374" s="106" t="s">
        <v>203</v>
      </c>
      <c r="AN374" s="1" t="s">
        <v>208</v>
      </c>
      <c r="AO374" s="1" t="s">
        <v>208</v>
      </c>
      <c r="AP374" s="1" t="s">
        <v>208</v>
      </c>
      <c r="AQ374" s="1" t="s">
        <v>208</v>
      </c>
      <c r="AR374" s="1" t="s">
        <v>208</v>
      </c>
      <c r="AS374" s="106" t="s">
        <v>208</v>
      </c>
      <c r="AT374" s="1" t="s">
        <v>208</v>
      </c>
      <c r="AU374" s="106" t="s">
        <v>206</v>
      </c>
      <c r="AV374" s="106" t="s">
        <v>206</v>
      </c>
      <c r="AW374" s="106" t="s">
        <v>206</v>
      </c>
      <c r="AX374" s="106" t="s">
        <v>35</v>
      </c>
      <c r="AY374" s="106" t="s">
        <v>208</v>
      </c>
      <c r="AZ374" s="1" t="s">
        <v>208</v>
      </c>
      <c r="BA374" s="106" t="s">
        <v>206</v>
      </c>
      <c r="BB374" s="106" t="s">
        <v>206</v>
      </c>
      <c r="BC374" s="106" t="s">
        <v>206</v>
      </c>
      <c r="BD374" s="106" t="s">
        <v>206</v>
      </c>
      <c r="BE374" s="106" t="s">
        <v>206</v>
      </c>
      <c r="BF374" s="107">
        <f>IF(AZ374="Não","Sim","Não")</f>
      </c>
      <c r="BG374" s="107">
        <f>IF(AZ374="NA","Sim","Não")</f>
      </c>
      <c r="BH374" s="106" t="s">
        <v>208</v>
      </c>
      <c r="BI374" s="1" t="s">
        <v>208</v>
      </c>
      <c r="BJ374" s="106" t="s">
        <v>241</v>
      </c>
      <c r="BK374" s="1" t="s">
        <v>208</v>
      </c>
      <c r="BL374" s="102">
        <v>0</v>
      </c>
      <c r="BM374" s="1" t="s">
        <v>208</v>
      </c>
      <c r="BN374" s="1" t="s">
        <v>208</v>
      </c>
      <c r="BO374" s="1" t="s">
        <v>208</v>
      </c>
      <c r="BP374" s="102">
        <v>0</v>
      </c>
      <c r="BQ374" s="1" t="s">
        <v>208</v>
      </c>
      <c r="BR374" s="1" t="s">
        <v>208</v>
      </c>
      <c r="BS374" s="106" t="s">
        <v>208</v>
      </c>
    </row>
    <row x14ac:dyDescent="0.25" r="375" customHeight="1" ht="17.25">
      <c r="A375" s="102">
        <v>374</v>
      </c>
      <c r="B375" s="1" t="s">
        <v>2331</v>
      </c>
      <c r="C375" s="102">
        <v>1</v>
      </c>
      <c r="D375" s="61" t="s">
        <v>2332</v>
      </c>
      <c r="E375" s="1" t="s">
        <v>120</v>
      </c>
      <c r="F375" s="1" t="s">
        <v>170</v>
      </c>
      <c r="G375" s="1" t="s">
        <v>52</v>
      </c>
      <c r="H375" s="1" t="s">
        <v>2333</v>
      </c>
      <c r="I375" s="102">
        <v>1</v>
      </c>
      <c r="J375" s="1" t="s">
        <v>158</v>
      </c>
      <c r="K375" s="1" t="s">
        <v>22</v>
      </c>
      <c r="L375" s="103">
        <v>34694</v>
      </c>
      <c r="M375" s="104">
        <v>22</v>
      </c>
      <c r="N375" s="1" t="s">
        <v>176</v>
      </c>
      <c r="O375" s="1" t="s">
        <v>182</v>
      </c>
      <c r="P375" s="1" t="s">
        <v>365</v>
      </c>
      <c r="Q375" s="1" t="s">
        <v>2334</v>
      </c>
      <c r="R375" s="62">
        <v>0</v>
      </c>
      <c r="S375" s="102">
        <v>0</v>
      </c>
      <c r="T375" s="54" t="s">
        <v>2335</v>
      </c>
      <c r="U375" s="105">
        <v>26.5</v>
      </c>
      <c r="V375" s="62">
        <v>0</v>
      </c>
      <c r="W375" s="102">
        <v>0</v>
      </c>
      <c r="X375" s="62">
        <v>0</v>
      </c>
      <c r="Y375" s="102">
        <v>0</v>
      </c>
      <c r="Z375" s="62">
        <v>0</v>
      </c>
      <c r="AA375" s="102">
        <v>0</v>
      </c>
      <c r="AB375" s="62">
        <v>0</v>
      </c>
      <c r="AC375" s="106" t="s">
        <v>206</v>
      </c>
      <c r="AD375" s="106" t="s">
        <v>206</v>
      </c>
      <c r="AE375" s="106" t="s">
        <v>206</v>
      </c>
      <c r="AF375" s="106" t="s">
        <v>206</v>
      </c>
      <c r="AG375" s="106" t="s">
        <v>206</v>
      </c>
      <c r="AH375" s="106" t="s">
        <v>206</v>
      </c>
      <c r="AI375" s="1" t="s">
        <v>357</v>
      </c>
      <c r="AJ375" s="1" t="s">
        <v>206</v>
      </c>
      <c r="AK375" s="1" t="s">
        <v>867</v>
      </c>
      <c r="AL375" s="1" t="s">
        <v>200</v>
      </c>
      <c r="AM375" s="106" t="s">
        <v>203</v>
      </c>
      <c r="AN375" s="1" t="s">
        <v>2285</v>
      </c>
      <c r="AO375" s="1" t="s">
        <v>208</v>
      </c>
      <c r="AP375" s="1" t="s">
        <v>208</v>
      </c>
      <c r="AQ375" s="1" t="s">
        <v>208</v>
      </c>
      <c r="AR375" s="1" t="s">
        <v>208</v>
      </c>
      <c r="AS375" s="106" t="s">
        <v>208</v>
      </c>
      <c r="AT375" s="1" t="s">
        <v>208</v>
      </c>
      <c r="AU375" s="106" t="s">
        <v>206</v>
      </c>
      <c r="AV375" s="106" t="s">
        <v>206</v>
      </c>
      <c r="AW375" s="106" t="s">
        <v>206</v>
      </c>
      <c r="AX375" s="106" t="s">
        <v>35</v>
      </c>
      <c r="AY375" s="106" t="s">
        <v>208</v>
      </c>
      <c r="AZ375" s="1" t="s">
        <v>208</v>
      </c>
      <c r="BA375" s="106" t="s">
        <v>206</v>
      </c>
      <c r="BB375" s="106" t="s">
        <v>206</v>
      </c>
      <c r="BC375" s="106" t="s">
        <v>206</v>
      </c>
      <c r="BD375" s="106" t="s">
        <v>206</v>
      </c>
      <c r="BE375" s="106" t="s">
        <v>206</v>
      </c>
      <c r="BF375" s="107">
        <f>IF(AZ375="Não","Sim","Não")</f>
      </c>
      <c r="BG375" s="107">
        <f>IF(AZ375="NA","Sim","Não")</f>
      </c>
      <c r="BH375" s="106" t="s">
        <v>208</v>
      </c>
      <c r="BI375" s="1" t="s">
        <v>208</v>
      </c>
      <c r="BJ375" s="106" t="s">
        <v>241</v>
      </c>
      <c r="BK375" s="1" t="s">
        <v>208</v>
      </c>
      <c r="BL375" s="102">
        <v>0</v>
      </c>
      <c r="BM375" s="1" t="s">
        <v>206</v>
      </c>
      <c r="BN375" s="1" t="s">
        <v>208</v>
      </c>
      <c r="BO375" s="1" t="s">
        <v>208</v>
      </c>
      <c r="BP375" s="102">
        <v>0</v>
      </c>
      <c r="BQ375" s="1" t="s">
        <v>208</v>
      </c>
      <c r="BR375" s="1" t="s">
        <v>208</v>
      </c>
      <c r="BS375" s="106" t="s">
        <v>208</v>
      </c>
    </row>
    <row x14ac:dyDescent="0.25" r="376" customHeight="1" ht="17.25">
      <c r="A376" s="102">
        <v>375</v>
      </c>
      <c r="B376" s="1" t="s">
        <v>2336</v>
      </c>
      <c r="C376" s="102">
        <v>1</v>
      </c>
      <c r="D376" s="61" t="s">
        <v>721</v>
      </c>
      <c r="E376" s="1" t="s">
        <v>84</v>
      </c>
      <c r="F376" s="1" t="s">
        <v>170</v>
      </c>
      <c r="G376" s="1" t="s">
        <v>55</v>
      </c>
      <c r="H376" s="1" t="s">
        <v>2337</v>
      </c>
      <c r="I376" s="102">
        <v>1</v>
      </c>
      <c r="J376" s="1" t="s">
        <v>158</v>
      </c>
      <c r="K376" s="1" t="s">
        <v>22</v>
      </c>
      <c r="L376" s="103">
        <v>29833</v>
      </c>
      <c r="M376" s="104">
        <v>36</v>
      </c>
      <c r="N376" s="1" t="s">
        <v>176</v>
      </c>
      <c r="O376" s="1" t="s">
        <v>182</v>
      </c>
      <c r="P376" s="1" t="s">
        <v>178</v>
      </c>
      <c r="Q376" s="1" t="s">
        <v>2338</v>
      </c>
      <c r="R376" s="54" t="s">
        <v>2339</v>
      </c>
      <c r="S376" s="105">
        <v>61.5</v>
      </c>
      <c r="T376" s="54" t="s">
        <v>2340</v>
      </c>
      <c r="U376" s="105">
        <v>8.8</v>
      </c>
      <c r="V376" s="62">
        <v>0</v>
      </c>
      <c r="W376" s="102">
        <v>0</v>
      </c>
      <c r="X376" s="62">
        <v>0</v>
      </c>
      <c r="Y376" s="102">
        <v>0</v>
      </c>
      <c r="Z376" s="62">
        <v>0</v>
      </c>
      <c r="AA376" s="102">
        <v>0</v>
      </c>
      <c r="AB376" s="62">
        <v>0</v>
      </c>
      <c r="AC376" s="106" t="s">
        <v>206</v>
      </c>
      <c r="AD376" s="106" t="s">
        <v>206</v>
      </c>
      <c r="AE376" s="106" t="s">
        <v>206</v>
      </c>
      <c r="AF376" s="106" t="s">
        <v>206</v>
      </c>
      <c r="AG376" s="106" t="s">
        <v>206</v>
      </c>
      <c r="AH376" s="106" t="s">
        <v>206</v>
      </c>
      <c r="AI376" s="1" t="s">
        <v>2210</v>
      </c>
      <c r="AJ376" s="1" t="s">
        <v>1265</v>
      </c>
      <c r="AK376" s="1" t="s">
        <v>555</v>
      </c>
      <c r="AL376" s="1" t="s">
        <v>200</v>
      </c>
      <c r="AM376" s="106" t="s">
        <v>203</v>
      </c>
      <c r="AN376" s="1" t="s">
        <v>2285</v>
      </c>
      <c r="AO376" s="1" t="s">
        <v>1265</v>
      </c>
      <c r="AP376" s="1" t="s">
        <v>208</v>
      </c>
      <c r="AQ376" s="1" t="s">
        <v>208</v>
      </c>
      <c r="AR376" s="1" t="s">
        <v>208</v>
      </c>
      <c r="AS376" s="106" t="s">
        <v>208</v>
      </c>
      <c r="AT376" s="1" t="s">
        <v>208</v>
      </c>
      <c r="AU376" s="106" t="s">
        <v>206</v>
      </c>
      <c r="AV376" s="106" t="s">
        <v>206</v>
      </c>
      <c r="AW376" s="106" t="s">
        <v>206</v>
      </c>
      <c r="AX376" s="106" t="s">
        <v>35</v>
      </c>
      <c r="AY376" s="106" t="s">
        <v>208</v>
      </c>
      <c r="AZ376" s="1" t="s">
        <v>208</v>
      </c>
      <c r="BA376" s="106" t="s">
        <v>206</v>
      </c>
      <c r="BB376" s="106" t="s">
        <v>206</v>
      </c>
      <c r="BC376" s="106" t="s">
        <v>206</v>
      </c>
      <c r="BD376" s="106" t="s">
        <v>206</v>
      </c>
      <c r="BE376" s="106" t="s">
        <v>206</v>
      </c>
      <c r="BF376" s="107">
        <f>IF(AZ376="Não","Sim","Não")</f>
      </c>
      <c r="BG376" s="107">
        <f>IF(AZ376="NA","Sim","Não")</f>
      </c>
      <c r="BH376" s="106" t="s">
        <v>208</v>
      </c>
      <c r="BI376" s="1" t="s">
        <v>208</v>
      </c>
      <c r="BJ376" s="106" t="s">
        <v>241</v>
      </c>
      <c r="BK376" s="1" t="s">
        <v>208</v>
      </c>
      <c r="BL376" s="102">
        <v>0</v>
      </c>
      <c r="BM376" s="1" t="s">
        <v>206</v>
      </c>
      <c r="BN376" s="1" t="s">
        <v>676</v>
      </c>
      <c r="BO376" s="1" t="s">
        <v>676</v>
      </c>
      <c r="BP376" s="102">
        <v>12</v>
      </c>
      <c r="BQ376" s="1" t="s">
        <v>35</v>
      </c>
      <c r="BR376" s="1" t="s">
        <v>208</v>
      </c>
      <c r="BS376" s="106" t="s">
        <v>208</v>
      </c>
    </row>
    <row x14ac:dyDescent="0.25" r="377" customHeight="1" ht="17.25">
      <c r="A377" s="102">
        <v>376</v>
      </c>
      <c r="B377" s="1" t="s">
        <v>2341</v>
      </c>
      <c r="C377" s="102">
        <v>1</v>
      </c>
      <c r="D377" s="61">
        <v>42997</v>
      </c>
      <c r="E377" s="1" t="s">
        <v>110</v>
      </c>
      <c r="F377" s="1" t="s">
        <v>170</v>
      </c>
      <c r="G377" s="1" t="s">
        <v>65</v>
      </c>
      <c r="H377" s="1" t="s">
        <v>2342</v>
      </c>
      <c r="I377" s="102">
        <v>1</v>
      </c>
      <c r="J377" s="1" t="s">
        <v>158</v>
      </c>
      <c r="K377" s="1" t="s">
        <v>22</v>
      </c>
      <c r="L377" s="103">
        <v>35690</v>
      </c>
      <c r="M377" s="104">
        <v>20</v>
      </c>
      <c r="N377" s="1" t="s">
        <v>175</v>
      </c>
      <c r="O377" s="1" t="s">
        <v>24</v>
      </c>
      <c r="P377" s="1" t="s">
        <v>365</v>
      </c>
      <c r="Q377" s="1" t="s">
        <v>1139</v>
      </c>
      <c r="R377" s="54" t="s">
        <v>2343</v>
      </c>
      <c r="S377" s="105">
        <v>13.5</v>
      </c>
      <c r="T377" s="54" t="s">
        <v>2344</v>
      </c>
      <c r="U377" s="105">
        <v>9.1</v>
      </c>
      <c r="V377" s="62">
        <v>0</v>
      </c>
      <c r="W377" s="102">
        <v>0</v>
      </c>
      <c r="X377" s="62">
        <v>0</v>
      </c>
      <c r="Y377" s="102">
        <v>0</v>
      </c>
      <c r="Z377" s="62">
        <v>0</v>
      </c>
      <c r="AA377" s="102">
        <v>0</v>
      </c>
      <c r="AB377" s="62">
        <v>0</v>
      </c>
      <c r="AC377" s="106" t="s">
        <v>206</v>
      </c>
      <c r="AD377" s="106" t="s">
        <v>206</v>
      </c>
      <c r="AE377" s="106" t="s">
        <v>206</v>
      </c>
      <c r="AF377" s="106" t="s">
        <v>206</v>
      </c>
      <c r="AG377" s="106" t="s">
        <v>206</v>
      </c>
      <c r="AH377" s="106" t="s">
        <v>206</v>
      </c>
      <c r="AI377" s="1" t="s">
        <v>357</v>
      </c>
      <c r="AJ377" s="1" t="s">
        <v>206</v>
      </c>
      <c r="AK377" s="1" t="s">
        <v>520</v>
      </c>
      <c r="AL377" s="1" t="s">
        <v>199</v>
      </c>
      <c r="AM377" s="106" t="s">
        <v>203</v>
      </c>
      <c r="AN377" s="1" t="s">
        <v>208</v>
      </c>
      <c r="AO377" s="1" t="s">
        <v>208</v>
      </c>
      <c r="AP377" s="1" t="s">
        <v>208</v>
      </c>
      <c r="AQ377" s="1" t="s">
        <v>208</v>
      </c>
      <c r="AR377" s="1" t="s">
        <v>208</v>
      </c>
      <c r="AS377" s="106" t="s">
        <v>208</v>
      </c>
      <c r="AT377" s="1" t="s">
        <v>208</v>
      </c>
      <c r="AU377" s="106" t="s">
        <v>206</v>
      </c>
      <c r="AV377" s="106" t="s">
        <v>206</v>
      </c>
      <c r="AW377" s="106" t="s">
        <v>206</v>
      </c>
      <c r="AX377" s="106" t="s">
        <v>35</v>
      </c>
      <c r="AY377" s="106" t="s">
        <v>208</v>
      </c>
      <c r="AZ377" s="1" t="s">
        <v>208</v>
      </c>
      <c r="BA377" s="106" t="s">
        <v>206</v>
      </c>
      <c r="BB377" s="106" t="s">
        <v>206</v>
      </c>
      <c r="BC377" s="106" t="s">
        <v>206</v>
      </c>
      <c r="BD377" s="106" t="s">
        <v>206</v>
      </c>
      <c r="BE377" s="106" t="s">
        <v>206</v>
      </c>
      <c r="BF377" s="107">
        <f>IF(AZ377="Não","Sim","Não")</f>
      </c>
      <c r="BG377" s="107">
        <f>IF(AZ377="NA","Sim","Não")</f>
      </c>
      <c r="BH377" s="106" t="s">
        <v>208</v>
      </c>
      <c r="BI377" s="1" t="s">
        <v>208</v>
      </c>
      <c r="BJ377" s="106" t="s">
        <v>241</v>
      </c>
      <c r="BK377" s="1" t="s">
        <v>208</v>
      </c>
      <c r="BL377" s="102">
        <v>0</v>
      </c>
      <c r="BM377" s="1" t="s">
        <v>208</v>
      </c>
      <c r="BN377" s="1" t="s">
        <v>208</v>
      </c>
      <c r="BO377" s="1" t="s">
        <v>208</v>
      </c>
      <c r="BP377" s="102">
        <v>0</v>
      </c>
      <c r="BQ377" s="1" t="s">
        <v>208</v>
      </c>
      <c r="BR377" s="1" t="s">
        <v>208</v>
      </c>
      <c r="BS377" s="106" t="s">
        <v>208</v>
      </c>
    </row>
    <row x14ac:dyDescent="0.25" r="378" customHeight="1" ht="17.25">
      <c r="A378" s="102">
        <v>377</v>
      </c>
      <c r="B378" s="1" t="s">
        <v>2345</v>
      </c>
      <c r="C378" s="102">
        <v>1</v>
      </c>
      <c r="D378" s="61" t="s">
        <v>817</v>
      </c>
      <c r="E378" s="1" t="s">
        <v>79</v>
      </c>
      <c r="F378" s="1" t="s">
        <v>170</v>
      </c>
      <c r="G378" s="1" t="s">
        <v>66</v>
      </c>
      <c r="H378" s="1" t="s">
        <v>2346</v>
      </c>
      <c r="I378" s="102">
        <v>1</v>
      </c>
      <c r="J378" s="1" t="s">
        <v>158</v>
      </c>
      <c r="K378" s="1" t="s">
        <v>22</v>
      </c>
      <c r="L378" s="103">
        <v>33448</v>
      </c>
      <c r="M378" s="104">
        <v>26</v>
      </c>
      <c r="N378" s="1" t="s">
        <v>175</v>
      </c>
      <c r="O378" s="1" t="s">
        <v>24</v>
      </c>
      <c r="P378" s="1" t="s">
        <v>354</v>
      </c>
      <c r="Q378" s="1" t="s">
        <v>2347</v>
      </c>
      <c r="R378" s="54" t="s">
        <v>2348</v>
      </c>
      <c r="S378" s="105">
        <v>4.3</v>
      </c>
      <c r="T378" s="54" t="s">
        <v>2349</v>
      </c>
      <c r="U378" s="105">
        <v>11.8</v>
      </c>
      <c r="V378" s="62">
        <v>0</v>
      </c>
      <c r="W378" s="102">
        <v>0</v>
      </c>
      <c r="X378" s="62">
        <v>0</v>
      </c>
      <c r="Y378" s="102">
        <v>0</v>
      </c>
      <c r="Z378" s="62">
        <v>0</v>
      </c>
      <c r="AA378" s="102">
        <v>0</v>
      </c>
      <c r="AB378" s="62">
        <v>0</v>
      </c>
      <c r="AC378" s="106" t="s">
        <v>206</v>
      </c>
      <c r="AD378" s="106" t="s">
        <v>206</v>
      </c>
      <c r="AE378" s="106" t="s">
        <v>206</v>
      </c>
      <c r="AF378" s="106" t="s">
        <v>206</v>
      </c>
      <c r="AG378" s="106" t="s">
        <v>206</v>
      </c>
      <c r="AH378" s="106" t="s">
        <v>206</v>
      </c>
      <c r="AI378" s="1" t="s">
        <v>357</v>
      </c>
      <c r="AJ378" s="1" t="s">
        <v>206</v>
      </c>
      <c r="AK378" s="1" t="s">
        <v>430</v>
      </c>
      <c r="AL378" s="1" t="s">
        <v>200</v>
      </c>
      <c r="AM378" s="106" t="s">
        <v>203</v>
      </c>
      <c r="AN378" s="1" t="s">
        <v>2285</v>
      </c>
      <c r="AO378" s="1" t="s">
        <v>208</v>
      </c>
      <c r="AP378" s="1" t="s">
        <v>208</v>
      </c>
      <c r="AQ378" s="1" t="s">
        <v>208</v>
      </c>
      <c r="AR378" s="1" t="s">
        <v>208</v>
      </c>
      <c r="AS378" s="106" t="s">
        <v>208</v>
      </c>
      <c r="AT378" s="1" t="s">
        <v>208</v>
      </c>
      <c r="AU378" s="106" t="s">
        <v>206</v>
      </c>
      <c r="AV378" s="106" t="s">
        <v>206</v>
      </c>
      <c r="AW378" s="106" t="s">
        <v>206</v>
      </c>
      <c r="AX378" s="106" t="s">
        <v>35</v>
      </c>
      <c r="AY378" s="106" t="s">
        <v>208</v>
      </c>
      <c r="AZ378" s="1" t="s">
        <v>208</v>
      </c>
      <c r="BA378" s="106" t="s">
        <v>206</v>
      </c>
      <c r="BB378" s="106" t="s">
        <v>206</v>
      </c>
      <c r="BC378" s="106" t="s">
        <v>206</v>
      </c>
      <c r="BD378" s="106" t="s">
        <v>206</v>
      </c>
      <c r="BE378" s="106" t="s">
        <v>206</v>
      </c>
      <c r="BF378" s="107">
        <f>IF(AZ378="Não","Sim","Não")</f>
      </c>
      <c r="BG378" s="107">
        <f>IF(AZ378="NA","Sim","Não")</f>
      </c>
      <c r="BH378" s="106" t="s">
        <v>208</v>
      </c>
      <c r="BI378" s="1" t="s">
        <v>208</v>
      </c>
      <c r="BJ378" s="106" t="s">
        <v>241</v>
      </c>
      <c r="BK378" s="1" t="s">
        <v>208</v>
      </c>
      <c r="BL378" s="102">
        <v>0</v>
      </c>
      <c r="BM378" s="1" t="s">
        <v>206</v>
      </c>
      <c r="BN378" s="1" t="s">
        <v>208</v>
      </c>
      <c r="BO378" s="1" t="s">
        <v>208</v>
      </c>
      <c r="BP378" s="102">
        <v>0</v>
      </c>
      <c r="BQ378" s="1" t="s">
        <v>208</v>
      </c>
      <c r="BR378" s="1" t="s">
        <v>208</v>
      </c>
      <c r="BS378" s="106" t="s">
        <v>208</v>
      </c>
    </row>
    <row x14ac:dyDescent="0.25" r="379" customHeight="1" ht="17.25">
      <c r="A379" s="102">
        <v>378</v>
      </c>
      <c r="B379" s="1" t="s">
        <v>2345</v>
      </c>
      <c r="C379" s="102">
        <v>0</v>
      </c>
      <c r="D379" s="61" t="s">
        <v>817</v>
      </c>
      <c r="E379" s="1" t="s">
        <v>79</v>
      </c>
      <c r="F379" s="1" t="s">
        <v>170</v>
      </c>
      <c r="G379" s="1" t="s">
        <v>66</v>
      </c>
      <c r="H379" s="1" t="s">
        <v>2350</v>
      </c>
      <c r="I379" s="102">
        <v>1</v>
      </c>
      <c r="J379" s="1" t="s">
        <v>158</v>
      </c>
      <c r="K379" s="1" t="s">
        <v>170</v>
      </c>
      <c r="L379" s="103">
        <v>35262</v>
      </c>
      <c r="M379" s="104">
        <v>21</v>
      </c>
      <c r="N379" s="1" t="s">
        <v>175</v>
      </c>
      <c r="O379" s="1" t="s">
        <v>24</v>
      </c>
      <c r="P379" s="1" t="s">
        <v>517</v>
      </c>
      <c r="Q379" s="1" t="s">
        <v>2351</v>
      </c>
      <c r="R379" s="54" t="s">
        <v>2348</v>
      </c>
      <c r="S379" s="105">
        <v>4.3</v>
      </c>
      <c r="T379" s="54" t="s">
        <v>2349</v>
      </c>
      <c r="U379" s="105">
        <v>11.8</v>
      </c>
      <c r="V379" s="62">
        <v>0</v>
      </c>
      <c r="W379" s="102">
        <v>0</v>
      </c>
      <c r="X379" s="62">
        <v>0</v>
      </c>
      <c r="Y379" s="102">
        <v>0</v>
      </c>
      <c r="Z379" s="62">
        <v>0</v>
      </c>
      <c r="AA379" s="102">
        <v>0</v>
      </c>
      <c r="AB379" s="62">
        <v>0</v>
      </c>
      <c r="AC379" s="106" t="s">
        <v>206</v>
      </c>
      <c r="AD379" s="106" t="s">
        <v>206</v>
      </c>
      <c r="AE379" s="106" t="s">
        <v>206</v>
      </c>
      <c r="AF379" s="106" t="s">
        <v>206</v>
      </c>
      <c r="AG379" s="106" t="s">
        <v>206</v>
      </c>
      <c r="AH379" s="106" t="s">
        <v>206</v>
      </c>
      <c r="AI379" s="1" t="s">
        <v>357</v>
      </c>
      <c r="AJ379" s="1" t="s">
        <v>206</v>
      </c>
      <c r="AK379" s="1" t="s">
        <v>430</v>
      </c>
      <c r="AL379" s="1" t="s">
        <v>199</v>
      </c>
      <c r="AM379" s="106" t="s">
        <v>203</v>
      </c>
      <c r="AN379" s="1" t="s">
        <v>208</v>
      </c>
      <c r="AO379" s="1" t="s">
        <v>208</v>
      </c>
      <c r="AP379" s="1" t="s">
        <v>208</v>
      </c>
      <c r="AQ379" s="1" t="s">
        <v>208</v>
      </c>
      <c r="AR379" s="1" t="s">
        <v>208</v>
      </c>
      <c r="AS379" s="106" t="s">
        <v>208</v>
      </c>
      <c r="AT379" s="1" t="s">
        <v>208</v>
      </c>
      <c r="AU379" s="106" t="s">
        <v>206</v>
      </c>
      <c r="AV379" s="106" t="s">
        <v>206</v>
      </c>
      <c r="AW379" s="106" t="s">
        <v>206</v>
      </c>
      <c r="AX379" s="106" t="s">
        <v>35</v>
      </c>
      <c r="AY379" s="106" t="s">
        <v>208</v>
      </c>
      <c r="AZ379" s="1" t="s">
        <v>208</v>
      </c>
      <c r="BA379" s="106" t="s">
        <v>206</v>
      </c>
      <c r="BB379" s="106" t="s">
        <v>206</v>
      </c>
      <c r="BC379" s="106" t="s">
        <v>206</v>
      </c>
      <c r="BD379" s="106" t="s">
        <v>206</v>
      </c>
      <c r="BE379" s="106" t="s">
        <v>206</v>
      </c>
      <c r="BF379" s="107">
        <f>IF(AZ379="Não","Sim","Não")</f>
      </c>
      <c r="BG379" s="107">
        <f>IF(AZ379="NA","Sim","Não")</f>
      </c>
      <c r="BH379" s="106" t="s">
        <v>208</v>
      </c>
      <c r="BI379" s="1" t="s">
        <v>208</v>
      </c>
      <c r="BJ379" s="106" t="s">
        <v>241</v>
      </c>
      <c r="BK379" s="1" t="s">
        <v>208</v>
      </c>
      <c r="BL379" s="102">
        <v>0</v>
      </c>
      <c r="BM379" s="1" t="s">
        <v>208</v>
      </c>
      <c r="BN379" s="1" t="s">
        <v>208</v>
      </c>
      <c r="BO379" s="1" t="s">
        <v>208</v>
      </c>
      <c r="BP379" s="102">
        <v>0</v>
      </c>
      <c r="BQ379" s="1" t="s">
        <v>208</v>
      </c>
      <c r="BR379" s="1" t="s">
        <v>208</v>
      </c>
      <c r="BS379" s="106" t="s">
        <v>208</v>
      </c>
    </row>
    <row x14ac:dyDescent="0.25" r="380" customHeight="1" ht="17.25">
      <c r="A380" s="102">
        <v>379</v>
      </c>
      <c r="B380" s="1" t="s">
        <v>2352</v>
      </c>
      <c r="C380" s="102">
        <v>1</v>
      </c>
      <c r="D380" s="61" t="s">
        <v>1429</v>
      </c>
      <c r="E380" s="1" t="s">
        <v>102</v>
      </c>
      <c r="F380" s="1" t="s">
        <v>22</v>
      </c>
      <c r="G380" s="1" t="s">
        <v>56</v>
      </c>
      <c r="H380" s="1" t="s">
        <v>2353</v>
      </c>
      <c r="I380" s="102">
        <v>1</v>
      </c>
      <c r="J380" s="1" t="s">
        <v>158</v>
      </c>
      <c r="K380" s="1" t="s">
        <v>22</v>
      </c>
      <c r="L380" s="103">
        <v>32120</v>
      </c>
      <c r="M380" s="104">
        <v>29</v>
      </c>
      <c r="N380" s="1" t="s">
        <v>175</v>
      </c>
      <c r="O380" s="1" t="s">
        <v>24</v>
      </c>
      <c r="P380" s="1" t="s">
        <v>365</v>
      </c>
      <c r="Q380" s="1" t="s">
        <v>1008</v>
      </c>
      <c r="R380" s="54" t="s">
        <v>2354</v>
      </c>
      <c r="S380" s="102">
        <v>1</v>
      </c>
      <c r="T380" s="54" t="s">
        <v>2355</v>
      </c>
      <c r="U380" s="102">
        <v>135</v>
      </c>
      <c r="V380" s="62">
        <v>0</v>
      </c>
      <c r="W380" s="102">
        <v>0</v>
      </c>
      <c r="X380" s="62">
        <v>0</v>
      </c>
      <c r="Y380" s="102">
        <v>0</v>
      </c>
      <c r="Z380" s="62">
        <v>0</v>
      </c>
      <c r="AA380" s="102">
        <v>0</v>
      </c>
      <c r="AB380" s="62">
        <v>0</v>
      </c>
      <c r="AC380" s="106" t="s">
        <v>206</v>
      </c>
      <c r="AD380" s="106" t="s">
        <v>206</v>
      </c>
      <c r="AE380" s="106" t="s">
        <v>206</v>
      </c>
      <c r="AF380" s="106" t="s">
        <v>206</v>
      </c>
      <c r="AG380" s="106" t="s">
        <v>206</v>
      </c>
      <c r="AH380" s="106" t="s">
        <v>206</v>
      </c>
      <c r="AI380" s="1" t="s">
        <v>357</v>
      </c>
      <c r="AJ380" s="1" t="s">
        <v>206</v>
      </c>
      <c r="AK380" s="1" t="s">
        <v>2356</v>
      </c>
      <c r="AL380" s="1" t="s">
        <v>200</v>
      </c>
      <c r="AM380" s="106" t="s">
        <v>203</v>
      </c>
      <c r="AN380" s="1" t="s">
        <v>2285</v>
      </c>
      <c r="AO380" s="1" t="s">
        <v>208</v>
      </c>
      <c r="AP380" s="1" t="s">
        <v>208</v>
      </c>
      <c r="AQ380" s="1" t="s">
        <v>208</v>
      </c>
      <c r="AR380" s="1" t="s">
        <v>208</v>
      </c>
      <c r="AS380" s="106" t="s">
        <v>208</v>
      </c>
      <c r="AT380" s="1" t="s">
        <v>208</v>
      </c>
      <c r="AU380" s="106" t="s">
        <v>206</v>
      </c>
      <c r="AV380" s="106" t="s">
        <v>206</v>
      </c>
      <c r="AW380" s="106" t="s">
        <v>206</v>
      </c>
      <c r="AX380" s="106" t="s">
        <v>35</v>
      </c>
      <c r="AY380" s="106" t="s">
        <v>208</v>
      </c>
      <c r="AZ380" s="1" t="s">
        <v>208</v>
      </c>
      <c r="BA380" s="106" t="s">
        <v>206</v>
      </c>
      <c r="BB380" s="106" t="s">
        <v>206</v>
      </c>
      <c r="BC380" s="106" t="s">
        <v>206</v>
      </c>
      <c r="BD380" s="106" t="s">
        <v>206</v>
      </c>
      <c r="BE380" s="106" t="s">
        <v>206</v>
      </c>
      <c r="BF380" s="107">
        <f>IF(AZ380="Não","Sim","Não")</f>
      </c>
      <c r="BG380" s="107">
        <f>IF(AZ380="NA","Sim","Não")</f>
      </c>
      <c r="BH380" s="106" t="s">
        <v>208</v>
      </c>
      <c r="BI380" s="1" t="s">
        <v>208</v>
      </c>
      <c r="BJ380" s="106" t="s">
        <v>241</v>
      </c>
      <c r="BK380" s="1" t="s">
        <v>208</v>
      </c>
      <c r="BL380" s="102">
        <v>0</v>
      </c>
      <c r="BM380" s="1" t="s">
        <v>206</v>
      </c>
      <c r="BN380" s="1" t="s">
        <v>208</v>
      </c>
      <c r="BO380" s="1" t="s">
        <v>208</v>
      </c>
      <c r="BP380" s="102">
        <v>0</v>
      </c>
      <c r="BQ380" s="1" t="s">
        <v>208</v>
      </c>
      <c r="BR380" s="1" t="s">
        <v>208</v>
      </c>
      <c r="BS380" s="106" t="s">
        <v>208</v>
      </c>
    </row>
    <row x14ac:dyDescent="0.25" r="381" customHeight="1" ht="17.25">
      <c r="A381" s="102">
        <v>380</v>
      </c>
      <c r="B381" s="1" t="s">
        <v>2357</v>
      </c>
      <c r="C381" s="102">
        <v>1</v>
      </c>
      <c r="D381" s="61">
        <v>42922</v>
      </c>
      <c r="E381" s="1" t="s">
        <v>92</v>
      </c>
      <c r="F381" s="1" t="s">
        <v>22</v>
      </c>
      <c r="G381" s="1" t="s">
        <v>57</v>
      </c>
      <c r="H381" s="1" t="s">
        <v>2358</v>
      </c>
      <c r="I381" s="102">
        <v>1</v>
      </c>
      <c r="J381" s="1" t="s">
        <v>158</v>
      </c>
      <c r="K381" s="1" t="s">
        <v>22</v>
      </c>
      <c r="L381" s="103">
        <v>30314</v>
      </c>
      <c r="M381" s="104">
        <v>34</v>
      </c>
      <c r="N381" s="1" t="s">
        <v>175</v>
      </c>
      <c r="O381" s="1" t="s">
        <v>24</v>
      </c>
      <c r="P381" s="1" t="s">
        <v>615</v>
      </c>
      <c r="Q381" s="1" t="s">
        <v>2325</v>
      </c>
      <c r="R381" s="54" t="s">
        <v>2359</v>
      </c>
      <c r="S381" s="105">
        <v>3.3</v>
      </c>
      <c r="T381" s="54" t="s">
        <v>2360</v>
      </c>
      <c r="U381" s="105">
        <v>13.6</v>
      </c>
      <c r="V381" s="62">
        <v>0</v>
      </c>
      <c r="W381" s="102">
        <v>0</v>
      </c>
      <c r="X381" s="62">
        <v>0</v>
      </c>
      <c r="Y381" s="102">
        <v>0</v>
      </c>
      <c r="Z381" s="62">
        <v>0</v>
      </c>
      <c r="AA381" s="102">
        <v>0</v>
      </c>
      <c r="AB381" s="62">
        <v>0</v>
      </c>
      <c r="AC381" s="106" t="s">
        <v>206</v>
      </c>
      <c r="AD381" s="106" t="s">
        <v>206</v>
      </c>
      <c r="AE381" s="106" t="s">
        <v>206</v>
      </c>
      <c r="AF381" s="106" t="s">
        <v>206</v>
      </c>
      <c r="AG381" s="106" t="s">
        <v>206</v>
      </c>
      <c r="AH381" s="106" t="s">
        <v>206</v>
      </c>
      <c r="AI381" s="1" t="s">
        <v>357</v>
      </c>
      <c r="AJ381" s="1" t="s">
        <v>206</v>
      </c>
      <c r="AK381" s="1" t="s">
        <v>2361</v>
      </c>
      <c r="AL381" s="1" t="s">
        <v>200</v>
      </c>
      <c r="AM381" s="106" t="s">
        <v>203</v>
      </c>
      <c r="AN381" s="1" t="s">
        <v>2285</v>
      </c>
      <c r="AO381" s="1" t="s">
        <v>208</v>
      </c>
      <c r="AP381" s="1" t="s">
        <v>208</v>
      </c>
      <c r="AQ381" s="1" t="s">
        <v>208</v>
      </c>
      <c r="AR381" s="1" t="s">
        <v>208</v>
      </c>
      <c r="AS381" s="106" t="s">
        <v>208</v>
      </c>
      <c r="AT381" s="1" t="s">
        <v>208</v>
      </c>
      <c r="AU381" s="106" t="s">
        <v>206</v>
      </c>
      <c r="AV381" s="106" t="s">
        <v>206</v>
      </c>
      <c r="AW381" s="106" t="s">
        <v>206</v>
      </c>
      <c r="AX381" s="106" t="s">
        <v>35</v>
      </c>
      <c r="AY381" s="106" t="s">
        <v>208</v>
      </c>
      <c r="AZ381" s="1" t="s">
        <v>208</v>
      </c>
      <c r="BA381" s="106" t="s">
        <v>206</v>
      </c>
      <c r="BB381" s="106" t="s">
        <v>206</v>
      </c>
      <c r="BC381" s="106" t="s">
        <v>206</v>
      </c>
      <c r="BD381" s="106" t="s">
        <v>206</v>
      </c>
      <c r="BE381" s="106" t="s">
        <v>206</v>
      </c>
      <c r="BF381" s="107">
        <f>IF(AZ381="Não","Sim","Não")</f>
      </c>
      <c r="BG381" s="107">
        <f>IF(AZ381="NA","Sim","Não")</f>
      </c>
      <c r="BH381" s="106" t="s">
        <v>208</v>
      </c>
      <c r="BI381" s="1" t="s">
        <v>208</v>
      </c>
      <c r="BJ381" s="106" t="s">
        <v>241</v>
      </c>
      <c r="BK381" s="1" t="s">
        <v>208</v>
      </c>
      <c r="BL381" s="102">
        <v>0</v>
      </c>
      <c r="BM381" s="1" t="s">
        <v>206</v>
      </c>
      <c r="BN381" s="1" t="s">
        <v>208</v>
      </c>
      <c r="BO381" s="1" t="s">
        <v>208</v>
      </c>
      <c r="BP381" s="102">
        <v>0</v>
      </c>
      <c r="BQ381" s="1" t="s">
        <v>208</v>
      </c>
      <c r="BR381" s="1" t="s">
        <v>208</v>
      </c>
      <c r="BS381" s="106" t="s">
        <v>208</v>
      </c>
    </row>
    <row x14ac:dyDescent="0.25" r="382" customHeight="1" ht="17.25">
      <c r="A382" s="102">
        <v>381</v>
      </c>
      <c r="B382" s="1" t="s">
        <v>2362</v>
      </c>
      <c r="C382" s="102">
        <v>1</v>
      </c>
      <c r="D382" s="61" t="s">
        <v>515</v>
      </c>
      <c r="E382" s="1" t="s">
        <v>121</v>
      </c>
      <c r="F382" s="1" t="s">
        <v>170</v>
      </c>
      <c r="G382" s="1" t="s">
        <v>66</v>
      </c>
      <c r="H382" s="1" t="s">
        <v>2363</v>
      </c>
      <c r="I382" s="102">
        <v>1</v>
      </c>
      <c r="J382" s="1" t="s">
        <v>158</v>
      </c>
      <c r="K382" s="1" t="s">
        <v>22</v>
      </c>
      <c r="L382" s="103">
        <v>35028</v>
      </c>
      <c r="M382" s="104">
        <v>21</v>
      </c>
      <c r="N382" s="1" t="s">
        <v>176</v>
      </c>
      <c r="O382" s="1" t="s">
        <v>182</v>
      </c>
      <c r="P382" s="1" t="s">
        <v>365</v>
      </c>
      <c r="Q382" s="1" t="s">
        <v>2364</v>
      </c>
      <c r="R382" s="54" t="s">
        <v>2365</v>
      </c>
      <c r="S382" s="105">
        <v>0.9</v>
      </c>
      <c r="T382" s="54" t="s">
        <v>2366</v>
      </c>
      <c r="U382" s="105">
        <v>15.5</v>
      </c>
      <c r="V382" s="62">
        <v>0</v>
      </c>
      <c r="W382" s="102">
        <v>0</v>
      </c>
      <c r="X382" s="62">
        <v>0</v>
      </c>
      <c r="Y382" s="102">
        <v>0</v>
      </c>
      <c r="Z382" s="62">
        <v>0</v>
      </c>
      <c r="AA382" s="102">
        <v>0</v>
      </c>
      <c r="AB382" s="57" t="s">
        <v>2367</v>
      </c>
      <c r="AC382" s="106" t="s">
        <v>206</v>
      </c>
      <c r="AD382" s="106" t="s">
        <v>206</v>
      </c>
      <c r="AE382" s="106" t="s">
        <v>206</v>
      </c>
      <c r="AF382" s="106" t="s">
        <v>206</v>
      </c>
      <c r="AG382" s="106" t="s">
        <v>206</v>
      </c>
      <c r="AH382" s="106" t="s">
        <v>35</v>
      </c>
      <c r="AI382" s="1" t="s">
        <v>357</v>
      </c>
      <c r="AJ382" s="1" t="s">
        <v>206</v>
      </c>
      <c r="AK382" s="1" t="s">
        <v>2304</v>
      </c>
      <c r="AL382" s="1" t="s">
        <v>199</v>
      </c>
      <c r="AM382" s="106" t="s">
        <v>203</v>
      </c>
      <c r="AN382" s="1" t="s">
        <v>208</v>
      </c>
      <c r="AO382" s="1" t="s">
        <v>208</v>
      </c>
      <c r="AP382" s="1" t="s">
        <v>208</v>
      </c>
      <c r="AQ382" s="1" t="s">
        <v>208</v>
      </c>
      <c r="AR382" s="1" t="s">
        <v>208</v>
      </c>
      <c r="AS382" s="106" t="s">
        <v>208</v>
      </c>
      <c r="AT382" s="1" t="s">
        <v>208</v>
      </c>
      <c r="AU382" s="106" t="s">
        <v>206</v>
      </c>
      <c r="AV382" s="106" t="s">
        <v>206</v>
      </c>
      <c r="AW382" s="106" t="s">
        <v>206</v>
      </c>
      <c r="AX382" s="106" t="s">
        <v>35</v>
      </c>
      <c r="AY382" s="106" t="s">
        <v>208</v>
      </c>
      <c r="AZ382" s="1" t="s">
        <v>208</v>
      </c>
      <c r="BA382" s="106" t="s">
        <v>206</v>
      </c>
      <c r="BB382" s="106" t="s">
        <v>206</v>
      </c>
      <c r="BC382" s="106" t="s">
        <v>206</v>
      </c>
      <c r="BD382" s="106" t="s">
        <v>206</v>
      </c>
      <c r="BE382" s="106" t="s">
        <v>206</v>
      </c>
      <c r="BF382" s="107">
        <f>IF(AZ382="Não","Sim","Não")</f>
      </c>
      <c r="BG382" s="107">
        <f>IF(AZ382="NA","Sim","Não")</f>
      </c>
      <c r="BH382" s="106" t="s">
        <v>208</v>
      </c>
      <c r="BI382" s="1" t="s">
        <v>208</v>
      </c>
      <c r="BJ382" s="106" t="s">
        <v>241</v>
      </c>
      <c r="BK382" s="1" t="s">
        <v>208</v>
      </c>
      <c r="BL382" s="102">
        <v>0</v>
      </c>
      <c r="BM382" s="1" t="s">
        <v>208</v>
      </c>
      <c r="BN382" s="1" t="s">
        <v>208</v>
      </c>
      <c r="BO382" s="1" t="s">
        <v>208</v>
      </c>
      <c r="BP382" s="102">
        <v>0</v>
      </c>
      <c r="BQ382" s="1" t="s">
        <v>208</v>
      </c>
      <c r="BR382" s="1" t="s">
        <v>208</v>
      </c>
      <c r="BS382" s="106" t="s">
        <v>208</v>
      </c>
    </row>
    <row x14ac:dyDescent="0.25" r="383" customHeight="1" ht="17.25">
      <c r="A383" s="102">
        <v>382</v>
      </c>
      <c r="B383" s="1" t="s">
        <v>2368</v>
      </c>
      <c r="C383" s="102">
        <v>1</v>
      </c>
      <c r="D383" s="61" t="s">
        <v>2369</v>
      </c>
      <c r="E383" s="1" t="s">
        <v>90</v>
      </c>
      <c r="F383" s="1" t="s">
        <v>170</v>
      </c>
      <c r="G383" s="1" t="s">
        <v>41</v>
      </c>
      <c r="H383" s="1" t="s">
        <v>2370</v>
      </c>
      <c r="I383" s="102">
        <v>1</v>
      </c>
      <c r="J383" s="1" t="s">
        <v>158</v>
      </c>
      <c r="K383" s="1" t="s">
        <v>22</v>
      </c>
      <c r="L383" s="103">
        <v>32991</v>
      </c>
      <c r="M383" s="104">
        <v>27</v>
      </c>
      <c r="N383" s="1" t="s">
        <v>175</v>
      </c>
      <c r="O383" s="1" t="s">
        <v>24</v>
      </c>
      <c r="P383" s="1" t="s">
        <v>365</v>
      </c>
      <c r="Q383" s="1" t="s">
        <v>2371</v>
      </c>
      <c r="R383" s="54" t="s">
        <v>2372</v>
      </c>
      <c r="S383" s="105">
        <v>26.5</v>
      </c>
      <c r="T383" s="54" t="s">
        <v>2373</v>
      </c>
      <c r="U383" s="105">
        <v>10.8</v>
      </c>
      <c r="V383" s="62">
        <v>0</v>
      </c>
      <c r="W383" s="102">
        <v>0</v>
      </c>
      <c r="X383" s="62">
        <v>0</v>
      </c>
      <c r="Y383" s="102">
        <v>0</v>
      </c>
      <c r="Z383" s="62">
        <v>0</v>
      </c>
      <c r="AA383" s="102">
        <v>0</v>
      </c>
      <c r="AB383" s="62">
        <v>0</v>
      </c>
      <c r="AC383" s="106" t="s">
        <v>206</v>
      </c>
      <c r="AD383" s="106" t="s">
        <v>206</v>
      </c>
      <c r="AE383" s="106" t="s">
        <v>206</v>
      </c>
      <c r="AF383" s="106" t="s">
        <v>206</v>
      </c>
      <c r="AG383" s="106" t="s">
        <v>206</v>
      </c>
      <c r="AH383" s="106" t="s">
        <v>206</v>
      </c>
      <c r="AI383" s="1" t="s">
        <v>357</v>
      </c>
      <c r="AJ383" s="1" t="s">
        <v>206</v>
      </c>
      <c r="AK383" s="1" t="s">
        <v>2374</v>
      </c>
      <c r="AL383" s="1" t="s">
        <v>199</v>
      </c>
      <c r="AM383" s="106" t="s">
        <v>203</v>
      </c>
      <c r="AN383" s="1" t="s">
        <v>208</v>
      </c>
      <c r="AO383" s="1" t="s">
        <v>208</v>
      </c>
      <c r="AP383" s="1" t="s">
        <v>208</v>
      </c>
      <c r="AQ383" s="1" t="s">
        <v>208</v>
      </c>
      <c r="AR383" s="1" t="s">
        <v>208</v>
      </c>
      <c r="AS383" s="106" t="s">
        <v>208</v>
      </c>
      <c r="AT383" s="1" t="s">
        <v>208</v>
      </c>
      <c r="AU383" s="106" t="s">
        <v>206</v>
      </c>
      <c r="AV383" s="106" t="s">
        <v>206</v>
      </c>
      <c r="AW383" s="106" t="s">
        <v>206</v>
      </c>
      <c r="AX383" s="106" t="s">
        <v>35</v>
      </c>
      <c r="AY383" s="106" t="s">
        <v>208</v>
      </c>
      <c r="AZ383" s="1" t="s">
        <v>208</v>
      </c>
      <c r="BA383" s="106" t="s">
        <v>206</v>
      </c>
      <c r="BB383" s="106" t="s">
        <v>206</v>
      </c>
      <c r="BC383" s="106" t="s">
        <v>206</v>
      </c>
      <c r="BD383" s="106" t="s">
        <v>206</v>
      </c>
      <c r="BE383" s="106" t="s">
        <v>206</v>
      </c>
      <c r="BF383" s="107">
        <f>IF(AZ383="Não","Sim","Não")</f>
      </c>
      <c r="BG383" s="107">
        <f>IF(AZ383="NA","Sim","Não")</f>
      </c>
      <c r="BH383" s="106" t="s">
        <v>208</v>
      </c>
      <c r="BI383" s="1" t="s">
        <v>208</v>
      </c>
      <c r="BJ383" s="106" t="s">
        <v>241</v>
      </c>
      <c r="BK383" s="1" t="s">
        <v>208</v>
      </c>
      <c r="BL383" s="102">
        <v>0</v>
      </c>
      <c r="BM383" s="1" t="s">
        <v>208</v>
      </c>
      <c r="BN383" s="1" t="s">
        <v>208</v>
      </c>
      <c r="BO383" s="1" t="s">
        <v>208</v>
      </c>
      <c r="BP383" s="102">
        <v>0</v>
      </c>
      <c r="BQ383" s="1" t="s">
        <v>208</v>
      </c>
      <c r="BR383" s="1" t="s">
        <v>208</v>
      </c>
      <c r="BS383" s="106" t="s">
        <v>208</v>
      </c>
    </row>
    <row x14ac:dyDescent="0.25" r="384" customHeight="1" ht="17.25">
      <c r="A384" s="102">
        <v>383</v>
      </c>
      <c r="B384" s="1" t="s">
        <v>2375</v>
      </c>
      <c r="C384" s="102">
        <v>1</v>
      </c>
      <c r="D384" s="61">
        <v>43005</v>
      </c>
      <c r="E384" s="1" t="s">
        <v>113</v>
      </c>
      <c r="F384" s="1" t="s">
        <v>22</v>
      </c>
      <c r="G384" s="1" t="s">
        <v>65</v>
      </c>
      <c r="H384" s="1" t="s">
        <v>2376</v>
      </c>
      <c r="I384" s="102">
        <v>1</v>
      </c>
      <c r="J384" s="1" t="s">
        <v>158</v>
      </c>
      <c r="K384" s="1" t="s">
        <v>22</v>
      </c>
      <c r="L384" s="103">
        <v>35544</v>
      </c>
      <c r="M384" s="104">
        <v>20</v>
      </c>
      <c r="N384" s="1" t="s">
        <v>175</v>
      </c>
      <c r="O384" s="1" t="s">
        <v>24</v>
      </c>
      <c r="P384" s="1" t="s">
        <v>365</v>
      </c>
      <c r="Q384" s="1" t="s">
        <v>2377</v>
      </c>
      <c r="R384" s="54" t="s">
        <v>2378</v>
      </c>
      <c r="S384" s="105">
        <v>50.4</v>
      </c>
      <c r="T384" s="54" t="s">
        <v>2379</v>
      </c>
      <c r="U384" s="105">
        <v>100.4</v>
      </c>
      <c r="V384" s="62">
        <v>0</v>
      </c>
      <c r="W384" s="102">
        <v>0</v>
      </c>
      <c r="X384" s="62">
        <v>0</v>
      </c>
      <c r="Y384" s="102">
        <v>0</v>
      </c>
      <c r="Z384" s="62">
        <v>0</v>
      </c>
      <c r="AA384" s="102">
        <v>0</v>
      </c>
      <c r="AB384" s="62">
        <v>0</v>
      </c>
      <c r="AC384" s="106" t="s">
        <v>206</v>
      </c>
      <c r="AD384" s="106" t="s">
        <v>206</v>
      </c>
      <c r="AE384" s="106" t="s">
        <v>206</v>
      </c>
      <c r="AF384" s="106" t="s">
        <v>206</v>
      </c>
      <c r="AG384" s="106" t="s">
        <v>206</v>
      </c>
      <c r="AH384" s="106" t="s">
        <v>206</v>
      </c>
      <c r="AI384" s="1" t="s">
        <v>357</v>
      </c>
      <c r="AJ384" s="1" t="s">
        <v>206</v>
      </c>
      <c r="AK384" s="1" t="s">
        <v>2380</v>
      </c>
      <c r="AL384" s="1" t="s">
        <v>199</v>
      </c>
      <c r="AM384" s="106" t="s">
        <v>203</v>
      </c>
      <c r="AN384" s="1" t="s">
        <v>208</v>
      </c>
      <c r="AO384" s="1" t="s">
        <v>208</v>
      </c>
      <c r="AP384" s="1" t="s">
        <v>208</v>
      </c>
      <c r="AQ384" s="1" t="s">
        <v>208</v>
      </c>
      <c r="AR384" s="1" t="s">
        <v>208</v>
      </c>
      <c r="AS384" s="106" t="s">
        <v>208</v>
      </c>
      <c r="AT384" s="1" t="s">
        <v>208</v>
      </c>
      <c r="AU384" s="106" t="s">
        <v>206</v>
      </c>
      <c r="AV384" s="106" t="s">
        <v>206</v>
      </c>
      <c r="AW384" s="106" t="s">
        <v>206</v>
      </c>
      <c r="AX384" s="106" t="s">
        <v>35</v>
      </c>
      <c r="AY384" s="106" t="s">
        <v>208</v>
      </c>
      <c r="AZ384" s="1" t="s">
        <v>208</v>
      </c>
      <c r="BA384" s="106" t="s">
        <v>206</v>
      </c>
      <c r="BB384" s="106" t="s">
        <v>206</v>
      </c>
      <c r="BC384" s="106" t="s">
        <v>206</v>
      </c>
      <c r="BD384" s="106" t="s">
        <v>206</v>
      </c>
      <c r="BE384" s="106" t="s">
        <v>206</v>
      </c>
      <c r="BF384" s="107">
        <f>IF(AZ384="Não","Sim","Não")</f>
      </c>
      <c r="BG384" s="107">
        <f>IF(AZ384="NA","Sim","Não")</f>
      </c>
      <c r="BH384" s="106" t="s">
        <v>208</v>
      </c>
      <c r="BI384" s="1" t="s">
        <v>208</v>
      </c>
      <c r="BJ384" s="106" t="s">
        <v>241</v>
      </c>
      <c r="BK384" s="1" t="s">
        <v>208</v>
      </c>
      <c r="BL384" s="102">
        <v>0</v>
      </c>
      <c r="BM384" s="1" t="s">
        <v>208</v>
      </c>
      <c r="BN384" s="1" t="s">
        <v>208</v>
      </c>
      <c r="BO384" s="1" t="s">
        <v>208</v>
      </c>
      <c r="BP384" s="102">
        <v>0</v>
      </c>
      <c r="BQ384" s="1" t="s">
        <v>208</v>
      </c>
      <c r="BR384" s="1" t="s">
        <v>208</v>
      </c>
      <c r="BS384" s="106" t="s">
        <v>208</v>
      </c>
    </row>
    <row x14ac:dyDescent="0.25" r="385" customHeight="1" ht="17.25">
      <c r="A385" s="102">
        <v>384</v>
      </c>
      <c r="B385" s="1" t="s">
        <v>2381</v>
      </c>
      <c r="C385" s="102">
        <v>1</v>
      </c>
      <c r="D385" s="61" t="s">
        <v>1679</v>
      </c>
      <c r="E385" s="1" t="s">
        <v>139</v>
      </c>
      <c r="F385" s="1" t="s">
        <v>22</v>
      </c>
      <c r="G385" s="1" t="s">
        <v>49</v>
      </c>
      <c r="H385" s="1" t="s">
        <v>2382</v>
      </c>
      <c r="I385" s="102">
        <v>1</v>
      </c>
      <c r="J385" s="1" t="s">
        <v>158</v>
      </c>
      <c r="K385" s="1" t="s">
        <v>22</v>
      </c>
      <c r="L385" s="103">
        <v>31478</v>
      </c>
      <c r="M385" s="104">
        <v>31</v>
      </c>
      <c r="N385" s="1" t="s">
        <v>175</v>
      </c>
      <c r="O385" s="1" t="s">
        <v>24</v>
      </c>
      <c r="P385" s="1" t="s">
        <v>365</v>
      </c>
      <c r="Q385" s="1" t="s">
        <v>773</v>
      </c>
      <c r="R385" s="62">
        <v>0</v>
      </c>
      <c r="S385" s="102">
        <v>0</v>
      </c>
      <c r="T385" s="54" t="s">
        <v>2383</v>
      </c>
      <c r="U385" s="105">
        <v>8.6</v>
      </c>
      <c r="V385" s="62">
        <v>0</v>
      </c>
      <c r="W385" s="102">
        <v>0</v>
      </c>
      <c r="X385" s="62">
        <v>0</v>
      </c>
      <c r="Y385" s="102">
        <v>0</v>
      </c>
      <c r="Z385" s="62">
        <v>0</v>
      </c>
      <c r="AA385" s="102">
        <v>0</v>
      </c>
      <c r="AB385" s="62">
        <v>0</v>
      </c>
      <c r="AC385" s="106" t="s">
        <v>206</v>
      </c>
      <c r="AD385" s="106" t="s">
        <v>206</v>
      </c>
      <c r="AE385" s="106" t="s">
        <v>206</v>
      </c>
      <c r="AF385" s="106" t="s">
        <v>206</v>
      </c>
      <c r="AG385" s="106" t="s">
        <v>206</v>
      </c>
      <c r="AH385" s="106" t="s">
        <v>206</v>
      </c>
      <c r="AI385" s="1" t="s">
        <v>357</v>
      </c>
      <c r="AJ385" s="1" t="s">
        <v>206</v>
      </c>
      <c r="AK385" s="1" t="s">
        <v>555</v>
      </c>
      <c r="AL385" s="1" t="s">
        <v>200</v>
      </c>
      <c r="AM385" s="106" t="s">
        <v>203</v>
      </c>
      <c r="AN385" s="1" t="s">
        <v>2285</v>
      </c>
      <c r="AO385" s="1" t="s">
        <v>208</v>
      </c>
      <c r="AP385" s="1" t="s">
        <v>208</v>
      </c>
      <c r="AQ385" s="1" t="s">
        <v>208</v>
      </c>
      <c r="AR385" s="1" t="s">
        <v>208</v>
      </c>
      <c r="AS385" s="106" t="s">
        <v>208</v>
      </c>
      <c r="AT385" s="1" t="s">
        <v>208</v>
      </c>
      <c r="AU385" s="106" t="s">
        <v>206</v>
      </c>
      <c r="AV385" s="106" t="s">
        <v>206</v>
      </c>
      <c r="AW385" s="106" t="s">
        <v>206</v>
      </c>
      <c r="AX385" s="106" t="s">
        <v>35</v>
      </c>
      <c r="AY385" s="106" t="s">
        <v>208</v>
      </c>
      <c r="AZ385" s="1" t="s">
        <v>208</v>
      </c>
      <c r="BA385" s="106" t="s">
        <v>206</v>
      </c>
      <c r="BB385" s="106" t="s">
        <v>206</v>
      </c>
      <c r="BC385" s="106" t="s">
        <v>206</v>
      </c>
      <c r="BD385" s="106" t="s">
        <v>206</v>
      </c>
      <c r="BE385" s="106" t="s">
        <v>206</v>
      </c>
      <c r="BF385" s="107">
        <f>IF(AZ385="Não","Sim","Não")</f>
      </c>
      <c r="BG385" s="107">
        <f>IF(AZ385="NA","Sim","Não")</f>
      </c>
      <c r="BH385" s="106" t="s">
        <v>208</v>
      </c>
      <c r="BI385" s="1" t="s">
        <v>208</v>
      </c>
      <c r="BJ385" s="106" t="s">
        <v>241</v>
      </c>
      <c r="BK385" s="1" t="s">
        <v>208</v>
      </c>
      <c r="BL385" s="102">
        <v>0</v>
      </c>
      <c r="BM385" s="1" t="s">
        <v>206</v>
      </c>
      <c r="BN385" s="1" t="s">
        <v>208</v>
      </c>
      <c r="BO385" s="1" t="s">
        <v>208</v>
      </c>
      <c r="BP385" s="102">
        <v>0</v>
      </c>
      <c r="BQ385" s="1" t="s">
        <v>208</v>
      </c>
      <c r="BR385" s="1" t="s">
        <v>208</v>
      </c>
      <c r="BS385" s="106" t="s">
        <v>208</v>
      </c>
    </row>
    <row x14ac:dyDescent="0.25" r="386" customHeight="1" ht="17.25">
      <c r="A386" s="102">
        <v>385</v>
      </c>
      <c r="B386" s="1" t="s">
        <v>2384</v>
      </c>
      <c r="C386" s="102">
        <v>1</v>
      </c>
      <c r="D386" s="61" t="s">
        <v>2385</v>
      </c>
      <c r="E386" s="1" t="s">
        <v>76</v>
      </c>
      <c r="F386" s="1" t="s">
        <v>22</v>
      </c>
      <c r="G386" s="1" t="s">
        <v>60</v>
      </c>
      <c r="H386" s="1" t="s">
        <v>2386</v>
      </c>
      <c r="I386" s="102">
        <v>1</v>
      </c>
      <c r="J386" s="1" t="s">
        <v>158</v>
      </c>
      <c r="K386" s="1" t="s">
        <v>22</v>
      </c>
      <c r="L386" s="103">
        <v>29218</v>
      </c>
      <c r="M386" s="104">
        <v>37</v>
      </c>
      <c r="N386" s="1" t="s">
        <v>175</v>
      </c>
      <c r="O386" s="1" t="s">
        <v>24</v>
      </c>
      <c r="P386" s="1" t="s">
        <v>365</v>
      </c>
      <c r="Q386" s="1" t="s">
        <v>445</v>
      </c>
      <c r="R386" s="62">
        <v>0</v>
      </c>
      <c r="S386" s="102">
        <v>0</v>
      </c>
      <c r="T386" s="54" t="s">
        <v>2387</v>
      </c>
      <c r="U386" s="105">
        <v>14.2</v>
      </c>
      <c r="V386" s="62">
        <v>0</v>
      </c>
      <c r="W386" s="102">
        <v>0</v>
      </c>
      <c r="X386" s="62">
        <v>0</v>
      </c>
      <c r="Y386" s="102">
        <v>0</v>
      </c>
      <c r="Z386" s="62">
        <v>0</v>
      </c>
      <c r="AA386" s="102">
        <v>0</v>
      </c>
      <c r="AB386" s="62">
        <v>0</v>
      </c>
      <c r="AC386" s="106" t="s">
        <v>206</v>
      </c>
      <c r="AD386" s="106" t="s">
        <v>206</v>
      </c>
      <c r="AE386" s="106" t="s">
        <v>206</v>
      </c>
      <c r="AF386" s="106" t="s">
        <v>206</v>
      </c>
      <c r="AG386" s="106" t="s">
        <v>206</v>
      </c>
      <c r="AH386" s="106" t="s">
        <v>206</v>
      </c>
      <c r="AI386" s="1" t="s">
        <v>357</v>
      </c>
      <c r="AJ386" s="1" t="s">
        <v>206</v>
      </c>
      <c r="AK386" s="1" t="s">
        <v>2299</v>
      </c>
      <c r="AL386" s="1" t="s">
        <v>200</v>
      </c>
      <c r="AM386" s="106" t="s">
        <v>203</v>
      </c>
      <c r="AN386" s="1" t="s">
        <v>2285</v>
      </c>
      <c r="AO386" s="1" t="s">
        <v>208</v>
      </c>
      <c r="AP386" s="1" t="s">
        <v>208</v>
      </c>
      <c r="AQ386" s="1" t="s">
        <v>208</v>
      </c>
      <c r="AR386" s="1" t="s">
        <v>208</v>
      </c>
      <c r="AS386" s="106" t="s">
        <v>208</v>
      </c>
      <c r="AT386" s="1" t="s">
        <v>208</v>
      </c>
      <c r="AU386" s="106" t="s">
        <v>206</v>
      </c>
      <c r="AV386" s="106" t="s">
        <v>206</v>
      </c>
      <c r="AW386" s="106" t="s">
        <v>206</v>
      </c>
      <c r="AX386" s="106" t="s">
        <v>35</v>
      </c>
      <c r="AY386" s="106" t="s">
        <v>208</v>
      </c>
      <c r="AZ386" s="1" t="s">
        <v>208</v>
      </c>
      <c r="BA386" s="106" t="s">
        <v>206</v>
      </c>
      <c r="BB386" s="106" t="s">
        <v>206</v>
      </c>
      <c r="BC386" s="106" t="s">
        <v>206</v>
      </c>
      <c r="BD386" s="106" t="s">
        <v>206</v>
      </c>
      <c r="BE386" s="106" t="s">
        <v>206</v>
      </c>
      <c r="BF386" s="107">
        <f>IF(AZ386="Não","Sim","Não")</f>
      </c>
      <c r="BG386" s="107">
        <f>IF(AZ386="NA","Sim","Não")</f>
      </c>
      <c r="BH386" s="106" t="s">
        <v>208</v>
      </c>
      <c r="BI386" s="1" t="s">
        <v>208</v>
      </c>
      <c r="BJ386" s="106" t="s">
        <v>241</v>
      </c>
      <c r="BK386" s="1" t="s">
        <v>208</v>
      </c>
      <c r="BL386" s="102">
        <v>0</v>
      </c>
      <c r="BM386" s="1" t="s">
        <v>206</v>
      </c>
      <c r="BN386" s="1" t="s">
        <v>208</v>
      </c>
      <c r="BO386" s="1" t="s">
        <v>208</v>
      </c>
      <c r="BP386" s="102">
        <v>0</v>
      </c>
      <c r="BQ386" s="1" t="s">
        <v>208</v>
      </c>
      <c r="BR386" s="1" t="s">
        <v>208</v>
      </c>
      <c r="BS386" s="106" t="s">
        <v>208</v>
      </c>
    </row>
    <row x14ac:dyDescent="0.25" r="387" customHeight="1" ht="17.25">
      <c r="A387" s="102">
        <v>386</v>
      </c>
      <c r="B387" s="1" t="s">
        <v>2388</v>
      </c>
      <c r="C387" s="102">
        <v>1</v>
      </c>
      <c r="D387" s="61">
        <v>42864</v>
      </c>
      <c r="E387" s="1" t="s">
        <v>89</v>
      </c>
      <c r="F387" s="1" t="s">
        <v>22</v>
      </c>
      <c r="G387" s="1" t="s">
        <v>38</v>
      </c>
      <c r="H387" s="1" t="s">
        <v>2389</v>
      </c>
      <c r="I387" s="102">
        <v>1</v>
      </c>
      <c r="J387" s="1" t="s">
        <v>158</v>
      </c>
      <c r="K387" s="1" t="s">
        <v>22</v>
      </c>
      <c r="L387" s="103">
        <v>31815</v>
      </c>
      <c r="M387" s="104">
        <v>30</v>
      </c>
      <c r="N387" s="1" t="s">
        <v>175</v>
      </c>
      <c r="O387" s="1" t="s">
        <v>24</v>
      </c>
      <c r="P387" s="1" t="s">
        <v>354</v>
      </c>
      <c r="Q387" s="1" t="s">
        <v>2390</v>
      </c>
      <c r="R387" s="62">
        <v>0</v>
      </c>
      <c r="S387" s="102">
        <v>0</v>
      </c>
      <c r="T387" s="54" t="s">
        <v>2391</v>
      </c>
      <c r="U387" s="105">
        <v>5.8</v>
      </c>
      <c r="V387" s="62">
        <v>0</v>
      </c>
      <c r="W387" s="102">
        <v>0</v>
      </c>
      <c r="X387" s="62">
        <v>0</v>
      </c>
      <c r="Y387" s="102">
        <v>0</v>
      </c>
      <c r="Z387" s="62">
        <v>0</v>
      </c>
      <c r="AA387" s="102">
        <v>0</v>
      </c>
      <c r="AB387" s="62">
        <v>0</v>
      </c>
      <c r="AC387" s="106" t="s">
        <v>206</v>
      </c>
      <c r="AD387" s="106" t="s">
        <v>206</v>
      </c>
      <c r="AE387" s="106" t="s">
        <v>206</v>
      </c>
      <c r="AF387" s="106" t="s">
        <v>206</v>
      </c>
      <c r="AG387" s="106" t="s">
        <v>206</v>
      </c>
      <c r="AH387" s="106" t="s">
        <v>206</v>
      </c>
      <c r="AI387" s="1" t="s">
        <v>357</v>
      </c>
      <c r="AJ387" s="1" t="s">
        <v>206</v>
      </c>
      <c r="AK387" s="1" t="s">
        <v>28</v>
      </c>
      <c r="AL387" s="1" t="s">
        <v>200</v>
      </c>
      <c r="AM387" s="106" t="s">
        <v>203</v>
      </c>
      <c r="AN387" s="1" t="s">
        <v>2285</v>
      </c>
      <c r="AO387" s="1" t="s">
        <v>208</v>
      </c>
      <c r="AP387" s="1" t="s">
        <v>208</v>
      </c>
      <c r="AQ387" s="1" t="s">
        <v>208</v>
      </c>
      <c r="AR387" s="1" t="s">
        <v>208</v>
      </c>
      <c r="AS387" s="106" t="s">
        <v>208</v>
      </c>
      <c r="AT387" s="1" t="s">
        <v>208</v>
      </c>
      <c r="AU387" s="106" t="s">
        <v>206</v>
      </c>
      <c r="AV387" s="106" t="s">
        <v>206</v>
      </c>
      <c r="AW387" s="106" t="s">
        <v>206</v>
      </c>
      <c r="AX387" s="106" t="s">
        <v>35</v>
      </c>
      <c r="AY387" s="106" t="s">
        <v>208</v>
      </c>
      <c r="AZ387" s="1" t="s">
        <v>208</v>
      </c>
      <c r="BA387" s="106" t="s">
        <v>206</v>
      </c>
      <c r="BB387" s="106" t="s">
        <v>206</v>
      </c>
      <c r="BC387" s="106" t="s">
        <v>206</v>
      </c>
      <c r="BD387" s="106" t="s">
        <v>206</v>
      </c>
      <c r="BE387" s="106" t="s">
        <v>206</v>
      </c>
      <c r="BF387" s="107">
        <f>IF(AZ387="Não","Sim","Não")</f>
      </c>
      <c r="BG387" s="107">
        <f>IF(AZ387="NA","Sim","Não")</f>
      </c>
      <c r="BH387" s="106" t="s">
        <v>208</v>
      </c>
      <c r="BI387" s="1" t="s">
        <v>208</v>
      </c>
      <c r="BJ387" s="106" t="s">
        <v>241</v>
      </c>
      <c r="BK387" s="1" t="s">
        <v>208</v>
      </c>
      <c r="BL387" s="102">
        <v>0</v>
      </c>
      <c r="BM387" s="1" t="s">
        <v>206</v>
      </c>
      <c r="BN387" s="1" t="s">
        <v>208</v>
      </c>
      <c r="BO387" s="1" t="s">
        <v>208</v>
      </c>
      <c r="BP387" s="102">
        <v>0</v>
      </c>
      <c r="BQ387" s="1" t="s">
        <v>208</v>
      </c>
      <c r="BR387" s="1" t="s">
        <v>208</v>
      </c>
      <c r="BS387" s="106" t="s">
        <v>208</v>
      </c>
    </row>
    <row x14ac:dyDescent="0.25" r="388" customHeight="1" ht="17.25">
      <c r="A388" s="102">
        <v>387</v>
      </c>
      <c r="B388" s="1" t="s">
        <v>2392</v>
      </c>
      <c r="C388" s="102">
        <v>1</v>
      </c>
      <c r="D388" s="61" t="s">
        <v>1737</v>
      </c>
      <c r="E388" s="1" t="s">
        <v>86</v>
      </c>
      <c r="F388" s="1" t="s">
        <v>22</v>
      </c>
      <c r="G388" s="1" t="s">
        <v>50</v>
      </c>
      <c r="H388" s="1" t="s">
        <v>2393</v>
      </c>
      <c r="I388" s="102">
        <v>1</v>
      </c>
      <c r="J388" s="1" t="s">
        <v>158</v>
      </c>
      <c r="K388" s="1" t="s">
        <v>22</v>
      </c>
      <c r="L388" s="103">
        <v>35526</v>
      </c>
      <c r="M388" s="104">
        <v>20</v>
      </c>
      <c r="N388" s="1" t="s">
        <v>177</v>
      </c>
      <c r="O388" s="1" t="s">
        <v>24</v>
      </c>
      <c r="P388" s="1" t="s">
        <v>365</v>
      </c>
      <c r="Q388" s="1" t="s">
        <v>773</v>
      </c>
      <c r="R388" s="62">
        <v>0</v>
      </c>
      <c r="S388" s="102">
        <v>0</v>
      </c>
      <c r="T388" s="54" t="s">
        <v>2394</v>
      </c>
      <c r="U388" s="105">
        <v>11.1</v>
      </c>
      <c r="V388" s="62">
        <v>0</v>
      </c>
      <c r="W388" s="102">
        <v>0</v>
      </c>
      <c r="X388" s="62">
        <v>0</v>
      </c>
      <c r="Y388" s="102">
        <v>0</v>
      </c>
      <c r="Z388" s="62">
        <v>0</v>
      </c>
      <c r="AA388" s="102">
        <v>0</v>
      </c>
      <c r="AB388" s="62">
        <v>0</v>
      </c>
      <c r="AC388" s="106" t="s">
        <v>206</v>
      </c>
      <c r="AD388" s="106" t="s">
        <v>206</v>
      </c>
      <c r="AE388" s="106" t="s">
        <v>206</v>
      </c>
      <c r="AF388" s="106" t="s">
        <v>206</v>
      </c>
      <c r="AG388" s="106" t="s">
        <v>206</v>
      </c>
      <c r="AH388" s="106" t="s">
        <v>206</v>
      </c>
      <c r="AI388" s="1" t="s">
        <v>357</v>
      </c>
      <c r="AJ388" s="1" t="s">
        <v>206</v>
      </c>
      <c r="AK388" s="1" t="s">
        <v>2395</v>
      </c>
      <c r="AL388" s="1" t="s">
        <v>200</v>
      </c>
      <c r="AM388" s="106" t="s">
        <v>203</v>
      </c>
      <c r="AN388" s="1" t="s">
        <v>2285</v>
      </c>
      <c r="AO388" s="1" t="s">
        <v>208</v>
      </c>
      <c r="AP388" s="1" t="s">
        <v>208</v>
      </c>
      <c r="AQ388" s="1" t="s">
        <v>208</v>
      </c>
      <c r="AR388" s="1" t="s">
        <v>208</v>
      </c>
      <c r="AS388" s="106" t="s">
        <v>208</v>
      </c>
      <c r="AT388" s="1" t="s">
        <v>208</v>
      </c>
      <c r="AU388" s="106" t="s">
        <v>206</v>
      </c>
      <c r="AV388" s="106" t="s">
        <v>206</v>
      </c>
      <c r="AW388" s="106" t="s">
        <v>206</v>
      </c>
      <c r="AX388" s="106" t="s">
        <v>35</v>
      </c>
      <c r="AY388" s="106" t="s">
        <v>208</v>
      </c>
      <c r="AZ388" s="1" t="s">
        <v>208</v>
      </c>
      <c r="BA388" s="106" t="s">
        <v>206</v>
      </c>
      <c r="BB388" s="106" t="s">
        <v>206</v>
      </c>
      <c r="BC388" s="106" t="s">
        <v>206</v>
      </c>
      <c r="BD388" s="106" t="s">
        <v>206</v>
      </c>
      <c r="BE388" s="106" t="s">
        <v>206</v>
      </c>
      <c r="BF388" s="107">
        <f>IF(AZ388="Não","Sim","Não")</f>
      </c>
      <c r="BG388" s="107">
        <f>IF(AZ388="NA","Sim","Não")</f>
      </c>
      <c r="BH388" s="106" t="s">
        <v>208</v>
      </c>
      <c r="BI388" s="1" t="s">
        <v>208</v>
      </c>
      <c r="BJ388" s="106" t="s">
        <v>241</v>
      </c>
      <c r="BK388" s="1" t="s">
        <v>208</v>
      </c>
      <c r="BL388" s="102">
        <v>0</v>
      </c>
      <c r="BM388" s="1" t="s">
        <v>206</v>
      </c>
      <c r="BN388" s="1" t="s">
        <v>208</v>
      </c>
      <c r="BO388" s="1" t="s">
        <v>208</v>
      </c>
      <c r="BP388" s="102">
        <v>0</v>
      </c>
      <c r="BQ388" s="1" t="s">
        <v>208</v>
      </c>
      <c r="BR388" s="1" t="s">
        <v>208</v>
      </c>
      <c r="BS388" s="106" t="s">
        <v>208</v>
      </c>
    </row>
    <row x14ac:dyDescent="0.25" r="389" customHeight="1" ht="17.25">
      <c r="A389" s="102">
        <v>388</v>
      </c>
      <c r="B389" s="1" t="s">
        <v>2396</v>
      </c>
      <c r="C389" s="102">
        <v>1</v>
      </c>
      <c r="D389" s="61" t="s">
        <v>640</v>
      </c>
      <c r="E389" s="1" t="s">
        <v>104</v>
      </c>
      <c r="F389" s="1" t="s">
        <v>170</v>
      </c>
      <c r="G389" s="1" t="s">
        <v>69</v>
      </c>
      <c r="H389" s="1" t="s">
        <v>2397</v>
      </c>
      <c r="I389" s="102">
        <v>1</v>
      </c>
      <c r="J389" s="1" t="s">
        <v>158</v>
      </c>
      <c r="K389" s="1" t="s">
        <v>22</v>
      </c>
      <c r="L389" s="103">
        <v>33090</v>
      </c>
      <c r="M389" s="104">
        <v>27</v>
      </c>
      <c r="N389" s="1" t="s">
        <v>175</v>
      </c>
      <c r="O389" s="1" t="s">
        <v>24</v>
      </c>
      <c r="P389" s="1" t="s">
        <v>365</v>
      </c>
      <c r="Q389" s="1" t="s">
        <v>2398</v>
      </c>
      <c r="R389" s="62">
        <v>0</v>
      </c>
      <c r="S389" s="102">
        <v>0</v>
      </c>
      <c r="T389" s="54" t="s">
        <v>2399</v>
      </c>
      <c r="U389" s="105">
        <v>19.6</v>
      </c>
      <c r="V389" s="62">
        <v>0</v>
      </c>
      <c r="W389" s="102">
        <v>0</v>
      </c>
      <c r="X389" s="62">
        <v>0</v>
      </c>
      <c r="Y389" s="102">
        <v>0</v>
      </c>
      <c r="Z389" s="62">
        <v>0</v>
      </c>
      <c r="AA389" s="102">
        <v>0</v>
      </c>
      <c r="AB389" s="62">
        <v>0</v>
      </c>
      <c r="AC389" s="106" t="s">
        <v>206</v>
      </c>
      <c r="AD389" s="106" t="s">
        <v>206</v>
      </c>
      <c r="AE389" s="106" t="s">
        <v>206</v>
      </c>
      <c r="AF389" s="106" t="s">
        <v>206</v>
      </c>
      <c r="AG389" s="106" t="s">
        <v>206</v>
      </c>
      <c r="AH389" s="106" t="s">
        <v>206</v>
      </c>
      <c r="AI389" s="1" t="s">
        <v>357</v>
      </c>
      <c r="AJ389" s="1" t="s">
        <v>206</v>
      </c>
      <c r="AK389" s="1" t="s">
        <v>1275</v>
      </c>
      <c r="AL389" s="1" t="s">
        <v>199</v>
      </c>
      <c r="AM389" s="106" t="s">
        <v>203</v>
      </c>
      <c r="AN389" s="1" t="s">
        <v>208</v>
      </c>
      <c r="AO389" s="1" t="s">
        <v>208</v>
      </c>
      <c r="AP389" s="1" t="s">
        <v>208</v>
      </c>
      <c r="AQ389" s="1" t="s">
        <v>208</v>
      </c>
      <c r="AR389" s="1" t="s">
        <v>208</v>
      </c>
      <c r="AS389" s="106" t="s">
        <v>208</v>
      </c>
      <c r="AT389" s="1" t="s">
        <v>208</v>
      </c>
      <c r="AU389" s="106" t="s">
        <v>206</v>
      </c>
      <c r="AV389" s="106" t="s">
        <v>206</v>
      </c>
      <c r="AW389" s="106" t="s">
        <v>206</v>
      </c>
      <c r="AX389" s="106" t="s">
        <v>35</v>
      </c>
      <c r="AY389" s="106" t="s">
        <v>208</v>
      </c>
      <c r="AZ389" s="1" t="s">
        <v>208</v>
      </c>
      <c r="BA389" s="106" t="s">
        <v>206</v>
      </c>
      <c r="BB389" s="106" t="s">
        <v>206</v>
      </c>
      <c r="BC389" s="106" t="s">
        <v>206</v>
      </c>
      <c r="BD389" s="106" t="s">
        <v>206</v>
      </c>
      <c r="BE389" s="106" t="s">
        <v>206</v>
      </c>
      <c r="BF389" s="107">
        <f>IF(AZ389="Não","Sim","Não")</f>
      </c>
      <c r="BG389" s="107">
        <f>IF(AZ389="NA","Sim","Não")</f>
      </c>
      <c r="BH389" s="106" t="s">
        <v>208</v>
      </c>
      <c r="BI389" s="1" t="s">
        <v>208</v>
      </c>
      <c r="BJ389" s="106" t="s">
        <v>241</v>
      </c>
      <c r="BK389" s="1" t="s">
        <v>208</v>
      </c>
      <c r="BL389" s="102">
        <v>0</v>
      </c>
      <c r="BM389" s="1" t="s">
        <v>208</v>
      </c>
      <c r="BN389" s="1" t="s">
        <v>208</v>
      </c>
      <c r="BO389" s="1" t="s">
        <v>208</v>
      </c>
      <c r="BP389" s="102">
        <v>0</v>
      </c>
      <c r="BQ389" s="1" t="s">
        <v>208</v>
      </c>
      <c r="BR389" s="1" t="s">
        <v>208</v>
      </c>
      <c r="BS389" s="106" t="s">
        <v>208</v>
      </c>
    </row>
    <row x14ac:dyDescent="0.25" r="390" customHeight="1" ht="17.25">
      <c r="A390" s="102">
        <v>389</v>
      </c>
      <c r="B390" s="1" t="s">
        <v>2400</v>
      </c>
      <c r="C390" s="102">
        <v>1</v>
      </c>
      <c r="D390" s="61" t="s">
        <v>2401</v>
      </c>
      <c r="E390" s="1" t="s">
        <v>83</v>
      </c>
      <c r="F390" s="1" t="s">
        <v>22</v>
      </c>
      <c r="G390" s="1" t="s">
        <v>68</v>
      </c>
      <c r="H390" s="1" t="s">
        <v>2402</v>
      </c>
      <c r="I390" s="102">
        <v>1</v>
      </c>
      <c r="J390" s="1" t="s">
        <v>158</v>
      </c>
      <c r="K390" s="1" t="s">
        <v>22</v>
      </c>
      <c r="L390" s="103">
        <v>29966</v>
      </c>
      <c r="M390" s="104">
        <v>35</v>
      </c>
      <c r="N390" s="1" t="s">
        <v>175</v>
      </c>
      <c r="O390" s="1" t="s">
        <v>24</v>
      </c>
      <c r="P390" s="1" t="s">
        <v>354</v>
      </c>
      <c r="Q390" s="1" t="s">
        <v>2403</v>
      </c>
      <c r="R390" s="54" t="s">
        <v>2404</v>
      </c>
      <c r="S390" s="105">
        <v>52.7</v>
      </c>
      <c r="T390" s="54" t="s">
        <v>2405</v>
      </c>
      <c r="U390" s="105">
        <v>19.8</v>
      </c>
      <c r="V390" s="62">
        <v>0</v>
      </c>
      <c r="W390" s="102">
        <v>0</v>
      </c>
      <c r="X390" s="62">
        <v>0</v>
      </c>
      <c r="Y390" s="102">
        <v>0</v>
      </c>
      <c r="Z390" s="62">
        <v>0</v>
      </c>
      <c r="AA390" s="102">
        <v>0</v>
      </c>
      <c r="AB390" s="62">
        <v>0</v>
      </c>
      <c r="AC390" s="106" t="s">
        <v>206</v>
      </c>
      <c r="AD390" s="106" t="s">
        <v>206</v>
      </c>
      <c r="AE390" s="106" t="s">
        <v>206</v>
      </c>
      <c r="AF390" s="106" t="s">
        <v>206</v>
      </c>
      <c r="AG390" s="106" t="s">
        <v>206</v>
      </c>
      <c r="AH390" s="106" t="s">
        <v>206</v>
      </c>
      <c r="AI390" s="1" t="s">
        <v>357</v>
      </c>
      <c r="AJ390" s="1" t="s">
        <v>674</v>
      </c>
      <c r="AK390" s="1" t="s">
        <v>2406</v>
      </c>
      <c r="AL390" s="1" t="s">
        <v>199</v>
      </c>
      <c r="AM390" s="106" t="s">
        <v>203</v>
      </c>
      <c r="AN390" s="1" t="s">
        <v>208</v>
      </c>
      <c r="AO390" s="1" t="s">
        <v>208</v>
      </c>
      <c r="AP390" s="1" t="s">
        <v>208</v>
      </c>
      <c r="AQ390" s="1" t="s">
        <v>208</v>
      </c>
      <c r="AR390" s="1" t="s">
        <v>208</v>
      </c>
      <c r="AS390" s="106" t="s">
        <v>208</v>
      </c>
      <c r="AT390" s="1" t="s">
        <v>208</v>
      </c>
      <c r="AU390" s="106" t="s">
        <v>206</v>
      </c>
      <c r="AV390" s="106" t="s">
        <v>206</v>
      </c>
      <c r="AW390" s="106" t="s">
        <v>206</v>
      </c>
      <c r="AX390" s="106" t="s">
        <v>35</v>
      </c>
      <c r="AY390" s="106" t="s">
        <v>208</v>
      </c>
      <c r="AZ390" s="1" t="s">
        <v>208</v>
      </c>
      <c r="BA390" s="106" t="s">
        <v>206</v>
      </c>
      <c r="BB390" s="106" t="s">
        <v>206</v>
      </c>
      <c r="BC390" s="106" t="s">
        <v>206</v>
      </c>
      <c r="BD390" s="106" t="s">
        <v>206</v>
      </c>
      <c r="BE390" s="106" t="s">
        <v>206</v>
      </c>
      <c r="BF390" s="107">
        <f>IF(AZ390="Não","Sim","Não")</f>
      </c>
      <c r="BG390" s="107">
        <f>IF(AZ390="NA","Sim","Não")</f>
      </c>
      <c r="BH390" s="106" t="s">
        <v>208</v>
      </c>
      <c r="BI390" s="1" t="s">
        <v>208</v>
      </c>
      <c r="BJ390" s="106" t="s">
        <v>241</v>
      </c>
      <c r="BK390" s="1" t="s">
        <v>208</v>
      </c>
      <c r="BL390" s="102">
        <v>0</v>
      </c>
      <c r="BM390" s="1" t="s">
        <v>208</v>
      </c>
      <c r="BN390" s="1" t="s">
        <v>208</v>
      </c>
      <c r="BO390" s="1" t="s">
        <v>208</v>
      </c>
      <c r="BP390" s="102">
        <v>0</v>
      </c>
      <c r="BQ390" s="1" t="s">
        <v>208</v>
      </c>
      <c r="BR390" s="1" t="s">
        <v>208</v>
      </c>
      <c r="BS390" s="106" t="s">
        <v>208</v>
      </c>
    </row>
    <row x14ac:dyDescent="0.25" r="391" customHeight="1" ht="17.25">
      <c r="A391" s="102">
        <v>390</v>
      </c>
      <c r="B391" s="1" t="s">
        <v>2407</v>
      </c>
      <c r="C391" s="102">
        <v>1</v>
      </c>
      <c r="D391" s="61" t="s">
        <v>2408</v>
      </c>
      <c r="E391" s="1" t="s">
        <v>87</v>
      </c>
      <c r="F391" s="1" t="s">
        <v>22</v>
      </c>
      <c r="G391" s="1" t="s">
        <v>62</v>
      </c>
      <c r="H391" s="1" t="s">
        <v>2409</v>
      </c>
      <c r="I391" s="102">
        <v>1</v>
      </c>
      <c r="J391" s="1" t="s">
        <v>158</v>
      </c>
      <c r="K391" s="1" t="s">
        <v>170</v>
      </c>
      <c r="L391" s="103">
        <v>28329</v>
      </c>
      <c r="M391" s="104">
        <v>39</v>
      </c>
      <c r="N391" s="1" t="s">
        <v>177</v>
      </c>
      <c r="O391" s="1" t="s">
        <v>24</v>
      </c>
      <c r="P391" s="1" t="s">
        <v>354</v>
      </c>
      <c r="Q391" s="1" t="s">
        <v>2410</v>
      </c>
      <c r="R391" s="54" t="s">
        <v>2411</v>
      </c>
      <c r="S391" s="102">
        <v>37</v>
      </c>
      <c r="T391" s="54" t="s">
        <v>2412</v>
      </c>
      <c r="U391" s="105">
        <v>11.5</v>
      </c>
      <c r="V391" s="62">
        <v>0</v>
      </c>
      <c r="W391" s="102">
        <v>0</v>
      </c>
      <c r="X391" s="62">
        <v>0</v>
      </c>
      <c r="Y391" s="102">
        <v>0</v>
      </c>
      <c r="Z391" s="62">
        <v>0</v>
      </c>
      <c r="AA391" s="102">
        <v>0</v>
      </c>
      <c r="AB391" s="62">
        <v>0</v>
      </c>
      <c r="AC391" s="106" t="s">
        <v>206</v>
      </c>
      <c r="AD391" s="106" t="s">
        <v>206</v>
      </c>
      <c r="AE391" s="106" t="s">
        <v>206</v>
      </c>
      <c r="AF391" s="106" t="s">
        <v>206</v>
      </c>
      <c r="AG391" s="106" t="s">
        <v>206</v>
      </c>
      <c r="AH391" s="106" t="s">
        <v>206</v>
      </c>
      <c r="AI391" s="1" t="s">
        <v>357</v>
      </c>
      <c r="AJ391" s="1" t="s">
        <v>206</v>
      </c>
      <c r="AK391" s="1" t="s">
        <v>358</v>
      </c>
      <c r="AL391" s="1" t="s">
        <v>200</v>
      </c>
      <c r="AM391" s="106" t="s">
        <v>203</v>
      </c>
      <c r="AN391" s="1" t="s">
        <v>2285</v>
      </c>
      <c r="AO391" s="1" t="s">
        <v>208</v>
      </c>
      <c r="AP391" s="1" t="s">
        <v>208</v>
      </c>
      <c r="AQ391" s="1" t="s">
        <v>208</v>
      </c>
      <c r="AR391" s="1" t="s">
        <v>208</v>
      </c>
      <c r="AS391" s="106" t="s">
        <v>208</v>
      </c>
      <c r="AT391" s="1" t="s">
        <v>208</v>
      </c>
      <c r="AU391" s="106" t="s">
        <v>206</v>
      </c>
      <c r="AV391" s="106" t="s">
        <v>206</v>
      </c>
      <c r="AW391" s="106" t="s">
        <v>206</v>
      </c>
      <c r="AX391" s="106" t="s">
        <v>35</v>
      </c>
      <c r="AY391" s="106" t="s">
        <v>208</v>
      </c>
      <c r="AZ391" s="1" t="s">
        <v>208</v>
      </c>
      <c r="BA391" s="106" t="s">
        <v>206</v>
      </c>
      <c r="BB391" s="106" t="s">
        <v>206</v>
      </c>
      <c r="BC391" s="106" t="s">
        <v>206</v>
      </c>
      <c r="BD391" s="106" t="s">
        <v>206</v>
      </c>
      <c r="BE391" s="106" t="s">
        <v>206</v>
      </c>
      <c r="BF391" s="107">
        <f>IF(AZ391="Não","Sim","Não")</f>
      </c>
      <c r="BG391" s="107">
        <f>IF(AZ391="NA","Sim","Não")</f>
      </c>
      <c r="BH391" s="106" t="s">
        <v>208</v>
      </c>
      <c r="BI391" s="1" t="s">
        <v>208</v>
      </c>
      <c r="BJ391" s="106" t="s">
        <v>241</v>
      </c>
      <c r="BK391" s="1" t="s">
        <v>208</v>
      </c>
      <c r="BL391" s="102">
        <v>0</v>
      </c>
      <c r="BM391" s="1" t="s">
        <v>206</v>
      </c>
      <c r="BN391" s="1" t="s">
        <v>208</v>
      </c>
      <c r="BO391" s="1" t="s">
        <v>208</v>
      </c>
      <c r="BP391" s="102">
        <v>0</v>
      </c>
      <c r="BQ391" s="1" t="s">
        <v>208</v>
      </c>
      <c r="BR391" s="1" t="s">
        <v>208</v>
      </c>
      <c r="BS391" s="106" t="s">
        <v>208</v>
      </c>
    </row>
    <row x14ac:dyDescent="0.25" r="392" customHeight="1" ht="17.25">
      <c r="A392" s="102">
        <v>391</v>
      </c>
      <c r="B392" s="1" t="s">
        <v>2413</v>
      </c>
      <c r="C392" s="102">
        <v>1</v>
      </c>
      <c r="D392" s="61" t="s">
        <v>714</v>
      </c>
      <c r="E392" s="1" t="s">
        <v>93</v>
      </c>
      <c r="F392" s="1" t="s">
        <v>22</v>
      </c>
      <c r="G392" s="1" t="s">
        <v>49</v>
      </c>
      <c r="H392" s="1" t="s">
        <v>2414</v>
      </c>
      <c r="I392" s="102">
        <v>1</v>
      </c>
      <c r="J392" s="1" t="s">
        <v>162</v>
      </c>
      <c r="K392" s="1" t="s">
        <v>170</v>
      </c>
      <c r="L392" s="103" t="s">
        <v>365</v>
      </c>
      <c r="M392" s="108"/>
      <c r="N392" s="1" t="s">
        <v>179</v>
      </c>
      <c r="O392" s="1" t="s">
        <v>182</v>
      </c>
      <c r="P392" s="1" t="s">
        <v>464</v>
      </c>
      <c r="Q392" s="1" t="s">
        <v>2415</v>
      </c>
      <c r="R392" s="54" t="s">
        <v>2416</v>
      </c>
      <c r="S392" s="105">
        <v>69.7</v>
      </c>
      <c r="T392" s="54" t="s">
        <v>2417</v>
      </c>
      <c r="U392" s="105">
        <v>18.7</v>
      </c>
      <c r="V392" s="62">
        <v>0</v>
      </c>
      <c r="W392" s="102">
        <v>0</v>
      </c>
      <c r="X392" s="62">
        <v>0</v>
      </c>
      <c r="Y392" s="102">
        <v>0</v>
      </c>
      <c r="Z392" s="62">
        <v>0</v>
      </c>
      <c r="AA392" s="102">
        <v>0</v>
      </c>
      <c r="AB392" s="62">
        <v>0</v>
      </c>
      <c r="AC392" s="106" t="s">
        <v>206</v>
      </c>
      <c r="AD392" s="106" t="s">
        <v>206</v>
      </c>
      <c r="AE392" s="106" t="s">
        <v>206</v>
      </c>
      <c r="AF392" s="106" t="s">
        <v>206</v>
      </c>
      <c r="AG392" s="106" t="s">
        <v>206</v>
      </c>
      <c r="AH392" s="106" t="s">
        <v>206</v>
      </c>
      <c r="AI392" s="1" t="s">
        <v>357</v>
      </c>
      <c r="AJ392" s="1" t="s">
        <v>206</v>
      </c>
      <c r="AK392" s="1" t="s">
        <v>2418</v>
      </c>
      <c r="AL392" s="1" t="s">
        <v>199</v>
      </c>
      <c r="AM392" s="106" t="s">
        <v>203</v>
      </c>
      <c r="AN392" s="1" t="s">
        <v>208</v>
      </c>
      <c r="AO392" s="1" t="s">
        <v>208</v>
      </c>
      <c r="AP392" s="1" t="s">
        <v>208</v>
      </c>
      <c r="AQ392" s="1" t="s">
        <v>208</v>
      </c>
      <c r="AR392" s="1" t="s">
        <v>208</v>
      </c>
      <c r="AS392" s="106" t="s">
        <v>208</v>
      </c>
      <c r="AT392" s="1" t="s">
        <v>208</v>
      </c>
      <c r="AU392" s="106" t="s">
        <v>206</v>
      </c>
      <c r="AV392" s="106" t="s">
        <v>206</v>
      </c>
      <c r="AW392" s="106" t="s">
        <v>206</v>
      </c>
      <c r="AX392" s="106" t="s">
        <v>35</v>
      </c>
      <c r="AY392" s="106" t="s">
        <v>208</v>
      </c>
      <c r="AZ392" s="1" t="s">
        <v>208</v>
      </c>
      <c r="BA392" s="106" t="s">
        <v>206</v>
      </c>
      <c r="BB392" s="106" t="s">
        <v>206</v>
      </c>
      <c r="BC392" s="106" t="s">
        <v>206</v>
      </c>
      <c r="BD392" s="106" t="s">
        <v>206</v>
      </c>
      <c r="BE392" s="106" t="s">
        <v>206</v>
      </c>
      <c r="BF392" s="107">
        <f>IF(AZ392="Não","Sim","Não")</f>
      </c>
      <c r="BG392" s="107">
        <f>IF(AZ392="NA","Sim","Não")</f>
      </c>
      <c r="BH392" s="106" t="s">
        <v>208</v>
      </c>
      <c r="BI392" s="1" t="s">
        <v>208</v>
      </c>
      <c r="BJ392" s="106" t="s">
        <v>241</v>
      </c>
      <c r="BK392" s="1" t="s">
        <v>208</v>
      </c>
      <c r="BL392" s="102">
        <v>0</v>
      </c>
      <c r="BM392" s="1" t="s">
        <v>208</v>
      </c>
      <c r="BN392" s="1" t="s">
        <v>208</v>
      </c>
      <c r="BO392" s="1" t="s">
        <v>208</v>
      </c>
      <c r="BP392" s="102">
        <v>0</v>
      </c>
      <c r="BQ392" s="1" t="s">
        <v>208</v>
      </c>
      <c r="BR392" s="1" t="s">
        <v>208</v>
      </c>
      <c r="BS392" s="106" t="s">
        <v>208</v>
      </c>
    </row>
    <row x14ac:dyDescent="0.25" r="393" customHeight="1" ht="17.25">
      <c r="A393" s="102">
        <v>392</v>
      </c>
      <c r="B393" s="1" t="s">
        <v>2419</v>
      </c>
      <c r="C393" s="102">
        <v>1</v>
      </c>
      <c r="D393" s="61" t="s">
        <v>1959</v>
      </c>
      <c r="E393" s="1" t="s">
        <v>107</v>
      </c>
      <c r="F393" s="1" t="s">
        <v>22</v>
      </c>
      <c r="G393" s="1" t="s">
        <v>62</v>
      </c>
      <c r="H393" s="1" t="s">
        <v>2420</v>
      </c>
      <c r="I393" s="102">
        <v>1</v>
      </c>
      <c r="J393" s="1" t="s">
        <v>158</v>
      </c>
      <c r="K393" s="1" t="s">
        <v>22</v>
      </c>
      <c r="L393" s="103">
        <v>35892</v>
      </c>
      <c r="M393" s="104">
        <v>19</v>
      </c>
      <c r="N393" s="1" t="s">
        <v>175</v>
      </c>
      <c r="O393" s="1" t="s">
        <v>24</v>
      </c>
      <c r="P393" s="1" t="s">
        <v>354</v>
      </c>
      <c r="Q393" s="1" t="s">
        <v>2421</v>
      </c>
      <c r="R393" s="54" t="s">
        <v>2422</v>
      </c>
      <c r="S393" s="105">
        <v>15.1</v>
      </c>
      <c r="T393" s="54" t="s">
        <v>2423</v>
      </c>
      <c r="U393" s="105">
        <v>21.5</v>
      </c>
      <c r="V393" s="62">
        <v>0</v>
      </c>
      <c r="W393" s="102">
        <v>0</v>
      </c>
      <c r="X393" s="62">
        <v>0</v>
      </c>
      <c r="Y393" s="102">
        <v>0</v>
      </c>
      <c r="Z393" s="62">
        <v>0</v>
      </c>
      <c r="AA393" s="102">
        <v>0</v>
      </c>
      <c r="AB393" s="62">
        <v>0</v>
      </c>
      <c r="AC393" s="106" t="s">
        <v>206</v>
      </c>
      <c r="AD393" s="106" t="s">
        <v>206</v>
      </c>
      <c r="AE393" s="106" t="s">
        <v>206</v>
      </c>
      <c r="AF393" s="106" t="s">
        <v>206</v>
      </c>
      <c r="AG393" s="106" t="s">
        <v>206</v>
      </c>
      <c r="AH393" s="106" t="s">
        <v>206</v>
      </c>
      <c r="AI393" s="1" t="s">
        <v>357</v>
      </c>
      <c r="AJ393" s="1" t="s">
        <v>206</v>
      </c>
      <c r="AK393" s="1" t="s">
        <v>2299</v>
      </c>
      <c r="AL393" s="1" t="s">
        <v>199</v>
      </c>
      <c r="AM393" s="106" t="s">
        <v>203</v>
      </c>
      <c r="AN393" s="1" t="s">
        <v>208</v>
      </c>
      <c r="AO393" s="1" t="s">
        <v>208</v>
      </c>
      <c r="AP393" s="1" t="s">
        <v>208</v>
      </c>
      <c r="AQ393" s="1" t="s">
        <v>208</v>
      </c>
      <c r="AR393" s="1" t="s">
        <v>208</v>
      </c>
      <c r="AS393" s="106" t="s">
        <v>208</v>
      </c>
      <c r="AT393" s="1" t="s">
        <v>208</v>
      </c>
      <c r="AU393" s="106" t="s">
        <v>206</v>
      </c>
      <c r="AV393" s="106" t="s">
        <v>206</v>
      </c>
      <c r="AW393" s="106" t="s">
        <v>206</v>
      </c>
      <c r="AX393" s="106" t="s">
        <v>35</v>
      </c>
      <c r="AY393" s="106" t="s">
        <v>208</v>
      </c>
      <c r="AZ393" s="1" t="s">
        <v>208</v>
      </c>
      <c r="BA393" s="106" t="s">
        <v>206</v>
      </c>
      <c r="BB393" s="106" t="s">
        <v>206</v>
      </c>
      <c r="BC393" s="106" t="s">
        <v>206</v>
      </c>
      <c r="BD393" s="106" t="s">
        <v>206</v>
      </c>
      <c r="BE393" s="106" t="s">
        <v>206</v>
      </c>
      <c r="BF393" s="107">
        <f>IF(AZ393="Não","Sim","Não")</f>
      </c>
      <c r="BG393" s="107">
        <f>IF(AZ393="NA","Sim","Não")</f>
      </c>
      <c r="BH393" s="106" t="s">
        <v>208</v>
      </c>
      <c r="BI393" s="1" t="s">
        <v>208</v>
      </c>
      <c r="BJ393" s="106" t="s">
        <v>241</v>
      </c>
      <c r="BK393" s="1" t="s">
        <v>208</v>
      </c>
      <c r="BL393" s="102">
        <v>0</v>
      </c>
      <c r="BM393" s="1" t="s">
        <v>208</v>
      </c>
      <c r="BN393" s="1" t="s">
        <v>208</v>
      </c>
      <c r="BO393" s="1" t="s">
        <v>208</v>
      </c>
      <c r="BP393" s="102">
        <v>0</v>
      </c>
      <c r="BQ393" s="1" t="s">
        <v>208</v>
      </c>
      <c r="BR393" s="1" t="s">
        <v>208</v>
      </c>
      <c r="BS393" s="106" t="s">
        <v>208</v>
      </c>
    </row>
    <row x14ac:dyDescent="0.25" r="394" customHeight="1" ht="17.25">
      <c r="A394" s="102">
        <v>393</v>
      </c>
      <c r="B394" s="1" t="s">
        <v>1469</v>
      </c>
      <c r="C394" s="102">
        <v>1</v>
      </c>
      <c r="D394" s="61" t="s">
        <v>1470</v>
      </c>
      <c r="E394" s="1" t="s">
        <v>82</v>
      </c>
      <c r="F394" s="1" t="s">
        <v>22</v>
      </c>
      <c r="G394" s="1" t="s">
        <v>59</v>
      </c>
      <c r="H394" s="1" t="s">
        <v>2424</v>
      </c>
      <c r="I394" s="102">
        <v>1</v>
      </c>
      <c r="J394" s="1" t="s">
        <v>158</v>
      </c>
      <c r="K394" s="1" t="s">
        <v>22</v>
      </c>
      <c r="L394" s="103">
        <v>31701</v>
      </c>
      <c r="M394" s="104">
        <v>30</v>
      </c>
      <c r="N394" s="1" t="s">
        <v>175</v>
      </c>
      <c r="O394" s="1" t="s">
        <v>24</v>
      </c>
      <c r="P394" s="1" t="s">
        <v>615</v>
      </c>
      <c r="Q394" s="1" t="s">
        <v>1472</v>
      </c>
      <c r="R394" s="62">
        <v>0</v>
      </c>
      <c r="S394" s="102">
        <v>0</v>
      </c>
      <c r="T394" s="54" t="s">
        <v>1473</v>
      </c>
      <c r="U394" s="102">
        <v>45962</v>
      </c>
      <c r="V394" s="62">
        <v>0</v>
      </c>
      <c r="W394" s="102">
        <v>0</v>
      </c>
      <c r="X394" s="62">
        <v>0</v>
      </c>
      <c r="Y394" s="102">
        <v>0</v>
      </c>
      <c r="Z394" s="62">
        <v>0</v>
      </c>
      <c r="AA394" s="102">
        <v>0</v>
      </c>
      <c r="AB394" s="62">
        <v>0</v>
      </c>
      <c r="AC394" s="106" t="s">
        <v>206</v>
      </c>
      <c r="AD394" s="106" t="s">
        <v>206</v>
      </c>
      <c r="AE394" s="106" t="s">
        <v>206</v>
      </c>
      <c r="AF394" s="106" t="s">
        <v>206</v>
      </c>
      <c r="AG394" s="106" t="s">
        <v>206</v>
      </c>
      <c r="AH394" s="106" t="s">
        <v>206</v>
      </c>
      <c r="AI394" s="1" t="s">
        <v>371</v>
      </c>
      <c r="AJ394" s="1" t="s">
        <v>206</v>
      </c>
      <c r="AK394" s="1" t="s">
        <v>2374</v>
      </c>
      <c r="AL394" s="1" t="s">
        <v>199</v>
      </c>
      <c r="AM394" s="106" t="s">
        <v>203</v>
      </c>
      <c r="AN394" s="1" t="s">
        <v>208</v>
      </c>
      <c r="AO394" s="1" t="s">
        <v>208</v>
      </c>
      <c r="AP394" s="1" t="s">
        <v>208</v>
      </c>
      <c r="AQ394" s="1" t="s">
        <v>208</v>
      </c>
      <c r="AR394" s="1" t="s">
        <v>208</v>
      </c>
      <c r="AS394" s="106" t="s">
        <v>208</v>
      </c>
      <c r="AT394" s="1" t="s">
        <v>208</v>
      </c>
      <c r="AU394" s="106" t="s">
        <v>206</v>
      </c>
      <c r="AV394" s="106" t="s">
        <v>206</v>
      </c>
      <c r="AW394" s="106" t="s">
        <v>206</v>
      </c>
      <c r="AX394" s="106" t="s">
        <v>35</v>
      </c>
      <c r="AY394" s="106" t="s">
        <v>208</v>
      </c>
      <c r="AZ394" s="1" t="s">
        <v>208</v>
      </c>
      <c r="BA394" s="106" t="s">
        <v>206</v>
      </c>
      <c r="BB394" s="106" t="s">
        <v>206</v>
      </c>
      <c r="BC394" s="106" t="s">
        <v>206</v>
      </c>
      <c r="BD394" s="106" t="s">
        <v>206</v>
      </c>
      <c r="BE394" s="106" t="s">
        <v>206</v>
      </c>
      <c r="BF394" s="107">
        <f>IF(AZ394="Não","Sim","Não")</f>
      </c>
      <c r="BG394" s="107">
        <f>IF(AZ394="NA","Sim","Não")</f>
      </c>
      <c r="BH394" s="106" t="s">
        <v>208</v>
      </c>
      <c r="BI394" s="1" t="s">
        <v>208</v>
      </c>
      <c r="BJ394" s="106" t="s">
        <v>241</v>
      </c>
      <c r="BK394" s="1" t="s">
        <v>208</v>
      </c>
      <c r="BL394" s="102">
        <v>0</v>
      </c>
      <c r="BM394" s="1" t="s">
        <v>208</v>
      </c>
      <c r="BN394" s="1" t="s">
        <v>208</v>
      </c>
      <c r="BO394" s="1" t="s">
        <v>208</v>
      </c>
      <c r="BP394" s="102">
        <v>0</v>
      </c>
      <c r="BQ394" s="1" t="s">
        <v>208</v>
      </c>
      <c r="BR394" s="1" t="s">
        <v>208</v>
      </c>
      <c r="BS394" s="106" t="s">
        <v>208</v>
      </c>
    </row>
    <row x14ac:dyDescent="0.25" r="395" customHeight="1" ht="17.25">
      <c r="A395" s="102">
        <v>394</v>
      </c>
      <c r="B395" s="1" t="s">
        <v>1469</v>
      </c>
      <c r="C395" s="102">
        <v>0</v>
      </c>
      <c r="D395" s="61" t="s">
        <v>1470</v>
      </c>
      <c r="E395" s="1" t="s">
        <v>82</v>
      </c>
      <c r="F395" s="1" t="s">
        <v>22</v>
      </c>
      <c r="G395" s="1" t="s">
        <v>59</v>
      </c>
      <c r="H395" s="1" t="s">
        <v>2425</v>
      </c>
      <c r="I395" s="102">
        <v>1</v>
      </c>
      <c r="J395" s="1" t="s">
        <v>158</v>
      </c>
      <c r="K395" s="1" t="s">
        <v>22</v>
      </c>
      <c r="L395" s="103">
        <v>28859</v>
      </c>
      <c r="M395" s="104">
        <v>38</v>
      </c>
      <c r="N395" s="1" t="s">
        <v>175</v>
      </c>
      <c r="O395" s="1" t="s">
        <v>24</v>
      </c>
      <c r="P395" s="1" t="s">
        <v>517</v>
      </c>
      <c r="Q395" s="1" t="s">
        <v>1472</v>
      </c>
      <c r="R395" s="62">
        <v>0</v>
      </c>
      <c r="S395" s="102">
        <v>0</v>
      </c>
      <c r="T395" s="54" t="s">
        <v>1473</v>
      </c>
      <c r="U395" s="102">
        <v>45962</v>
      </c>
      <c r="V395" s="62">
        <v>0</v>
      </c>
      <c r="W395" s="102">
        <v>0</v>
      </c>
      <c r="X395" s="62">
        <v>0</v>
      </c>
      <c r="Y395" s="102">
        <v>0</v>
      </c>
      <c r="Z395" s="62">
        <v>0</v>
      </c>
      <c r="AA395" s="102">
        <v>0</v>
      </c>
      <c r="AB395" s="62">
        <v>0</v>
      </c>
      <c r="AC395" s="106" t="s">
        <v>206</v>
      </c>
      <c r="AD395" s="106" t="s">
        <v>206</v>
      </c>
      <c r="AE395" s="106" t="s">
        <v>206</v>
      </c>
      <c r="AF395" s="106" t="s">
        <v>206</v>
      </c>
      <c r="AG395" s="106" t="s">
        <v>206</v>
      </c>
      <c r="AH395" s="106" t="s">
        <v>206</v>
      </c>
      <c r="AI395" s="1" t="s">
        <v>371</v>
      </c>
      <c r="AJ395" s="1" t="s">
        <v>206</v>
      </c>
      <c r="AK395" s="1" t="s">
        <v>726</v>
      </c>
      <c r="AL395" s="1" t="s">
        <v>199</v>
      </c>
      <c r="AM395" s="106" t="s">
        <v>203</v>
      </c>
      <c r="AN395" s="1" t="s">
        <v>208</v>
      </c>
      <c r="AO395" s="1" t="s">
        <v>208</v>
      </c>
      <c r="AP395" s="1" t="s">
        <v>208</v>
      </c>
      <c r="AQ395" s="1" t="s">
        <v>208</v>
      </c>
      <c r="AR395" s="1" t="s">
        <v>208</v>
      </c>
      <c r="AS395" s="106" t="s">
        <v>208</v>
      </c>
      <c r="AT395" s="1" t="s">
        <v>208</v>
      </c>
      <c r="AU395" s="106" t="s">
        <v>206</v>
      </c>
      <c r="AV395" s="106" t="s">
        <v>206</v>
      </c>
      <c r="AW395" s="106" t="s">
        <v>206</v>
      </c>
      <c r="AX395" s="106" t="s">
        <v>35</v>
      </c>
      <c r="AY395" s="106" t="s">
        <v>208</v>
      </c>
      <c r="AZ395" s="1" t="s">
        <v>208</v>
      </c>
      <c r="BA395" s="106" t="s">
        <v>206</v>
      </c>
      <c r="BB395" s="106" t="s">
        <v>206</v>
      </c>
      <c r="BC395" s="106" t="s">
        <v>206</v>
      </c>
      <c r="BD395" s="106" t="s">
        <v>206</v>
      </c>
      <c r="BE395" s="106" t="s">
        <v>206</v>
      </c>
      <c r="BF395" s="107">
        <f>IF(AZ395="Não","Sim","Não")</f>
      </c>
      <c r="BG395" s="107">
        <f>IF(AZ395="NA","Sim","Não")</f>
      </c>
      <c r="BH395" s="106" t="s">
        <v>208</v>
      </c>
      <c r="BI395" s="1" t="s">
        <v>208</v>
      </c>
      <c r="BJ395" s="106" t="s">
        <v>241</v>
      </c>
      <c r="BK395" s="1" t="s">
        <v>208</v>
      </c>
      <c r="BL395" s="102">
        <v>0</v>
      </c>
      <c r="BM395" s="1" t="s">
        <v>208</v>
      </c>
      <c r="BN395" s="1" t="s">
        <v>208</v>
      </c>
      <c r="BO395" s="1" t="s">
        <v>208</v>
      </c>
      <c r="BP395" s="102">
        <v>0</v>
      </c>
      <c r="BQ395" s="1" t="s">
        <v>208</v>
      </c>
      <c r="BR395" s="1" t="s">
        <v>208</v>
      </c>
      <c r="BS395" s="106" t="s">
        <v>208</v>
      </c>
    </row>
    <row x14ac:dyDescent="0.25" r="396" customHeight="1" ht="17.25">
      <c r="A396" s="102">
        <v>395</v>
      </c>
      <c r="B396" s="1" t="s">
        <v>1469</v>
      </c>
      <c r="C396" s="102">
        <v>0</v>
      </c>
      <c r="D396" s="61" t="s">
        <v>1470</v>
      </c>
      <c r="E396" s="1" t="s">
        <v>82</v>
      </c>
      <c r="F396" s="1" t="s">
        <v>22</v>
      </c>
      <c r="G396" s="1" t="s">
        <v>59</v>
      </c>
      <c r="H396" s="1" t="s">
        <v>2426</v>
      </c>
      <c r="I396" s="102">
        <v>1</v>
      </c>
      <c r="J396" s="1" t="s">
        <v>158</v>
      </c>
      <c r="K396" s="1" t="s">
        <v>22</v>
      </c>
      <c r="L396" s="103">
        <v>32617</v>
      </c>
      <c r="M396" s="104">
        <v>28</v>
      </c>
      <c r="N396" s="1" t="s">
        <v>176</v>
      </c>
      <c r="O396" s="1" t="s">
        <v>182</v>
      </c>
      <c r="P396" s="1" t="s">
        <v>464</v>
      </c>
      <c r="Q396" s="1" t="s">
        <v>1472</v>
      </c>
      <c r="R396" s="62">
        <v>0</v>
      </c>
      <c r="S396" s="102">
        <v>0</v>
      </c>
      <c r="T396" s="54" t="s">
        <v>1473</v>
      </c>
      <c r="U396" s="102">
        <v>45962</v>
      </c>
      <c r="V396" s="62">
        <v>0</v>
      </c>
      <c r="W396" s="102">
        <v>0</v>
      </c>
      <c r="X396" s="62">
        <v>0</v>
      </c>
      <c r="Y396" s="102">
        <v>0</v>
      </c>
      <c r="Z396" s="62">
        <v>0</v>
      </c>
      <c r="AA396" s="102">
        <v>0</v>
      </c>
      <c r="AB396" s="62">
        <v>0</v>
      </c>
      <c r="AC396" s="106" t="s">
        <v>206</v>
      </c>
      <c r="AD396" s="106" t="s">
        <v>206</v>
      </c>
      <c r="AE396" s="106" t="s">
        <v>206</v>
      </c>
      <c r="AF396" s="106" t="s">
        <v>206</v>
      </c>
      <c r="AG396" s="106" t="s">
        <v>206</v>
      </c>
      <c r="AH396" s="106" t="s">
        <v>206</v>
      </c>
      <c r="AI396" s="1" t="s">
        <v>371</v>
      </c>
      <c r="AJ396" s="1" t="s">
        <v>206</v>
      </c>
      <c r="AK396" s="1" t="s">
        <v>726</v>
      </c>
      <c r="AL396" s="1" t="s">
        <v>199</v>
      </c>
      <c r="AM396" s="106" t="s">
        <v>203</v>
      </c>
      <c r="AN396" s="1" t="s">
        <v>208</v>
      </c>
      <c r="AO396" s="1" t="s">
        <v>208</v>
      </c>
      <c r="AP396" s="1" t="s">
        <v>208</v>
      </c>
      <c r="AQ396" s="1" t="s">
        <v>208</v>
      </c>
      <c r="AR396" s="1" t="s">
        <v>208</v>
      </c>
      <c r="AS396" s="106" t="s">
        <v>208</v>
      </c>
      <c r="AT396" s="1" t="s">
        <v>208</v>
      </c>
      <c r="AU396" s="106" t="s">
        <v>206</v>
      </c>
      <c r="AV396" s="106" t="s">
        <v>206</v>
      </c>
      <c r="AW396" s="106" t="s">
        <v>206</v>
      </c>
      <c r="AX396" s="106" t="s">
        <v>35</v>
      </c>
      <c r="AY396" s="106" t="s">
        <v>208</v>
      </c>
      <c r="AZ396" s="1" t="s">
        <v>208</v>
      </c>
      <c r="BA396" s="106" t="s">
        <v>206</v>
      </c>
      <c r="BB396" s="106" t="s">
        <v>206</v>
      </c>
      <c r="BC396" s="106" t="s">
        <v>206</v>
      </c>
      <c r="BD396" s="106" t="s">
        <v>206</v>
      </c>
      <c r="BE396" s="106" t="s">
        <v>206</v>
      </c>
      <c r="BF396" s="107">
        <f>IF(AZ396="Não","Sim","Não")</f>
      </c>
      <c r="BG396" s="107">
        <f>IF(AZ396="NA","Sim","Não")</f>
      </c>
      <c r="BH396" s="106" t="s">
        <v>208</v>
      </c>
      <c r="BI396" s="1" t="s">
        <v>208</v>
      </c>
      <c r="BJ396" s="106" t="s">
        <v>241</v>
      </c>
      <c r="BK396" s="1" t="s">
        <v>208</v>
      </c>
      <c r="BL396" s="102">
        <v>0</v>
      </c>
      <c r="BM396" s="1" t="s">
        <v>208</v>
      </c>
      <c r="BN396" s="1" t="s">
        <v>208</v>
      </c>
      <c r="BO396" s="1" t="s">
        <v>208</v>
      </c>
      <c r="BP396" s="102">
        <v>0</v>
      </c>
      <c r="BQ396" s="1" t="s">
        <v>208</v>
      </c>
      <c r="BR396" s="1" t="s">
        <v>208</v>
      </c>
      <c r="BS396" s="106" t="s">
        <v>208</v>
      </c>
    </row>
    <row x14ac:dyDescent="0.25" r="397" customHeight="1" ht="17.25">
      <c r="A397" s="102">
        <v>396</v>
      </c>
      <c r="B397" s="1" t="s">
        <v>1469</v>
      </c>
      <c r="C397" s="102">
        <v>0</v>
      </c>
      <c r="D397" s="61" t="s">
        <v>1470</v>
      </c>
      <c r="E397" s="1" t="s">
        <v>82</v>
      </c>
      <c r="F397" s="1" t="s">
        <v>22</v>
      </c>
      <c r="G397" s="1" t="s">
        <v>59</v>
      </c>
      <c r="H397" s="1" t="s">
        <v>2427</v>
      </c>
      <c r="I397" s="102">
        <v>1</v>
      </c>
      <c r="J397" s="1" t="s">
        <v>158</v>
      </c>
      <c r="K397" s="1" t="s">
        <v>22</v>
      </c>
      <c r="L397" s="103">
        <v>30628</v>
      </c>
      <c r="M397" s="104">
        <v>33</v>
      </c>
      <c r="N397" s="1" t="s">
        <v>175</v>
      </c>
      <c r="O397" s="1" t="s">
        <v>24</v>
      </c>
      <c r="P397" s="1" t="s">
        <v>615</v>
      </c>
      <c r="Q397" s="1" t="s">
        <v>1472</v>
      </c>
      <c r="R397" s="62">
        <v>0</v>
      </c>
      <c r="S397" s="102">
        <v>0</v>
      </c>
      <c r="T397" s="54" t="s">
        <v>1473</v>
      </c>
      <c r="U397" s="102">
        <v>45962</v>
      </c>
      <c r="V397" s="62">
        <v>0</v>
      </c>
      <c r="W397" s="102">
        <v>0</v>
      </c>
      <c r="X397" s="62">
        <v>0</v>
      </c>
      <c r="Y397" s="102">
        <v>0</v>
      </c>
      <c r="Z397" s="62">
        <v>0</v>
      </c>
      <c r="AA397" s="102">
        <v>0</v>
      </c>
      <c r="AB397" s="62">
        <v>0</v>
      </c>
      <c r="AC397" s="106" t="s">
        <v>206</v>
      </c>
      <c r="AD397" s="106" t="s">
        <v>206</v>
      </c>
      <c r="AE397" s="106" t="s">
        <v>206</v>
      </c>
      <c r="AF397" s="106" t="s">
        <v>206</v>
      </c>
      <c r="AG397" s="106" t="s">
        <v>206</v>
      </c>
      <c r="AH397" s="106" t="s">
        <v>206</v>
      </c>
      <c r="AI397" s="1" t="s">
        <v>371</v>
      </c>
      <c r="AJ397" s="1" t="s">
        <v>206</v>
      </c>
      <c r="AK397" s="1" t="s">
        <v>2374</v>
      </c>
      <c r="AL397" s="1" t="s">
        <v>199</v>
      </c>
      <c r="AM397" s="106" t="s">
        <v>203</v>
      </c>
      <c r="AN397" s="1" t="s">
        <v>208</v>
      </c>
      <c r="AO397" s="1" t="s">
        <v>208</v>
      </c>
      <c r="AP397" s="1" t="s">
        <v>208</v>
      </c>
      <c r="AQ397" s="1" t="s">
        <v>208</v>
      </c>
      <c r="AR397" s="1" t="s">
        <v>208</v>
      </c>
      <c r="AS397" s="106" t="s">
        <v>208</v>
      </c>
      <c r="AT397" s="1" t="s">
        <v>208</v>
      </c>
      <c r="AU397" s="106" t="s">
        <v>206</v>
      </c>
      <c r="AV397" s="106" t="s">
        <v>206</v>
      </c>
      <c r="AW397" s="106" t="s">
        <v>206</v>
      </c>
      <c r="AX397" s="106" t="s">
        <v>35</v>
      </c>
      <c r="AY397" s="106" t="s">
        <v>208</v>
      </c>
      <c r="AZ397" s="1" t="s">
        <v>208</v>
      </c>
      <c r="BA397" s="106" t="s">
        <v>206</v>
      </c>
      <c r="BB397" s="106" t="s">
        <v>206</v>
      </c>
      <c r="BC397" s="106" t="s">
        <v>206</v>
      </c>
      <c r="BD397" s="106" t="s">
        <v>206</v>
      </c>
      <c r="BE397" s="106" t="s">
        <v>206</v>
      </c>
      <c r="BF397" s="107">
        <f>IF(AZ397="Não","Sim","Não")</f>
      </c>
      <c r="BG397" s="107">
        <f>IF(AZ397="NA","Sim","Não")</f>
      </c>
      <c r="BH397" s="106" t="s">
        <v>208</v>
      </c>
      <c r="BI397" s="1" t="s">
        <v>208</v>
      </c>
      <c r="BJ397" s="106" t="s">
        <v>241</v>
      </c>
      <c r="BK397" s="1" t="s">
        <v>208</v>
      </c>
      <c r="BL397" s="102">
        <v>0</v>
      </c>
      <c r="BM397" s="1" t="s">
        <v>208</v>
      </c>
      <c r="BN397" s="1" t="s">
        <v>208</v>
      </c>
      <c r="BO397" s="1" t="s">
        <v>208</v>
      </c>
      <c r="BP397" s="102">
        <v>0</v>
      </c>
      <c r="BQ397" s="1" t="s">
        <v>208</v>
      </c>
      <c r="BR397" s="1" t="s">
        <v>208</v>
      </c>
      <c r="BS397" s="106" t="s">
        <v>208</v>
      </c>
    </row>
    <row x14ac:dyDescent="0.25" r="398" customHeight="1" ht="17.25">
      <c r="A398" s="102">
        <v>397</v>
      </c>
      <c r="B398" s="1" t="s">
        <v>2428</v>
      </c>
      <c r="C398" s="102">
        <v>1</v>
      </c>
      <c r="D398" s="61" t="s">
        <v>2369</v>
      </c>
      <c r="E398" s="1" t="s">
        <v>96</v>
      </c>
      <c r="F398" s="1" t="s">
        <v>170</v>
      </c>
      <c r="G398" s="1" t="s">
        <v>67</v>
      </c>
      <c r="H398" s="1" t="s">
        <v>2429</v>
      </c>
      <c r="I398" s="102">
        <v>1</v>
      </c>
      <c r="J398" s="1" t="s">
        <v>158</v>
      </c>
      <c r="K398" s="1" t="s">
        <v>22</v>
      </c>
      <c r="L398" s="103">
        <v>34157</v>
      </c>
      <c r="M398" s="104">
        <v>24</v>
      </c>
      <c r="N398" s="1" t="s">
        <v>176</v>
      </c>
      <c r="O398" s="1" t="s">
        <v>182</v>
      </c>
      <c r="P398" s="1" t="s">
        <v>464</v>
      </c>
      <c r="Q398" s="1" t="s">
        <v>642</v>
      </c>
      <c r="R398" s="62">
        <v>0</v>
      </c>
      <c r="S398" s="102">
        <v>0</v>
      </c>
      <c r="T398" s="54" t="s">
        <v>2430</v>
      </c>
      <c r="U398" s="105">
        <v>6.5</v>
      </c>
      <c r="V398" s="62">
        <v>0</v>
      </c>
      <c r="W398" s="102">
        <v>0</v>
      </c>
      <c r="X398" s="62">
        <v>0</v>
      </c>
      <c r="Y398" s="102">
        <v>0</v>
      </c>
      <c r="Z398" s="62">
        <v>0</v>
      </c>
      <c r="AA398" s="102">
        <v>0</v>
      </c>
      <c r="AB398" s="57" t="s">
        <v>2431</v>
      </c>
      <c r="AC398" s="106" t="s">
        <v>206</v>
      </c>
      <c r="AD398" s="106" t="s">
        <v>206</v>
      </c>
      <c r="AE398" s="106" t="s">
        <v>35</v>
      </c>
      <c r="AF398" s="106" t="s">
        <v>206</v>
      </c>
      <c r="AG398" s="106" t="s">
        <v>206</v>
      </c>
      <c r="AH398" s="106" t="s">
        <v>206</v>
      </c>
      <c r="AI398" s="1" t="s">
        <v>357</v>
      </c>
      <c r="AJ398" s="1" t="s">
        <v>206</v>
      </c>
      <c r="AK398" s="1" t="s">
        <v>2432</v>
      </c>
      <c r="AL398" s="1" t="s">
        <v>199</v>
      </c>
      <c r="AM398" s="106" t="s">
        <v>203</v>
      </c>
      <c r="AN398" s="1" t="s">
        <v>208</v>
      </c>
      <c r="AO398" s="1" t="s">
        <v>208</v>
      </c>
      <c r="AP398" s="1" t="s">
        <v>208</v>
      </c>
      <c r="AQ398" s="1" t="s">
        <v>208</v>
      </c>
      <c r="AR398" s="1" t="s">
        <v>208</v>
      </c>
      <c r="AS398" s="106" t="s">
        <v>208</v>
      </c>
      <c r="AT398" s="1" t="s">
        <v>208</v>
      </c>
      <c r="AU398" s="106" t="s">
        <v>206</v>
      </c>
      <c r="AV398" s="106" t="s">
        <v>206</v>
      </c>
      <c r="AW398" s="106" t="s">
        <v>206</v>
      </c>
      <c r="AX398" s="106" t="s">
        <v>35</v>
      </c>
      <c r="AY398" s="106" t="s">
        <v>208</v>
      </c>
      <c r="AZ398" s="1" t="s">
        <v>208</v>
      </c>
      <c r="BA398" s="106" t="s">
        <v>206</v>
      </c>
      <c r="BB398" s="106" t="s">
        <v>206</v>
      </c>
      <c r="BC398" s="106" t="s">
        <v>206</v>
      </c>
      <c r="BD398" s="106" t="s">
        <v>206</v>
      </c>
      <c r="BE398" s="106" t="s">
        <v>206</v>
      </c>
      <c r="BF398" s="107">
        <f>IF(AZ398="Não","Sim","Não")</f>
      </c>
      <c r="BG398" s="107">
        <f>IF(AZ398="NA","Sim","Não")</f>
      </c>
      <c r="BH398" s="106" t="s">
        <v>208</v>
      </c>
      <c r="BI398" s="1" t="s">
        <v>208</v>
      </c>
      <c r="BJ398" s="106" t="s">
        <v>241</v>
      </c>
      <c r="BK398" s="1" t="s">
        <v>208</v>
      </c>
      <c r="BL398" s="102">
        <v>0</v>
      </c>
      <c r="BM398" s="1" t="s">
        <v>208</v>
      </c>
      <c r="BN398" s="1" t="s">
        <v>208</v>
      </c>
      <c r="BO398" s="1" t="s">
        <v>208</v>
      </c>
      <c r="BP398" s="102">
        <v>0</v>
      </c>
      <c r="BQ398" s="1" t="s">
        <v>208</v>
      </c>
      <c r="BR398" s="1" t="s">
        <v>208</v>
      </c>
      <c r="BS398" s="106" t="s">
        <v>208</v>
      </c>
    </row>
    <row x14ac:dyDescent="0.25" r="399" customHeight="1" ht="17.25">
      <c r="A399" s="102">
        <v>398</v>
      </c>
      <c r="B399" s="1" t="s">
        <v>2433</v>
      </c>
      <c r="C399" s="102">
        <v>1</v>
      </c>
      <c r="D399" s="61" t="s">
        <v>2434</v>
      </c>
      <c r="E399" s="1" t="s">
        <v>93</v>
      </c>
      <c r="F399" s="1" t="s">
        <v>22</v>
      </c>
      <c r="G399" s="1" t="s">
        <v>49</v>
      </c>
      <c r="H399" s="1" t="s">
        <v>2435</v>
      </c>
      <c r="I399" s="102">
        <v>1</v>
      </c>
      <c r="J399" s="1" t="s">
        <v>158</v>
      </c>
      <c r="K399" s="1" t="s">
        <v>170</v>
      </c>
      <c r="L399" s="103">
        <v>34053</v>
      </c>
      <c r="M399" s="104">
        <v>24</v>
      </c>
      <c r="N399" s="1" t="s">
        <v>175</v>
      </c>
      <c r="O399" s="1" t="s">
        <v>24</v>
      </c>
      <c r="P399" s="1" t="s">
        <v>365</v>
      </c>
      <c r="Q399" s="1" t="s">
        <v>2436</v>
      </c>
      <c r="R399" s="62">
        <v>0</v>
      </c>
      <c r="S399" s="102">
        <v>0</v>
      </c>
      <c r="T399" s="54" t="s">
        <v>2437</v>
      </c>
      <c r="U399" s="105">
        <v>15.4</v>
      </c>
      <c r="V399" s="62">
        <v>0</v>
      </c>
      <c r="W399" s="102">
        <v>0</v>
      </c>
      <c r="X399" s="62">
        <v>0</v>
      </c>
      <c r="Y399" s="102">
        <v>0</v>
      </c>
      <c r="Z399" s="62">
        <v>0</v>
      </c>
      <c r="AA399" s="102">
        <v>0</v>
      </c>
      <c r="AB399" s="62">
        <v>0</v>
      </c>
      <c r="AC399" s="106" t="s">
        <v>206</v>
      </c>
      <c r="AD399" s="106" t="s">
        <v>206</v>
      </c>
      <c r="AE399" s="106" t="s">
        <v>206</v>
      </c>
      <c r="AF399" s="106" t="s">
        <v>206</v>
      </c>
      <c r="AG399" s="106" t="s">
        <v>206</v>
      </c>
      <c r="AH399" s="106" t="s">
        <v>206</v>
      </c>
      <c r="AI399" s="1" t="s">
        <v>357</v>
      </c>
      <c r="AJ399" s="1" t="s">
        <v>206</v>
      </c>
      <c r="AK399" s="1" t="s">
        <v>726</v>
      </c>
      <c r="AL399" s="1" t="s">
        <v>200</v>
      </c>
      <c r="AM399" s="106" t="s">
        <v>203</v>
      </c>
      <c r="AN399" s="1" t="s">
        <v>2285</v>
      </c>
      <c r="AO399" s="1" t="s">
        <v>208</v>
      </c>
      <c r="AP399" s="1" t="s">
        <v>208</v>
      </c>
      <c r="AQ399" s="1" t="s">
        <v>208</v>
      </c>
      <c r="AR399" s="1" t="s">
        <v>208</v>
      </c>
      <c r="AS399" s="106" t="s">
        <v>208</v>
      </c>
      <c r="AT399" s="1" t="s">
        <v>208</v>
      </c>
      <c r="AU399" s="106" t="s">
        <v>206</v>
      </c>
      <c r="AV399" s="106" t="s">
        <v>206</v>
      </c>
      <c r="AW399" s="106" t="s">
        <v>206</v>
      </c>
      <c r="AX399" s="106" t="s">
        <v>35</v>
      </c>
      <c r="AY399" s="106" t="s">
        <v>208</v>
      </c>
      <c r="AZ399" s="1" t="s">
        <v>208</v>
      </c>
      <c r="BA399" s="106" t="s">
        <v>206</v>
      </c>
      <c r="BB399" s="106" t="s">
        <v>206</v>
      </c>
      <c r="BC399" s="106" t="s">
        <v>206</v>
      </c>
      <c r="BD399" s="106" t="s">
        <v>206</v>
      </c>
      <c r="BE399" s="106" t="s">
        <v>206</v>
      </c>
      <c r="BF399" s="107">
        <f>IF(AZ399="Não","Sim","Não")</f>
      </c>
      <c r="BG399" s="107">
        <f>IF(AZ399="NA","Sim","Não")</f>
      </c>
      <c r="BH399" s="106" t="s">
        <v>208</v>
      </c>
      <c r="BI399" s="1" t="s">
        <v>208</v>
      </c>
      <c r="BJ399" s="106" t="s">
        <v>241</v>
      </c>
      <c r="BK399" s="1" t="s">
        <v>208</v>
      </c>
      <c r="BL399" s="102">
        <v>0</v>
      </c>
      <c r="BM399" s="1" t="s">
        <v>206</v>
      </c>
      <c r="BN399" s="1" t="s">
        <v>208</v>
      </c>
      <c r="BO399" s="1" t="s">
        <v>208</v>
      </c>
      <c r="BP399" s="102">
        <v>0</v>
      </c>
      <c r="BQ399" s="1" t="s">
        <v>208</v>
      </c>
      <c r="BR399" s="1" t="s">
        <v>208</v>
      </c>
      <c r="BS399" s="106" t="s">
        <v>208</v>
      </c>
    </row>
    <row x14ac:dyDescent="0.25" r="400" customHeight="1" ht="17.25">
      <c r="A400" s="102">
        <v>399</v>
      </c>
      <c r="B400" s="1" t="s">
        <v>2433</v>
      </c>
      <c r="C400" s="102">
        <v>0</v>
      </c>
      <c r="D400" s="61" t="s">
        <v>2434</v>
      </c>
      <c r="E400" s="1" t="s">
        <v>93</v>
      </c>
      <c r="F400" s="1" t="s">
        <v>22</v>
      </c>
      <c r="G400" s="1" t="s">
        <v>49</v>
      </c>
      <c r="H400" s="1" t="s">
        <v>2438</v>
      </c>
      <c r="I400" s="102">
        <v>1</v>
      </c>
      <c r="J400" s="1" t="s">
        <v>158</v>
      </c>
      <c r="K400" s="1" t="s">
        <v>170</v>
      </c>
      <c r="L400" s="103">
        <v>32836</v>
      </c>
      <c r="M400" s="104">
        <v>27</v>
      </c>
      <c r="N400" s="1" t="s">
        <v>175</v>
      </c>
      <c r="O400" s="1" t="s">
        <v>24</v>
      </c>
      <c r="P400" s="1" t="s">
        <v>365</v>
      </c>
      <c r="Q400" s="1" t="s">
        <v>547</v>
      </c>
      <c r="R400" s="62">
        <v>0</v>
      </c>
      <c r="S400" s="102">
        <v>0</v>
      </c>
      <c r="T400" s="54" t="s">
        <v>2437</v>
      </c>
      <c r="U400" s="105">
        <v>15.4</v>
      </c>
      <c r="V400" s="62">
        <v>0</v>
      </c>
      <c r="W400" s="102">
        <v>0</v>
      </c>
      <c r="X400" s="62">
        <v>0</v>
      </c>
      <c r="Y400" s="102">
        <v>0</v>
      </c>
      <c r="Z400" s="62">
        <v>0</v>
      </c>
      <c r="AA400" s="102">
        <v>0</v>
      </c>
      <c r="AB400" s="62">
        <v>0</v>
      </c>
      <c r="AC400" s="106" t="s">
        <v>206</v>
      </c>
      <c r="AD400" s="106" t="s">
        <v>206</v>
      </c>
      <c r="AE400" s="106" t="s">
        <v>206</v>
      </c>
      <c r="AF400" s="106" t="s">
        <v>206</v>
      </c>
      <c r="AG400" s="106" t="s">
        <v>206</v>
      </c>
      <c r="AH400" s="106" t="s">
        <v>206</v>
      </c>
      <c r="AI400" s="1" t="s">
        <v>357</v>
      </c>
      <c r="AJ400" s="1" t="s">
        <v>206</v>
      </c>
      <c r="AK400" s="1" t="s">
        <v>726</v>
      </c>
      <c r="AL400" s="1" t="s">
        <v>200</v>
      </c>
      <c r="AM400" s="106" t="s">
        <v>203</v>
      </c>
      <c r="AN400" s="1" t="s">
        <v>2285</v>
      </c>
      <c r="AO400" s="1" t="s">
        <v>208</v>
      </c>
      <c r="AP400" s="1" t="s">
        <v>208</v>
      </c>
      <c r="AQ400" s="1" t="s">
        <v>208</v>
      </c>
      <c r="AR400" s="1" t="s">
        <v>208</v>
      </c>
      <c r="AS400" s="106" t="s">
        <v>208</v>
      </c>
      <c r="AT400" s="1" t="s">
        <v>208</v>
      </c>
      <c r="AU400" s="106" t="s">
        <v>206</v>
      </c>
      <c r="AV400" s="106" t="s">
        <v>206</v>
      </c>
      <c r="AW400" s="106" t="s">
        <v>206</v>
      </c>
      <c r="AX400" s="106" t="s">
        <v>35</v>
      </c>
      <c r="AY400" s="106" t="s">
        <v>208</v>
      </c>
      <c r="AZ400" s="1" t="s">
        <v>208</v>
      </c>
      <c r="BA400" s="106" t="s">
        <v>206</v>
      </c>
      <c r="BB400" s="106" t="s">
        <v>206</v>
      </c>
      <c r="BC400" s="106" t="s">
        <v>206</v>
      </c>
      <c r="BD400" s="106" t="s">
        <v>206</v>
      </c>
      <c r="BE400" s="106" t="s">
        <v>206</v>
      </c>
      <c r="BF400" s="107">
        <f>IF(AZ400="Não","Sim","Não")</f>
      </c>
      <c r="BG400" s="107">
        <f>IF(AZ400="NA","Sim","Não")</f>
      </c>
      <c r="BH400" s="106" t="s">
        <v>208</v>
      </c>
      <c r="BI400" s="1" t="s">
        <v>208</v>
      </c>
      <c r="BJ400" s="106" t="s">
        <v>241</v>
      </c>
      <c r="BK400" s="1" t="s">
        <v>208</v>
      </c>
      <c r="BL400" s="102">
        <v>0</v>
      </c>
      <c r="BM400" s="1" t="s">
        <v>206</v>
      </c>
      <c r="BN400" s="1" t="s">
        <v>208</v>
      </c>
      <c r="BO400" s="1" t="s">
        <v>208</v>
      </c>
      <c r="BP400" s="102">
        <v>0</v>
      </c>
      <c r="BQ400" s="1" t="s">
        <v>208</v>
      </c>
      <c r="BR400" s="1" t="s">
        <v>208</v>
      </c>
      <c r="BS400" s="106" t="s">
        <v>208</v>
      </c>
    </row>
    <row x14ac:dyDescent="0.25" r="401" customHeight="1" ht="17.25">
      <c r="A401" s="102">
        <v>400</v>
      </c>
      <c r="B401" s="1" t="s">
        <v>2439</v>
      </c>
      <c r="C401" s="102">
        <v>1</v>
      </c>
      <c r="D401" s="61" t="s">
        <v>704</v>
      </c>
      <c r="E401" s="1" t="s">
        <v>97</v>
      </c>
      <c r="F401" s="1" t="s">
        <v>170</v>
      </c>
      <c r="G401" s="1" t="s">
        <v>57</v>
      </c>
      <c r="H401" s="1" t="s">
        <v>2440</v>
      </c>
      <c r="I401" s="102">
        <v>1</v>
      </c>
      <c r="J401" s="1" t="s">
        <v>158</v>
      </c>
      <c r="K401" s="1" t="s">
        <v>22</v>
      </c>
      <c r="L401" s="103">
        <v>33143</v>
      </c>
      <c r="M401" s="104">
        <v>26</v>
      </c>
      <c r="N401" s="1" t="s">
        <v>175</v>
      </c>
      <c r="O401" s="1" t="s">
        <v>24</v>
      </c>
      <c r="P401" s="1" t="s">
        <v>354</v>
      </c>
      <c r="Q401" s="1" t="s">
        <v>2441</v>
      </c>
      <c r="R401" s="54" t="s">
        <v>2442</v>
      </c>
      <c r="S401" s="105">
        <v>2.8</v>
      </c>
      <c r="T401" s="54" t="s">
        <v>2443</v>
      </c>
      <c r="U401" s="105">
        <v>5.6</v>
      </c>
      <c r="V401" s="62">
        <v>0</v>
      </c>
      <c r="W401" s="102">
        <v>0</v>
      </c>
      <c r="X401" s="62">
        <v>0</v>
      </c>
      <c r="Y401" s="102">
        <v>0</v>
      </c>
      <c r="Z401" s="62">
        <v>0</v>
      </c>
      <c r="AA401" s="102">
        <v>0</v>
      </c>
      <c r="AB401" s="62">
        <v>0</v>
      </c>
      <c r="AC401" s="106" t="s">
        <v>206</v>
      </c>
      <c r="AD401" s="106" t="s">
        <v>206</v>
      </c>
      <c r="AE401" s="106" t="s">
        <v>206</v>
      </c>
      <c r="AF401" s="106" t="s">
        <v>206</v>
      </c>
      <c r="AG401" s="106" t="s">
        <v>206</v>
      </c>
      <c r="AH401" s="106" t="s">
        <v>206</v>
      </c>
      <c r="AI401" s="1" t="s">
        <v>357</v>
      </c>
      <c r="AJ401" s="1" t="s">
        <v>206</v>
      </c>
      <c r="AK401" s="1" t="s">
        <v>373</v>
      </c>
      <c r="AL401" s="1" t="s">
        <v>200</v>
      </c>
      <c r="AM401" s="106" t="s">
        <v>203</v>
      </c>
      <c r="AN401" s="1" t="s">
        <v>2285</v>
      </c>
      <c r="AO401" s="1" t="s">
        <v>208</v>
      </c>
      <c r="AP401" s="1" t="s">
        <v>208</v>
      </c>
      <c r="AQ401" s="1" t="s">
        <v>208</v>
      </c>
      <c r="AR401" s="1" t="s">
        <v>208</v>
      </c>
      <c r="AS401" s="106" t="s">
        <v>208</v>
      </c>
      <c r="AT401" s="1" t="s">
        <v>208</v>
      </c>
      <c r="AU401" s="106" t="s">
        <v>206</v>
      </c>
      <c r="AV401" s="106" t="s">
        <v>206</v>
      </c>
      <c r="AW401" s="106" t="s">
        <v>206</v>
      </c>
      <c r="AX401" s="106" t="s">
        <v>35</v>
      </c>
      <c r="AY401" s="106" t="s">
        <v>208</v>
      </c>
      <c r="AZ401" s="1" t="s">
        <v>208</v>
      </c>
      <c r="BA401" s="106" t="s">
        <v>206</v>
      </c>
      <c r="BB401" s="106" t="s">
        <v>206</v>
      </c>
      <c r="BC401" s="106" t="s">
        <v>206</v>
      </c>
      <c r="BD401" s="106" t="s">
        <v>206</v>
      </c>
      <c r="BE401" s="106" t="s">
        <v>206</v>
      </c>
      <c r="BF401" s="107">
        <f>IF(AZ401="Não","Sim","Não")</f>
      </c>
      <c r="BG401" s="107">
        <f>IF(AZ401="NA","Sim","Não")</f>
      </c>
      <c r="BH401" s="106" t="s">
        <v>208</v>
      </c>
      <c r="BI401" s="1" t="s">
        <v>208</v>
      </c>
      <c r="BJ401" s="106" t="s">
        <v>241</v>
      </c>
      <c r="BK401" s="1" t="s">
        <v>208</v>
      </c>
      <c r="BL401" s="102">
        <v>0</v>
      </c>
      <c r="BM401" s="1" t="s">
        <v>206</v>
      </c>
      <c r="BN401" s="1" t="s">
        <v>208</v>
      </c>
      <c r="BO401" s="1" t="s">
        <v>208</v>
      </c>
      <c r="BP401" s="102">
        <v>0</v>
      </c>
      <c r="BQ401" s="1" t="s">
        <v>208</v>
      </c>
      <c r="BR401" s="1" t="s">
        <v>208</v>
      </c>
      <c r="BS401" s="106" t="s">
        <v>208</v>
      </c>
    </row>
    <row x14ac:dyDescent="0.25" r="402" customHeight="1" ht="17.25">
      <c r="A402" s="102">
        <v>401</v>
      </c>
      <c r="B402" s="1" t="s">
        <v>2444</v>
      </c>
      <c r="C402" s="102">
        <v>1</v>
      </c>
      <c r="D402" s="61" t="s">
        <v>1673</v>
      </c>
      <c r="E402" s="1" t="s">
        <v>120</v>
      </c>
      <c r="F402" s="1" t="s">
        <v>170</v>
      </c>
      <c r="G402" s="1" t="s">
        <v>52</v>
      </c>
      <c r="H402" s="1" t="s">
        <v>2445</v>
      </c>
      <c r="I402" s="102">
        <v>1</v>
      </c>
      <c r="J402" s="1" t="s">
        <v>158</v>
      </c>
      <c r="K402" s="1" t="s">
        <v>170</v>
      </c>
      <c r="L402" s="103">
        <v>31363</v>
      </c>
      <c r="M402" s="104">
        <v>31</v>
      </c>
      <c r="N402" s="1" t="s">
        <v>176</v>
      </c>
      <c r="O402" s="1" t="s">
        <v>182</v>
      </c>
      <c r="P402" s="1" t="s">
        <v>464</v>
      </c>
      <c r="Q402" s="1" t="s">
        <v>716</v>
      </c>
      <c r="R402" s="62">
        <v>0</v>
      </c>
      <c r="S402" s="102">
        <v>0</v>
      </c>
      <c r="T402" s="54" t="s">
        <v>636</v>
      </c>
      <c r="U402" s="105">
        <v>12.4</v>
      </c>
      <c r="V402" s="62">
        <v>0</v>
      </c>
      <c r="W402" s="102">
        <v>0</v>
      </c>
      <c r="X402" s="62">
        <v>0</v>
      </c>
      <c r="Y402" s="102">
        <v>0</v>
      </c>
      <c r="Z402" s="62">
        <v>0</v>
      </c>
      <c r="AA402" s="102">
        <v>0</v>
      </c>
      <c r="AB402" s="62">
        <v>0</v>
      </c>
      <c r="AC402" s="106" t="s">
        <v>206</v>
      </c>
      <c r="AD402" s="106" t="s">
        <v>206</v>
      </c>
      <c r="AE402" s="106" t="s">
        <v>206</v>
      </c>
      <c r="AF402" s="106" t="s">
        <v>206</v>
      </c>
      <c r="AG402" s="106" t="s">
        <v>206</v>
      </c>
      <c r="AH402" s="106" t="s">
        <v>206</v>
      </c>
      <c r="AI402" s="1" t="s">
        <v>357</v>
      </c>
      <c r="AJ402" s="1" t="s">
        <v>206</v>
      </c>
      <c r="AK402" s="1" t="s">
        <v>358</v>
      </c>
      <c r="AL402" s="1" t="s">
        <v>200</v>
      </c>
      <c r="AM402" s="106" t="s">
        <v>203</v>
      </c>
      <c r="AN402" s="1" t="s">
        <v>2285</v>
      </c>
      <c r="AO402" s="1" t="s">
        <v>208</v>
      </c>
      <c r="AP402" s="1" t="s">
        <v>208</v>
      </c>
      <c r="AQ402" s="1" t="s">
        <v>208</v>
      </c>
      <c r="AR402" s="1" t="s">
        <v>208</v>
      </c>
      <c r="AS402" s="106" t="s">
        <v>208</v>
      </c>
      <c r="AT402" s="1" t="s">
        <v>208</v>
      </c>
      <c r="AU402" s="106" t="s">
        <v>206</v>
      </c>
      <c r="AV402" s="106" t="s">
        <v>206</v>
      </c>
      <c r="AW402" s="106" t="s">
        <v>206</v>
      </c>
      <c r="AX402" s="106" t="s">
        <v>35</v>
      </c>
      <c r="AY402" s="106" t="s">
        <v>208</v>
      </c>
      <c r="AZ402" s="1" t="s">
        <v>208</v>
      </c>
      <c r="BA402" s="106" t="s">
        <v>206</v>
      </c>
      <c r="BB402" s="106" t="s">
        <v>206</v>
      </c>
      <c r="BC402" s="106" t="s">
        <v>206</v>
      </c>
      <c r="BD402" s="106" t="s">
        <v>206</v>
      </c>
      <c r="BE402" s="106" t="s">
        <v>206</v>
      </c>
      <c r="BF402" s="107">
        <f>IF(AZ402="Não","Sim","Não")</f>
      </c>
      <c r="BG402" s="107">
        <f>IF(AZ402="NA","Sim","Não")</f>
      </c>
      <c r="BH402" s="106" t="s">
        <v>208</v>
      </c>
      <c r="BI402" s="1" t="s">
        <v>208</v>
      </c>
      <c r="BJ402" s="106" t="s">
        <v>241</v>
      </c>
      <c r="BK402" s="1" t="s">
        <v>208</v>
      </c>
      <c r="BL402" s="102">
        <v>0</v>
      </c>
      <c r="BM402" s="1" t="s">
        <v>206</v>
      </c>
      <c r="BN402" s="1" t="s">
        <v>208</v>
      </c>
      <c r="BO402" s="1" t="s">
        <v>208</v>
      </c>
      <c r="BP402" s="102">
        <v>0</v>
      </c>
      <c r="BQ402" s="1" t="s">
        <v>208</v>
      </c>
      <c r="BR402" s="1" t="s">
        <v>208</v>
      </c>
      <c r="BS402" s="106" t="s">
        <v>208</v>
      </c>
    </row>
    <row x14ac:dyDescent="0.25" r="403" customHeight="1" ht="17.25">
      <c r="A403" s="102">
        <v>402</v>
      </c>
      <c r="B403" s="1" t="s">
        <v>2446</v>
      </c>
      <c r="C403" s="102">
        <v>1</v>
      </c>
      <c r="D403" s="61">
        <v>42824</v>
      </c>
      <c r="E403" s="1" t="s">
        <v>98</v>
      </c>
      <c r="F403" s="1" t="s">
        <v>170</v>
      </c>
      <c r="G403" s="1" t="s">
        <v>63</v>
      </c>
      <c r="H403" s="1" t="s">
        <v>2447</v>
      </c>
      <c r="I403" s="102">
        <v>1</v>
      </c>
      <c r="J403" s="1" t="s">
        <v>158</v>
      </c>
      <c r="K403" s="1" t="s">
        <v>22</v>
      </c>
      <c r="L403" s="103">
        <v>36001</v>
      </c>
      <c r="M403" s="104">
        <v>18</v>
      </c>
      <c r="N403" s="1" t="s">
        <v>175</v>
      </c>
      <c r="O403" s="1" t="s">
        <v>24</v>
      </c>
      <c r="P403" s="1" t="s">
        <v>615</v>
      </c>
      <c r="Q403" s="1" t="s">
        <v>2448</v>
      </c>
      <c r="R403" s="54" t="s">
        <v>2449</v>
      </c>
      <c r="S403" s="105">
        <v>96.8</v>
      </c>
      <c r="T403" s="54" t="s">
        <v>2450</v>
      </c>
      <c r="U403" s="102">
        <v>4054</v>
      </c>
      <c r="V403" s="62">
        <v>0</v>
      </c>
      <c r="W403" s="102">
        <v>0</v>
      </c>
      <c r="X403" s="62">
        <v>0</v>
      </c>
      <c r="Y403" s="102">
        <v>0</v>
      </c>
      <c r="Z403" s="62">
        <v>0</v>
      </c>
      <c r="AA403" s="102">
        <v>0</v>
      </c>
      <c r="AB403" s="62">
        <v>0</v>
      </c>
      <c r="AC403" s="106" t="s">
        <v>206</v>
      </c>
      <c r="AD403" s="106" t="s">
        <v>206</v>
      </c>
      <c r="AE403" s="106" t="s">
        <v>206</v>
      </c>
      <c r="AF403" s="106" t="s">
        <v>206</v>
      </c>
      <c r="AG403" s="106" t="s">
        <v>206</v>
      </c>
      <c r="AH403" s="106" t="s">
        <v>206</v>
      </c>
      <c r="AI403" s="1" t="s">
        <v>357</v>
      </c>
      <c r="AJ403" s="1" t="s">
        <v>674</v>
      </c>
      <c r="AK403" s="1" t="s">
        <v>2451</v>
      </c>
      <c r="AL403" s="1" t="s">
        <v>199</v>
      </c>
      <c r="AM403" s="106" t="s">
        <v>203</v>
      </c>
      <c r="AN403" s="1" t="s">
        <v>208</v>
      </c>
      <c r="AO403" s="1" t="s">
        <v>208</v>
      </c>
      <c r="AP403" s="1" t="s">
        <v>208</v>
      </c>
      <c r="AQ403" s="1" t="s">
        <v>208</v>
      </c>
      <c r="AR403" s="1" t="s">
        <v>208</v>
      </c>
      <c r="AS403" s="106" t="s">
        <v>208</v>
      </c>
      <c r="AT403" s="1" t="s">
        <v>208</v>
      </c>
      <c r="AU403" s="106" t="s">
        <v>206</v>
      </c>
      <c r="AV403" s="106" t="s">
        <v>206</v>
      </c>
      <c r="AW403" s="106" t="s">
        <v>206</v>
      </c>
      <c r="AX403" s="106" t="s">
        <v>35</v>
      </c>
      <c r="AY403" s="106" t="s">
        <v>208</v>
      </c>
      <c r="AZ403" s="1" t="s">
        <v>208</v>
      </c>
      <c r="BA403" s="106" t="s">
        <v>206</v>
      </c>
      <c r="BB403" s="106" t="s">
        <v>206</v>
      </c>
      <c r="BC403" s="106" t="s">
        <v>206</v>
      </c>
      <c r="BD403" s="106" t="s">
        <v>206</v>
      </c>
      <c r="BE403" s="106" t="s">
        <v>206</v>
      </c>
      <c r="BF403" s="107">
        <f>IF(AZ403="Não","Sim","Não")</f>
      </c>
      <c r="BG403" s="107">
        <f>IF(AZ403="NA","Sim","Não")</f>
      </c>
      <c r="BH403" s="106" t="s">
        <v>208</v>
      </c>
      <c r="BI403" s="1" t="s">
        <v>208</v>
      </c>
      <c r="BJ403" s="106" t="s">
        <v>241</v>
      </c>
      <c r="BK403" s="1" t="s">
        <v>208</v>
      </c>
      <c r="BL403" s="102">
        <v>0</v>
      </c>
      <c r="BM403" s="1" t="s">
        <v>208</v>
      </c>
      <c r="BN403" s="1" t="s">
        <v>208</v>
      </c>
      <c r="BO403" s="1" t="s">
        <v>208</v>
      </c>
      <c r="BP403" s="102">
        <v>0</v>
      </c>
      <c r="BQ403" s="1" t="s">
        <v>208</v>
      </c>
      <c r="BR403" s="1" t="s">
        <v>208</v>
      </c>
      <c r="BS403" s="106" t="s">
        <v>208</v>
      </c>
    </row>
    <row x14ac:dyDescent="0.25" r="404" customHeight="1" ht="17.25">
      <c r="A404" s="102">
        <v>403</v>
      </c>
      <c r="B404" s="1" t="s">
        <v>2452</v>
      </c>
      <c r="C404" s="102">
        <v>1</v>
      </c>
      <c r="D404" s="61" t="s">
        <v>1338</v>
      </c>
      <c r="E404" s="1" t="s">
        <v>90</v>
      </c>
      <c r="F404" s="1" t="s">
        <v>170</v>
      </c>
      <c r="G404" s="1" t="s">
        <v>52</v>
      </c>
      <c r="H404" s="1" t="s">
        <v>2453</v>
      </c>
      <c r="I404" s="102">
        <v>1</v>
      </c>
      <c r="J404" s="1" t="s">
        <v>161</v>
      </c>
      <c r="K404" s="1" t="s">
        <v>22</v>
      </c>
      <c r="L404" s="103">
        <v>35376</v>
      </c>
      <c r="M404" s="104">
        <v>21</v>
      </c>
      <c r="N404" s="1" t="s">
        <v>175</v>
      </c>
      <c r="O404" s="1" t="s">
        <v>24</v>
      </c>
      <c r="P404" s="1" t="s">
        <v>464</v>
      </c>
      <c r="Q404" s="1" t="s">
        <v>2454</v>
      </c>
      <c r="R404" s="62">
        <v>0</v>
      </c>
      <c r="S404" s="102">
        <v>0</v>
      </c>
      <c r="T404" s="54" t="s">
        <v>2092</v>
      </c>
      <c r="U404" s="105">
        <v>5.4</v>
      </c>
      <c r="V404" s="62">
        <v>0</v>
      </c>
      <c r="W404" s="102">
        <v>0</v>
      </c>
      <c r="X404" s="62">
        <v>0</v>
      </c>
      <c r="Y404" s="102">
        <v>0</v>
      </c>
      <c r="Z404" s="62">
        <v>0</v>
      </c>
      <c r="AA404" s="102">
        <v>0</v>
      </c>
      <c r="AB404" s="62">
        <v>0</v>
      </c>
      <c r="AC404" s="106" t="s">
        <v>206</v>
      </c>
      <c r="AD404" s="106" t="s">
        <v>206</v>
      </c>
      <c r="AE404" s="106" t="s">
        <v>206</v>
      </c>
      <c r="AF404" s="106" t="s">
        <v>206</v>
      </c>
      <c r="AG404" s="106" t="s">
        <v>206</v>
      </c>
      <c r="AH404" s="106" t="s">
        <v>206</v>
      </c>
      <c r="AI404" s="1" t="s">
        <v>357</v>
      </c>
      <c r="AJ404" s="1" t="s">
        <v>2123</v>
      </c>
      <c r="AK404" s="1" t="s">
        <v>776</v>
      </c>
      <c r="AL404" s="1" t="s">
        <v>200</v>
      </c>
      <c r="AM404" s="106" t="s">
        <v>203</v>
      </c>
      <c r="AN404" s="1" t="s">
        <v>2285</v>
      </c>
      <c r="AO404" s="1" t="s">
        <v>2455</v>
      </c>
      <c r="AP404" s="1" t="s">
        <v>208</v>
      </c>
      <c r="AQ404" s="1" t="s">
        <v>208</v>
      </c>
      <c r="AR404" s="1" t="s">
        <v>208</v>
      </c>
      <c r="AS404" s="106" t="s">
        <v>208</v>
      </c>
      <c r="AT404" s="1" t="s">
        <v>208</v>
      </c>
      <c r="AU404" s="106" t="s">
        <v>206</v>
      </c>
      <c r="AV404" s="106" t="s">
        <v>206</v>
      </c>
      <c r="AW404" s="106" t="s">
        <v>206</v>
      </c>
      <c r="AX404" s="106" t="s">
        <v>35</v>
      </c>
      <c r="AY404" s="106" t="s">
        <v>208</v>
      </c>
      <c r="AZ404" s="1" t="s">
        <v>208</v>
      </c>
      <c r="BA404" s="106" t="s">
        <v>206</v>
      </c>
      <c r="BB404" s="106" t="s">
        <v>206</v>
      </c>
      <c r="BC404" s="106" t="s">
        <v>206</v>
      </c>
      <c r="BD404" s="106" t="s">
        <v>206</v>
      </c>
      <c r="BE404" s="106" t="s">
        <v>206</v>
      </c>
      <c r="BF404" s="107">
        <f>IF(AZ404="Não","Sim","Não")</f>
      </c>
      <c r="BG404" s="107">
        <f>IF(AZ404="NA","Sim","Não")</f>
      </c>
      <c r="BH404" s="106" t="s">
        <v>208</v>
      </c>
      <c r="BI404" s="1" t="s">
        <v>208</v>
      </c>
      <c r="BJ404" s="106" t="s">
        <v>241</v>
      </c>
      <c r="BK404" s="1" t="s">
        <v>208</v>
      </c>
      <c r="BL404" s="102">
        <v>0</v>
      </c>
      <c r="BM404" s="1" t="s">
        <v>206</v>
      </c>
      <c r="BN404" s="1" t="s">
        <v>2456</v>
      </c>
      <c r="BO404" s="1" t="s">
        <v>2456</v>
      </c>
      <c r="BP404" s="102">
        <v>4</v>
      </c>
      <c r="BQ404" s="1" t="s">
        <v>35</v>
      </c>
      <c r="BR404" s="1" t="s">
        <v>208</v>
      </c>
      <c r="BS404" s="106" t="s">
        <v>208</v>
      </c>
    </row>
    <row x14ac:dyDescent="0.25" r="405" customHeight="1" ht="17.25">
      <c r="A405" s="102">
        <v>404</v>
      </c>
      <c r="B405" s="1" t="s">
        <v>2457</v>
      </c>
      <c r="C405" s="102">
        <v>1</v>
      </c>
      <c r="D405" s="61" t="s">
        <v>2458</v>
      </c>
      <c r="E405" s="1" t="s">
        <v>82</v>
      </c>
      <c r="F405" s="1" t="s">
        <v>22</v>
      </c>
      <c r="G405" s="1" t="s">
        <v>59</v>
      </c>
      <c r="H405" s="1" t="s">
        <v>2459</v>
      </c>
      <c r="I405" s="102">
        <v>1</v>
      </c>
      <c r="J405" s="1" t="s">
        <v>158</v>
      </c>
      <c r="K405" s="1" t="s">
        <v>22</v>
      </c>
      <c r="L405" s="103">
        <v>31664</v>
      </c>
      <c r="M405" s="104">
        <v>31</v>
      </c>
      <c r="N405" s="1" t="s">
        <v>176</v>
      </c>
      <c r="O405" s="1" t="s">
        <v>182</v>
      </c>
      <c r="P405" s="1" t="s">
        <v>464</v>
      </c>
      <c r="Q405" s="1" t="s">
        <v>366</v>
      </c>
      <c r="R405" s="62">
        <v>0</v>
      </c>
      <c r="S405" s="102">
        <v>0</v>
      </c>
      <c r="T405" s="54" t="s">
        <v>2460</v>
      </c>
      <c r="U405" s="105">
        <v>67.1</v>
      </c>
      <c r="V405" s="62">
        <v>0</v>
      </c>
      <c r="W405" s="102">
        <v>0</v>
      </c>
      <c r="X405" s="62">
        <v>0</v>
      </c>
      <c r="Y405" s="102">
        <v>0</v>
      </c>
      <c r="Z405" s="62">
        <v>0</v>
      </c>
      <c r="AA405" s="102">
        <v>0</v>
      </c>
      <c r="AB405" s="62">
        <v>0</v>
      </c>
      <c r="AC405" s="106" t="s">
        <v>206</v>
      </c>
      <c r="AD405" s="106" t="s">
        <v>206</v>
      </c>
      <c r="AE405" s="106" t="s">
        <v>206</v>
      </c>
      <c r="AF405" s="106" t="s">
        <v>206</v>
      </c>
      <c r="AG405" s="106" t="s">
        <v>206</v>
      </c>
      <c r="AH405" s="106" t="s">
        <v>206</v>
      </c>
      <c r="AI405" s="1" t="s">
        <v>357</v>
      </c>
      <c r="AJ405" s="1" t="s">
        <v>206</v>
      </c>
      <c r="AK405" s="1" t="s">
        <v>853</v>
      </c>
      <c r="AL405" s="1" t="s">
        <v>200</v>
      </c>
      <c r="AM405" s="106" t="s">
        <v>203</v>
      </c>
      <c r="AN405" s="1" t="s">
        <v>2285</v>
      </c>
      <c r="AO405" s="1" t="s">
        <v>208</v>
      </c>
      <c r="AP405" s="1" t="s">
        <v>208</v>
      </c>
      <c r="AQ405" s="1" t="s">
        <v>208</v>
      </c>
      <c r="AR405" s="1" t="s">
        <v>208</v>
      </c>
      <c r="AS405" s="106" t="s">
        <v>208</v>
      </c>
      <c r="AT405" s="1" t="s">
        <v>208</v>
      </c>
      <c r="AU405" s="106" t="s">
        <v>206</v>
      </c>
      <c r="AV405" s="106" t="s">
        <v>206</v>
      </c>
      <c r="AW405" s="106" t="s">
        <v>206</v>
      </c>
      <c r="AX405" s="106" t="s">
        <v>35</v>
      </c>
      <c r="AY405" s="106" t="s">
        <v>208</v>
      </c>
      <c r="AZ405" s="1" t="s">
        <v>208</v>
      </c>
      <c r="BA405" s="106" t="s">
        <v>206</v>
      </c>
      <c r="BB405" s="106" t="s">
        <v>206</v>
      </c>
      <c r="BC405" s="106" t="s">
        <v>206</v>
      </c>
      <c r="BD405" s="106" t="s">
        <v>206</v>
      </c>
      <c r="BE405" s="106" t="s">
        <v>206</v>
      </c>
      <c r="BF405" s="107">
        <f>IF(AZ405="Não","Sim","Não")</f>
      </c>
      <c r="BG405" s="107">
        <f>IF(AZ405="NA","Sim","Não")</f>
      </c>
      <c r="BH405" s="106" t="s">
        <v>208</v>
      </c>
      <c r="BI405" s="1" t="s">
        <v>208</v>
      </c>
      <c r="BJ405" s="106" t="s">
        <v>241</v>
      </c>
      <c r="BK405" s="1" t="s">
        <v>208</v>
      </c>
      <c r="BL405" s="102">
        <v>0</v>
      </c>
      <c r="BM405" s="1" t="s">
        <v>206</v>
      </c>
      <c r="BN405" s="1" t="s">
        <v>208</v>
      </c>
      <c r="BO405" s="1" t="s">
        <v>208</v>
      </c>
      <c r="BP405" s="102">
        <v>0</v>
      </c>
      <c r="BQ405" s="1" t="s">
        <v>208</v>
      </c>
      <c r="BR405" s="1" t="s">
        <v>208</v>
      </c>
      <c r="BS405" s="106" t="s">
        <v>208</v>
      </c>
    </row>
    <row x14ac:dyDescent="0.25" r="406" customHeight="1" ht="17.25">
      <c r="A406" s="102">
        <v>405</v>
      </c>
      <c r="B406" s="1" t="s">
        <v>2461</v>
      </c>
      <c r="C406" s="102">
        <v>1</v>
      </c>
      <c r="D406" s="61" t="s">
        <v>2462</v>
      </c>
      <c r="E406" s="1" t="s">
        <v>122</v>
      </c>
      <c r="F406" s="1" t="s">
        <v>22</v>
      </c>
      <c r="G406" s="1" t="s">
        <v>68</v>
      </c>
      <c r="H406" s="1" t="s">
        <v>2463</v>
      </c>
      <c r="I406" s="102">
        <v>1</v>
      </c>
      <c r="J406" s="1" t="s">
        <v>163</v>
      </c>
      <c r="K406" s="1" t="s">
        <v>22</v>
      </c>
      <c r="L406" s="103">
        <v>34505</v>
      </c>
      <c r="M406" s="104">
        <v>23</v>
      </c>
      <c r="N406" s="1" t="s">
        <v>175</v>
      </c>
      <c r="O406" s="1" t="s">
        <v>24</v>
      </c>
      <c r="P406" s="1" t="s">
        <v>464</v>
      </c>
      <c r="Q406" s="1" t="s">
        <v>1197</v>
      </c>
      <c r="R406" s="54" t="s">
        <v>2464</v>
      </c>
      <c r="S406" s="105">
        <v>13.2</v>
      </c>
      <c r="T406" s="54" t="s">
        <v>2465</v>
      </c>
      <c r="U406" s="105">
        <v>1.9</v>
      </c>
      <c r="V406" s="62">
        <v>0</v>
      </c>
      <c r="W406" s="102">
        <v>0</v>
      </c>
      <c r="X406" s="62">
        <v>0</v>
      </c>
      <c r="Y406" s="102">
        <v>0</v>
      </c>
      <c r="Z406" s="62">
        <v>0</v>
      </c>
      <c r="AA406" s="102">
        <v>0</v>
      </c>
      <c r="AB406" s="62">
        <v>0</v>
      </c>
      <c r="AC406" s="106" t="s">
        <v>206</v>
      </c>
      <c r="AD406" s="106" t="s">
        <v>206</v>
      </c>
      <c r="AE406" s="106" t="s">
        <v>206</v>
      </c>
      <c r="AF406" s="106" t="s">
        <v>206</v>
      </c>
      <c r="AG406" s="106" t="s">
        <v>206</v>
      </c>
      <c r="AH406" s="106" t="s">
        <v>206</v>
      </c>
      <c r="AI406" s="1" t="s">
        <v>357</v>
      </c>
      <c r="AJ406" s="1" t="s">
        <v>206</v>
      </c>
      <c r="AK406" s="1" t="s">
        <v>520</v>
      </c>
      <c r="AL406" s="1" t="s">
        <v>199</v>
      </c>
      <c r="AM406" s="106" t="s">
        <v>203</v>
      </c>
      <c r="AN406" s="1" t="s">
        <v>208</v>
      </c>
      <c r="AO406" s="1" t="s">
        <v>208</v>
      </c>
      <c r="AP406" s="1" t="s">
        <v>208</v>
      </c>
      <c r="AQ406" s="1" t="s">
        <v>208</v>
      </c>
      <c r="AR406" s="1" t="s">
        <v>208</v>
      </c>
      <c r="AS406" s="106" t="s">
        <v>208</v>
      </c>
      <c r="AT406" s="1" t="s">
        <v>208</v>
      </c>
      <c r="AU406" s="106" t="s">
        <v>206</v>
      </c>
      <c r="AV406" s="106" t="s">
        <v>206</v>
      </c>
      <c r="AW406" s="106" t="s">
        <v>206</v>
      </c>
      <c r="AX406" s="106" t="s">
        <v>35</v>
      </c>
      <c r="AY406" s="106" t="s">
        <v>208</v>
      </c>
      <c r="AZ406" s="1" t="s">
        <v>208</v>
      </c>
      <c r="BA406" s="106" t="s">
        <v>206</v>
      </c>
      <c r="BB406" s="106" t="s">
        <v>206</v>
      </c>
      <c r="BC406" s="106" t="s">
        <v>206</v>
      </c>
      <c r="BD406" s="106" t="s">
        <v>206</v>
      </c>
      <c r="BE406" s="106" t="s">
        <v>206</v>
      </c>
      <c r="BF406" s="107">
        <f>IF(AZ406="Não","Sim","Não")</f>
      </c>
      <c r="BG406" s="107">
        <f>IF(AZ406="NA","Sim","Não")</f>
      </c>
      <c r="BH406" s="106" t="s">
        <v>208</v>
      </c>
      <c r="BI406" s="1" t="s">
        <v>208</v>
      </c>
      <c r="BJ406" s="106" t="s">
        <v>241</v>
      </c>
      <c r="BK406" s="1" t="s">
        <v>208</v>
      </c>
      <c r="BL406" s="102">
        <v>0</v>
      </c>
      <c r="BM406" s="1" t="s">
        <v>208</v>
      </c>
      <c r="BN406" s="1" t="s">
        <v>208</v>
      </c>
      <c r="BO406" s="1" t="s">
        <v>208</v>
      </c>
      <c r="BP406" s="102">
        <v>0</v>
      </c>
      <c r="BQ406" s="1" t="s">
        <v>208</v>
      </c>
      <c r="BR406" s="1" t="s">
        <v>208</v>
      </c>
      <c r="BS406" s="106" t="s">
        <v>208</v>
      </c>
    </row>
    <row x14ac:dyDescent="0.25" r="407" customHeight="1" ht="17.25">
      <c r="A407" s="102">
        <v>406</v>
      </c>
      <c r="B407" s="1" t="s">
        <v>2466</v>
      </c>
      <c r="C407" s="102">
        <v>1</v>
      </c>
      <c r="D407" s="61" t="s">
        <v>522</v>
      </c>
      <c r="E407" s="1" t="s">
        <v>92</v>
      </c>
      <c r="F407" s="1" t="s">
        <v>22</v>
      </c>
      <c r="G407" s="1" t="s">
        <v>57</v>
      </c>
      <c r="H407" s="1" t="s">
        <v>2467</v>
      </c>
      <c r="I407" s="102">
        <v>1</v>
      </c>
      <c r="J407" s="1" t="s">
        <v>158</v>
      </c>
      <c r="K407" s="1" t="s">
        <v>22</v>
      </c>
      <c r="L407" s="103">
        <v>35486</v>
      </c>
      <c r="M407" s="104">
        <v>20</v>
      </c>
      <c r="N407" s="1" t="s">
        <v>175</v>
      </c>
      <c r="O407" s="1" t="s">
        <v>24</v>
      </c>
      <c r="P407" s="1" t="s">
        <v>517</v>
      </c>
      <c r="Q407" s="1" t="s">
        <v>2468</v>
      </c>
      <c r="R407" s="62">
        <v>0</v>
      </c>
      <c r="S407" s="102">
        <v>0</v>
      </c>
      <c r="T407" s="54" t="s">
        <v>2469</v>
      </c>
      <c r="U407" s="105">
        <v>4.8</v>
      </c>
      <c r="V407" s="62">
        <v>0</v>
      </c>
      <c r="W407" s="102">
        <v>0</v>
      </c>
      <c r="X407" s="62">
        <v>0</v>
      </c>
      <c r="Y407" s="102">
        <v>0</v>
      </c>
      <c r="Z407" s="62">
        <v>0</v>
      </c>
      <c r="AA407" s="102">
        <v>0</v>
      </c>
      <c r="AB407" s="62">
        <v>0</v>
      </c>
      <c r="AC407" s="106" t="s">
        <v>206</v>
      </c>
      <c r="AD407" s="106" t="s">
        <v>206</v>
      </c>
      <c r="AE407" s="106" t="s">
        <v>206</v>
      </c>
      <c r="AF407" s="106" t="s">
        <v>206</v>
      </c>
      <c r="AG407" s="106" t="s">
        <v>206</v>
      </c>
      <c r="AH407" s="106" t="s">
        <v>206</v>
      </c>
      <c r="AI407" s="1" t="s">
        <v>357</v>
      </c>
      <c r="AJ407" s="1" t="s">
        <v>206</v>
      </c>
      <c r="AK407" s="1" t="s">
        <v>2374</v>
      </c>
      <c r="AL407" s="1" t="s">
        <v>200</v>
      </c>
      <c r="AM407" s="106" t="s">
        <v>203</v>
      </c>
      <c r="AN407" s="1" t="s">
        <v>2285</v>
      </c>
      <c r="AO407" s="1" t="s">
        <v>208</v>
      </c>
      <c r="AP407" s="1" t="s">
        <v>208</v>
      </c>
      <c r="AQ407" s="1" t="s">
        <v>208</v>
      </c>
      <c r="AR407" s="1" t="s">
        <v>208</v>
      </c>
      <c r="AS407" s="106" t="s">
        <v>208</v>
      </c>
      <c r="AT407" s="1" t="s">
        <v>208</v>
      </c>
      <c r="AU407" s="106" t="s">
        <v>206</v>
      </c>
      <c r="AV407" s="106" t="s">
        <v>206</v>
      </c>
      <c r="AW407" s="106" t="s">
        <v>206</v>
      </c>
      <c r="AX407" s="106" t="s">
        <v>35</v>
      </c>
      <c r="AY407" s="106" t="s">
        <v>208</v>
      </c>
      <c r="AZ407" s="1" t="s">
        <v>208</v>
      </c>
      <c r="BA407" s="106" t="s">
        <v>206</v>
      </c>
      <c r="BB407" s="106" t="s">
        <v>206</v>
      </c>
      <c r="BC407" s="106" t="s">
        <v>206</v>
      </c>
      <c r="BD407" s="106" t="s">
        <v>206</v>
      </c>
      <c r="BE407" s="106" t="s">
        <v>206</v>
      </c>
      <c r="BF407" s="107">
        <f>IF(AZ407="Não","Sim","Não")</f>
      </c>
      <c r="BG407" s="107">
        <f>IF(AZ407="NA","Sim","Não")</f>
      </c>
      <c r="BH407" s="106" t="s">
        <v>208</v>
      </c>
      <c r="BI407" s="1" t="s">
        <v>208</v>
      </c>
      <c r="BJ407" s="106" t="s">
        <v>241</v>
      </c>
      <c r="BK407" s="1" t="s">
        <v>208</v>
      </c>
      <c r="BL407" s="102">
        <v>0</v>
      </c>
      <c r="BM407" s="1" t="s">
        <v>206</v>
      </c>
      <c r="BN407" s="1" t="s">
        <v>208</v>
      </c>
      <c r="BO407" s="1" t="s">
        <v>208</v>
      </c>
      <c r="BP407" s="102">
        <v>0</v>
      </c>
      <c r="BQ407" s="1" t="s">
        <v>208</v>
      </c>
      <c r="BR407" s="1" t="s">
        <v>208</v>
      </c>
      <c r="BS407" s="106" t="s">
        <v>208</v>
      </c>
    </row>
    <row x14ac:dyDescent="0.25" r="408" customHeight="1" ht="17.25">
      <c r="A408" s="102">
        <v>407</v>
      </c>
      <c r="B408" s="1" t="s">
        <v>1277</v>
      </c>
      <c r="C408" s="102">
        <v>0</v>
      </c>
      <c r="D408" s="61" t="s">
        <v>1278</v>
      </c>
      <c r="E408" s="1" t="s">
        <v>102</v>
      </c>
      <c r="F408" s="1" t="s">
        <v>22</v>
      </c>
      <c r="G408" s="1" t="s">
        <v>56</v>
      </c>
      <c r="H408" s="1" t="s">
        <v>2470</v>
      </c>
      <c r="I408" s="102">
        <v>1</v>
      </c>
      <c r="J408" s="1" t="s">
        <v>159</v>
      </c>
      <c r="K408" s="1" t="s">
        <v>22</v>
      </c>
      <c r="L408" s="103">
        <v>34806</v>
      </c>
      <c r="M408" s="104">
        <v>22</v>
      </c>
      <c r="N408" s="1" t="s">
        <v>176</v>
      </c>
      <c r="O408" s="1" t="s">
        <v>182</v>
      </c>
      <c r="P408" s="1" t="s">
        <v>615</v>
      </c>
      <c r="Q408" s="1" t="s">
        <v>366</v>
      </c>
      <c r="R408" s="54" t="s">
        <v>1281</v>
      </c>
      <c r="S408" s="105">
        <v>842.2</v>
      </c>
      <c r="T408" s="54" t="s">
        <v>1282</v>
      </c>
      <c r="U408" s="105">
        <v>291.7</v>
      </c>
      <c r="V408" s="54" t="s">
        <v>1283</v>
      </c>
      <c r="W408" s="105">
        <v>1961.4</v>
      </c>
      <c r="X408" s="62">
        <v>0</v>
      </c>
      <c r="Y408" s="102">
        <v>0</v>
      </c>
      <c r="Z408" s="62">
        <v>0</v>
      </c>
      <c r="AA408" s="102">
        <v>0</v>
      </c>
      <c r="AB408" s="62">
        <v>0</v>
      </c>
      <c r="AC408" s="106" t="s">
        <v>206</v>
      </c>
      <c r="AD408" s="106" t="s">
        <v>206</v>
      </c>
      <c r="AE408" s="106" t="s">
        <v>206</v>
      </c>
      <c r="AF408" s="106" t="s">
        <v>206</v>
      </c>
      <c r="AG408" s="106" t="s">
        <v>206</v>
      </c>
      <c r="AH408" s="106" t="s">
        <v>206</v>
      </c>
      <c r="AI408" s="1" t="s">
        <v>371</v>
      </c>
      <c r="AJ408" s="1" t="s">
        <v>206</v>
      </c>
      <c r="AK408" s="1" t="s">
        <v>358</v>
      </c>
      <c r="AL408" s="1" t="s">
        <v>199</v>
      </c>
      <c r="AM408" s="106" t="s">
        <v>203</v>
      </c>
      <c r="AN408" s="1" t="s">
        <v>208</v>
      </c>
      <c r="AO408" s="1" t="s">
        <v>208</v>
      </c>
      <c r="AP408" s="1" t="s">
        <v>208</v>
      </c>
      <c r="AQ408" s="1" t="s">
        <v>208</v>
      </c>
      <c r="AR408" s="1" t="s">
        <v>208</v>
      </c>
      <c r="AS408" s="106" t="s">
        <v>208</v>
      </c>
      <c r="AT408" s="1" t="s">
        <v>208</v>
      </c>
      <c r="AU408" s="106" t="s">
        <v>206</v>
      </c>
      <c r="AV408" s="106" t="s">
        <v>206</v>
      </c>
      <c r="AW408" s="106" t="s">
        <v>206</v>
      </c>
      <c r="AX408" s="106" t="s">
        <v>35</v>
      </c>
      <c r="AY408" s="106" t="s">
        <v>208</v>
      </c>
      <c r="AZ408" s="1" t="s">
        <v>208</v>
      </c>
      <c r="BA408" s="106" t="s">
        <v>206</v>
      </c>
      <c r="BB408" s="106" t="s">
        <v>206</v>
      </c>
      <c r="BC408" s="106" t="s">
        <v>206</v>
      </c>
      <c r="BD408" s="106" t="s">
        <v>206</v>
      </c>
      <c r="BE408" s="106" t="s">
        <v>206</v>
      </c>
      <c r="BF408" s="107">
        <f>IF(AZ408="Não","Sim","Não")</f>
      </c>
      <c r="BG408" s="107">
        <f>IF(AZ408="NA","Sim","Não")</f>
      </c>
      <c r="BH408" s="106" t="s">
        <v>208</v>
      </c>
      <c r="BI408" s="1" t="s">
        <v>208</v>
      </c>
      <c r="BJ408" s="106" t="s">
        <v>241</v>
      </c>
      <c r="BK408" s="1" t="s">
        <v>208</v>
      </c>
      <c r="BL408" s="102">
        <v>0</v>
      </c>
      <c r="BM408" s="1" t="s">
        <v>208</v>
      </c>
      <c r="BN408" s="1" t="s">
        <v>208</v>
      </c>
      <c r="BO408" s="1" t="s">
        <v>208</v>
      </c>
      <c r="BP408" s="102">
        <v>0</v>
      </c>
      <c r="BQ408" s="1" t="s">
        <v>208</v>
      </c>
      <c r="BR408" s="1" t="s">
        <v>208</v>
      </c>
      <c r="BS408" s="106" t="s">
        <v>208</v>
      </c>
    </row>
    <row x14ac:dyDescent="0.25" r="409" customHeight="1" ht="17.25">
      <c r="A409" s="102">
        <v>408</v>
      </c>
      <c r="B409" s="1" t="s">
        <v>462</v>
      </c>
      <c r="C409" s="102">
        <v>0</v>
      </c>
      <c r="D409" s="61">
        <v>43017</v>
      </c>
      <c r="E409" s="1" t="s">
        <v>83</v>
      </c>
      <c r="F409" s="1" t="s">
        <v>22</v>
      </c>
      <c r="G409" s="1" t="s">
        <v>53</v>
      </c>
      <c r="H409" s="1" t="s">
        <v>2471</v>
      </c>
      <c r="I409" s="102">
        <v>1</v>
      </c>
      <c r="J409" s="1" t="s">
        <v>166</v>
      </c>
      <c r="K409" s="1" t="s">
        <v>22</v>
      </c>
      <c r="L409" s="103" t="s">
        <v>2472</v>
      </c>
      <c r="M409" s="104">
        <v>41</v>
      </c>
      <c r="N409" s="1" t="s">
        <v>176</v>
      </c>
      <c r="O409" s="1" t="s">
        <v>182</v>
      </c>
      <c r="P409" s="1" t="s">
        <v>365</v>
      </c>
      <c r="Q409" s="1" t="s">
        <v>366</v>
      </c>
      <c r="R409" s="54" t="s">
        <v>466</v>
      </c>
      <c r="S409" s="105">
        <v>25.2</v>
      </c>
      <c r="T409" s="62">
        <v>0</v>
      </c>
      <c r="U409" s="102">
        <v>0</v>
      </c>
      <c r="V409" s="54" t="s">
        <v>467</v>
      </c>
      <c r="W409" s="102">
        <v>7</v>
      </c>
      <c r="X409" s="62">
        <v>0</v>
      </c>
      <c r="Y409" s="102">
        <v>0</v>
      </c>
      <c r="Z409" s="62">
        <v>0</v>
      </c>
      <c r="AA409" s="102">
        <v>0</v>
      </c>
      <c r="AB409" s="62">
        <v>0</v>
      </c>
      <c r="AC409" s="106" t="s">
        <v>206</v>
      </c>
      <c r="AD409" s="106" t="s">
        <v>206</v>
      </c>
      <c r="AE409" s="106" t="s">
        <v>206</v>
      </c>
      <c r="AF409" s="106" t="s">
        <v>206</v>
      </c>
      <c r="AG409" s="106" t="s">
        <v>206</v>
      </c>
      <c r="AH409" s="106" t="s">
        <v>206</v>
      </c>
      <c r="AI409" s="1" t="s">
        <v>371</v>
      </c>
      <c r="AJ409" s="1" t="s">
        <v>206</v>
      </c>
      <c r="AK409" s="1" t="s">
        <v>555</v>
      </c>
      <c r="AL409" s="1" t="s">
        <v>200</v>
      </c>
      <c r="AM409" s="106" t="s">
        <v>203</v>
      </c>
      <c r="AN409" s="1" t="s">
        <v>2285</v>
      </c>
      <c r="AO409" s="1" t="s">
        <v>208</v>
      </c>
      <c r="AP409" s="1" t="s">
        <v>208</v>
      </c>
      <c r="AQ409" s="1" t="s">
        <v>208</v>
      </c>
      <c r="AR409" s="1" t="s">
        <v>208</v>
      </c>
      <c r="AS409" s="106" t="s">
        <v>208</v>
      </c>
      <c r="AT409" s="1" t="s">
        <v>208</v>
      </c>
      <c r="AU409" s="106" t="s">
        <v>206</v>
      </c>
      <c r="AV409" s="106" t="s">
        <v>206</v>
      </c>
      <c r="AW409" s="106" t="s">
        <v>206</v>
      </c>
      <c r="AX409" s="106" t="s">
        <v>35</v>
      </c>
      <c r="AY409" s="106" t="s">
        <v>208</v>
      </c>
      <c r="AZ409" s="1" t="s">
        <v>208</v>
      </c>
      <c r="BA409" s="106" t="s">
        <v>206</v>
      </c>
      <c r="BB409" s="106" t="s">
        <v>206</v>
      </c>
      <c r="BC409" s="106" t="s">
        <v>206</v>
      </c>
      <c r="BD409" s="106" t="s">
        <v>206</v>
      </c>
      <c r="BE409" s="106" t="s">
        <v>206</v>
      </c>
      <c r="BF409" s="107">
        <f>IF(AZ409="Não","Sim","Não")</f>
      </c>
      <c r="BG409" s="107">
        <f>IF(AZ409="NA","Sim","Não")</f>
      </c>
      <c r="BH409" s="106" t="s">
        <v>208</v>
      </c>
      <c r="BI409" s="1" t="s">
        <v>208</v>
      </c>
      <c r="BJ409" s="106" t="s">
        <v>241</v>
      </c>
      <c r="BK409" s="1" t="s">
        <v>208</v>
      </c>
      <c r="BL409" s="102">
        <v>0</v>
      </c>
      <c r="BM409" s="1" t="s">
        <v>206</v>
      </c>
      <c r="BN409" s="1" t="s">
        <v>208</v>
      </c>
      <c r="BO409" s="1" t="s">
        <v>208</v>
      </c>
      <c r="BP409" s="102">
        <v>0</v>
      </c>
      <c r="BQ409" s="1" t="s">
        <v>208</v>
      </c>
      <c r="BR409" s="1" t="s">
        <v>208</v>
      </c>
      <c r="BS409" s="106" t="s">
        <v>208</v>
      </c>
    </row>
    <row x14ac:dyDescent="0.25" r="410" customHeight="1" ht="17.25">
      <c r="A410" s="102">
        <v>409</v>
      </c>
      <c r="B410" s="1" t="s">
        <v>2473</v>
      </c>
      <c r="C410" s="102">
        <v>1</v>
      </c>
      <c r="D410" s="61" t="s">
        <v>679</v>
      </c>
      <c r="E410" s="1" t="s">
        <v>92</v>
      </c>
      <c r="F410" s="1" t="s">
        <v>22</v>
      </c>
      <c r="G410" s="1" t="s">
        <v>57</v>
      </c>
      <c r="H410" s="1" t="s">
        <v>2474</v>
      </c>
      <c r="I410" s="102">
        <v>1</v>
      </c>
      <c r="J410" s="1" t="s">
        <v>158</v>
      </c>
      <c r="K410" s="1" t="s">
        <v>22</v>
      </c>
      <c r="L410" s="103">
        <v>34390</v>
      </c>
      <c r="M410" s="104">
        <v>23</v>
      </c>
      <c r="N410" s="1" t="s">
        <v>176</v>
      </c>
      <c r="O410" s="1" t="s">
        <v>182</v>
      </c>
      <c r="P410" s="1" t="s">
        <v>464</v>
      </c>
      <c r="Q410" s="1" t="s">
        <v>2475</v>
      </c>
      <c r="R410" s="54" t="s">
        <v>2476</v>
      </c>
      <c r="S410" s="105">
        <v>22.5</v>
      </c>
      <c r="T410" s="54" t="s">
        <v>2477</v>
      </c>
      <c r="U410" s="105">
        <v>20.3</v>
      </c>
      <c r="V410" s="54" t="s">
        <v>2478</v>
      </c>
      <c r="W410" s="105">
        <v>2.2</v>
      </c>
      <c r="X410" s="62">
        <v>0</v>
      </c>
      <c r="Y410" s="102">
        <v>0</v>
      </c>
      <c r="Z410" s="62">
        <v>0</v>
      </c>
      <c r="AA410" s="102">
        <v>0</v>
      </c>
      <c r="AB410" s="62">
        <v>0</v>
      </c>
      <c r="AC410" s="106" t="s">
        <v>206</v>
      </c>
      <c r="AD410" s="106" t="s">
        <v>206</v>
      </c>
      <c r="AE410" s="106" t="s">
        <v>206</v>
      </c>
      <c r="AF410" s="106" t="s">
        <v>206</v>
      </c>
      <c r="AG410" s="106" t="s">
        <v>206</v>
      </c>
      <c r="AH410" s="106" t="s">
        <v>206</v>
      </c>
      <c r="AI410" s="1" t="s">
        <v>357</v>
      </c>
      <c r="AJ410" s="1" t="s">
        <v>206</v>
      </c>
      <c r="AK410" s="1" t="s">
        <v>373</v>
      </c>
      <c r="AL410" s="1" t="s">
        <v>199</v>
      </c>
      <c r="AM410" s="106" t="s">
        <v>203</v>
      </c>
      <c r="AN410" s="1" t="s">
        <v>208</v>
      </c>
      <c r="AO410" s="1" t="s">
        <v>208</v>
      </c>
      <c r="AP410" s="1" t="s">
        <v>208</v>
      </c>
      <c r="AQ410" s="1" t="s">
        <v>208</v>
      </c>
      <c r="AR410" s="1" t="s">
        <v>208</v>
      </c>
      <c r="AS410" s="106" t="s">
        <v>208</v>
      </c>
      <c r="AT410" s="1" t="s">
        <v>208</v>
      </c>
      <c r="AU410" s="106" t="s">
        <v>206</v>
      </c>
      <c r="AV410" s="106" t="s">
        <v>206</v>
      </c>
      <c r="AW410" s="106" t="s">
        <v>206</v>
      </c>
      <c r="AX410" s="106" t="s">
        <v>35</v>
      </c>
      <c r="AY410" s="106" t="s">
        <v>208</v>
      </c>
      <c r="AZ410" s="1" t="s">
        <v>208</v>
      </c>
      <c r="BA410" s="106" t="s">
        <v>206</v>
      </c>
      <c r="BB410" s="106" t="s">
        <v>206</v>
      </c>
      <c r="BC410" s="106" t="s">
        <v>206</v>
      </c>
      <c r="BD410" s="106" t="s">
        <v>206</v>
      </c>
      <c r="BE410" s="106" t="s">
        <v>206</v>
      </c>
      <c r="BF410" s="107">
        <f>IF(AZ410="Não","Sim","Não")</f>
      </c>
      <c r="BG410" s="107">
        <f>IF(AZ410="NA","Sim","Não")</f>
      </c>
      <c r="BH410" s="106" t="s">
        <v>208</v>
      </c>
      <c r="BI410" s="1" t="s">
        <v>208</v>
      </c>
      <c r="BJ410" s="106" t="s">
        <v>241</v>
      </c>
      <c r="BK410" s="1" t="s">
        <v>208</v>
      </c>
      <c r="BL410" s="102">
        <v>0</v>
      </c>
      <c r="BM410" s="1" t="s">
        <v>208</v>
      </c>
      <c r="BN410" s="1" t="s">
        <v>208</v>
      </c>
      <c r="BO410" s="1" t="s">
        <v>208</v>
      </c>
      <c r="BP410" s="102">
        <v>0</v>
      </c>
      <c r="BQ410" s="1" t="s">
        <v>208</v>
      </c>
      <c r="BR410" s="1" t="s">
        <v>208</v>
      </c>
      <c r="BS410" s="106" t="s">
        <v>208</v>
      </c>
    </row>
    <row x14ac:dyDescent="0.25" r="411" customHeight="1" ht="17.25">
      <c r="A411" s="102">
        <v>410</v>
      </c>
      <c r="B411" s="1" t="s">
        <v>2479</v>
      </c>
      <c r="C411" s="102">
        <v>1</v>
      </c>
      <c r="D411" s="61" t="s">
        <v>686</v>
      </c>
      <c r="E411" s="1" t="s">
        <v>100</v>
      </c>
      <c r="F411" s="1" t="s">
        <v>22</v>
      </c>
      <c r="G411" s="1" t="s">
        <v>43</v>
      </c>
      <c r="H411" s="1" t="s">
        <v>2480</v>
      </c>
      <c r="I411" s="102">
        <v>1</v>
      </c>
      <c r="J411" s="1" t="s">
        <v>158</v>
      </c>
      <c r="K411" s="1" t="s">
        <v>22</v>
      </c>
      <c r="L411" s="103">
        <v>24948</v>
      </c>
      <c r="M411" s="104">
        <v>49</v>
      </c>
      <c r="N411" s="1" t="s">
        <v>176</v>
      </c>
      <c r="O411" s="1" t="s">
        <v>182</v>
      </c>
      <c r="P411" s="1" t="s">
        <v>365</v>
      </c>
      <c r="Q411" s="1" t="s">
        <v>2481</v>
      </c>
      <c r="R411" s="54" t="s">
        <v>2482</v>
      </c>
      <c r="S411" s="105">
        <v>51.900000000000006</v>
      </c>
      <c r="T411" s="54" t="s">
        <v>2483</v>
      </c>
      <c r="U411" s="105">
        <v>7.9</v>
      </c>
      <c r="V411" s="54" t="s">
        <v>1704</v>
      </c>
      <c r="W411" s="105">
        <v>3.7</v>
      </c>
      <c r="X411" s="62">
        <v>0</v>
      </c>
      <c r="Y411" s="102">
        <v>0</v>
      </c>
      <c r="Z411" s="62">
        <v>0</v>
      </c>
      <c r="AA411" s="102">
        <v>0</v>
      </c>
      <c r="AB411" s="62">
        <v>0</v>
      </c>
      <c r="AC411" s="106" t="s">
        <v>206</v>
      </c>
      <c r="AD411" s="106" t="s">
        <v>206</v>
      </c>
      <c r="AE411" s="106" t="s">
        <v>206</v>
      </c>
      <c r="AF411" s="106" t="s">
        <v>206</v>
      </c>
      <c r="AG411" s="106" t="s">
        <v>206</v>
      </c>
      <c r="AH411" s="106" t="s">
        <v>206</v>
      </c>
      <c r="AI411" s="1" t="s">
        <v>357</v>
      </c>
      <c r="AJ411" s="1" t="s">
        <v>206</v>
      </c>
      <c r="AK411" s="1" t="s">
        <v>2484</v>
      </c>
      <c r="AL411" s="1" t="s">
        <v>199</v>
      </c>
      <c r="AM411" s="106" t="s">
        <v>203</v>
      </c>
      <c r="AN411" s="1" t="s">
        <v>208</v>
      </c>
      <c r="AO411" s="1" t="s">
        <v>208</v>
      </c>
      <c r="AP411" s="1" t="s">
        <v>208</v>
      </c>
      <c r="AQ411" s="1" t="s">
        <v>208</v>
      </c>
      <c r="AR411" s="1" t="s">
        <v>208</v>
      </c>
      <c r="AS411" s="106" t="s">
        <v>208</v>
      </c>
      <c r="AT411" s="1" t="s">
        <v>208</v>
      </c>
      <c r="AU411" s="106" t="s">
        <v>206</v>
      </c>
      <c r="AV411" s="106" t="s">
        <v>206</v>
      </c>
      <c r="AW411" s="106" t="s">
        <v>206</v>
      </c>
      <c r="AX411" s="106" t="s">
        <v>35</v>
      </c>
      <c r="AY411" s="106" t="s">
        <v>208</v>
      </c>
      <c r="AZ411" s="1" t="s">
        <v>208</v>
      </c>
      <c r="BA411" s="106" t="s">
        <v>206</v>
      </c>
      <c r="BB411" s="106" t="s">
        <v>206</v>
      </c>
      <c r="BC411" s="106" t="s">
        <v>206</v>
      </c>
      <c r="BD411" s="106" t="s">
        <v>206</v>
      </c>
      <c r="BE411" s="106" t="s">
        <v>206</v>
      </c>
      <c r="BF411" s="107">
        <f>IF(AZ411="Não","Sim","Não")</f>
      </c>
      <c r="BG411" s="107">
        <f>IF(AZ411="NA","Sim","Não")</f>
      </c>
      <c r="BH411" s="106" t="s">
        <v>208</v>
      </c>
      <c r="BI411" s="1" t="s">
        <v>208</v>
      </c>
      <c r="BJ411" s="106" t="s">
        <v>241</v>
      </c>
      <c r="BK411" s="1" t="s">
        <v>208</v>
      </c>
      <c r="BL411" s="102">
        <v>0</v>
      </c>
      <c r="BM411" s="1" t="s">
        <v>208</v>
      </c>
      <c r="BN411" s="1" t="s">
        <v>208</v>
      </c>
      <c r="BO411" s="1" t="s">
        <v>208</v>
      </c>
      <c r="BP411" s="102">
        <v>0</v>
      </c>
      <c r="BQ411" s="1" t="s">
        <v>208</v>
      </c>
      <c r="BR411" s="1" t="s">
        <v>208</v>
      </c>
      <c r="BS411" s="106" t="s">
        <v>208</v>
      </c>
    </row>
    <row x14ac:dyDescent="0.25" r="412" customHeight="1" ht="17.25">
      <c r="A412" s="102">
        <v>411</v>
      </c>
      <c r="B412" s="1" t="s">
        <v>2485</v>
      </c>
      <c r="C412" s="102">
        <v>1</v>
      </c>
      <c r="D412" s="61">
        <v>43040</v>
      </c>
      <c r="E412" s="1" t="s">
        <v>95</v>
      </c>
      <c r="F412" s="1" t="s">
        <v>170</v>
      </c>
      <c r="G412" s="1" t="s">
        <v>53</v>
      </c>
      <c r="H412" s="1" t="s">
        <v>2486</v>
      </c>
      <c r="I412" s="102">
        <v>1</v>
      </c>
      <c r="J412" s="1" t="s">
        <v>158</v>
      </c>
      <c r="K412" s="1" t="s">
        <v>22</v>
      </c>
      <c r="L412" s="103">
        <v>35018</v>
      </c>
      <c r="M412" s="104">
        <v>21</v>
      </c>
      <c r="N412" s="1" t="s">
        <v>175</v>
      </c>
      <c r="O412" s="1" t="s">
        <v>24</v>
      </c>
      <c r="P412" s="1" t="s">
        <v>178</v>
      </c>
      <c r="Q412" s="1" t="s">
        <v>2487</v>
      </c>
      <c r="R412" s="54" t="s">
        <v>2488</v>
      </c>
      <c r="S412" s="105">
        <v>57.1</v>
      </c>
      <c r="T412" s="54" t="s">
        <v>2489</v>
      </c>
      <c r="U412" s="105">
        <v>13.7</v>
      </c>
      <c r="V412" s="54" t="s">
        <v>2490</v>
      </c>
      <c r="W412" s="105">
        <v>3.3</v>
      </c>
      <c r="X412" s="62">
        <v>0</v>
      </c>
      <c r="Y412" s="102">
        <v>0</v>
      </c>
      <c r="Z412" s="62">
        <v>0</v>
      </c>
      <c r="AA412" s="102">
        <v>0</v>
      </c>
      <c r="AB412" s="62">
        <v>0</v>
      </c>
      <c r="AC412" s="106" t="s">
        <v>206</v>
      </c>
      <c r="AD412" s="106" t="s">
        <v>206</v>
      </c>
      <c r="AE412" s="106" t="s">
        <v>206</v>
      </c>
      <c r="AF412" s="106" t="s">
        <v>206</v>
      </c>
      <c r="AG412" s="106" t="s">
        <v>206</v>
      </c>
      <c r="AH412" s="106" t="s">
        <v>206</v>
      </c>
      <c r="AI412" s="1" t="s">
        <v>357</v>
      </c>
      <c r="AJ412" s="1" t="s">
        <v>206</v>
      </c>
      <c r="AK412" s="1" t="s">
        <v>2299</v>
      </c>
      <c r="AL412" s="1" t="s">
        <v>199</v>
      </c>
      <c r="AM412" s="106" t="s">
        <v>203</v>
      </c>
      <c r="AN412" s="1" t="s">
        <v>208</v>
      </c>
      <c r="AO412" s="1" t="s">
        <v>208</v>
      </c>
      <c r="AP412" s="1" t="s">
        <v>208</v>
      </c>
      <c r="AQ412" s="1" t="s">
        <v>208</v>
      </c>
      <c r="AR412" s="1" t="s">
        <v>208</v>
      </c>
      <c r="AS412" s="106" t="s">
        <v>208</v>
      </c>
      <c r="AT412" s="1" t="s">
        <v>208</v>
      </c>
      <c r="AU412" s="106" t="s">
        <v>206</v>
      </c>
      <c r="AV412" s="106" t="s">
        <v>206</v>
      </c>
      <c r="AW412" s="106" t="s">
        <v>206</v>
      </c>
      <c r="AX412" s="106" t="s">
        <v>35</v>
      </c>
      <c r="AY412" s="106" t="s">
        <v>208</v>
      </c>
      <c r="AZ412" s="1" t="s">
        <v>208</v>
      </c>
      <c r="BA412" s="106" t="s">
        <v>206</v>
      </c>
      <c r="BB412" s="106" t="s">
        <v>206</v>
      </c>
      <c r="BC412" s="106" t="s">
        <v>206</v>
      </c>
      <c r="BD412" s="106" t="s">
        <v>206</v>
      </c>
      <c r="BE412" s="106" t="s">
        <v>206</v>
      </c>
      <c r="BF412" s="107">
        <f>IF(AZ412="Não","Sim","Não")</f>
      </c>
      <c r="BG412" s="107">
        <f>IF(AZ412="NA","Sim","Não")</f>
      </c>
      <c r="BH412" s="106" t="s">
        <v>208</v>
      </c>
      <c r="BI412" s="1" t="s">
        <v>208</v>
      </c>
      <c r="BJ412" s="106" t="s">
        <v>241</v>
      </c>
      <c r="BK412" s="1" t="s">
        <v>208</v>
      </c>
      <c r="BL412" s="102">
        <v>0</v>
      </c>
      <c r="BM412" s="1" t="s">
        <v>208</v>
      </c>
      <c r="BN412" s="1" t="s">
        <v>208</v>
      </c>
      <c r="BO412" s="1" t="s">
        <v>208</v>
      </c>
      <c r="BP412" s="102">
        <v>0</v>
      </c>
      <c r="BQ412" s="1" t="s">
        <v>208</v>
      </c>
      <c r="BR412" s="1" t="s">
        <v>208</v>
      </c>
      <c r="BS412" s="106" t="s">
        <v>208</v>
      </c>
    </row>
    <row x14ac:dyDescent="0.25" r="413" customHeight="1" ht="17.25">
      <c r="A413" s="102">
        <v>412</v>
      </c>
      <c r="B413" s="1" t="s">
        <v>2491</v>
      </c>
      <c r="C413" s="102">
        <v>1</v>
      </c>
      <c r="D413" s="61">
        <v>42934</v>
      </c>
      <c r="E413" s="1" t="s">
        <v>89</v>
      </c>
      <c r="F413" s="1" t="s">
        <v>22</v>
      </c>
      <c r="G413" s="1" t="s">
        <v>38</v>
      </c>
      <c r="H413" s="1" t="s">
        <v>2492</v>
      </c>
      <c r="I413" s="102">
        <v>1</v>
      </c>
      <c r="J413" s="1" t="s">
        <v>158</v>
      </c>
      <c r="K413" s="1" t="s">
        <v>22</v>
      </c>
      <c r="L413" s="103">
        <v>34292</v>
      </c>
      <c r="M413" s="104">
        <v>23</v>
      </c>
      <c r="N413" s="1" t="s">
        <v>176</v>
      </c>
      <c r="O413" s="1" t="s">
        <v>182</v>
      </c>
      <c r="P413" s="1" t="s">
        <v>615</v>
      </c>
      <c r="Q413" s="1" t="s">
        <v>1675</v>
      </c>
      <c r="R413" s="54" t="s">
        <v>2493</v>
      </c>
      <c r="S413" s="105">
        <v>17.6</v>
      </c>
      <c r="T413" s="54" t="s">
        <v>2494</v>
      </c>
      <c r="U413" s="105">
        <v>15.2</v>
      </c>
      <c r="V413" s="54" t="s">
        <v>2495</v>
      </c>
      <c r="W413" s="105">
        <v>3.7</v>
      </c>
      <c r="X413" s="62">
        <v>0</v>
      </c>
      <c r="Y413" s="102">
        <v>0</v>
      </c>
      <c r="Z413" s="62">
        <v>0</v>
      </c>
      <c r="AA413" s="102">
        <v>0</v>
      </c>
      <c r="AB413" s="62">
        <v>0</v>
      </c>
      <c r="AC413" s="106" t="s">
        <v>206</v>
      </c>
      <c r="AD413" s="106" t="s">
        <v>206</v>
      </c>
      <c r="AE413" s="106" t="s">
        <v>206</v>
      </c>
      <c r="AF413" s="106" t="s">
        <v>206</v>
      </c>
      <c r="AG413" s="106" t="s">
        <v>206</v>
      </c>
      <c r="AH413" s="106" t="s">
        <v>206</v>
      </c>
      <c r="AI413" s="1" t="s">
        <v>357</v>
      </c>
      <c r="AJ413" s="1" t="s">
        <v>206</v>
      </c>
      <c r="AK413" s="1" t="s">
        <v>358</v>
      </c>
      <c r="AL413" s="1" t="s">
        <v>199</v>
      </c>
      <c r="AM413" s="106" t="s">
        <v>203</v>
      </c>
      <c r="AN413" s="1" t="s">
        <v>208</v>
      </c>
      <c r="AO413" s="1" t="s">
        <v>208</v>
      </c>
      <c r="AP413" s="1" t="s">
        <v>208</v>
      </c>
      <c r="AQ413" s="1" t="s">
        <v>208</v>
      </c>
      <c r="AR413" s="1" t="s">
        <v>208</v>
      </c>
      <c r="AS413" s="106" t="s">
        <v>208</v>
      </c>
      <c r="AT413" s="1" t="s">
        <v>208</v>
      </c>
      <c r="AU413" s="106" t="s">
        <v>206</v>
      </c>
      <c r="AV413" s="106" t="s">
        <v>206</v>
      </c>
      <c r="AW413" s="106" t="s">
        <v>206</v>
      </c>
      <c r="AX413" s="106" t="s">
        <v>35</v>
      </c>
      <c r="AY413" s="106" t="s">
        <v>208</v>
      </c>
      <c r="AZ413" s="1" t="s">
        <v>208</v>
      </c>
      <c r="BA413" s="106" t="s">
        <v>206</v>
      </c>
      <c r="BB413" s="106" t="s">
        <v>206</v>
      </c>
      <c r="BC413" s="106" t="s">
        <v>206</v>
      </c>
      <c r="BD413" s="106" t="s">
        <v>206</v>
      </c>
      <c r="BE413" s="106" t="s">
        <v>206</v>
      </c>
      <c r="BF413" s="107">
        <f>IF(AZ413="Não","Sim","Não")</f>
      </c>
      <c r="BG413" s="107">
        <f>IF(AZ413="NA","Sim","Não")</f>
      </c>
      <c r="BH413" s="106" t="s">
        <v>208</v>
      </c>
      <c r="BI413" s="1" t="s">
        <v>208</v>
      </c>
      <c r="BJ413" s="106" t="s">
        <v>241</v>
      </c>
      <c r="BK413" s="1" t="s">
        <v>208</v>
      </c>
      <c r="BL413" s="102">
        <v>0</v>
      </c>
      <c r="BM413" s="1" t="s">
        <v>208</v>
      </c>
      <c r="BN413" s="1" t="s">
        <v>208</v>
      </c>
      <c r="BO413" s="1" t="s">
        <v>208</v>
      </c>
      <c r="BP413" s="102">
        <v>0</v>
      </c>
      <c r="BQ413" s="1" t="s">
        <v>208</v>
      </c>
      <c r="BR413" s="1" t="s">
        <v>208</v>
      </c>
      <c r="BS413" s="106" t="s">
        <v>208</v>
      </c>
    </row>
    <row x14ac:dyDescent="0.25" r="414" customHeight="1" ht="17.25">
      <c r="A414" s="102">
        <v>413</v>
      </c>
      <c r="B414" s="1" t="s">
        <v>2496</v>
      </c>
      <c r="C414" s="102">
        <v>1</v>
      </c>
      <c r="D414" s="61" t="s">
        <v>531</v>
      </c>
      <c r="E414" s="1" t="s">
        <v>93</v>
      </c>
      <c r="F414" s="1" t="s">
        <v>22</v>
      </c>
      <c r="G414" s="1" t="s">
        <v>49</v>
      </c>
      <c r="H414" s="1" t="s">
        <v>2497</v>
      </c>
      <c r="I414" s="102">
        <v>1</v>
      </c>
      <c r="J414" s="1" t="s">
        <v>162</v>
      </c>
      <c r="K414" s="1" t="s">
        <v>22</v>
      </c>
      <c r="L414" s="103">
        <v>32699</v>
      </c>
      <c r="M414" s="104">
        <v>28</v>
      </c>
      <c r="N414" s="1" t="s">
        <v>176</v>
      </c>
      <c r="O414" s="1" t="s">
        <v>182</v>
      </c>
      <c r="P414" s="1" t="s">
        <v>365</v>
      </c>
      <c r="Q414" s="1" t="s">
        <v>2498</v>
      </c>
      <c r="R414" s="54" t="s">
        <v>2499</v>
      </c>
      <c r="S414" s="105">
        <v>1.8</v>
      </c>
      <c r="T414" s="54" t="s">
        <v>2500</v>
      </c>
      <c r="U414" s="102">
        <v>10</v>
      </c>
      <c r="V414" s="54" t="s">
        <v>2501</v>
      </c>
      <c r="W414" s="102">
        <v>4</v>
      </c>
      <c r="X414" s="62">
        <v>0</v>
      </c>
      <c r="Y414" s="102">
        <v>0</v>
      </c>
      <c r="Z414" s="62">
        <v>0</v>
      </c>
      <c r="AA414" s="102">
        <v>0</v>
      </c>
      <c r="AB414" s="62">
        <v>0</v>
      </c>
      <c r="AC414" s="106" t="s">
        <v>206</v>
      </c>
      <c r="AD414" s="106" t="s">
        <v>206</v>
      </c>
      <c r="AE414" s="106" t="s">
        <v>206</v>
      </c>
      <c r="AF414" s="106" t="s">
        <v>206</v>
      </c>
      <c r="AG414" s="106" t="s">
        <v>206</v>
      </c>
      <c r="AH414" s="106" t="s">
        <v>206</v>
      </c>
      <c r="AI414" s="1" t="s">
        <v>357</v>
      </c>
      <c r="AJ414" s="1" t="s">
        <v>206</v>
      </c>
      <c r="AK414" s="1" t="s">
        <v>2502</v>
      </c>
      <c r="AL414" s="1" t="s">
        <v>199</v>
      </c>
      <c r="AM414" s="106" t="s">
        <v>203</v>
      </c>
      <c r="AN414" s="1" t="s">
        <v>208</v>
      </c>
      <c r="AO414" s="1" t="s">
        <v>208</v>
      </c>
      <c r="AP414" s="1" t="s">
        <v>208</v>
      </c>
      <c r="AQ414" s="1" t="s">
        <v>208</v>
      </c>
      <c r="AR414" s="1" t="s">
        <v>208</v>
      </c>
      <c r="AS414" s="106" t="s">
        <v>208</v>
      </c>
      <c r="AT414" s="1" t="s">
        <v>208</v>
      </c>
      <c r="AU414" s="106" t="s">
        <v>206</v>
      </c>
      <c r="AV414" s="106" t="s">
        <v>206</v>
      </c>
      <c r="AW414" s="106" t="s">
        <v>206</v>
      </c>
      <c r="AX414" s="106" t="s">
        <v>35</v>
      </c>
      <c r="AY414" s="106" t="s">
        <v>208</v>
      </c>
      <c r="AZ414" s="1" t="s">
        <v>208</v>
      </c>
      <c r="BA414" s="106" t="s">
        <v>206</v>
      </c>
      <c r="BB414" s="106" t="s">
        <v>206</v>
      </c>
      <c r="BC414" s="106" t="s">
        <v>206</v>
      </c>
      <c r="BD414" s="106" t="s">
        <v>206</v>
      </c>
      <c r="BE414" s="106" t="s">
        <v>206</v>
      </c>
      <c r="BF414" s="107">
        <f>IF(AZ414="Não","Sim","Não")</f>
      </c>
      <c r="BG414" s="107">
        <f>IF(AZ414="NA","Sim","Não")</f>
      </c>
      <c r="BH414" s="106" t="s">
        <v>208</v>
      </c>
      <c r="BI414" s="1" t="s">
        <v>208</v>
      </c>
      <c r="BJ414" s="106" t="s">
        <v>241</v>
      </c>
      <c r="BK414" s="1" t="s">
        <v>208</v>
      </c>
      <c r="BL414" s="102">
        <v>0</v>
      </c>
      <c r="BM414" s="1" t="s">
        <v>208</v>
      </c>
      <c r="BN414" s="1" t="s">
        <v>208</v>
      </c>
      <c r="BO414" s="1" t="s">
        <v>208</v>
      </c>
      <c r="BP414" s="102">
        <v>0</v>
      </c>
      <c r="BQ414" s="1" t="s">
        <v>208</v>
      </c>
      <c r="BR414" s="1" t="s">
        <v>208</v>
      </c>
      <c r="BS414" s="106" t="s">
        <v>208</v>
      </c>
    </row>
    <row x14ac:dyDescent="0.25" r="415" customHeight="1" ht="17.25">
      <c r="A415" s="102">
        <v>414</v>
      </c>
      <c r="B415" s="1" t="s">
        <v>2503</v>
      </c>
      <c r="C415" s="102">
        <v>1</v>
      </c>
      <c r="D415" s="61">
        <v>42921</v>
      </c>
      <c r="E415" s="1" t="s">
        <v>112</v>
      </c>
      <c r="F415" s="1" t="s">
        <v>170</v>
      </c>
      <c r="G415" s="1" t="s">
        <v>61</v>
      </c>
      <c r="H415" s="1" t="s">
        <v>2504</v>
      </c>
      <c r="I415" s="102">
        <v>1</v>
      </c>
      <c r="J415" s="1" t="s">
        <v>158</v>
      </c>
      <c r="K415" s="1" t="s">
        <v>170</v>
      </c>
      <c r="L415" s="103">
        <v>21778</v>
      </c>
      <c r="M415" s="104">
        <v>57</v>
      </c>
      <c r="N415" s="1" t="s">
        <v>175</v>
      </c>
      <c r="O415" s="1" t="s">
        <v>24</v>
      </c>
      <c r="P415" s="1" t="s">
        <v>354</v>
      </c>
      <c r="Q415" s="1" t="s">
        <v>773</v>
      </c>
      <c r="R415" s="62">
        <v>0</v>
      </c>
      <c r="S415" s="102">
        <v>0</v>
      </c>
      <c r="T415" s="62">
        <v>0</v>
      </c>
      <c r="U415" s="102">
        <v>0</v>
      </c>
      <c r="V415" s="54" t="s">
        <v>2505</v>
      </c>
      <c r="W415" s="105">
        <v>0.4</v>
      </c>
      <c r="X415" s="62">
        <v>0</v>
      </c>
      <c r="Y415" s="102">
        <v>0</v>
      </c>
      <c r="Z415" s="62">
        <v>0</v>
      </c>
      <c r="AA415" s="102">
        <v>0</v>
      </c>
      <c r="AB415" s="62">
        <v>0</v>
      </c>
      <c r="AC415" s="106" t="s">
        <v>206</v>
      </c>
      <c r="AD415" s="106" t="s">
        <v>206</v>
      </c>
      <c r="AE415" s="106" t="s">
        <v>206</v>
      </c>
      <c r="AF415" s="106" t="s">
        <v>206</v>
      </c>
      <c r="AG415" s="106" t="s">
        <v>206</v>
      </c>
      <c r="AH415" s="106" t="s">
        <v>206</v>
      </c>
      <c r="AI415" s="1" t="s">
        <v>357</v>
      </c>
      <c r="AJ415" s="1" t="s">
        <v>206</v>
      </c>
      <c r="AK415" s="1" t="s">
        <v>776</v>
      </c>
      <c r="AL415" s="1" t="s">
        <v>200</v>
      </c>
      <c r="AM415" s="106" t="s">
        <v>203</v>
      </c>
      <c r="AN415" s="1" t="s">
        <v>2285</v>
      </c>
      <c r="AO415" s="1" t="s">
        <v>208</v>
      </c>
      <c r="AP415" s="1" t="s">
        <v>208</v>
      </c>
      <c r="AQ415" s="1" t="s">
        <v>208</v>
      </c>
      <c r="AR415" s="1" t="s">
        <v>208</v>
      </c>
      <c r="AS415" s="106" t="s">
        <v>208</v>
      </c>
      <c r="AT415" s="1" t="s">
        <v>208</v>
      </c>
      <c r="AU415" s="106" t="s">
        <v>206</v>
      </c>
      <c r="AV415" s="106" t="s">
        <v>206</v>
      </c>
      <c r="AW415" s="106" t="s">
        <v>206</v>
      </c>
      <c r="AX415" s="106" t="s">
        <v>35</v>
      </c>
      <c r="AY415" s="106" t="s">
        <v>208</v>
      </c>
      <c r="AZ415" s="1" t="s">
        <v>208</v>
      </c>
      <c r="BA415" s="106" t="s">
        <v>206</v>
      </c>
      <c r="BB415" s="106" t="s">
        <v>206</v>
      </c>
      <c r="BC415" s="106" t="s">
        <v>206</v>
      </c>
      <c r="BD415" s="106" t="s">
        <v>206</v>
      </c>
      <c r="BE415" s="106" t="s">
        <v>206</v>
      </c>
      <c r="BF415" s="107">
        <f>IF(AZ415="Não","Sim","Não")</f>
      </c>
      <c r="BG415" s="107">
        <f>IF(AZ415="NA","Sim","Não")</f>
      </c>
      <c r="BH415" s="106" t="s">
        <v>208</v>
      </c>
      <c r="BI415" s="1" t="s">
        <v>208</v>
      </c>
      <c r="BJ415" s="106" t="s">
        <v>241</v>
      </c>
      <c r="BK415" s="1" t="s">
        <v>208</v>
      </c>
      <c r="BL415" s="102">
        <v>0</v>
      </c>
      <c r="BM415" s="1" t="s">
        <v>206</v>
      </c>
      <c r="BN415" s="1" t="s">
        <v>208</v>
      </c>
      <c r="BO415" s="1" t="s">
        <v>208</v>
      </c>
      <c r="BP415" s="102">
        <v>0</v>
      </c>
      <c r="BQ415" s="1" t="s">
        <v>208</v>
      </c>
      <c r="BR415" s="1" t="s">
        <v>208</v>
      </c>
      <c r="BS415" s="106" t="s">
        <v>208</v>
      </c>
    </row>
    <row x14ac:dyDescent="0.25" r="416" customHeight="1" ht="17.25">
      <c r="A416" s="102">
        <v>415</v>
      </c>
      <c r="B416" s="1" t="s">
        <v>2506</v>
      </c>
      <c r="C416" s="102">
        <v>1</v>
      </c>
      <c r="D416" s="61" t="s">
        <v>2507</v>
      </c>
      <c r="E416" s="1" t="s">
        <v>101</v>
      </c>
      <c r="F416" s="1" t="s">
        <v>22</v>
      </c>
      <c r="G416" s="1" t="s">
        <v>59</v>
      </c>
      <c r="H416" s="1" t="s">
        <v>2508</v>
      </c>
      <c r="I416" s="102">
        <v>1</v>
      </c>
      <c r="J416" s="1" t="s">
        <v>158</v>
      </c>
      <c r="K416" s="1" t="s">
        <v>22</v>
      </c>
      <c r="L416" s="103">
        <v>33630</v>
      </c>
      <c r="M416" s="104">
        <v>25</v>
      </c>
      <c r="N416" s="1" t="s">
        <v>177</v>
      </c>
      <c r="O416" s="1" t="s">
        <v>24</v>
      </c>
      <c r="P416" s="1" t="s">
        <v>365</v>
      </c>
      <c r="Q416" s="1" t="s">
        <v>366</v>
      </c>
      <c r="R416" s="54" t="s">
        <v>2509</v>
      </c>
      <c r="S416" s="105">
        <v>127.5</v>
      </c>
      <c r="T416" s="54" t="s">
        <v>2510</v>
      </c>
      <c r="U416" s="105">
        <v>17.7</v>
      </c>
      <c r="V416" s="54" t="s">
        <v>2511</v>
      </c>
      <c r="W416" s="105">
        <v>17.6</v>
      </c>
      <c r="X416" s="62">
        <v>0</v>
      </c>
      <c r="Y416" s="102">
        <v>0</v>
      </c>
      <c r="Z416" s="62">
        <v>0</v>
      </c>
      <c r="AA416" s="102">
        <v>0</v>
      </c>
      <c r="AB416" s="57" t="s">
        <v>2512</v>
      </c>
      <c r="AC416" s="106" t="s">
        <v>206</v>
      </c>
      <c r="AD416" s="106" t="s">
        <v>206</v>
      </c>
      <c r="AE416" s="106" t="s">
        <v>35</v>
      </c>
      <c r="AF416" s="106" t="s">
        <v>206</v>
      </c>
      <c r="AG416" s="106" t="s">
        <v>35</v>
      </c>
      <c r="AH416" s="106" t="s">
        <v>206</v>
      </c>
      <c r="AI416" s="1" t="s">
        <v>357</v>
      </c>
      <c r="AJ416" s="1" t="s">
        <v>206</v>
      </c>
      <c r="AK416" s="1" t="s">
        <v>373</v>
      </c>
      <c r="AL416" s="1" t="s">
        <v>200</v>
      </c>
      <c r="AM416" s="106" t="s">
        <v>203</v>
      </c>
      <c r="AN416" s="1" t="s">
        <v>2285</v>
      </c>
      <c r="AO416" s="1" t="s">
        <v>208</v>
      </c>
      <c r="AP416" s="1" t="s">
        <v>208</v>
      </c>
      <c r="AQ416" s="1" t="s">
        <v>208</v>
      </c>
      <c r="AR416" s="1" t="s">
        <v>208</v>
      </c>
      <c r="AS416" s="106" t="s">
        <v>208</v>
      </c>
      <c r="AT416" s="1" t="s">
        <v>208</v>
      </c>
      <c r="AU416" s="106" t="s">
        <v>206</v>
      </c>
      <c r="AV416" s="106" t="s">
        <v>206</v>
      </c>
      <c r="AW416" s="106" t="s">
        <v>206</v>
      </c>
      <c r="AX416" s="106" t="s">
        <v>35</v>
      </c>
      <c r="AY416" s="106" t="s">
        <v>208</v>
      </c>
      <c r="AZ416" s="1" t="s">
        <v>208</v>
      </c>
      <c r="BA416" s="106" t="s">
        <v>206</v>
      </c>
      <c r="BB416" s="106" t="s">
        <v>206</v>
      </c>
      <c r="BC416" s="106" t="s">
        <v>206</v>
      </c>
      <c r="BD416" s="106" t="s">
        <v>206</v>
      </c>
      <c r="BE416" s="106" t="s">
        <v>206</v>
      </c>
      <c r="BF416" s="107">
        <f>IF(AZ416="Não","Sim","Não")</f>
      </c>
      <c r="BG416" s="107">
        <f>IF(AZ416="NA","Sim","Não")</f>
      </c>
      <c r="BH416" s="106" t="s">
        <v>208</v>
      </c>
      <c r="BI416" s="1" t="s">
        <v>208</v>
      </c>
      <c r="BJ416" s="106" t="s">
        <v>241</v>
      </c>
      <c r="BK416" s="1" t="s">
        <v>208</v>
      </c>
      <c r="BL416" s="102">
        <v>0</v>
      </c>
      <c r="BM416" s="1" t="s">
        <v>206</v>
      </c>
      <c r="BN416" s="1" t="s">
        <v>208</v>
      </c>
      <c r="BO416" s="1" t="s">
        <v>208</v>
      </c>
      <c r="BP416" s="102">
        <v>0</v>
      </c>
      <c r="BQ416" s="1" t="s">
        <v>208</v>
      </c>
      <c r="BR416" s="1" t="s">
        <v>208</v>
      </c>
      <c r="BS416" s="106" t="s">
        <v>208</v>
      </c>
    </row>
    <row x14ac:dyDescent="0.25" r="417" customHeight="1" ht="17.25">
      <c r="A417" s="102">
        <v>416</v>
      </c>
      <c r="B417" s="1" t="s">
        <v>2513</v>
      </c>
      <c r="C417" s="102">
        <v>1</v>
      </c>
      <c r="D417" s="61">
        <v>43060</v>
      </c>
      <c r="E417" s="1" t="s">
        <v>113</v>
      </c>
      <c r="F417" s="1" t="s">
        <v>22</v>
      </c>
      <c r="G417" s="1" t="s">
        <v>65</v>
      </c>
      <c r="H417" s="1" t="s">
        <v>2514</v>
      </c>
      <c r="I417" s="102">
        <v>1</v>
      </c>
      <c r="J417" s="1" t="s">
        <v>158</v>
      </c>
      <c r="K417" s="1" t="s">
        <v>22</v>
      </c>
      <c r="L417" s="103">
        <v>33917</v>
      </c>
      <c r="M417" s="104">
        <v>25</v>
      </c>
      <c r="N417" s="1" t="s">
        <v>175</v>
      </c>
      <c r="O417" s="1" t="s">
        <v>24</v>
      </c>
      <c r="P417" s="1" t="s">
        <v>365</v>
      </c>
      <c r="Q417" s="1" t="s">
        <v>366</v>
      </c>
      <c r="R417" s="54" t="s">
        <v>2515</v>
      </c>
      <c r="S417" s="105">
        <v>86.4</v>
      </c>
      <c r="T417" s="62">
        <v>0</v>
      </c>
      <c r="U417" s="102">
        <v>0</v>
      </c>
      <c r="V417" s="54" t="s">
        <v>2516</v>
      </c>
      <c r="W417" s="105">
        <v>1.2</v>
      </c>
      <c r="X417" s="62">
        <v>0</v>
      </c>
      <c r="Y417" s="102">
        <v>0</v>
      </c>
      <c r="Z417" s="62">
        <v>0</v>
      </c>
      <c r="AA417" s="102">
        <v>0</v>
      </c>
      <c r="AB417" s="62">
        <v>0</v>
      </c>
      <c r="AC417" s="106" t="s">
        <v>206</v>
      </c>
      <c r="AD417" s="106" t="s">
        <v>206</v>
      </c>
      <c r="AE417" s="106" t="s">
        <v>206</v>
      </c>
      <c r="AF417" s="106" t="s">
        <v>206</v>
      </c>
      <c r="AG417" s="106" t="s">
        <v>206</v>
      </c>
      <c r="AH417" s="106" t="s">
        <v>206</v>
      </c>
      <c r="AI417" s="1" t="s">
        <v>357</v>
      </c>
      <c r="AJ417" s="1" t="s">
        <v>206</v>
      </c>
      <c r="AK417" s="1" t="s">
        <v>953</v>
      </c>
      <c r="AL417" s="1" t="s">
        <v>200</v>
      </c>
      <c r="AM417" s="106" t="s">
        <v>203</v>
      </c>
      <c r="AN417" s="1" t="s">
        <v>2285</v>
      </c>
      <c r="AO417" s="1" t="s">
        <v>208</v>
      </c>
      <c r="AP417" s="1" t="s">
        <v>208</v>
      </c>
      <c r="AQ417" s="1" t="s">
        <v>208</v>
      </c>
      <c r="AR417" s="1" t="s">
        <v>208</v>
      </c>
      <c r="AS417" s="106" t="s">
        <v>208</v>
      </c>
      <c r="AT417" s="1" t="s">
        <v>208</v>
      </c>
      <c r="AU417" s="106" t="s">
        <v>206</v>
      </c>
      <c r="AV417" s="106" t="s">
        <v>206</v>
      </c>
      <c r="AW417" s="106" t="s">
        <v>206</v>
      </c>
      <c r="AX417" s="106" t="s">
        <v>35</v>
      </c>
      <c r="AY417" s="106" t="s">
        <v>208</v>
      </c>
      <c r="AZ417" s="1" t="s">
        <v>208</v>
      </c>
      <c r="BA417" s="106" t="s">
        <v>206</v>
      </c>
      <c r="BB417" s="106" t="s">
        <v>206</v>
      </c>
      <c r="BC417" s="106" t="s">
        <v>206</v>
      </c>
      <c r="BD417" s="106" t="s">
        <v>206</v>
      </c>
      <c r="BE417" s="106" t="s">
        <v>206</v>
      </c>
      <c r="BF417" s="107">
        <f>IF(AZ417="Não","Sim","Não")</f>
      </c>
      <c r="BG417" s="107">
        <f>IF(AZ417="NA","Sim","Não")</f>
      </c>
      <c r="BH417" s="106" t="s">
        <v>208</v>
      </c>
      <c r="BI417" s="1" t="s">
        <v>208</v>
      </c>
      <c r="BJ417" s="106" t="s">
        <v>241</v>
      </c>
      <c r="BK417" s="1" t="s">
        <v>208</v>
      </c>
      <c r="BL417" s="102">
        <v>0</v>
      </c>
      <c r="BM417" s="1" t="s">
        <v>206</v>
      </c>
      <c r="BN417" s="1" t="s">
        <v>208</v>
      </c>
      <c r="BO417" s="1" t="s">
        <v>208</v>
      </c>
      <c r="BP417" s="102">
        <v>0</v>
      </c>
      <c r="BQ417" s="1" t="s">
        <v>208</v>
      </c>
      <c r="BR417" s="1" t="s">
        <v>208</v>
      </c>
      <c r="BS417" s="106" t="s">
        <v>208</v>
      </c>
    </row>
    <row x14ac:dyDescent="0.25" r="418" customHeight="1" ht="17.25">
      <c r="A418" s="102">
        <v>417</v>
      </c>
      <c r="B418" s="1" t="s">
        <v>2517</v>
      </c>
      <c r="C418" s="102">
        <v>1</v>
      </c>
      <c r="D418" s="61">
        <v>42964</v>
      </c>
      <c r="E418" s="1" t="s">
        <v>78</v>
      </c>
      <c r="F418" s="1" t="s">
        <v>22</v>
      </c>
      <c r="G418" s="1" t="s">
        <v>64</v>
      </c>
      <c r="H418" s="1" t="s">
        <v>2518</v>
      </c>
      <c r="I418" s="102">
        <v>1</v>
      </c>
      <c r="J418" s="1" t="s">
        <v>158</v>
      </c>
      <c r="K418" s="1" t="s">
        <v>22</v>
      </c>
      <c r="L418" s="103">
        <v>34879</v>
      </c>
      <c r="M418" s="104">
        <v>22</v>
      </c>
      <c r="N418" s="1" t="s">
        <v>176</v>
      </c>
      <c r="O418" s="1" t="s">
        <v>182</v>
      </c>
      <c r="P418" s="1" t="s">
        <v>365</v>
      </c>
      <c r="Q418" s="1" t="s">
        <v>2519</v>
      </c>
      <c r="R418" s="54" t="s">
        <v>2520</v>
      </c>
      <c r="S418" s="105">
        <v>14.9</v>
      </c>
      <c r="T418" s="54" t="s">
        <v>2521</v>
      </c>
      <c r="U418" s="102">
        <v>8</v>
      </c>
      <c r="V418" s="54" t="s">
        <v>952</v>
      </c>
      <c r="W418" s="102">
        <v>1</v>
      </c>
      <c r="X418" s="62">
        <v>0</v>
      </c>
      <c r="Y418" s="102">
        <v>0</v>
      </c>
      <c r="Z418" s="62">
        <v>0</v>
      </c>
      <c r="AA418" s="102">
        <v>0</v>
      </c>
      <c r="AB418" s="57" t="s">
        <v>2522</v>
      </c>
      <c r="AC418" s="106" t="s">
        <v>206</v>
      </c>
      <c r="AD418" s="106" t="s">
        <v>206</v>
      </c>
      <c r="AE418" s="106" t="s">
        <v>206</v>
      </c>
      <c r="AF418" s="106" t="s">
        <v>206</v>
      </c>
      <c r="AG418" s="106" t="s">
        <v>35</v>
      </c>
      <c r="AH418" s="106" t="s">
        <v>206</v>
      </c>
      <c r="AI418" s="1" t="s">
        <v>357</v>
      </c>
      <c r="AJ418" s="1" t="s">
        <v>206</v>
      </c>
      <c r="AK418" s="1" t="s">
        <v>2523</v>
      </c>
      <c r="AL418" s="1" t="s">
        <v>199</v>
      </c>
      <c r="AM418" s="106" t="s">
        <v>203</v>
      </c>
      <c r="AN418" s="1" t="s">
        <v>208</v>
      </c>
      <c r="AO418" s="1" t="s">
        <v>208</v>
      </c>
      <c r="AP418" s="1" t="s">
        <v>208</v>
      </c>
      <c r="AQ418" s="1" t="s">
        <v>208</v>
      </c>
      <c r="AR418" s="1" t="s">
        <v>208</v>
      </c>
      <c r="AS418" s="106" t="s">
        <v>208</v>
      </c>
      <c r="AT418" s="1" t="s">
        <v>208</v>
      </c>
      <c r="AU418" s="106" t="s">
        <v>206</v>
      </c>
      <c r="AV418" s="106" t="s">
        <v>206</v>
      </c>
      <c r="AW418" s="106" t="s">
        <v>206</v>
      </c>
      <c r="AX418" s="106" t="s">
        <v>35</v>
      </c>
      <c r="AY418" s="106" t="s">
        <v>208</v>
      </c>
      <c r="AZ418" s="1" t="s">
        <v>208</v>
      </c>
      <c r="BA418" s="106" t="s">
        <v>206</v>
      </c>
      <c r="BB418" s="106" t="s">
        <v>206</v>
      </c>
      <c r="BC418" s="106" t="s">
        <v>206</v>
      </c>
      <c r="BD418" s="106" t="s">
        <v>206</v>
      </c>
      <c r="BE418" s="106" t="s">
        <v>206</v>
      </c>
      <c r="BF418" s="107">
        <f>IF(AZ418="Não","Sim","Não")</f>
      </c>
      <c r="BG418" s="107">
        <f>IF(AZ418="NA","Sim","Não")</f>
      </c>
      <c r="BH418" s="106" t="s">
        <v>208</v>
      </c>
      <c r="BI418" s="1" t="s">
        <v>208</v>
      </c>
      <c r="BJ418" s="106" t="s">
        <v>241</v>
      </c>
      <c r="BK418" s="1" t="s">
        <v>208</v>
      </c>
      <c r="BL418" s="102">
        <v>0</v>
      </c>
      <c r="BM418" s="1" t="s">
        <v>208</v>
      </c>
      <c r="BN418" s="1" t="s">
        <v>208</v>
      </c>
      <c r="BO418" s="1" t="s">
        <v>208</v>
      </c>
      <c r="BP418" s="102">
        <v>0</v>
      </c>
      <c r="BQ418" s="1" t="s">
        <v>208</v>
      </c>
      <c r="BR418" s="1" t="s">
        <v>208</v>
      </c>
      <c r="BS418" s="106" t="s">
        <v>208</v>
      </c>
    </row>
    <row x14ac:dyDescent="0.25" r="419" customHeight="1" ht="17.25">
      <c r="A419" s="102">
        <v>418</v>
      </c>
      <c r="B419" s="1" t="s">
        <v>2524</v>
      </c>
      <c r="C419" s="102">
        <v>1</v>
      </c>
      <c r="D419" s="61" t="s">
        <v>515</v>
      </c>
      <c r="E419" s="1" t="s">
        <v>79</v>
      </c>
      <c r="F419" s="1" t="s">
        <v>170</v>
      </c>
      <c r="G419" s="1" t="s">
        <v>66</v>
      </c>
      <c r="H419" s="1" t="s">
        <v>2525</v>
      </c>
      <c r="I419" s="102">
        <v>1</v>
      </c>
      <c r="J419" s="1" t="s">
        <v>158</v>
      </c>
      <c r="K419" s="1" t="s">
        <v>22</v>
      </c>
      <c r="L419" s="103">
        <v>31615</v>
      </c>
      <c r="M419" s="104">
        <v>31</v>
      </c>
      <c r="N419" s="1" t="s">
        <v>177</v>
      </c>
      <c r="O419" s="1" t="s">
        <v>24</v>
      </c>
      <c r="P419" s="1" t="s">
        <v>365</v>
      </c>
      <c r="Q419" s="1" t="s">
        <v>366</v>
      </c>
      <c r="R419" s="54" t="s">
        <v>2526</v>
      </c>
      <c r="S419" s="105">
        <v>27.4</v>
      </c>
      <c r="T419" s="62">
        <v>0</v>
      </c>
      <c r="U419" s="102">
        <v>0</v>
      </c>
      <c r="V419" s="54" t="s">
        <v>2527</v>
      </c>
      <c r="W419" s="105">
        <v>1.8</v>
      </c>
      <c r="X419" s="62">
        <v>0</v>
      </c>
      <c r="Y419" s="102">
        <v>0</v>
      </c>
      <c r="Z419" s="62">
        <v>0</v>
      </c>
      <c r="AA419" s="102">
        <v>0</v>
      </c>
      <c r="AB419" s="62">
        <v>0</v>
      </c>
      <c r="AC419" s="106" t="s">
        <v>206</v>
      </c>
      <c r="AD419" s="106" t="s">
        <v>206</v>
      </c>
      <c r="AE419" s="106" t="s">
        <v>206</v>
      </c>
      <c r="AF419" s="106" t="s">
        <v>206</v>
      </c>
      <c r="AG419" s="106" t="s">
        <v>206</v>
      </c>
      <c r="AH419" s="106" t="s">
        <v>206</v>
      </c>
      <c r="AI419" s="1" t="s">
        <v>357</v>
      </c>
      <c r="AJ419" s="1" t="s">
        <v>206</v>
      </c>
      <c r="AK419" s="1" t="s">
        <v>358</v>
      </c>
      <c r="AL419" s="1" t="s">
        <v>200</v>
      </c>
      <c r="AM419" s="106" t="s">
        <v>203</v>
      </c>
      <c r="AN419" s="1" t="s">
        <v>2285</v>
      </c>
      <c r="AO419" s="1" t="s">
        <v>208</v>
      </c>
      <c r="AP419" s="1" t="s">
        <v>208</v>
      </c>
      <c r="AQ419" s="1" t="s">
        <v>208</v>
      </c>
      <c r="AR419" s="1" t="s">
        <v>208</v>
      </c>
      <c r="AS419" s="106" t="s">
        <v>208</v>
      </c>
      <c r="AT419" s="1" t="s">
        <v>208</v>
      </c>
      <c r="AU419" s="106" t="s">
        <v>206</v>
      </c>
      <c r="AV419" s="106" t="s">
        <v>206</v>
      </c>
      <c r="AW419" s="106" t="s">
        <v>206</v>
      </c>
      <c r="AX419" s="106" t="s">
        <v>35</v>
      </c>
      <c r="AY419" s="106" t="s">
        <v>208</v>
      </c>
      <c r="AZ419" s="1" t="s">
        <v>208</v>
      </c>
      <c r="BA419" s="106" t="s">
        <v>206</v>
      </c>
      <c r="BB419" s="106" t="s">
        <v>206</v>
      </c>
      <c r="BC419" s="106" t="s">
        <v>206</v>
      </c>
      <c r="BD419" s="106" t="s">
        <v>206</v>
      </c>
      <c r="BE419" s="106" t="s">
        <v>206</v>
      </c>
      <c r="BF419" s="107">
        <f>IF(AZ419="Não","Sim","Não")</f>
      </c>
      <c r="BG419" s="107">
        <f>IF(AZ419="NA","Sim","Não")</f>
      </c>
      <c r="BH419" s="106" t="s">
        <v>208</v>
      </c>
      <c r="BI419" s="1" t="s">
        <v>208</v>
      </c>
      <c r="BJ419" s="106" t="s">
        <v>241</v>
      </c>
      <c r="BK419" s="1" t="s">
        <v>208</v>
      </c>
      <c r="BL419" s="102">
        <v>0</v>
      </c>
      <c r="BM419" s="1" t="s">
        <v>206</v>
      </c>
      <c r="BN419" s="1" t="s">
        <v>208</v>
      </c>
      <c r="BO419" s="1" t="s">
        <v>208</v>
      </c>
      <c r="BP419" s="102">
        <v>0</v>
      </c>
      <c r="BQ419" s="1" t="s">
        <v>208</v>
      </c>
      <c r="BR419" s="1" t="s">
        <v>208</v>
      </c>
      <c r="BS419" s="106" t="s">
        <v>208</v>
      </c>
    </row>
    <row x14ac:dyDescent="0.25" r="420" customHeight="1" ht="17.25">
      <c r="A420" s="102">
        <v>419</v>
      </c>
      <c r="B420" s="1" t="s">
        <v>2528</v>
      </c>
      <c r="C420" s="102">
        <v>1</v>
      </c>
      <c r="D420" s="61" t="s">
        <v>557</v>
      </c>
      <c r="E420" s="1" t="s">
        <v>100</v>
      </c>
      <c r="F420" s="1" t="s">
        <v>22</v>
      </c>
      <c r="G420" s="1" t="s">
        <v>43</v>
      </c>
      <c r="H420" s="1" t="s">
        <v>2529</v>
      </c>
      <c r="I420" s="102">
        <v>1</v>
      </c>
      <c r="J420" s="1" t="s">
        <v>160</v>
      </c>
      <c r="K420" s="1" t="s">
        <v>22</v>
      </c>
      <c r="L420" s="103">
        <v>33012</v>
      </c>
      <c r="M420" s="104">
        <v>27</v>
      </c>
      <c r="N420" s="1" t="s">
        <v>175</v>
      </c>
      <c r="O420" s="1" t="s">
        <v>24</v>
      </c>
      <c r="P420" s="1" t="s">
        <v>365</v>
      </c>
      <c r="Q420" s="1" t="s">
        <v>2530</v>
      </c>
      <c r="R420" s="54" t="s">
        <v>2531</v>
      </c>
      <c r="S420" s="105">
        <v>20.2</v>
      </c>
      <c r="T420" s="54" t="s">
        <v>2532</v>
      </c>
      <c r="U420" s="105">
        <v>63.3</v>
      </c>
      <c r="V420" s="62">
        <v>0</v>
      </c>
      <c r="W420" s="102">
        <v>0</v>
      </c>
      <c r="X420" s="54" t="s">
        <v>2533</v>
      </c>
      <c r="Y420" s="105">
        <v>11.9</v>
      </c>
      <c r="Z420" s="62">
        <v>0</v>
      </c>
      <c r="AA420" s="102">
        <v>0</v>
      </c>
      <c r="AB420" s="62">
        <v>0</v>
      </c>
      <c r="AC420" s="106" t="s">
        <v>206</v>
      </c>
      <c r="AD420" s="106" t="s">
        <v>206</v>
      </c>
      <c r="AE420" s="106" t="s">
        <v>206</v>
      </c>
      <c r="AF420" s="106" t="s">
        <v>206</v>
      </c>
      <c r="AG420" s="106" t="s">
        <v>206</v>
      </c>
      <c r="AH420" s="106" t="s">
        <v>206</v>
      </c>
      <c r="AI420" s="1" t="s">
        <v>371</v>
      </c>
      <c r="AJ420" s="1" t="s">
        <v>372</v>
      </c>
      <c r="AK420" s="1" t="s">
        <v>485</v>
      </c>
      <c r="AL420" s="1" t="s">
        <v>199</v>
      </c>
      <c r="AM420" s="106" t="s">
        <v>203</v>
      </c>
      <c r="AN420" s="1" t="s">
        <v>208</v>
      </c>
      <c r="AO420" s="1" t="s">
        <v>208</v>
      </c>
      <c r="AP420" s="1" t="s">
        <v>208</v>
      </c>
      <c r="AQ420" s="1" t="s">
        <v>208</v>
      </c>
      <c r="AR420" s="1" t="s">
        <v>208</v>
      </c>
      <c r="AS420" s="106" t="s">
        <v>208</v>
      </c>
      <c r="AT420" s="1" t="s">
        <v>208</v>
      </c>
      <c r="AU420" s="106" t="s">
        <v>206</v>
      </c>
      <c r="AV420" s="106" t="s">
        <v>206</v>
      </c>
      <c r="AW420" s="106" t="s">
        <v>206</v>
      </c>
      <c r="AX420" s="106" t="s">
        <v>35</v>
      </c>
      <c r="AY420" s="106" t="s">
        <v>208</v>
      </c>
      <c r="AZ420" s="1" t="s">
        <v>208</v>
      </c>
      <c r="BA420" s="106" t="s">
        <v>206</v>
      </c>
      <c r="BB420" s="106" t="s">
        <v>206</v>
      </c>
      <c r="BC420" s="106" t="s">
        <v>206</v>
      </c>
      <c r="BD420" s="106" t="s">
        <v>206</v>
      </c>
      <c r="BE420" s="106" t="s">
        <v>206</v>
      </c>
      <c r="BF420" s="107">
        <f>IF(AZ420="Não","Sim","Não")</f>
      </c>
      <c r="BG420" s="107">
        <f>IF(AZ420="NA","Sim","Não")</f>
      </c>
      <c r="BH420" s="106" t="s">
        <v>208</v>
      </c>
      <c r="BI420" s="1" t="s">
        <v>208</v>
      </c>
      <c r="BJ420" s="106" t="s">
        <v>241</v>
      </c>
      <c r="BK420" s="1" t="s">
        <v>208</v>
      </c>
      <c r="BL420" s="102">
        <v>0</v>
      </c>
      <c r="BM420" s="1" t="s">
        <v>208</v>
      </c>
      <c r="BN420" s="1" t="s">
        <v>208</v>
      </c>
      <c r="BO420" s="1" t="s">
        <v>208</v>
      </c>
      <c r="BP420" s="102">
        <v>0</v>
      </c>
      <c r="BQ420" s="1" t="s">
        <v>208</v>
      </c>
      <c r="BR420" s="1" t="s">
        <v>208</v>
      </c>
      <c r="BS420" s="106" t="s">
        <v>208</v>
      </c>
    </row>
    <row x14ac:dyDescent="0.25" r="421" customHeight="1" ht="17.25">
      <c r="A421" s="102">
        <v>420</v>
      </c>
      <c r="B421" s="1" t="s">
        <v>2534</v>
      </c>
      <c r="C421" s="102">
        <v>1</v>
      </c>
      <c r="D421" s="61" t="s">
        <v>2535</v>
      </c>
      <c r="E421" s="1" t="s">
        <v>105</v>
      </c>
      <c r="F421" s="1" t="s">
        <v>170</v>
      </c>
      <c r="G421" s="1" t="s">
        <v>39</v>
      </c>
      <c r="H421" s="1" t="s">
        <v>2536</v>
      </c>
      <c r="I421" s="102">
        <v>1</v>
      </c>
      <c r="J421" s="1" t="s">
        <v>158</v>
      </c>
      <c r="K421" s="1" t="s">
        <v>22</v>
      </c>
      <c r="L421" s="103">
        <v>32760</v>
      </c>
      <c r="M421" s="104">
        <v>27</v>
      </c>
      <c r="N421" s="1" t="s">
        <v>177</v>
      </c>
      <c r="O421" s="1" t="s">
        <v>24</v>
      </c>
      <c r="P421" s="1" t="s">
        <v>354</v>
      </c>
      <c r="Q421" s="1" t="s">
        <v>2181</v>
      </c>
      <c r="R421" s="54" t="s">
        <v>2537</v>
      </c>
      <c r="S421" s="105">
        <v>24.2</v>
      </c>
      <c r="T421" s="54" t="s">
        <v>2538</v>
      </c>
      <c r="U421" s="105">
        <v>25.3</v>
      </c>
      <c r="V421" s="54" t="s">
        <v>2539</v>
      </c>
      <c r="W421" s="105">
        <v>8.8</v>
      </c>
      <c r="X421" s="54" t="s">
        <v>2540</v>
      </c>
      <c r="Y421" s="105">
        <v>12.2</v>
      </c>
      <c r="Z421" s="62">
        <v>0</v>
      </c>
      <c r="AA421" s="102">
        <v>0</v>
      </c>
      <c r="AB421" s="62">
        <v>0</v>
      </c>
      <c r="AC421" s="106" t="s">
        <v>206</v>
      </c>
      <c r="AD421" s="106" t="s">
        <v>206</v>
      </c>
      <c r="AE421" s="106" t="s">
        <v>206</v>
      </c>
      <c r="AF421" s="106" t="s">
        <v>206</v>
      </c>
      <c r="AG421" s="106" t="s">
        <v>206</v>
      </c>
      <c r="AH421" s="106" t="s">
        <v>206</v>
      </c>
      <c r="AI421" s="1" t="s">
        <v>371</v>
      </c>
      <c r="AJ421" s="1" t="s">
        <v>372</v>
      </c>
      <c r="AK421" s="1" t="s">
        <v>373</v>
      </c>
      <c r="AL421" s="1" t="s">
        <v>199</v>
      </c>
      <c r="AM421" s="106" t="s">
        <v>203</v>
      </c>
      <c r="AN421" s="1" t="s">
        <v>208</v>
      </c>
      <c r="AO421" s="1" t="s">
        <v>208</v>
      </c>
      <c r="AP421" s="1" t="s">
        <v>208</v>
      </c>
      <c r="AQ421" s="1" t="s">
        <v>208</v>
      </c>
      <c r="AR421" s="1" t="s">
        <v>208</v>
      </c>
      <c r="AS421" s="106" t="s">
        <v>208</v>
      </c>
      <c r="AT421" s="1" t="s">
        <v>208</v>
      </c>
      <c r="AU421" s="106" t="s">
        <v>206</v>
      </c>
      <c r="AV421" s="106" t="s">
        <v>206</v>
      </c>
      <c r="AW421" s="106" t="s">
        <v>206</v>
      </c>
      <c r="AX421" s="106" t="s">
        <v>35</v>
      </c>
      <c r="AY421" s="106" t="s">
        <v>208</v>
      </c>
      <c r="AZ421" s="1" t="s">
        <v>208</v>
      </c>
      <c r="BA421" s="106" t="s">
        <v>206</v>
      </c>
      <c r="BB421" s="106" t="s">
        <v>206</v>
      </c>
      <c r="BC421" s="106" t="s">
        <v>206</v>
      </c>
      <c r="BD421" s="106" t="s">
        <v>206</v>
      </c>
      <c r="BE421" s="106" t="s">
        <v>206</v>
      </c>
      <c r="BF421" s="107">
        <f>IF(AZ421="Não","Sim","Não")</f>
      </c>
      <c r="BG421" s="107">
        <f>IF(AZ421="NA","Sim","Não")</f>
      </c>
      <c r="BH421" s="106" t="s">
        <v>208</v>
      </c>
      <c r="BI421" s="1" t="s">
        <v>208</v>
      </c>
      <c r="BJ421" s="106" t="s">
        <v>241</v>
      </c>
      <c r="BK421" s="1" t="s">
        <v>208</v>
      </c>
      <c r="BL421" s="102">
        <v>0</v>
      </c>
      <c r="BM421" s="1" t="s">
        <v>208</v>
      </c>
      <c r="BN421" s="1" t="s">
        <v>208</v>
      </c>
      <c r="BO421" s="1" t="s">
        <v>208</v>
      </c>
      <c r="BP421" s="102">
        <v>0</v>
      </c>
      <c r="BQ421" s="1" t="s">
        <v>208</v>
      </c>
      <c r="BR421" s="1" t="s">
        <v>208</v>
      </c>
      <c r="BS421" s="106" t="s">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21"/>
  <sheetViews>
    <sheetView workbookViewId="0"/>
  </sheetViews>
  <sheetFormatPr defaultRowHeight="15" x14ac:dyDescent="0.25"/>
  <cols>
    <col min="1" max="1" style="47" width="12.43357142857143" customWidth="1" bestFit="1"/>
    <col min="2" max="2" style="47" width="12.43357142857143" customWidth="1" bestFit="1"/>
  </cols>
  <sheetData>
    <row x14ac:dyDescent="0.25" r="1" customHeight="1" ht="17.25">
      <c r="A1" s="1"/>
      <c r="B1" s="1"/>
    </row>
    <row x14ac:dyDescent="0.25" r="2" customHeight="1" ht="17.25">
      <c r="A2" s="1"/>
      <c r="B2" s="94"/>
    </row>
    <row x14ac:dyDescent="0.25" r="3" customHeight="1" ht="17.25">
      <c r="A3" s="1"/>
      <c r="B3" s="1" t="s">
        <v>294</v>
      </c>
    </row>
    <row x14ac:dyDescent="0.25" r="4" customHeight="1" ht="17.25">
      <c r="A4" s="1"/>
      <c r="B4" s="1"/>
    </row>
    <row x14ac:dyDescent="0.25" r="5" customHeight="1" ht="17.25">
      <c r="A5" s="1"/>
      <c r="B5" s="1" t="s">
        <v>295</v>
      </c>
    </row>
    <row x14ac:dyDescent="0.25" r="6" customHeight="1" ht="17.25">
      <c r="A6" s="1"/>
      <c r="B6" s="1"/>
    </row>
    <row x14ac:dyDescent="0.25" r="7" customHeight="1" ht="17.25">
      <c r="A7" s="1"/>
      <c r="B7" s="1" t="s">
        <v>296</v>
      </c>
    </row>
    <row x14ac:dyDescent="0.25" r="8" customHeight="1" ht="17.25">
      <c r="A8" s="1"/>
      <c r="B8" s="1"/>
    </row>
    <row x14ac:dyDescent="0.25" r="9" customHeight="1" ht="17.25">
      <c r="A9" s="1"/>
      <c r="B9" s="1" t="s">
        <v>297</v>
      </c>
    </row>
    <row x14ac:dyDescent="0.25" r="10" customHeight="1" ht="17.25">
      <c r="A10" s="1"/>
      <c r="B10" s="1" t="s">
        <v>298</v>
      </c>
    </row>
    <row x14ac:dyDescent="0.25" r="11" customHeight="1" ht="17.25">
      <c r="A11" s="1"/>
      <c r="B11" s="1" t="s">
        <v>299</v>
      </c>
    </row>
    <row x14ac:dyDescent="0.25" r="12" customHeight="1" ht="17.25">
      <c r="A12" s="1"/>
      <c r="B12" s="1" t="s">
        <v>300</v>
      </c>
    </row>
    <row x14ac:dyDescent="0.25" r="13" customHeight="1" ht="17.25">
      <c r="A13" s="1"/>
      <c r="B13" s="1" t="s">
        <v>301</v>
      </c>
    </row>
    <row x14ac:dyDescent="0.25" r="14" customHeight="1" ht="17.25">
      <c r="A14" s="1"/>
      <c r="B14" s="1"/>
    </row>
    <row x14ac:dyDescent="0.25" r="15" customHeight="1" ht="17.25">
      <c r="A15" s="1"/>
      <c r="B15" s="1" t="s">
        <v>302</v>
      </c>
    </row>
    <row x14ac:dyDescent="0.25" r="16" customHeight="1" ht="17.25">
      <c r="A16" s="1"/>
      <c r="B16" s="1" t="s">
        <v>303</v>
      </c>
    </row>
    <row x14ac:dyDescent="0.25" r="17" customHeight="1" ht="17.25">
      <c r="A17" s="1"/>
      <c r="B17" s="1" t="s">
        <v>304</v>
      </c>
    </row>
    <row x14ac:dyDescent="0.25" r="18" customHeight="1" ht="17.25">
      <c r="A18" s="1"/>
      <c r="B18" s="1" t="s">
        <v>305</v>
      </c>
    </row>
    <row x14ac:dyDescent="0.25" r="19" customHeight="1" ht="17.25">
      <c r="A19" s="1"/>
      <c r="B19" s="1" t="s">
        <v>306</v>
      </c>
    </row>
    <row x14ac:dyDescent="0.25" r="20" customHeight="1" ht="17.25">
      <c r="A20" s="1"/>
      <c r="B20" s="1" t="s">
        <v>307</v>
      </c>
    </row>
    <row x14ac:dyDescent="0.25" r="21" customHeight="1" ht="17.25">
      <c r="A21" s="1"/>
      <c r="B21" s="1" t="s">
        <v>308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65"/>
  <sheetViews>
    <sheetView workbookViewId="0"/>
  </sheetViews>
  <sheetFormatPr defaultRowHeight="15" x14ac:dyDescent="0.25"/>
  <cols>
    <col min="1" max="1" style="47" width="12.43357142857143" customWidth="1" bestFit="1"/>
    <col min="2" max="2" style="89" width="23.433571428571426" customWidth="1" bestFit="1"/>
    <col min="3" max="3" style="90" width="26.576428571428572" customWidth="1" bestFit="1"/>
    <col min="4" max="4" style="90" width="22.719285714285714" customWidth="1" bestFit="1"/>
    <col min="5" max="5" style="90" width="23.005" customWidth="1" bestFit="1"/>
    <col min="6" max="6" style="90" width="25.576428571428572" customWidth="1" bestFit="1"/>
    <col min="7" max="7" style="91" width="17.862142857142857" customWidth="1" bestFit="1"/>
    <col min="8" max="8" style="89" width="17.862142857142857" customWidth="1" bestFit="1"/>
    <col min="9" max="9" style="92" width="17.862142857142857" customWidth="1" bestFit="1"/>
    <col min="10" max="10" style="93" width="13.147857142857141" customWidth="1" bestFit="1"/>
    <col min="11" max="11" style="92" width="10.862142857142858" customWidth="1" bestFit="1"/>
    <col min="12" max="12" style="93" width="12.43357142857143" customWidth="1" bestFit="1"/>
    <col min="13" max="13" style="90" width="12.43357142857143" customWidth="1" bestFit="1"/>
  </cols>
  <sheetData>
    <row x14ac:dyDescent="0.25" r="1" customHeight="1" ht="17.25">
      <c r="A1" s="1"/>
      <c r="B1" s="54"/>
      <c r="C1" s="55"/>
      <c r="D1" s="55"/>
      <c r="E1" s="55"/>
      <c r="F1" s="55"/>
      <c r="G1" s="56"/>
      <c r="H1" s="54"/>
      <c r="I1" s="57"/>
      <c r="J1" s="58"/>
      <c r="K1" s="57"/>
      <c r="L1" s="58"/>
      <c r="M1" s="55"/>
    </row>
    <row x14ac:dyDescent="0.25" r="2" customHeight="1" ht="17.25">
      <c r="A2" s="1"/>
      <c r="B2" s="59" t="s">
        <v>70</v>
      </c>
      <c r="C2" s="55"/>
      <c r="D2" s="55"/>
      <c r="E2" s="55"/>
      <c r="F2" s="55"/>
      <c r="G2" s="56"/>
      <c r="H2" s="54"/>
      <c r="I2" s="57"/>
      <c r="J2" s="58"/>
      <c r="K2" s="57"/>
      <c r="L2" s="58"/>
      <c r="M2" s="55"/>
    </row>
    <row x14ac:dyDescent="0.25" r="3" customHeight="1" ht="17.25">
      <c r="A3" s="1"/>
      <c r="B3" s="60">
        <f>SUM(BD!C:C)</f>
      </c>
      <c r="C3" s="55"/>
      <c r="D3" s="55"/>
      <c r="E3" s="55"/>
      <c r="F3" s="55"/>
      <c r="G3" s="56"/>
      <c r="H3" s="54"/>
      <c r="I3" s="57"/>
      <c r="J3" s="58"/>
      <c r="K3" s="57"/>
      <c r="L3" s="58"/>
      <c r="M3" s="55"/>
    </row>
    <row x14ac:dyDescent="0.25" r="4" customHeight="1" ht="17.25">
      <c r="A4" s="1"/>
      <c r="B4" s="54"/>
      <c r="C4" s="55"/>
      <c r="D4" s="55"/>
      <c r="E4" s="55"/>
      <c r="F4" s="55"/>
      <c r="G4" s="56"/>
      <c r="H4" s="54"/>
      <c r="I4" s="57"/>
      <c r="J4" s="58"/>
      <c r="K4" s="57"/>
      <c r="L4" s="58"/>
      <c r="M4" s="55"/>
    </row>
    <row x14ac:dyDescent="0.25" r="5" customHeight="1" ht="17.25">
      <c r="A5" s="1"/>
      <c r="B5" s="59" t="s">
        <v>71</v>
      </c>
      <c r="C5" s="55"/>
      <c r="D5" s="55"/>
      <c r="E5" s="55"/>
      <c r="F5" s="55"/>
      <c r="G5" s="56"/>
      <c r="H5" s="54"/>
      <c r="I5" s="57"/>
      <c r="J5" s="58"/>
      <c r="K5" s="57"/>
      <c r="L5" s="58"/>
      <c r="M5" s="55"/>
    </row>
    <row x14ac:dyDescent="0.25" r="6" customHeight="1" ht="17.25">
      <c r="A6" s="1"/>
      <c r="B6" s="54" t="s">
        <v>72</v>
      </c>
      <c r="C6" s="61">
        <f>SMALL(BD!D:D,1)</f>
        <v>25569.041666666668</v>
      </c>
      <c r="D6" s="55"/>
      <c r="E6" s="55"/>
      <c r="F6" s="55"/>
      <c r="G6" s="56"/>
      <c r="H6" s="54"/>
      <c r="I6" s="57"/>
      <c r="J6" s="58"/>
      <c r="K6" s="57"/>
      <c r="L6" s="58"/>
      <c r="M6" s="55"/>
    </row>
    <row x14ac:dyDescent="0.25" r="7" customHeight="1" ht="17.25">
      <c r="A7" s="1"/>
      <c r="B7" s="54" t="s">
        <v>73</v>
      </c>
      <c r="C7" s="61">
        <f>LARGE(BD!D:D,1)</f>
        <v>25569.041666666668</v>
      </c>
      <c r="D7" s="55"/>
      <c r="E7" s="55"/>
      <c r="F7" s="55"/>
      <c r="G7" s="56"/>
      <c r="H7" s="54"/>
      <c r="I7" s="57"/>
      <c r="J7" s="58"/>
      <c r="K7" s="57"/>
      <c r="L7" s="58"/>
      <c r="M7" s="55"/>
    </row>
    <row x14ac:dyDescent="0.25" r="8" customHeight="1" ht="17.25">
      <c r="A8" s="1"/>
      <c r="B8" s="54"/>
      <c r="C8" s="55"/>
      <c r="D8" s="55"/>
      <c r="E8" s="55"/>
      <c r="F8" s="55"/>
      <c r="G8" s="56"/>
      <c r="H8" s="54"/>
      <c r="I8" s="57"/>
      <c r="J8" s="58"/>
      <c r="K8" s="57"/>
      <c r="L8" s="58"/>
      <c r="M8" s="55"/>
    </row>
    <row x14ac:dyDescent="0.25" r="9" customHeight="1" ht="17.25">
      <c r="A9" s="1"/>
      <c r="B9" s="54" t="s">
        <v>74</v>
      </c>
      <c r="C9" s="55" t="s">
        <v>75</v>
      </c>
      <c r="D9" s="55"/>
      <c r="E9" s="55"/>
      <c r="F9" s="55"/>
      <c r="G9" s="56"/>
      <c r="H9" s="54"/>
      <c r="I9" s="57"/>
      <c r="J9" s="58"/>
      <c r="K9" s="57"/>
      <c r="L9" s="58"/>
      <c r="M9" s="55"/>
    </row>
    <row x14ac:dyDescent="0.25" r="10" customHeight="1" ht="17.25">
      <c r="A10" s="1"/>
      <c r="B10" s="60" t="s">
        <v>76</v>
      </c>
      <c r="C10" s="62">
        <v>12</v>
      </c>
      <c r="D10" s="55"/>
      <c r="E10" s="55"/>
      <c r="F10" s="55"/>
      <c r="G10" s="56"/>
      <c r="H10" s="54"/>
      <c r="I10" s="57"/>
      <c r="J10" s="58"/>
      <c r="K10" s="57"/>
      <c r="L10" s="58"/>
      <c r="M10" s="55"/>
    </row>
    <row x14ac:dyDescent="0.25" r="11" customHeight="1" ht="17.25">
      <c r="A11" s="1"/>
      <c r="B11" s="60" t="s">
        <v>77</v>
      </c>
      <c r="C11" s="62">
        <v>11</v>
      </c>
      <c r="D11" s="55"/>
      <c r="E11" s="55"/>
      <c r="F11" s="55"/>
      <c r="G11" s="56"/>
      <c r="H11" s="54"/>
      <c r="I11" s="57"/>
      <c r="J11" s="58"/>
      <c r="K11" s="57"/>
      <c r="L11" s="58"/>
      <c r="M11" s="55"/>
    </row>
    <row x14ac:dyDescent="0.25" r="12" customHeight="1" ht="17.25">
      <c r="A12" s="1"/>
      <c r="B12" s="60" t="s">
        <v>78</v>
      </c>
      <c r="C12" s="62">
        <v>10</v>
      </c>
      <c r="D12" s="55"/>
      <c r="E12" s="55"/>
      <c r="F12" s="55"/>
      <c r="G12" s="56"/>
      <c r="H12" s="54"/>
      <c r="I12" s="57"/>
      <c r="J12" s="58"/>
      <c r="K12" s="57"/>
      <c r="L12" s="58"/>
      <c r="M12" s="55"/>
    </row>
    <row x14ac:dyDescent="0.25" r="13" customHeight="1" ht="17.25">
      <c r="A13" s="1"/>
      <c r="B13" s="60" t="s">
        <v>79</v>
      </c>
      <c r="C13" s="62">
        <v>10</v>
      </c>
      <c r="D13" s="55"/>
      <c r="E13" s="55"/>
      <c r="F13" s="55"/>
      <c r="G13" s="56"/>
      <c r="H13" s="54"/>
      <c r="I13" s="57"/>
      <c r="J13" s="58"/>
      <c r="K13" s="57"/>
      <c r="L13" s="58"/>
      <c r="M13" s="55"/>
    </row>
    <row x14ac:dyDescent="0.25" r="14" customHeight="1" ht="17.25">
      <c r="A14" s="1"/>
      <c r="B14" s="60" t="s">
        <v>80</v>
      </c>
      <c r="C14" s="62">
        <v>10</v>
      </c>
      <c r="D14" s="55"/>
      <c r="E14" s="55"/>
      <c r="F14" s="55"/>
      <c r="G14" s="56"/>
      <c r="H14" s="54"/>
      <c r="I14" s="57"/>
      <c r="J14" s="58"/>
      <c r="K14" s="57"/>
      <c r="L14" s="58"/>
      <c r="M14" s="55"/>
    </row>
    <row x14ac:dyDescent="0.25" r="15" customHeight="1" ht="17.25">
      <c r="A15" s="1"/>
      <c r="B15" s="60" t="s">
        <v>81</v>
      </c>
      <c r="C15" s="62">
        <v>10</v>
      </c>
      <c r="D15" s="55"/>
      <c r="E15" s="55"/>
      <c r="F15" s="55"/>
      <c r="G15" s="56"/>
      <c r="H15" s="54"/>
      <c r="I15" s="57"/>
      <c r="J15" s="58"/>
      <c r="K15" s="57"/>
      <c r="L15" s="58"/>
      <c r="M15" s="55"/>
    </row>
    <row x14ac:dyDescent="0.25" r="16" customHeight="1" ht="17.25">
      <c r="A16" s="1"/>
      <c r="B16" s="60" t="s">
        <v>82</v>
      </c>
      <c r="C16" s="62">
        <v>10</v>
      </c>
      <c r="D16" s="55"/>
      <c r="E16" s="55"/>
      <c r="F16" s="55"/>
      <c r="G16" s="56"/>
      <c r="H16" s="54"/>
      <c r="I16" s="57"/>
      <c r="J16" s="58"/>
      <c r="K16" s="57"/>
      <c r="L16" s="58"/>
      <c r="M16" s="55"/>
    </row>
    <row x14ac:dyDescent="0.25" r="17" customHeight="1" ht="17.25">
      <c r="A17" s="1"/>
      <c r="B17" s="60" t="s">
        <v>83</v>
      </c>
      <c r="C17" s="62">
        <v>10</v>
      </c>
      <c r="D17" s="55"/>
      <c r="E17" s="55"/>
      <c r="F17" s="55"/>
      <c r="G17" s="56"/>
      <c r="H17" s="54"/>
      <c r="I17" s="57"/>
      <c r="J17" s="58"/>
      <c r="K17" s="57"/>
      <c r="L17" s="58"/>
      <c r="M17" s="55"/>
    </row>
    <row x14ac:dyDescent="0.25" r="18" customHeight="1" ht="17.25">
      <c r="A18" s="1"/>
      <c r="B18" s="60" t="s">
        <v>84</v>
      </c>
      <c r="C18" s="62">
        <v>10</v>
      </c>
      <c r="D18" s="55"/>
      <c r="E18" s="55"/>
      <c r="F18" s="55"/>
      <c r="G18" s="56"/>
      <c r="H18" s="54"/>
      <c r="I18" s="57"/>
      <c r="J18" s="58"/>
      <c r="K18" s="57"/>
      <c r="L18" s="58"/>
      <c r="M18" s="55"/>
    </row>
    <row x14ac:dyDescent="0.25" r="19" customHeight="1" ht="17.25">
      <c r="A19" s="1"/>
      <c r="B19" s="60" t="s">
        <v>85</v>
      </c>
      <c r="C19" s="62">
        <v>10</v>
      </c>
      <c r="D19" s="55"/>
      <c r="E19" s="55"/>
      <c r="F19" s="55"/>
      <c r="G19" s="56"/>
      <c r="H19" s="54"/>
      <c r="I19" s="57"/>
      <c r="J19" s="58"/>
      <c r="K19" s="57"/>
      <c r="L19" s="58"/>
      <c r="M19" s="55"/>
    </row>
    <row x14ac:dyDescent="0.25" r="20" customHeight="1" ht="17.25">
      <c r="A20" s="1"/>
      <c r="B20" s="60" t="s">
        <v>86</v>
      </c>
      <c r="C20" s="62">
        <v>10</v>
      </c>
      <c r="D20" s="55"/>
      <c r="E20" s="55"/>
      <c r="F20" s="55"/>
      <c r="G20" s="56"/>
      <c r="H20" s="54"/>
      <c r="I20" s="57"/>
      <c r="J20" s="58"/>
      <c r="K20" s="57"/>
      <c r="L20" s="58"/>
      <c r="M20" s="55"/>
    </row>
    <row x14ac:dyDescent="0.25" r="21" customHeight="1" ht="17.25">
      <c r="A21" s="1"/>
      <c r="B21" s="60" t="s">
        <v>87</v>
      </c>
      <c r="C21" s="62">
        <v>9</v>
      </c>
      <c r="D21" s="55"/>
      <c r="E21" s="55"/>
      <c r="F21" s="55"/>
      <c r="G21" s="56"/>
      <c r="H21" s="54"/>
      <c r="I21" s="57"/>
      <c r="J21" s="58"/>
      <c r="K21" s="57"/>
      <c r="L21" s="58"/>
      <c r="M21" s="55"/>
    </row>
    <row x14ac:dyDescent="0.25" r="22" customHeight="1" ht="17.25">
      <c r="A22" s="1"/>
      <c r="B22" s="60" t="s">
        <v>88</v>
      </c>
      <c r="C22" s="62">
        <v>9</v>
      </c>
      <c r="D22" s="55"/>
      <c r="E22" s="55"/>
      <c r="F22" s="55"/>
      <c r="G22" s="56"/>
      <c r="H22" s="54"/>
      <c r="I22" s="57"/>
      <c r="J22" s="58"/>
      <c r="K22" s="57"/>
      <c r="L22" s="58"/>
      <c r="M22" s="55"/>
    </row>
    <row x14ac:dyDescent="0.25" r="23" customHeight="1" ht="17.25">
      <c r="A23" s="1"/>
      <c r="B23" s="60" t="s">
        <v>89</v>
      </c>
      <c r="C23" s="62">
        <v>9</v>
      </c>
      <c r="D23" s="55"/>
      <c r="E23" s="55"/>
      <c r="F23" s="55"/>
      <c r="G23" s="56"/>
      <c r="H23" s="54"/>
      <c r="I23" s="57"/>
      <c r="J23" s="58"/>
      <c r="K23" s="57"/>
      <c r="L23" s="58"/>
      <c r="M23" s="55"/>
    </row>
    <row x14ac:dyDescent="0.25" r="24" customHeight="1" ht="17.25">
      <c r="A24" s="1"/>
      <c r="B24" s="60" t="s">
        <v>90</v>
      </c>
      <c r="C24" s="62">
        <v>9</v>
      </c>
      <c r="D24" s="55"/>
      <c r="E24" s="55"/>
      <c r="F24" s="55"/>
      <c r="G24" s="56"/>
      <c r="H24" s="54"/>
      <c r="I24" s="57"/>
      <c r="J24" s="58"/>
      <c r="K24" s="57"/>
      <c r="L24" s="58"/>
      <c r="M24" s="55"/>
    </row>
    <row x14ac:dyDescent="0.25" r="25" customHeight="1" ht="17.25">
      <c r="A25" s="1"/>
      <c r="B25" s="60" t="s">
        <v>91</v>
      </c>
      <c r="C25" s="62">
        <v>8</v>
      </c>
      <c r="D25" s="55"/>
      <c r="E25" s="55"/>
      <c r="F25" s="55"/>
      <c r="G25" s="56"/>
      <c r="H25" s="54"/>
      <c r="I25" s="57"/>
      <c r="J25" s="58"/>
      <c r="K25" s="57"/>
      <c r="L25" s="58"/>
      <c r="M25" s="55"/>
    </row>
    <row x14ac:dyDescent="0.25" r="26" customHeight="1" ht="17.25">
      <c r="A26" s="1"/>
      <c r="B26" s="60" t="s">
        <v>92</v>
      </c>
      <c r="C26" s="62">
        <v>8</v>
      </c>
      <c r="D26" s="55"/>
      <c r="E26" s="55"/>
      <c r="F26" s="55"/>
      <c r="G26" s="56"/>
      <c r="H26" s="54"/>
      <c r="I26" s="57"/>
      <c r="J26" s="58"/>
      <c r="K26" s="57"/>
      <c r="L26" s="58"/>
      <c r="M26" s="55"/>
    </row>
    <row x14ac:dyDescent="0.25" r="27" customHeight="1" ht="17.25">
      <c r="A27" s="1"/>
      <c r="B27" s="60" t="s">
        <v>93</v>
      </c>
      <c r="C27" s="62">
        <v>8</v>
      </c>
      <c r="D27" s="55"/>
      <c r="E27" s="55"/>
      <c r="F27" s="55"/>
      <c r="G27" s="56"/>
      <c r="H27" s="54"/>
      <c r="I27" s="57"/>
      <c r="J27" s="58"/>
      <c r="K27" s="57"/>
      <c r="L27" s="58"/>
      <c r="M27" s="55"/>
    </row>
    <row x14ac:dyDescent="0.25" r="28" customHeight="1" ht="17.25">
      <c r="A28" s="1"/>
      <c r="B28" s="60" t="s">
        <v>94</v>
      </c>
      <c r="C28" s="62">
        <v>8</v>
      </c>
      <c r="D28" s="55"/>
      <c r="E28" s="55"/>
      <c r="F28" s="55"/>
      <c r="G28" s="56"/>
      <c r="H28" s="54"/>
      <c r="I28" s="57"/>
      <c r="J28" s="58"/>
      <c r="K28" s="57"/>
      <c r="L28" s="58"/>
      <c r="M28" s="55"/>
    </row>
    <row x14ac:dyDescent="0.25" r="29" customHeight="1" ht="17.25">
      <c r="A29" s="1"/>
      <c r="B29" s="60" t="s">
        <v>95</v>
      </c>
      <c r="C29" s="62">
        <v>8</v>
      </c>
      <c r="D29" s="55"/>
      <c r="E29" s="55"/>
      <c r="F29" s="55"/>
      <c r="G29" s="56"/>
      <c r="H29" s="54"/>
      <c r="I29" s="57"/>
      <c r="J29" s="58"/>
      <c r="K29" s="57"/>
      <c r="L29" s="58"/>
      <c r="M29" s="55"/>
    </row>
    <row x14ac:dyDescent="0.25" r="30" customHeight="1" ht="17.25">
      <c r="A30" s="1"/>
      <c r="B30" s="60" t="s">
        <v>96</v>
      </c>
      <c r="C30" s="62">
        <v>8</v>
      </c>
      <c r="D30" s="55"/>
      <c r="E30" s="55"/>
      <c r="F30" s="55"/>
      <c r="G30" s="56"/>
      <c r="H30" s="54"/>
      <c r="I30" s="57"/>
      <c r="J30" s="58"/>
      <c r="K30" s="57"/>
      <c r="L30" s="58"/>
      <c r="M30" s="55"/>
    </row>
    <row x14ac:dyDescent="0.25" r="31" customHeight="1" ht="17.25">
      <c r="A31" s="1"/>
      <c r="B31" s="60" t="s">
        <v>97</v>
      </c>
      <c r="C31" s="62">
        <v>8</v>
      </c>
      <c r="D31" s="55"/>
      <c r="E31" s="55"/>
      <c r="F31" s="55"/>
      <c r="G31" s="56"/>
      <c r="H31" s="54"/>
      <c r="I31" s="57"/>
      <c r="J31" s="58"/>
      <c r="K31" s="57"/>
      <c r="L31" s="58"/>
      <c r="M31" s="55"/>
    </row>
    <row x14ac:dyDescent="0.25" r="32" customHeight="1" ht="17.25">
      <c r="A32" s="1"/>
      <c r="B32" s="60" t="s">
        <v>98</v>
      </c>
      <c r="C32" s="62">
        <v>8</v>
      </c>
      <c r="D32" s="55"/>
      <c r="E32" s="55"/>
      <c r="F32" s="55"/>
      <c r="G32" s="56"/>
      <c r="H32" s="54"/>
      <c r="I32" s="57"/>
      <c r="J32" s="58"/>
      <c r="K32" s="57"/>
      <c r="L32" s="58"/>
      <c r="M32" s="55"/>
    </row>
    <row x14ac:dyDescent="0.25" r="33" customHeight="1" ht="17.25">
      <c r="A33" s="1"/>
      <c r="B33" s="60" t="s">
        <v>99</v>
      </c>
      <c r="C33" s="62">
        <v>8</v>
      </c>
      <c r="D33" s="55"/>
      <c r="E33" s="55"/>
      <c r="F33" s="55"/>
      <c r="G33" s="56"/>
      <c r="H33" s="54"/>
      <c r="I33" s="57"/>
      <c r="J33" s="58"/>
      <c r="K33" s="57"/>
      <c r="L33" s="58"/>
      <c r="M33" s="55"/>
    </row>
    <row x14ac:dyDescent="0.25" r="34" customHeight="1" ht="17.25">
      <c r="A34" s="1"/>
      <c r="B34" s="60" t="s">
        <v>100</v>
      </c>
      <c r="C34" s="62">
        <v>8</v>
      </c>
      <c r="D34" s="55"/>
      <c r="E34" s="55"/>
      <c r="F34" s="55"/>
      <c r="G34" s="56"/>
      <c r="H34" s="54"/>
      <c r="I34" s="57"/>
      <c r="J34" s="58"/>
      <c r="K34" s="57"/>
      <c r="L34" s="58"/>
      <c r="M34" s="55"/>
    </row>
    <row x14ac:dyDescent="0.25" r="35" customHeight="1" ht="17.25">
      <c r="A35" s="1"/>
      <c r="B35" s="60" t="s">
        <v>101</v>
      </c>
      <c r="C35" s="62">
        <v>7</v>
      </c>
      <c r="D35" s="55"/>
      <c r="E35" s="55"/>
      <c r="F35" s="55"/>
      <c r="G35" s="56"/>
      <c r="H35" s="54"/>
      <c r="I35" s="57"/>
      <c r="J35" s="58"/>
      <c r="K35" s="57"/>
      <c r="L35" s="58"/>
      <c r="M35" s="55"/>
    </row>
    <row x14ac:dyDescent="0.25" r="36" customHeight="1" ht="17.25">
      <c r="A36" s="1"/>
      <c r="B36" s="60" t="s">
        <v>102</v>
      </c>
      <c r="C36" s="62">
        <v>7</v>
      </c>
      <c r="D36" s="55"/>
      <c r="E36" s="55"/>
      <c r="F36" s="55"/>
      <c r="G36" s="56"/>
      <c r="H36" s="54"/>
      <c r="I36" s="57"/>
      <c r="J36" s="58"/>
      <c r="K36" s="57"/>
      <c r="L36" s="58"/>
      <c r="M36" s="55"/>
    </row>
    <row x14ac:dyDescent="0.25" r="37" customHeight="1" ht="17.25">
      <c r="A37" s="1"/>
      <c r="B37" s="60" t="s">
        <v>103</v>
      </c>
      <c r="C37" s="62">
        <v>7</v>
      </c>
      <c r="D37" s="55"/>
      <c r="E37" s="55"/>
      <c r="F37" s="55"/>
      <c r="G37" s="56"/>
      <c r="H37" s="54"/>
      <c r="I37" s="57"/>
      <c r="J37" s="58"/>
      <c r="K37" s="57"/>
      <c r="L37" s="58"/>
      <c r="M37" s="55"/>
    </row>
    <row x14ac:dyDescent="0.25" r="38" customHeight="1" ht="17.25">
      <c r="A38" s="1"/>
      <c r="B38" s="60" t="s">
        <v>104</v>
      </c>
      <c r="C38" s="62">
        <v>7</v>
      </c>
      <c r="D38" s="55"/>
      <c r="E38" s="55"/>
      <c r="F38" s="55"/>
      <c r="G38" s="56"/>
      <c r="H38" s="54"/>
      <c r="I38" s="57"/>
      <c r="J38" s="58"/>
      <c r="K38" s="57"/>
      <c r="L38" s="58"/>
      <c r="M38" s="55"/>
    </row>
    <row x14ac:dyDescent="0.25" r="39" customHeight="1" ht="17.25">
      <c r="A39" s="1"/>
      <c r="B39" s="60" t="s">
        <v>105</v>
      </c>
      <c r="C39" s="62">
        <v>7</v>
      </c>
      <c r="D39" s="55"/>
      <c r="E39" s="55"/>
      <c r="F39" s="55"/>
      <c r="G39" s="56"/>
      <c r="H39" s="54"/>
      <c r="I39" s="57"/>
      <c r="J39" s="58"/>
      <c r="K39" s="57"/>
      <c r="L39" s="58"/>
      <c r="M39" s="55"/>
    </row>
    <row x14ac:dyDescent="0.25" r="40" customHeight="1" ht="17.25">
      <c r="A40" s="1"/>
      <c r="B40" s="60" t="s">
        <v>106</v>
      </c>
      <c r="C40" s="62">
        <v>7</v>
      </c>
      <c r="D40" s="55"/>
      <c r="E40" s="55"/>
      <c r="F40" s="55"/>
      <c r="G40" s="56"/>
      <c r="H40" s="54"/>
      <c r="I40" s="57"/>
      <c r="J40" s="58"/>
      <c r="K40" s="57"/>
      <c r="L40" s="58"/>
      <c r="M40" s="55"/>
    </row>
    <row x14ac:dyDescent="0.25" r="41" customHeight="1" ht="17.25">
      <c r="A41" s="1"/>
      <c r="B41" s="60" t="s">
        <v>107</v>
      </c>
      <c r="C41" s="62">
        <v>6</v>
      </c>
      <c r="D41" s="55"/>
      <c r="E41" s="55"/>
      <c r="F41" s="55"/>
      <c r="G41" s="56"/>
      <c r="H41" s="54"/>
      <c r="I41" s="57"/>
      <c r="J41" s="58"/>
      <c r="K41" s="57"/>
      <c r="L41" s="58"/>
      <c r="M41" s="55"/>
    </row>
    <row x14ac:dyDescent="0.25" r="42" customHeight="1" ht="17.25">
      <c r="A42" s="1"/>
      <c r="B42" s="60" t="s">
        <v>108</v>
      </c>
      <c r="C42" s="62">
        <v>6</v>
      </c>
      <c r="D42" s="55"/>
      <c r="E42" s="55"/>
      <c r="F42" s="55"/>
      <c r="G42" s="56"/>
      <c r="H42" s="54"/>
      <c r="I42" s="57"/>
      <c r="J42" s="58"/>
      <c r="K42" s="57"/>
      <c r="L42" s="58"/>
      <c r="M42" s="55"/>
    </row>
    <row x14ac:dyDescent="0.25" r="43" customHeight="1" ht="17.25">
      <c r="A43" s="1"/>
      <c r="B43" s="60" t="s">
        <v>109</v>
      </c>
      <c r="C43" s="62">
        <v>6</v>
      </c>
      <c r="D43" s="55"/>
      <c r="E43" s="55"/>
      <c r="F43" s="55"/>
      <c r="G43" s="56"/>
      <c r="H43" s="54"/>
      <c r="I43" s="57"/>
      <c r="J43" s="58"/>
      <c r="K43" s="57"/>
      <c r="L43" s="58"/>
      <c r="M43" s="55"/>
    </row>
    <row x14ac:dyDescent="0.25" r="44" customHeight="1" ht="17.25">
      <c r="A44" s="1"/>
      <c r="B44" s="60" t="s">
        <v>110</v>
      </c>
      <c r="C44" s="62">
        <v>6</v>
      </c>
      <c r="D44" s="55"/>
      <c r="E44" s="55"/>
      <c r="F44" s="55"/>
      <c r="G44" s="56"/>
      <c r="H44" s="54"/>
      <c r="I44" s="57"/>
      <c r="J44" s="58"/>
      <c r="K44" s="57"/>
      <c r="L44" s="58"/>
      <c r="M44" s="55"/>
    </row>
    <row x14ac:dyDescent="0.25" r="45" customHeight="1" ht="17.25">
      <c r="A45" s="1"/>
      <c r="B45" s="60" t="s">
        <v>111</v>
      </c>
      <c r="C45" s="62">
        <v>5</v>
      </c>
      <c r="D45" s="55"/>
      <c r="E45" s="55"/>
      <c r="F45" s="55"/>
      <c r="G45" s="56"/>
      <c r="H45" s="54"/>
      <c r="I45" s="57"/>
      <c r="J45" s="58"/>
      <c r="K45" s="57"/>
      <c r="L45" s="58"/>
      <c r="M45" s="55"/>
    </row>
    <row x14ac:dyDescent="0.25" r="46" customHeight="1" ht="17.25">
      <c r="A46" s="1"/>
      <c r="B46" s="60" t="s">
        <v>112</v>
      </c>
      <c r="C46" s="62">
        <v>5</v>
      </c>
      <c r="D46" s="55"/>
      <c r="E46" s="55"/>
      <c r="F46" s="55"/>
      <c r="G46" s="56"/>
      <c r="H46" s="54"/>
      <c r="I46" s="57"/>
      <c r="J46" s="58"/>
      <c r="K46" s="57"/>
      <c r="L46" s="58"/>
      <c r="M46" s="55"/>
    </row>
    <row x14ac:dyDescent="0.25" r="47" customHeight="1" ht="17.25">
      <c r="A47" s="1"/>
      <c r="B47" s="60" t="s">
        <v>113</v>
      </c>
      <c r="C47" s="62">
        <v>5</v>
      </c>
      <c r="D47" s="55"/>
      <c r="E47" s="55"/>
      <c r="F47" s="55"/>
      <c r="G47" s="56"/>
      <c r="H47" s="54"/>
      <c r="I47" s="57"/>
      <c r="J47" s="58"/>
      <c r="K47" s="57"/>
      <c r="L47" s="58"/>
      <c r="M47" s="55"/>
    </row>
    <row x14ac:dyDescent="0.25" r="48" customHeight="1" ht="17.25">
      <c r="A48" s="1"/>
      <c r="B48" s="60" t="s">
        <v>114</v>
      </c>
      <c r="C48" s="62">
        <v>5</v>
      </c>
      <c r="D48" s="55"/>
      <c r="E48" s="55"/>
      <c r="F48" s="55"/>
      <c r="G48" s="56"/>
      <c r="H48" s="54"/>
      <c r="I48" s="57"/>
      <c r="J48" s="58"/>
      <c r="K48" s="57"/>
      <c r="L48" s="58"/>
      <c r="M48" s="55"/>
    </row>
    <row x14ac:dyDescent="0.25" r="49" customHeight="1" ht="17.25">
      <c r="A49" s="1"/>
      <c r="B49" s="60" t="s">
        <v>115</v>
      </c>
      <c r="C49" s="62">
        <v>5</v>
      </c>
      <c r="D49" s="55"/>
      <c r="E49" s="55"/>
      <c r="F49" s="55"/>
      <c r="G49" s="56"/>
      <c r="H49" s="54"/>
      <c r="I49" s="57"/>
      <c r="J49" s="58"/>
      <c r="K49" s="57"/>
      <c r="L49" s="58"/>
      <c r="M49" s="55"/>
    </row>
    <row x14ac:dyDescent="0.25" r="50" customHeight="1" ht="17.25">
      <c r="A50" s="1"/>
      <c r="B50" s="60" t="s">
        <v>116</v>
      </c>
      <c r="C50" s="62">
        <v>5</v>
      </c>
      <c r="D50" s="55"/>
      <c r="E50" s="55"/>
      <c r="F50" s="55"/>
      <c r="G50" s="56"/>
      <c r="H50" s="54"/>
      <c r="I50" s="57"/>
      <c r="J50" s="58"/>
      <c r="K50" s="57"/>
      <c r="L50" s="58"/>
      <c r="M50" s="55"/>
    </row>
    <row x14ac:dyDescent="0.25" r="51" customHeight="1" ht="17.25">
      <c r="A51" s="1"/>
      <c r="B51" s="60" t="s">
        <v>117</v>
      </c>
      <c r="C51" s="62">
        <v>5</v>
      </c>
      <c r="D51" s="55"/>
      <c r="E51" s="55"/>
      <c r="F51" s="55"/>
      <c r="G51" s="56"/>
      <c r="H51" s="54"/>
      <c r="I51" s="57"/>
      <c r="J51" s="58"/>
      <c r="K51" s="57"/>
      <c r="L51" s="58"/>
      <c r="M51" s="55"/>
    </row>
    <row x14ac:dyDescent="0.25" r="52" customHeight="1" ht="17.25">
      <c r="A52" s="1"/>
      <c r="B52" s="60" t="s">
        <v>118</v>
      </c>
      <c r="C52" s="62">
        <v>5</v>
      </c>
      <c r="D52" s="55"/>
      <c r="E52" s="55"/>
      <c r="F52" s="55"/>
      <c r="G52" s="56"/>
      <c r="H52" s="54"/>
      <c r="I52" s="57"/>
      <c r="J52" s="58"/>
      <c r="K52" s="57"/>
      <c r="L52" s="58"/>
      <c r="M52" s="55"/>
    </row>
    <row x14ac:dyDescent="0.25" r="53" customHeight="1" ht="17.25">
      <c r="A53" s="1"/>
      <c r="B53" s="60" t="s">
        <v>119</v>
      </c>
      <c r="C53" s="62">
        <v>5</v>
      </c>
      <c r="D53" s="55"/>
      <c r="E53" s="55"/>
      <c r="F53" s="55"/>
      <c r="G53" s="56"/>
      <c r="H53" s="54"/>
      <c r="I53" s="57"/>
      <c r="J53" s="58"/>
      <c r="K53" s="57"/>
      <c r="L53" s="58"/>
      <c r="M53" s="55"/>
    </row>
    <row x14ac:dyDescent="0.25" r="54" customHeight="1" ht="17.25">
      <c r="A54" s="1"/>
      <c r="B54" s="60" t="s">
        <v>120</v>
      </c>
      <c r="C54" s="62">
        <v>4</v>
      </c>
      <c r="D54" s="55"/>
      <c r="E54" s="55"/>
      <c r="F54" s="55"/>
      <c r="G54" s="56"/>
      <c r="H54" s="54"/>
      <c r="I54" s="57"/>
      <c r="J54" s="58"/>
      <c r="K54" s="57"/>
      <c r="L54" s="58"/>
      <c r="M54" s="55"/>
    </row>
    <row x14ac:dyDescent="0.25" r="55" customHeight="1" ht="17.25">
      <c r="A55" s="1"/>
      <c r="B55" s="60" t="s">
        <v>121</v>
      </c>
      <c r="C55" s="62">
        <v>4</v>
      </c>
      <c r="D55" s="55"/>
      <c r="E55" s="55"/>
      <c r="F55" s="55"/>
      <c r="G55" s="56"/>
      <c r="H55" s="54"/>
      <c r="I55" s="57"/>
      <c r="J55" s="58"/>
      <c r="K55" s="57"/>
      <c r="L55" s="58"/>
      <c r="M55" s="55"/>
    </row>
    <row x14ac:dyDescent="0.25" r="56" customHeight="1" ht="17.25">
      <c r="A56" s="1"/>
      <c r="B56" s="60" t="s">
        <v>122</v>
      </c>
      <c r="C56" s="62">
        <v>4</v>
      </c>
      <c r="D56" s="55"/>
      <c r="E56" s="55"/>
      <c r="F56" s="55"/>
      <c r="G56" s="56"/>
      <c r="H56" s="54"/>
      <c r="I56" s="57"/>
      <c r="J56" s="58"/>
      <c r="K56" s="57"/>
      <c r="L56" s="58"/>
      <c r="M56" s="55"/>
    </row>
    <row x14ac:dyDescent="0.25" r="57" customHeight="1" ht="17.25">
      <c r="A57" s="1"/>
      <c r="B57" s="60" t="s">
        <v>123</v>
      </c>
      <c r="C57" s="62">
        <v>4</v>
      </c>
      <c r="D57" s="55"/>
      <c r="E57" s="55"/>
      <c r="F57" s="55"/>
      <c r="G57" s="56"/>
      <c r="H57" s="54"/>
      <c r="I57" s="57"/>
      <c r="J57" s="58"/>
      <c r="K57" s="57"/>
      <c r="L57" s="58"/>
      <c r="M57" s="55"/>
    </row>
    <row x14ac:dyDescent="0.25" r="58" customHeight="1" ht="17.25">
      <c r="A58" s="1"/>
      <c r="B58" s="60" t="s">
        <v>124</v>
      </c>
      <c r="C58" s="62">
        <v>4</v>
      </c>
      <c r="D58" s="55"/>
      <c r="E58" s="55"/>
      <c r="F58" s="55"/>
      <c r="G58" s="56"/>
      <c r="H58" s="54"/>
      <c r="I58" s="57"/>
      <c r="J58" s="58"/>
      <c r="K58" s="57"/>
      <c r="L58" s="58"/>
      <c r="M58" s="55"/>
    </row>
    <row x14ac:dyDescent="0.25" r="59" customHeight="1" ht="17.25">
      <c r="A59" s="1"/>
      <c r="B59" s="60" t="s">
        <v>125</v>
      </c>
      <c r="C59" s="62">
        <v>3</v>
      </c>
      <c r="D59" s="55"/>
      <c r="E59" s="55"/>
      <c r="F59" s="55"/>
      <c r="G59" s="56"/>
      <c r="H59" s="54"/>
      <c r="I59" s="57"/>
      <c r="J59" s="58"/>
      <c r="K59" s="57"/>
      <c r="L59" s="58"/>
      <c r="M59" s="55"/>
    </row>
    <row x14ac:dyDescent="0.25" r="60" customHeight="1" ht="17.25">
      <c r="A60" s="1"/>
      <c r="B60" s="60" t="s">
        <v>126</v>
      </c>
      <c r="C60" s="62">
        <v>3</v>
      </c>
      <c r="D60" s="55"/>
      <c r="E60" s="55"/>
      <c r="F60" s="55"/>
      <c r="G60" s="56"/>
      <c r="H60" s="54"/>
      <c r="I60" s="57"/>
      <c r="J60" s="58"/>
      <c r="K60" s="57"/>
      <c r="L60" s="58"/>
      <c r="M60" s="55"/>
    </row>
    <row x14ac:dyDescent="0.25" r="61" customHeight="1" ht="17.25">
      <c r="A61" s="1"/>
      <c r="B61" s="60" t="s">
        <v>127</v>
      </c>
      <c r="C61" s="62">
        <v>3</v>
      </c>
      <c r="D61" s="55"/>
      <c r="E61" s="55"/>
      <c r="F61" s="55"/>
      <c r="G61" s="56"/>
      <c r="H61" s="54"/>
      <c r="I61" s="57"/>
      <c r="J61" s="58"/>
      <c r="K61" s="57"/>
      <c r="L61" s="58"/>
      <c r="M61" s="55"/>
    </row>
    <row x14ac:dyDescent="0.25" r="62" customHeight="1" ht="17.25">
      <c r="A62" s="1"/>
      <c r="B62" s="60" t="s">
        <v>128</v>
      </c>
      <c r="C62" s="62">
        <v>3</v>
      </c>
      <c r="D62" s="55"/>
      <c r="E62" s="55"/>
      <c r="F62" s="55"/>
      <c r="G62" s="56"/>
      <c r="H62" s="54"/>
      <c r="I62" s="57"/>
      <c r="J62" s="58"/>
      <c r="K62" s="57"/>
      <c r="L62" s="58"/>
      <c r="M62" s="55"/>
    </row>
    <row x14ac:dyDescent="0.25" r="63" customHeight="1" ht="17.25">
      <c r="A63" s="1"/>
      <c r="B63" s="60" t="s">
        <v>129</v>
      </c>
      <c r="C63" s="62">
        <v>3</v>
      </c>
      <c r="D63" s="55"/>
      <c r="E63" s="55"/>
      <c r="F63" s="55"/>
      <c r="G63" s="56"/>
      <c r="H63" s="54"/>
      <c r="I63" s="57"/>
      <c r="J63" s="58"/>
      <c r="K63" s="57"/>
      <c r="L63" s="58"/>
      <c r="M63" s="55"/>
    </row>
    <row x14ac:dyDescent="0.25" r="64" customHeight="1" ht="17.25">
      <c r="A64" s="1"/>
      <c r="B64" s="60" t="s">
        <v>130</v>
      </c>
      <c r="C64" s="62">
        <v>3</v>
      </c>
      <c r="D64" s="55"/>
      <c r="E64" s="55"/>
      <c r="F64" s="55"/>
      <c r="G64" s="56"/>
      <c r="H64" s="54"/>
      <c r="I64" s="57"/>
      <c r="J64" s="58"/>
      <c r="K64" s="57"/>
      <c r="L64" s="58"/>
      <c r="M64" s="55"/>
    </row>
    <row x14ac:dyDescent="0.25" r="65" customHeight="1" ht="17.25">
      <c r="A65" s="1"/>
      <c r="B65" s="60" t="s">
        <v>131</v>
      </c>
      <c r="C65" s="62">
        <v>3</v>
      </c>
      <c r="D65" s="55"/>
      <c r="E65" s="55"/>
      <c r="F65" s="55"/>
      <c r="G65" s="56"/>
      <c r="H65" s="54"/>
      <c r="I65" s="57"/>
      <c r="J65" s="58"/>
      <c r="K65" s="57"/>
      <c r="L65" s="58"/>
      <c r="M65" s="55"/>
    </row>
    <row x14ac:dyDescent="0.25" r="66" customHeight="1" ht="17.25">
      <c r="A66" s="1"/>
      <c r="B66" s="60" t="s">
        <v>132</v>
      </c>
      <c r="C66" s="62">
        <v>3</v>
      </c>
      <c r="D66" s="55"/>
      <c r="E66" s="55"/>
      <c r="F66" s="55"/>
      <c r="G66" s="56"/>
      <c r="H66" s="54"/>
      <c r="I66" s="57"/>
      <c r="J66" s="58"/>
      <c r="K66" s="57"/>
      <c r="L66" s="58"/>
      <c r="M66" s="55"/>
    </row>
    <row x14ac:dyDescent="0.25" r="67" customHeight="1" ht="17.25">
      <c r="A67" s="1"/>
      <c r="B67" s="60" t="s">
        <v>133</v>
      </c>
      <c r="C67" s="62">
        <v>3</v>
      </c>
      <c r="D67" s="55"/>
      <c r="E67" s="55"/>
      <c r="F67" s="55"/>
      <c r="G67" s="56"/>
      <c r="H67" s="54"/>
      <c r="I67" s="57"/>
      <c r="J67" s="58"/>
      <c r="K67" s="57"/>
      <c r="L67" s="58"/>
      <c r="M67" s="55"/>
    </row>
    <row x14ac:dyDescent="0.25" r="68" customHeight="1" ht="17.25">
      <c r="A68" s="1"/>
      <c r="B68" s="60" t="s">
        <v>134</v>
      </c>
      <c r="C68" s="62">
        <v>3</v>
      </c>
      <c r="D68" s="55"/>
      <c r="E68" s="55"/>
      <c r="F68" s="55"/>
      <c r="G68" s="56"/>
      <c r="H68" s="54"/>
      <c r="I68" s="57"/>
      <c r="J68" s="58"/>
      <c r="K68" s="57"/>
      <c r="L68" s="58"/>
      <c r="M68" s="55"/>
    </row>
    <row x14ac:dyDescent="0.25" r="69" customHeight="1" ht="17.25">
      <c r="A69" s="1"/>
      <c r="B69" s="60" t="s">
        <v>135</v>
      </c>
      <c r="C69" s="62">
        <v>3</v>
      </c>
      <c r="D69" s="55"/>
      <c r="E69" s="55"/>
      <c r="F69" s="55"/>
      <c r="G69" s="56"/>
      <c r="H69" s="54"/>
      <c r="I69" s="57"/>
      <c r="J69" s="58"/>
      <c r="K69" s="57"/>
      <c r="L69" s="58"/>
      <c r="M69" s="55"/>
    </row>
    <row x14ac:dyDescent="0.25" r="70" customHeight="1" ht="17.25">
      <c r="A70" s="1"/>
      <c r="B70" s="60" t="s">
        <v>136</v>
      </c>
      <c r="C70" s="62">
        <v>3</v>
      </c>
      <c r="D70" s="55"/>
      <c r="E70" s="55"/>
      <c r="F70" s="55"/>
      <c r="G70" s="56"/>
      <c r="H70" s="54"/>
      <c r="I70" s="57"/>
      <c r="J70" s="58"/>
      <c r="K70" s="57"/>
      <c r="L70" s="58"/>
      <c r="M70" s="55"/>
    </row>
    <row x14ac:dyDescent="0.25" r="71" customHeight="1" ht="17.25">
      <c r="A71" s="1"/>
      <c r="B71" s="60" t="s">
        <v>137</v>
      </c>
      <c r="C71" s="62">
        <v>2</v>
      </c>
      <c r="D71" s="55"/>
      <c r="E71" s="55"/>
      <c r="F71" s="55"/>
      <c r="G71" s="56"/>
      <c r="H71" s="54"/>
      <c r="I71" s="57"/>
      <c r="J71" s="58"/>
      <c r="K71" s="57"/>
      <c r="L71" s="58"/>
      <c r="M71" s="55"/>
    </row>
    <row x14ac:dyDescent="0.25" r="72" customHeight="1" ht="17.25">
      <c r="A72" s="1"/>
      <c r="B72" s="60" t="s">
        <v>138</v>
      </c>
      <c r="C72" s="62">
        <v>2</v>
      </c>
      <c r="D72" s="55"/>
      <c r="E72" s="55"/>
      <c r="F72" s="55"/>
      <c r="G72" s="56"/>
      <c r="H72" s="54"/>
      <c r="I72" s="57"/>
      <c r="J72" s="58"/>
      <c r="K72" s="57"/>
      <c r="L72" s="58"/>
      <c r="M72" s="55"/>
    </row>
    <row x14ac:dyDescent="0.25" r="73" customHeight="1" ht="17.25">
      <c r="A73" s="1"/>
      <c r="B73" s="60" t="s">
        <v>139</v>
      </c>
      <c r="C73" s="62">
        <v>2</v>
      </c>
      <c r="D73" s="55"/>
      <c r="E73" s="55"/>
      <c r="F73" s="55"/>
      <c r="G73" s="56"/>
      <c r="H73" s="54"/>
      <c r="I73" s="57"/>
      <c r="J73" s="58"/>
      <c r="K73" s="57"/>
      <c r="L73" s="58"/>
      <c r="M73" s="55"/>
    </row>
    <row x14ac:dyDescent="0.25" r="74" customHeight="1" ht="17.25">
      <c r="A74" s="1"/>
      <c r="B74" s="60" t="s">
        <v>140</v>
      </c>
      <c r="C74" s="62">
        <v>2</v>
      </c>
      <c r="D74" s="55"/>
      <c r="E74" s="55"/>
      <c r="F74" s="55"/>
      <c r="G74" s="56"/>
      <c r="H74" s="54"/>
      <c r="I74" s="57"/>
      <c r="J74" s="58"/>
      <c r="K74" s="57"/>
      <c r="L74" s="58"/>
      <c r="M74" s="55"/>
    </row>
    <row x14ac:dyDescent="0.25" r="75" customHeight="1" ht="17.25">
      <c r="A75" s="1"/>
      <c r="B75" s="60" t="s">
        <v>141</v>
      </c>
      <c r="C75" s="62">
        <v>2</v>
      </c>
      <c r="D75" s="55"/>
      <c r="E75" s="55"/>
      <c r="F75" s="55"/>
      <c r="G75" s="56"/>
      <c r="H75" s="54"/>
      <c r="I75" s="57"/>
      <c r="J75" s="58"/>
      <c r="K75" s="57"/>
      <c r="L75" s="58"/>
      <c r="M75" s="55"/>
    </row>
    <row x14ac:dyDescent="0.25" r="76" customHeight="1" ht="17.25">
      <c r="A76" s="1"/>
      <c r="B76" s="60" t="s">
        <v>142</v>
      </c>
      <c r="C76" s="62">
        <v>2</v>
      </c>
      <c r="D76" s="55"/>
      <c r="E76" s="55"/>
      <c r="F76" s="55"/>
      <c r="G76" s="56"/>
      <c r="H76" s="54"/>
      <c r="I76" s="57"/>
      <c r="J76" s="58"/>
      <c r="K76" s="57"/>
      <c r="L76" s="58"/>
      <c r="M76" s="55"/>
    </row>
    <row x14ac:dyDescent="0.25" r="77" customHeight="1" ht="17.25">
      <c r="A77" s="1"/>
      <c r="B77" s="60" t="s">
        <v>143</v>
      </c>
      <c r="C77" s="62">
        <v>2</v>
      </c>
      <c r="D77" s="55"/>
      <c r="E77" s="55"/>
      <c r="F77" s="55"/>
      <c r="G77" s="56"/>
      <c r="H77" s="54"/>
      <c r="I77" s="57"/>
      <c r="J77" s="58"/>
      <c r="K77" s="57"/>
      <c r="L77" s="58"/>
      <c r="M77" s="55"/>
    </row>
    <row x14ac:dyDescent="0.25" r="78" customHeight="1" ht="17.25">
      <c r="A78" s="1"/>
      <c r="B78" s="60" t="s">
        <v>144</v>
      </c>
      <c r="C78" s="62">
        <v>1</v>
      </c>
      <c r="D78" s="55"/>
      <c r="E78" s="55"/>
      <c r="F78" s="55"/>
      <c r="G78" s="56"/>
      <c r="H78" s="54"/>
      <c r="I78" s="57"/>
      <c r="J78" s="58"/>
      <c r="K78" s="57"/>
      <c r="L78" s="58"/>
      <c r="M78" s="55"/>
    </row>
    <row x14ac:dyDescent="0.25" r="79" customHeight="1" ht="17.25">
      <c r="A79" s="1"/>
      <c r="B79" s="60" t="s">
        <v>145</v>
      </c>
      <c r="C79" s="62">
        <v>1</v>
      </c>
      <c r="D79" s="55"/>
      <c r="E79" s="55"/>
      <c r="F79" s="55"/>
      <c r="G79" s="56"/>
      <c r="H79" s="54"/>
      <c r="I79" s="57"/>
      <c r="J79" s="58"/>
      <c r="K79" s="57"/>
      <c r="L79" s="58"/>
      <c r="M79" s="55"/>
    </row>
    <row x14ac:dyDescent="0.25" r="80" customHeight="1" ht="17.25">
      <c r="A80" s="1"/>
      <c r="B80" s="60" t="s">
        <v>146</v>
      </c>
      <c r="C80" s="62">
        <v>1</v>
      </c>
      <c r="D80" s="55"/>
      <c r="E80" s="55"/>
      <c r="F80" s="55"/>
      <c r="G80" s="56"/>
      <c r="H80" s="54"/>
      <c r="I80" s="57"/>
      <c r="J80" s="58"/>
      <c r="K80" s="57"/>
      <c r="L80" s="58"/>
      <c r="M80" s="55"/>
    </row>
    <row x14ac:dyDescent="0.25" r="81" customHeight="1" ht="17.25">
      <c r="A81" s="1"/>
      <c r="B81" s="60" t="s">
        <v>147</v>
      </c>
      <c r="C81" s="62">
        <v>1</v>
      </c>
      <c r="D81" s="55"/>
      <c r="E81" s="55"/>
      <c r="F81" s="55"/>
      <c r="G81" s="56"/>
      <c r="H81" s="54"/>
      <c r="I81" s="57"/>
      <c r="J81" s="58"/>
      <c r="K81" s="57"/>
      <c r="L81" s="58"/>
      <c r="M81" s="55"/>
    </row>
    <row x14ac:dyDescent="0.25" r="82" customHeight="1" ht="17.25">
      <c r="A82" s="1"/>
      <c r="B82" s="60" t="s">
        <v>148</v>
      </c>
      <c r="C82" s="62">
        <v>1</v>
      </c>
      <c r="D82" s="55"/>
      <c r="E82" s="55"/>
      <c r="F82" s="55"/>
      <c r="G82" s="56"/>
      <c r="H82" s="54"/>
      <c r="I82" s="57"/>
      <c r="J82" s="58"/>
      <c r="K82" s="57"/>
      <c r="L82" s="58"/>
      <c r="M82" s="55"/>
    </row>
    <row x14ac:dyDescent="0.25" r="83" customHeight="1" ht="17.25">
      <c r="A83" s="1"/>
      <c r="B83" s="60" t="s">
        <v>149</v>
      </c>
      <c r="C83" s="62">
        <v>1</v>
      </c>
      <c r="D83" s="55"/>
      <c r="E83" s="55"/>
      <c r="F83" s="55"/>
      <c r="G83" s="56"/>
      <c r="H83" s="54"/>
      <c r="I83" s="57"/>
      <c r="J83" s="58"/>
      <c r="K83" s="57"/>
      <c r="L83" s="58"/>
      <c r="M83" s="55"/>
    </row>
    <row x14ac:dyDescent="0.25" r="84" customHeight="1" ht="17.25">
      <c r="A84" s="1"/>
      <c r="B84" s="60" t="s">
        <v>150</v>
      </c>
      <c r="C84" s="62">
        <v>1</v>
      </c>
      <c r="D84" s="55"/>
      <c r="E84" s="55"/>
      <c r="F84" s="55"/>
      <c r="G84" s="56"/>
      <c r="H84" s="54"/>
      <c r="I84" s="57"/>
      <c r="J84" s="58"/>
      <c r="K84" s="57"/>
      <c r="L84" s="58"/>
      <c r="M84" s="55"/>
    </row>
    <row x14ac:dyDescent="0.25" r="85" customHeight="1" ht="17.25">
      <c r="A85" s="1"/>
      <c r="B85" s="60" t="s">
        <v>151</v>
      </c>
      <c r="C85" s="62">
        <v>1</v>
      </c>
      <c r="D85" s="55"/>
      <c r="E85" s="55"/>
      <c r="F85" s="55"/>
      <c r="G85" s="56"/>
      <c r="H85" s="54"/>
      <c r="I85" s="57"/>
      <c r="J85" s="58"/>
      <c r="K85" s="57"/>
      <c r="L85" s="58"/>
      <c r="M85" s="55"/>
    </row>
    <row x14ac:dyDescent="0.25" r="86" customHeight="1" ht="17.25">
      <c r="A86" s="1"/>
      <c r="B86" s="60" t="s">
        <v>152</v>
      </c>
      <c r="C86" s="62">
        <v>1</v>
      </c>
      <c r="D86" s="55"/>
      <c r="E86" s="55"/>
      <c r="F86" s="55"/>
      <c r="G86" s="56"/>
      <c r="H86" s="54"/>
      <c r="I86" s="57"/>
      <c r="J86" s="58"/>
      <c r="K86" s="57"/>
      <c r="L86" s="58"/>
      <c r="M86" s="55"/>
    </row>
    <row x14ac:dyDescent="0.25" r="87" customHeight="1" ht="17.25">
      <c r="A87" s="1"/>
      <c r="B87" s="60" t="s">
        <v>153</v>
      </c>
      <c r="C87" s="62">
        <v>1</v>
      </c>
      <c r="D87" s="55"/>
      <c r="E87" s="55"/>
      <c r="F87" s="55"/>
      <c r="G87" s="56"/>
      <c r="H87" s="54"/>
      <c r="I87" s="57"/>
      <c r="J87" s="58"/>
      <c r="K87" s="57"/>
      <c r="L87" s="58"/>
      <c r="M87" s="55"/>
    </row>
    <row x14ac:dyDescent="0.25" r="88" customHeight="1" ht="17.25">
      <c r="A88" s="1"/>
      <c r="B88" s="60" t="s">
        <v>154</v>
      </c>
      <c r="C88" s="62">
        <v>420</v>
      </c>
      <c r="D88" s="55"/>
      <c r="E88" s="55"/>
      <c r="F88" s="55"/>
      <c r="G88" s="56"/>
      <c r="H88" s="54"/>
      <c r="I88" s="57"/>
      <c r="J88" s="58"/>
      <c r="K88" s="57"/>
      <c r="L88" s="58"/>
      <c r="M88" s="55"/>
    </row>
    <row x14ac:dyDescent="0.25" r="89" customHeight="1" ht="17.25">
      <c r="A89" s="1"/>
      <c r="B89" s="54"/>
      <c r="C89" s="55"/>
      <c r="D89" s="55"/>
      <c r="E89" s="55"/>
      <c r="F89" s="55"/>
      <c r="G89" s="56"/>
      <c r="H89" s="54"/>
      <c r="I89" s="57"/>
      <c r="J89" s="58"/>
      <c r="K89" s="57"/>
      <c r="L89" s="58"/>
      <c r="M89" s="55"/>
    </row>
    <row x14ac:dyDescent="0.25" r="90" customHeight="1" ht="17.25">
      <c r="A90" s="1"/>
      <c r="B90" s="54" t="s">
        <v>74</v>
      </c>
      <c r="C90" s="55" t="s">
        <v>155</v>
      </c>
      <c r="D90" s="55"/>
      <c r="E90" s="55"/>
      <c r="F90" s="55"/>
      <c r="G90" s="56"/>
      <c r="H90" s="54"/>
      <c r="I90" s="57"/>
      <c r="J90" s="58"/>
      <c r="K90" s="57"/>
      <c r="L90" s="58"/>
      <c r="M90" s="55"/>
    </row>
    <row x14ac:dyDescent="0.25" r="91" customHeight="1" ht="17.25">
      <c r="A91" s="1"/>
      <c r="B91" s="60" t="s">
        <v>69</v>
      </c>
      <c r="C91" s="62">
        <v>22</v>
      </c>
      <c r="D91" s="55"/>
      <c r="E91" s="55"/>
      <c r="F91" s="55"/>
      <c r="G91" s="56"/>
      <c r="H91" s="54"/>
      <c r="I91" s="57"/>
      <c r="J91" s="58"/>
      <c r="K91" s="57"/>
      <c r="L91" s="58"/>
      <c r="M91" s="55"/>
    </row>
    <row x14ac:dyDescent="0.25" r="92" customHeight="1" ht="17.25">
      <c r="A92" s="1"/>
      <c r="B92" s="60" t="s">
        <v>40</v>
      </c>
      <c r="C92" s="62">
        <v>20</v>
      </c>
      <c r="D92" s="55"/>
      <c r="E92" s="55"/>
      <c r="F92" s="55"/>
      <c r="G92" s="56"/>
      <c r="H92" s="54"/>
      <c r="I92" s="57"/>
      <c r="J92" s="58"/>
      <c r="K92" s="57"/>
      <c r="L92" s="58"/>
      <c r="M92" s="55"/>
    </row>
    <row x14ac:dyDescent="0.25" r="93" customHeight="1" ht="17.25">
      <c r="A93" s="1"/>
      <c r="B93" s="60" t="s">
        <v>59</v>
      </c>
      <c r="C93" s="62">
        <v>17</v>
      </c>
      <c r="D93" s="55"/>
      <c r="E93" s="55"/>
      <c r="F93" s="55"/>
      <c r="G93" s="56"/>
      <c r="H93" s="54"/>
      <c r="I93" s="57"/>
      <c r="J93" s="58"/>
      <c r="K93" s="57"/>
      <c r="L93" s="58"/>
      <c r="M93" s="55"/>
    </row>
    <row x14ac:dyDescent="0.25" r="94" customHeight="1" ht="17.25">
      <c r="A94" s="1"/>
      <c r="B94" s="60" t="s">
        <v>50</v>
      </c>
      <c r="C94" s="62">
        <v>17</v>
      </c>
      <c r="D94" s="55"/>
      <c r="E94" s="55"/>
      <c r="F94" s="55"/>
      <c r="G94" s="56"/>
      <c r="H94" s="54"/>
      <c r="I94" s="57"/>
      <c r="J94" s="58"/>
      <c r="K94" s="57"/>
      <c r="L94" s="58"/>
      <c r="M94" s="55"/>
    </row>
    <row x14ac:dyDescent="0.25" r="95" customHeight="1" ht="17.25">
      <c r="A95" s="1"/>
      <c r="B95" s="60" t="s">
        <v>55</v>
      </c>
      <c r="C95" s="62">
        <v>17</v>
      </c>
      <c r="D95" s="55"/>
      <c r="E95" s="55"/>
      <c r="F95" s="55"/>
      <c r="G95" s="56"/>
      <c r="H95" s="54"/>
      <c r="I95" s="57"/>
      <c r="J95" s="58"/>
      <c r="K95" s="57"/>
      <c r="L95" s="58"/>
      <c r="M95" s="55"/>
    </row>
    <row x14ac:dyDescent="0.25" r="96" customHeight="1" ht="17.25">
      <c r="A96" s="1"/>
      <c r="B96" s="60" t="s">
        <v>67</v>
      </c>
      <c r="C96" s="62">
        <v>16</v>
      </c>
      <c r="D96" s="55"/>
      <c r="E96" s="55"/>
      <c r="F96" s="55"/>
      <c r="G96" s="56"/>
      <c r="H96" s="54"/>
      <c r="I96" s="57"/>
      <c r="J96" s="58"/>
      <c r="K96" s="57"/>
      <c r="L96" s="58"/>
      <c r="M96" s="55"/>
    </row>
    <row x14ac:dyDescent="0.25" r="97" customHeight="1" ht="17.25">
      <c r="A97" s="1"/>
      <c r="B97" s="60" t="s">
        <v>57</v>
      </c>
      <c r="C97" s="62">
        <v>16</v>
      </c>
      <c r="D97" s="55"/>
      <c r="E97" s="55"/>
      <c r="F97" s="55"/>
      <c r="G97" s="56"/>
      <c r="H97" s="54"/>
      <c r="I97" s="57"/>
      <c r="J97" s="58"/>
      <c r="K97" s="57"/>
      <c r="L97" s="58"/>
      <c r="M97" s="55"/>
    </row>
    <row x14ac:dyDescent="0.25" r="98" customHeight="1" ht="17.25">
      <c r="A98" s="1"/>
      <c r="B98" s="60" t="s">
        <v>41</v>
      </c>
      <c r="C98" s="62">
        <v>15</v>
      </c>
      <c r="D98" s="55"/>
      <c r="E98" s="55"/>
      <c r="F98" s="55"/>
      <c r="G98" s="56"/>
      <c r="H98" s="54"/>
      <c r="I98" s="57"/>
      <c r="J98" s="58"/>
      <c r="K98" s="57"/>
      <c r="L98" s="58"/>
      <c r="M98" s="55"/>
    </row>
    <row x14ac:dyDescent="0.25" r="99" customHeight="1" ht="17.25">
      <c r="A99" s="1"/>
      <c r="B99" s="60" t="s">
        <v>60</v>
      </c>
      <c r="C99" s="62">
        <v>15</v>
      </c>
      <c r="D99" s="55"/>
      <c r="E99" s="55"/>
      <c r="F99" s="55"/>
      <c r="G99" s="56"/>
      <c r="H99" s="54"/>
      <c r="I99" s="57"/>
      <c r="J99" s="58"/>
      <c r="K99" s="57"/>
      <c r="L99" s="58"/>
      <c r="M99" s="55"/>
    </row>
    <row x14ac:dyDescent="0.25" r="100" customHeight="1" ht="17.25">
      <c r="A100" s="1"/>
      <c r="B100" s="60" t="s">
        <v>54</v>
      </c>
      <c r="C100" s="62">
        <v>15</v>
      </c>
      <c r="D100" s="55"/>
      <c r="E100" s="55"/>
      <c r="F100" s="55"/>
      <c r="G100" s="56"/>
      <c r="H100" s="54"/>
      <c r="I100" s="57"/>
      <c r="J100" s="58"/>
      <c r="K100" s="57"/>
      <c r="L100" s="58"/>
      <c r="M100" s="55"/>
    </row>
    <row x14ac:dyDescent="0.25" r="101" customHeight="1" ht="17.25">
      <c r="A101" s="1"/>
      <c r="B101" s="60" t="s">
        <v>62</v>
      </c>
      <c r="C101" s="62">
        <v>15</v>
      </c>
      <c r="D101" s="55"/>
      <c r="E101" s="55"/>
      <c r="F101" s="55"/>
      <c r="G101" s="56"/>
      <c r="H101" s="54"/>
      <c r="I101" s="57"/>
      <c r="J101" s="58"/>
      <c r="K101" s="57"/>
      <c r="L101" s="58"/>
      <c r="M101" s="55"/>
    </row>
    <row x14ac:dyDescent="0.25" r="102" customHeight="1" ht="17.25">
      <c r="A102" s="1"/>
      <c r="B102" s="60" t="s">
        <v>53</v>
      </c>
      <c r="C102" s="62">
        <v>15</v>
      </c>
      <c r="D102" s="55"/>
      <c r="E102" s="55"/>
      <c r="F102" s="55"/>
      <c r="G102" s="56"/>
      <c r="H102" s="54"/>
      <c r="I102" s="57"/>
      <c r="J102" s="58"/>
      <c r="K102" s="57"/>
      <c r="L102" s="58"/>
      <c r="M102" s="55"/>
    </row>
    <row x14ac:dyDescent="0.25" r="103" customHeight="1" ht="17.25">
      <c r="A103" s="1"/>
      <c r="B103" s="60" t="s">
        <v>61</v>
      </c>
      <c r="C103" s="62">
        <v>15</v>
      </c>
      <c r="D103" s="55"/>
      <c r="E103" s="55"/>
      <c r="F103" s="55"/>
      <c r="G103" s="56"/>
      <c r="H103" s="54"/>
      <c r="I103" s="57"/>
      <c r="J103" s="58"/>
      <c r="K103" s="57"/>
      <c r="L103" s="58"/>
      <c r="M103" s="55"/>
    </row>
    <row x14ac:dyDescent="0.25" r="104" customHeight="1" ht="17.25">
      <c r="A104" s="1"/>
      <c r="B104" s="60" t="s">
        <v>68</v>
      </c>
      <c r="C104" s="62">
        <v>14</v>
      </c>
      <c r="D104" s="55"/>
      <c r="E104" s="55"/>
      <c r="F104" s="55"/>
      <c r="G104" s="56"/>
      <c r="H104" s="54"/>
      <c r="I104" s="57"/>
      <c r="J104" s="58"/>
      <c r="K104" s="57"/>
      <c r="L104" s="58"/>
      <c r="M104" s="55"/>
    </row>
    <row x14ac:dyDescent="0.25" r="105" customHeight="1" ht="17.25">
      <c r="A105" s="1"/>
      <c r="B105" s="60" t="s">
        <v>66</v>
      </c>
      <c r="C105" s="62">
        <v>14</v>
      </c>
      <c r="D105" s="55"/>
      <c r="E105" s="55"/>
      <c r="F105" s="55"/>
      <c r="G105" s="56"/>
      <c r="H105" s="54"/>
      <c r="I105" s="57"/>
      <c r="J105" s="58"/>
      <c r="K105" s="57"/>
      <c r="L105" s="58"/>
      <c r="M105" s="55"/>
    </row>
    <row x14ac:dyDescent="0.25" r="106" customHeight="1" ht="17.25">
      <c r="A106" s="1"/>
      <c r="B106" s="60" t="s">
        <v>51</v>
      </c>
      <c r="C106" s="62">
        <v>13</v>
      </c>
      <c r="D106" s="55"/>
      <c r="E106" s="55"/>
      <c r="F106" s="55"/>
      <c r="G106" s="56"/>
      <c r="H106" s="54"/>
      <c r="I106" s="57"/>
      <c r="J106" s="58"/>
      <c r="K106" s="57"/>
      <c r="L106" s="58"/>
      <c r="M106" s="55"/>
    </row>
    <row x14ac:dyDescent="0.25" r="107" customHeight="1" ht="17.25">
      <c r="A107" s="1"/>
      <c r="B107" s="60" t="s">
        <v>46</v>
      </c>
      <c r="C107" s="62">
        <v>12</v>
      </c>
      <c r="D107" s="55"/>
      <c r="E107" s="55"/>
      <c r="F107" s="55"/>
      <c r="G107" s="56"/>
      <c r="H107" s="54"/>
      <c r="I107" s="57"/>
      <c r="J107" s="58"/>
      <c r="K107" s="57"/>
      <c r="L107" s="58"/>
      <c r="M107" s="55"/>
    </row>
    <row x14ac:dyDescent="0.25" r="108" customHeight="1" ht="17.25">
      <c r="A108" s="1"/>
      <c r="B108" s="60" t="s">
        <v>38</v>
      </c>
      <c r="C108" s="62">
        <v>12</v>
      </c>
      <c r="D108" s="55"/>
      <c r="E108" s="55"/>
      <c r="F108" s="55"/>
      <c r="G108" s="56"/>
      <c r="H108" s="54"/>
      <c r="I108" s="57"/>
      <c r="J108" s="58"/>
      <c r="K108" s="57"/>
      <c r="L108" s="58"/>
      <c r="M108" s="55"/>
    </row>
    <row x14ac:dyDescent="0.25" r="109" customHeight="1" ht="17.25">
      <c r="A109" s="1"/>
      <c r="B109" s="60" t="s">
        <v>63</v>
      </c>
      <c r="C109" s="62">
        <v>12</v>
      </c>
      <c r="D109" s="55"/>
      <c r="E109" s="55"/>
      <c r="F109" s="55"/>
      <c r="G109" s="56"/>
      <c r="H109" s="54"/>
      <c r="I109" s="57"/>
      <c r="J109" s="58"/>
      <c r="K109" s="57"/>
      <c r="L109" s="58"/>
      <c r="M109" s="55"/>
    </row>
    <row x14ac:dyDescent="0.25" r="110" customHeight="1" ht="17.25">
      <c r="A110" s="1"/>
      <c r="B110" s="60" t="s">
        <v>65</v>
      </c>
      <c r="C110" s="62">
        <v>12</v>
      </c>
      <c r="D110" s="55"/>
      <c r="E110" s="55"/>
      <c r="F110" s="55"/>
      <c r="G110" s="56"/>
      <c r="H110" s="54"/>
      <c r="I110" s="57"/>
      <c r="J110" s="58"/>
      <c r="K110" s="57"/>
      <c r="L110" s="58"/>
      <c r="M110" s="55"/>
    </row>
    <row x14ac:dyDescent="0.25" r="111" customHeight="1" ht="17.25">
      <c r="A111" s="1"/>
      <c r="B111" s="60" t="s">
        <v>58</v>
      </c>
      <c r="C111" s="62">
        <v>11</v>
      </c>
      <c r="D111" s="55"/>
      <c r="E111" s="55"/>
      <c r="F111" s="55"/>
      <c r="G111" s="56"/>
      <c r="H111" s="54"/>
      <c r="I111" s="57"/>
      <c r="J111" s="58"/>
      <c r="K111" s="57"/>
      <c r="L111" s="58"/>
      <c r="M111" s="55"/>
    </row>
    <row x14ac:dyDescent="0.25" r="112" customHeight="1" ht="17.25">
      <c r="A112" s="1"/>
      <c r="B112" s="60" t="s">
        <v>64</v>
      </c>
      <c r="C112" s="62">
        <v>11</v>
      </c>
      <c r="D112" s="55"/>
      <c r="E112" s="55"/>
      <c r="F112" s="55"/>
      <c r="G112" s="56"/>
      <c r="H112" s="54"/>
      <c r="I112" s="57"/>
      <c r="J112" s="58"/>
      <c r="K112" s="57"/>
      <c r="L112" s="58"/>
      <c r="M112" s="55"/>
    </row>
    <row x14ac:dyDescent="0.25" r="113" customHeight="1" ht="17.25">
      <c r="A113" s="1"/>
      <c r="B113" s="60" t="s">
        <v>43</v>
      </c>
      <c r="C113" s="62">
        <v>11</v>
      </c>
      <c r="D113" s="55"/>
      <c r="E113" s="55"/>
      <c r="F113" s="55"/>
      <c r="G113" s="56"/>
      <c r="H113" s="54"/>
      <c r="I113" s="57"/>
      <c r="J113" s="58"/>
      <c r="K113" s="57"/>
      <c r="L113" s="58"/>
      <c r="M113" s="55"/>
    </row>
    <row x14ac:dyDescent="0.25" r="114" customHeight="1" ht="17.25">
      <c r="A114" s="1"/>
      <c r="B114" s="60" t="s">
        <v>45</v>
      </c>
      <c r="C114" s="62">
        <v>11</v>
      </c>
      <c r="D114" s="55"/>
      <c r="E114" s="55"/>
      <c r="F114" s="55"/>
      <c r="G114" s="56"/>
      <c r="H114" s="54"/>
      <c r="I114" s="57"/>
      <c r="J114" s="58"/>
      <c r="K114" s="57"/>
      <c r="L114" s="58"/>
      <c r="M114" s="55"/>
    </row>
    <row x14ac:dyDescent="0.25" r="115" customHeight="1" ht="17.25">
      <c r="A115" s="1"/>
      <c r="B115" s="60" t="s">
        <v>47</v>
      </c>
      <c r="C115" s="62">
        <v>11</v>
      </c>
      <c r="D115" s="55"/>
      <c r="E115" s="55"/>
      <c r="F115" s="55"/>
      <c r="G115" s="56"/>
      <c r="H115" s="54"/>
      <c r="I115" s="57"/>
      <c r="J115" s="58"/>
      <c r="K115" s="57"/>
      <c r="L115" s="58"/>
      <c r="M115" s="55"/>
    </row>
    <row x14ac:dyDescent="0.25" r="116" customHeight="1" ht="17.25">
      <c r="A116" s="1"/>
      <c r="B116" s="60" t="s">
        <v>39</v>
      </c>
      <c r="C116" s="62">
        <v>11</v>
      </c>
      <c r="D116" s="55"/>
      <c r="E116" s="55"/>
      <c r="F116" s="55"/>
      <c r="G116" s="56"/>
      <c r="H116" s="54"/>
      <c r="I116" s="57"/>
      <c r="J116" s="58"/>
      <c r="K116" s="57"/>
      <c r="L116" s="58"/>
      <c r="M116" s="55"/>
    </row>
    <row x14ac:dyDescent="0.25" r="117" customHeight="1" ht="17.25">
      <c r="A117" s="1"/>
      <c r="B117" s="60" t="s">
        <v>44</v>
      </c>
      <c r="C117" s="62">
        <v>10</v>
      </c>
      <c r="D117" s="55"/>
      <c r="E117" s="55"/>
      <c r="F117" s="55"/>
      <c r="G117" s="56"/>
      <c r="H117" s="54"/>
      <c r="I117" s="57"/>
      <c r="J117" s="58"/>
      <c r="K117" s="57"/>
      <c r="L117" s="58"/>
      <c r="M117" s="55"/>
    </row>
    <row x14ac:dyDescent="0.25" r="118" customHeight="1" ht="17.25">
      <c r="A118" s="1"/>
      <c r="B118" s="60" t="s">
        <v>49</v>
      </c>
      <c r="C118" s="62">
        <v>10</v>
      </c>
      <c r="D118" s="55"/>
      <c r="E118" s="55"/>
      <c r="F118" s="55"/>
      <c r="G118" s="56"/>
      <c r="H118" s="54"/>
      <c r="I118" s="57"/>
      <c r="J118" s="58"/>
      <c r="K118" s="57"/>
      <c r="L118" s="58"/>
      <c r="M118" s="55"/>
    </row>
    <row x14ac:dyDescent="0.25" r="119" customHeight="1" ht="17.25">
      <c r="A119" s="1"/>
      <c r="B119" s="60" t="s">
        <v>52</v>
      </c>
      <c r="C119" s="62">
        <v>9</v>
      </c>
      <c r="D119" s="55"/>
      <c r="E119" s="55"/>
      <c r="F119" s="55"/>
      <c r="G119" s="56"/>
      <c r="H119" s="54"/>
      <c r="I119" s="57"/>
      <c r="J119" s="58"/>
      <c r="K119" s="57"/>
      <c r="L119" s="58"/>
      <c r="M119" s="55"/>
    </row>
    <row x14ac:dyDescent="0.25" r="120" customHeight="1" ht="17.25">
      <c r="A120" s="1"/>
      <c r="B120" s="60" t="s">
        <v>48</v>
      </c>
      <c r="C120" s="62">
        <v>7</v>
      </c>
      <c r="D120" s="55"/>
      <c r="E120" s="55"/>
      <c r="F120" s="55"/>
      <c r="G120" s="56"/>
      <c r="H120" s="54"/>
      <c r="I120" s="57"/>
      <c r="J120" s="58"/>
      <c r="K120" s="57"/>
      <c r="L120" s="58"/>
      <c r="M120" s="55"/>
    </row>
    <row x14ac:dyDescent="0.25" r="121" customHeight="1" ht="17.25">
      <c r="A121" s="1"/>
      <c r="B121" s="60" t="s">
        <v>42</v>
      </c>
      <c r="C121" s="62">
        <v>7</v>
      </c>
      <c r="D121" s="55"/>
      <c r="E121" s="55"/>
      <c r="F121" s="55"/>
      <c r="G121" s="56"/>
      <c r="H121" s="54"/>
      <c r="I121" s="57"/>
      <c r="J121" s="58"/>
      <c r="K121" s="57"/>
      <c r="L121" s="58"/>
      <c r="M121" s="55"/>
    </row>
    <row x14ac:dyDescent="0.25" r="122" customHeight="1" ht="17.25">
      <c r="A122" s="1"/>
      <c r="B122" s="60" t="s">
        <v>56</v>
      </c>
      <c r="C122" s="62">
        <v>7</v>
      </c>
      <c r="D122" s="55"/>
      <c r="E122" s="55"/>
      <c r="F122" s="55"/>
      <c r="G122" s="56"/>
      <c r="H122" s="54"/>
      <c r="I122" s="57"/>
      <c r="J122" s="58"/>
      <c r="K122" s="57"/>
      <c r="L122" s="58"/>
      <c r="M122" s="55"/>
    </row>
    <row x14ac:dyDescent="0.25" r="123" customHeight="1" ht="17.25">
      <c r="A123" s="1"/>
      <c r="B123" s="60" t="s">
        <v>154</v>
      </c>
      <c r="C123" s="62">
        <v>420</v>
      </c>
      <c r="D123" s="55"/>
      <c r="E123" s="55"/>
      <c r="F123" s="55"/>
      <c r="G123" s="56"/>
      <c r="H123" s="54"/>
      <c r="I123" s="57"/>
      <c r="J123" s="58"/>
      <c r="K123" s="57"/>
      <c r="L123" s="58"/>
      <c r="M123" s="55"/>
    </row>
    <row x14ac:dyDescent="0.25" r="124" customHeight="1" ht="17.25">
      <c r="A124" s="1"/>
      <c r="B124" s="54"/>
      <c r="C124" s="55"/>
      <c r="D124" s="55"/>
      <c r="E124" s="55"/>
      <c r="F124" s="55"/>
      <c r="G124" s="56"/>
      <c r="H124" s="54"/>
      <c r="I124" s="57"/>
      <c r="J124" s="58"/>
      <c r="K124" s="57"/>
      <c r="L124" s="58"/>
      <c r="M124" s="55"/>
    </row>
    <row x14ac:dyDescent="0.25" r="125" customHeight="1" ht="17.25">
      <c r="A125" s="1"/>
      <c r="B125" s="59" t="s">
        <v>156</v>
      </c>
      <c r="C125" s="55"/>
      <c r="D125" s="55"/>
      <c r="E125" s="55"/>
      <c r="F125" s="55"/>
      <c r="G125" s="56"/>
      <c r="H125" s="54"/>
      <c r="I125" s="57"/>
      <c r="J125" s="58"/>
      <c r="K125" s="57"/>
      <c r="L125" s="58"/>
      <c r="M125" s="55"/>
    </row>
    <row x14ac:dyDescent="0.25" r="126" customHeight="1" ht="17.25">
      <c r="A126" s="1"/>
      <c r="B126" s="60">
        <f>SUM(BD!I:I)</f>
      </c>
      <c r="C126" s="55"/>
      <c r="D126" s="55"/>
      <c r="E126" s="55"/>
      <c r="F126" s="55"/>
      <c r="G126" s="56"/>
      <c r="H126" s="54"/>
      <c r="I126" s="57"/>
      <c r="J126" s="58"/>
      <c r="K126" s="57"/>
      <c r="L126" s="58"/>
      <c r="M126" s="55"/>
    </row>
    <row x14ac:dyDescent="0.25" r="127" customHeight="1" ht="17.25">
      <c r="A127" s="1"/>
      <c r="B127" s="54"/>
      <c r="C127" s="55"/>
      <c r="D127" s="55"/>
      <c r="E127" s="55"/>
      <c r="F127" s="55"/>
      <c r="G127" s="56"/>
      <c r="H127" s="54"/>
      <c r="I127" s="57"/>
      <c r="J127" s="58"/>
      <c r="K127" s="57"/>
      <c r="L127" s="58"/>
      <c r="M127" s="55"/>
    </row>
    <row x14ac:dyDescent="0.25" r="128" customHeight="1" ht="17.25">
      <c r="A128" s="1"/>
      <c r="B128" s="54" t="s">
        <v>74</v>
      </c>
      <c r="C128" s="55" t="s">
        <v>157</v>
      </c>
      <c r="D128" s="55"/>
      <c r="E128" s="55"/>
      <c r="F128" s="55"/>
      <c r="G128" s="56"/>
      <c r="H128" s="54"/>
      <c r="I128" s="57"/>
      <c r="J128" s="58"/>
      <c r="K128" s="57"/>
      <c r="L128" s="58"/>
      <c r="M128" s="55"/>
    </row>
    <row x14ac:dyDescent="0.25" r="129" customHeight="1" ht="17.25">
      <c r="A129" s="1"/>
      <c r="B129" s="60" t="s">
        <v>158</v>
      </c>
      <c r="C129" s="62">
        <v>337</v>
      </c>
      <c r="D129" s="55"/>
      <c r="E129" s="55"/>
      <c r="F129" s="55"/>
      <c r="G129" s="56"/>
      <c r="H129" s="54"/>
      <c r="I129" s="57"/>
      <c r="J129" s="58"/>
      <c r="K129" s="57"/>
      <c r="L129" s="58"/>
      <c r="M129" s="55"/>
    </row>
    <row x14ac:dyDescent="0.25" r="130" customHeight="1" ht="17.25">
      <c r="A130" s="1"/>
      <c r="B130" s="60" t="s">
        <v>159</v>
      </c>
      <c r="C130" s="62">
        <v>41</v>
      </c>
      <c r="D130" s="55"/>
      <c r="E130" s="55"/>
      <c r="F130" s="55"/>
      <c r="G130" s="56"/>
      <c r="H130" s="54"/>
      <c r="I130" s="57"/>
      <c r="J130" s="58"/>
      <c r="K130" s="57"/>
      <c r="L130" s="58"/>
      <c r="M130" s="55"/>
    </row>
    <row x14ac:dyDescent="0.25" r="131" customHeight="1" ht="17.25">
      <c r="A131" s="1"/>
      <c r="B131" s="60" t="s">
        <v>160</v>
      </c>
      <c r="C131" s="62">
        <v>13</v>
      </c>
      <c r="D131" s="55"/>
      <c r="E131" s="55"/>
      <c r="F131" s="55"/>
      <c r="G131" s="56"/>
      <c r="H131" s="54"/>
      <c r="I131" s="57"/>
      <c r="J131" s="58"/>
      <c r="K131" s="57"/>
      <c r="L131" s="58"/>
      <c r="M131" s="55"/>
    </row>
    <row x14ac:dyDescent="0.25" r="132" customHeight="1" ht="17.25">
      <c r="A132" s="1"/>
      <c r="B132" s="60" t="s">
        <v>161</v>
      </c>
      <c r="C132" s="62">
        <v>7</v>
      </c>
      <c r="D132" s="55"/>
      <c r="E132" s="55"/>
      <c r="F132" s="55"/>
      <c r="G132" s="56"/>
      <c r="H132" s="54"/>
      <c r="I132" s="57"/>
      <c r="J132" s="58"/>
      <c r="K132" s="57"/>
      <c r="L132" s="58"/>
      <c r="M132" s="55"/>
    </row>
    <row x14ac:dyDescent="0.25" r="133" customHeight="1" ht="17.25">
      <c r="A133" s="1"/>
      <c r="B133" s="60" t="s">
        <v>162</v>
      </c>
      <c r="C133" s="62">
        <v>7</v>
      </c>
      <c r="D133" s="55"/>
      <c r="E133" s="55"/>
      <c r="F133" s="55"/>
      <c r="G133" s="56"/>
      <c r="H133" s="54"/>
      <c r="I133" s="57"/>
      <c r="J133" s="58"/>
      <c r="K133" s="57"/>
      <c r="L133" s="58"/>
      <c r="M133" s="55"/>
    </row>
    <row x14ac:dyDescent="0.25" r="134" customHeight="1" ht="17.25">
      <c r="A134" s="1"/>
      <c r="B134" s="60" t="s">
        <v>163</v>
      </c>
      <c r="C134" s="62">
        <v>6</v>
      </c>
      <c r="D134" s="55"/>
      <c r="E134" s="55"/>
      <c r="F134" s="55"/>
      <c r="G134" s="56"/>
      <c r="H134" s="54"/>
      <c r="I134" s="57"/>
      <c r="J134" s="58"/>
      <c r="K134" s="57"/>
      <c r="L134" s="58"/>
      <c r="M134" s="55"/>
    </row>
    <row x14ac:dyDescent="0.25" r="135" customHeight="1" ht="17.25">
      <c r="A135" s="1"/>
      <c r="B135" s="60" t="s">
        <v>164</v>
      </c>
      <c r="C135" s="62">
        <v>3</v>
      </c>
      <c r="D135" s="55"/>
      <c r="E135" s="55"/>
      <c r="F135" s="55"/>
      <c r="G135" s="56"/>
      <c r="H135" s="54"/>
      <c r="I135" s="57"/>
      <c r="J135" s="58"/>
      <c r="K135" s="57"/>
      <c r="L135" s="58"/>
      <c r="M135" s="55"/>
    </row>
    <row x14ac:dyDescent="0.25" r="136" customHeight="1" ht="17.25">
      <c r="A136" s="1"/>
      <c r="B136" s="60" t="s">
        <v>165</v>
      </c>
      <c r="C136" s="62">
        <v>3</v>
      </c>
      <c r="D136" s="55"/>
      <c r="E136" s="55"/>
      <c r="F136" s="55"/>
      <c r="G136" s="56"/>
      <c r="H136" s="54"/>
      <c r="I136" s="57"/>
      <c r="J136" s="58"/>
      <c r="K136" s="57"/>
      <c r="L136" s="58"/>
      <c r="M136" s="55"/>
    </row>
    <row x14ac:dyDescent="0.25" r="137" customHeight="1" ht="17.25">
      <c r="A137" s="1"/>
      <c r="B137" s="60" t="s">
        <v>166</v>
      </c>
      <c r="C137" s="62">
        <v>2</v>
      </c>
      <c r="D137" s="55"/>
      <c r="E137" s="55"/>
      <c r="F137" s="55"/>
      <c r="G137" s="56"/>
      <c r="H137" s="54"/>
      <c r="I137" s="57"/>
      <c r="J137" s="58"/>
      <c r="K137" s="57"/>
      <c r="L137" s="58"/>
      <c r="M137" s="55"/>
    </row>
    <row x14ac:dyDescent="0.25" r="138" customHeight="1" ht="17.25">
      <c r="A138" s="1"/>
      <c r="B138" s="60" t="s">
        <v>167</v>
      </c>
      <c r="C138" s="62">
        <v>1</v>
      </c>
      <c r="D138" s="55"/>
      <c r="E138" s="55"/>
      <c r="F138" s="55"/>
      <c r="G138" s="56"/>
      <c r="H138" s="54"/>
      <c r="I138" s="57"/>
      <c r="J138" s="58"/>
      <c r="K138" s="57"/>
      <c r="L138" s="58"/>
      <c r="M138" s="55"/>
    </row>
    <row x14ac:dyDescent="0.25" r="139" customHeight="1" ht="17.25">
      <c r="A139" s="1"/>
      <c r="B139" s="60" t="s">
        <v>154</v>
      </c>
      <c r="C139" s="62">
        <v>420</v>
      </c>
      <c r="D139" s="55"/>
      <c r="E139" s="55"/>
      <c r="F139" s="55"/>
      <c r="G139" s="56"/>
      <c r="H139" s="54"/>
      <c r="I139" s="57"/>
      <c r="J139" s="58"/>
      <c r="K139" s="57"/>
      <c r="L139" s="58"/>
      <c r="M139" s="55"/>
    </row>
    <row x14ac:dyDescent="0.25" r="140" customHeight="1" ht="17.25">
      <c r="A140" s="1"/>
      <c r="B140" s="54"/>
      <c r="C140" s="55"/>
      <c r="D140" s="55"/>
      <c r="E140" s="55"/>
      <c r="F140" s="55"/>
      <c r="G140" s="56"/>
      <c r="H140" s="54"/>
      <c r="I140" s="57"/>
      <c r="J140" s="58"/>
      <c r="K140" s="57"/>
      <c r="L140" s="58"/>
      <c r="M140" s="55"/>
    </row>
    <row x14ac:dyDescent="0.25" r="141" customHeight="1" ht="17.25">
      <c r="A141" s="1"/>
      <c r="B141" s="54" t="s">
        <v>74</v>
      </c>
      <c r="C141" s="55" t="s">
        <v>168</v>
      </c>
      <c r="D141" s="55"/>
      <c r="E141" s="63" t="s">
        <v>2</v>
      </c>
      <c r="F141" s="64" t="s">
        <v>169</v>
      </c>
      <c r="G141" s="65" t="s">
        <v>23</v>
      </c>
      <c r="H141" s="54"/>
      <c r="I141" s="57"/>
      <c r="J141" s="58"/>
      <c r="K141" s="57"/>
      <c r="L141" s="58"/>
      <c r="M141" s="55"/>
    </row>
    <row x14ac:dyDescent="0.25" r="142" customHeight="1" ht="17.25">
      <c r="A142" s="1"/>
      <c r="B142" s="60" t="s">
        <v>170</v>
      </c>
      <c r="C142" s="62">
        <v>41</v>
      </c>
      <c r="D142" s="55"/>
      <c r="E142" s="55">
        <f>B142</f>
      </c>
      <c r="F142" s="62">
        <f>C142</f>
      </c>
      <c r="G142" s="66">
        <f>F142/GETPIVOTDATA("Sexo",$B$141)</f>
      </c>
      <c r="H142" s="54"/>
      <c r="I142" s="57"/>
      <c r="J142" s="58"/>
      <c r="K142" s="57"/>
      <c r="L142" s="58"/>
      <c r="M142" s="55"/>
    </row>
    <row x14ac:dyDescent="0.25" r="143" customHeight="1" ht="17.25">
      <c r="A143" s="1"/>
      <c r="B143" s="60" t="s">
        <v>22</v>
      </c>
      <c r="C143" s="62">
        <v>379</v>
      </c>
      <c r="D143" s="55"/>
      <c r="E143" s="55">
        <f>B143</f>
      </c>
      <c r="F143" s="62">
        <f>C143</f>
      </c>
      <c r="G143" s="66">
        <f>F143/GETPIVOTDATA("Sexo",$B$141)</f>
      </c>
      <c r="H143" s="54"/>
      <c r="I143" s="57"/>
      <c r="J143" s="58"/>
      <c r="K143" s="57"/>
      <c r="L143" s="58"/>
      <c r="M143" s="55"/>
    </row>
    <row x14ac:dyDescent="0.25" r="144" customHeight="1" ht="17.25">
      <c r="A144" s="1"/>
      <c r="B144" s="60" t="s">
        <v>154</v>
      </c>
      <c r="C144" s="62">
        <v>420</v>
      </c>
      <c r="D144" s="55"/>
      <c r="E144" s="67" t="s">
        <v>171</v>
      </c>
      <c r="F144" s="68">
        <f>C144</f>
      </c>
      <c r="G144" s="69">
        <f>F144/GETPIVOTDATA("Sexo",$B$141)</f>
      </c>
      <c r="H144" s="54"/>
      <c r="I144" s="57"/>
      <c r="J144" s="58"/>
      <c r="K144" s="57"/>
      <c r="L144" s="58"/>
      <c r="M144" s="55"/>
    </row>
    <row x14ac:dyDescent="0.25" r="145" customHeight="1" ht="17.25">
      <c r="A145" s="1"/>
      <c r="B145" s="60"/>
      <c r="C145" s="55"/>
      <c r="D145" s="55"/>
      <c r="E145" s="55"/>
      <c r="F145" s="55"/>
      <c r="G145" s="66"/>
      <c r="H145" s="54"/>
      <c r="I145" s="57"/>
      <c r="J145" s="58"/>
      <c r="K145" s="57"/>
      <c r="L145" s="58"/>
      <c r="M145" s="55"/>
    </row>
    <row x14ac:dyDescent="0.25" r="146" customHeight="1" ht="17.25">
      <c r="A146" s="1"/>
      <c r="B146" s="54" t="s">
        <v>74</v>
      </c>
      <c r="C146" s="55" t="s">
        <v>172</v>
      </c>
      <c r="D146" s="55"/>
      <c r="E146" s="63" t="s">
        <v>173</v>
      </c>
      <c r="F146" s="64" t="s">
        <v>169</v>
      </c>
      <c r="G146" s="65" t="s">
        <v>23</v>
      </c>
      <c r="H146" s="54"/>
      <c r="I146" s="57"/>
      <c r="J146" s="58"/>
      <c r="K146" s="57"/>
      <c r="L146" s="58"/>
      <c r="M146" s="55"/>
    </row>
    <row x14ac:dyDescent="0.25" r="147" customHeight="1" ht="17.25">
      <c r="A147" s="1"/>
      <c r="B147" s="60" t="s">
        <v>170</v>
      </c>
      <c r="C147" s="62">
        <v>213</v>
      </c>
      <c r="D147" s="55"/>
      <c r="E147" s="55">
        <f>B147</f>
      </c>
      <c r="F147" s="62">
        <f>C147</f>
      </c>
      <c r="G147" s="66">
        <f>F147/GETPIVOTDATA("Sexo",$B$141)</f>
      </c>
      <c r="H147" s="54"/>
      <c r="I147" s="57"/>
      <c r="J147" s="58"/>
      <c r="K147" s="57"/>
      <c r="L147" s="58"/>
      <c r="M147" s="55"/>
    </row>
    <row x14ac:dyDescent="0.25" r="148" customHeight="1" ht="17.25">
      <c r="A148" s="1"/>
      <c r="B148" s="60" t="s">
        <v>22</v>
      </c>
      <c r="C148" s="62">
        <v>207</v>
      </c>
      <c r="D148" s="55"/>
      <c r="E148" s="55">
        <f>B148</f>
      </c>
      <c r="F148" s="62">
        <f>C148</f>
      </c>
      <c r="G148" s="66">
        <f>F148/GETPIVOTDATA("Sexo",$B$141)</f>
      </c>
      <c r="H148" s="54"/>
      <c r="I148" s="57"/>
      <c r="J148" s="58"/>
      <c r="K148" s="57"/>
      <c r="L148" s="58"/>
      <c r="M148" s="55"/>
    </row>
    <row x14ac:dyDescent="0.25" r="149" customHeight="1" ht="17.25">
      <c r="A149" s="1"/>
      <c r="B149" s="60" t="s">
        <v>154</v>
      </c>
      <c r="C149" s="62">
        <v>420</v>
      </c>
      <c r="D149" s="55"/>
      <c r="E149" s="67" t="s">
        <v>171</v>
      </c>
      <c r="F149" s="68">
        <f>C149</f>
      </c>
      <c r="G149" s="69">
        <f>F149/GETPIVOTDATA("Sexo",$B$141)</f>
      </c>
      <c r="H149" s="54"/>
      <c r="I149" s="57"/>
      <c r="J149" s="58"/>
      <c r="K149" s="57"/>
      <c r="L149" s="58"/>
      <c r="M149" s="55"/>
    </row>
    <row x14ac:dyDescent="0.25" r="150" customHeight="1" ht="17.25">
      <c r="A150" s="1"/>
      <c r="B150" s="54"/>
      <c r="C150" s="55"/>
      <c r="D150" s="55"/>
      <c r="E150" s="55"/>
      <c r="F150" s="55"/>
      <c r="G150" s="56"/>
      <c r="H150" s="54"/>
      <c r="I150" s="57"/>
      <c r="J150" s="58"/>
      <c r="K150" s="57"/>
      <c r="L150" s="58"/>
      <c r="M150" s="55"/>
    </row>
    <row x14ac:dyDescent="0.25" r="151" customHeight="1" ht="17.25">
      <c r="A151" s="1"/>
      <c r="B151" s="54" t="s">
        <v>74</v>
      </c>
      <c r="C151" s="55" t="s">
        <v>174</v>
      </c>
      <c r="D151" s="55"/>
      <c r="E151" s="63" t="s">
        <v>3</v>
      </c>
      <c r="F151" s="64" t="s">
        <v>169</v>
      </c>
      <c r="G151" s="65" t="s">
        <v>23</v>
      </c>
      <c r="H151" s="54"/>
      <c r="I151" s="57"/>
      <c r="J151" s="58"/>
      <c r="K151" s="57"/>
      <c r="L151" s="58"/>
      <c r="M151" s="55"/>
    </row>
    <row x14ac:dyDescent="0.25" r="152" customHeight="1" ht="17.25">
      <c r="A152" s="1"/>
      <c r="B152" s="60" t="s">
        <v>175</v>
      </c>
      <c r="C152" s="62">
        <v>215</v>
      </c>
      <c r="D152" s="55"/>
      <c r="E152" s="55">
        <f>B152</f>
      </c>
      <c r="F152" s="62">
        <f>C152</f>
      </c>
      <c r="G152" s="66">
        <f>F152/GETPIVOTDATA("Sexo",$B$141)</f>
      </c>
      <c r="H152" s="54"/>
      <c r="I152" s="57"/>
      <c r="J152" s="58"/>
      <c r="K152" s="57"/>
      <c r="L152" s="58"/>
      <c r="M152" s="55"/>
    </row>
    <row x14ac:dyDescent="0.25" r="153" customHeight="1" ht="17.25">
      <c r="A153" s="1"/>
      <c r="B153" s="60" t="s">
        <v>176</v>
      </c>
      <c r="C153" s="62">
        <v>138</v>
      </c>
      <c r="D153" s="55"/>
      <c r="E153" s="55">
        <f>B153</f>
      </c>
      <c r="F153" s="62">
        <f>C153</f>
      </c>
      <c r="G153" s="66">
        <f>F153/GETPIVOTDATA("Sexo",$B$141)</f>
      </c>
      <c r="H153" s="54"/>
      <c r="I153" s="57"/>
      <c r="J153" s="58"/>
      <c r="K153" s="57"/>
      <c r="L153" s="58"/>
      <c r="M153" s="55"/>
    </row>
    <row x14ac:dyDescent="0.25" r="154" customHeight="1" ht="17.25">
      <c r="A154" s="1"/>
      <c r="B154" s="60" t="s">
        <v>177</v>
      </c>
      <c r="C154" s="62">
        <v>62</v>
      </c>
      <c r="D154" s="55"/>
      <c r="E154" s="55">
        <f>B154</f>
      </c>
      <c r="F154" s="62">
        <f>C154</f>
      </c>
      <c r="G154" s="66">
        <f>F154/GETPIVOTDATA("Sexo",$B$141)</f>
      </c>
      <c r="H154" s="54"/>
      <c r="I154" s="57"/>
      <c r="J154" s="58"/>
      <c r="K154" s="57"/>
      <c r="L154" s="58"/>
      <c r="M154" s="55"/>
    </row>
    <row x14ac:dyDescent="0.25" r="155" customHeight="1" ht="17.25">
      <c r="A155" s="1"/>
      <c r="B155" s="60" t="s">
        <v>178</v>
      </c>
      <c r="C155" s="62">
        <v>3</v>
      </c>
      <c r="D155" s="55"/>
      <c r="E155" s="55">
        <f>B155</f>
      </c>
      <c r="F155" s="62">
        <f>C155</f>
      </c>
      <c r="G155" s="66">
        <f>F155/GETPIVOTDATA("Sexo",$B$141)</f>
      </c>
      <c r="H155" s="54"/>
      <c r="I155" s="57"/>
      <c r="J155" s="58"/>
      <c r="K155" s="57"/>
      <c r="L155" s="58"/>
      <c r="M155" s="55"/>
    </row>
    <row x14ac:dyDescent="0.25" r="156" customHeight="1" ht="17.25">
      <c r="A156" s="1"/>
      <c r="B156" s="60" t="s">
        <v>179</v>
      </c>
      <c r="C156" s="62">
        <v>2</v>
      </c>
      <c r="D156" s="55"/>
      <c r="E156" s="55">
        <f>B156</f>
      </c>
      <c r="F156" s="62">
        <f>C156</f>
      </c>
      <c r="G156" s="66">
        <f>F156/GETPIVOTDATA("Sexo",$B$141)</f>
      </c>
      <c r="H156" s="54"/>
      <c r="I156" s="57"/>
      <c r="J156" s="58"/>
      <c r="K156" s="57"/>
      <c r="L156" s="58"/>
      <c r="M156" s="55"/>
    </row>
    <row x14ac:dyDescent="0.25" r="157" customHeight="1" ht="17.25">
      <c r="A157" s="1"/>
      <c r="B157" s="60" t="s">
        <v>154</v>
      </c>
      <c r="C157" s="62">
        <v>420</v>
      </c>
      <c r="D157" s="55"/>
      <c r="E157" s="67" t="s">
        <v>171</v>
      </c>
      <c r="F157" s="68">
        <f>C157</f>
      </c>
      <c r="G157" s="69">
        <f>F157/GETPIVOTDATA("Sexo",$B$141)</f>
      </c>
      <c r="H157" s="54"/>
      <c r="I157" s="57"/>
      <c r="J157" s="58"/>
      <c r="K157" s="57"/>
      <c r="L157" s="58"/>
      <c r="M157" s="55"/>
    </row>
    <row x14ac:dyDescent="0.25" r="158" customHeight="1" ht="17.25">
      <c r="A158" s="1"/>
      <c r="B158" s="60"/>
      <c r="C158" s="55"/>
      <c r="D158" s="55"/>
      <c r="E158" s="55"/>
      <c r="F158" s="55"/>
      <c r="G158" s="66"/>
      <c r="H158" s="54"/>
      <c r="I158" s="57"/>
      <c r="J158" s="58"/>
      <c r="K158" s="57"/>
      <c r="L158" s="58"/>
      <c r="M158" s="55"/>
    </row>
    <row x14ac:dyDescent="0.25" r="159" customHeight="1" ht="17.25">
      <c r="A159" s="1"/>
      <c r="B159" s="54" t="s">
        <v>74</v>
      </c>
      <c r="C159" s="55" t="s">
        <v>180</v>
      </c>
      <c r="D159" s="55"/>
      <c r="E159" s="63" t="s">
        <v>181</v>
      </c>
      <c r="F159" s="64" t="s">
        <v>169</v>
      </c>
      <c r="G159" s="65" t="s">
        <v>23</v>
      </c>
      <c r="H159" s="54"/>
      <c r="I159" s="57"/>
      <c r="J159" s="58"/>
      <c r="K159" s="57"/>
      <c r="L159" s="58"/>
      <c r="M159" s="55"/>
    </row>
    <row x14ac:dyDescent="0.25" r="160" customHeight="1" ht="17.25">
      <c r="A160" s="1"/>
      <c r="B160" s="60" t="s">
        <v>182</v>
      </c>
      <c r="C160" s="62">
        <v>140</v>
      </c>
      <c r="D160" s="55"/>
      <c r="E160" s="55">
        <f>B160</f>
      </c>
      <c r="F160" s="62">
        <f>C160</f>
      </c>
      <c r="G160" s="66">
        <f>F160/GETPIVOTDATA("Sexo",$B$141)</f>
      </c>
      <c r="H160" s="54"/>
      <c r="I160" s="57"/>
      <c r="J160" s="58"/>
      <c r="K160" s="57"/>
      <c r="L160" s="58"/>
      <c r="M160" s="55"/>
    </row>
    <row x14ac:dyDescent="0.25" r="161" customHeight="1" ht="17.25">
      <c r="A161" s="1"/>
      <c r="B161" s="60" t="s">
        <v>24</v>
      </c>
      <c r="C161" s="62">
        <v>280</v>
      </c>
      <c r="D161" s="55"/>
      <c r="E161" s="55">
        <f>B161</f>
      </c>
      <c r="F161" s="62">
        <f>C161</f>
      </c>
      <c r="G161" s="66">
        <f>F161/GETPIVOTDATA("Sexo",$B$141)</f>
      </c>
      <c r="H161" s="54"/>
      <c r="I161" s="57"/>
      <c r="J161" s="58"/>
      <c r="K161" s="57"/>
      <c r="L161" s="58"/>
      <c r="M161" s="55"/>
    </row>
    <row x14ac:dyDescent="0.25" r="162" customHeight="1" ht="17.25">
      <c r="A162" s="1"/>
      <c r="B162" s="60" t="s">
        <v>154</v>
      </c>
      <c r="C162" s="62">
        <v>420</v>
      </c>
      <c r="D162" s="55"/>
      <c r="E162" s="67" t="s">
        <v>171</v>
      </c>
      <c r="F162" s="68">
        <f>C162</f>
      </c>
      <c r="G162" s="69">
        <f>F162/GETPIVOTDATA("Sexo",$B$141)</f>
      </c>
      <c r="H162" s="54"/>
      <c r="I162" s="57"/>
      <c r="J162" s="58"/>
      <c r="K162" s="57"/>
      <c r="L162" s="58"/>
      <c r="M162" s="55"/>
    </row>
    <row x14ac:dyDescent="0.25" r="163" customHeight="1" ht="17.25">
      <c r="A163" s="1"/>
      <c r="B163" s="54"/>
      <c r="C163" s="55"/>
      <c r="D163" s="55"/>
      <c r="E163" s="55"/>
      <c r="F163" s="55"/>
      <c r="G163" s="66"/>
      <c r="H163" s="54"/>
      <c r="I163" s="57"/>
      <c r="J163" s="58"/>
      <c r="K163" s="57"/>
      <c r="L163" s="58"/>
      <c r="M163" s="55"/>
    </row>
    <row x14ac:dyDescent="0.25" r="164" customHeight="1" ht="17.25">
      <c r="A164" s="1"/>
      <c r="B164" s="54"/>
      <c r="C164" s="55"/>
      <c r="D164" s="55"/>
      <c r="E164" s="55"/>
      <c r="F164" s="55"/>
      <c r="G164" s="66"/>
      <c r="H164" s="54"/>
      <c r="I164" s="57"/>
      <c r="J164" s="58"/>
      <c r="K164" s="57"/>
      <c r="L164" s="58"/>
      <c r="M164" s="55"/>
    </row>
    <row x14ac:dyDescent="0.25" r="165" customHeight="1" ht="17.25">
      <c r="A165" s="1"/>
      <c r="B165" s="54" t="s">
        <v>183</v>
      </c>
      <c r="C165" s="55" t="s">
        <v>184</v>
      </c>
      <c r="D165" s="55" t="s">
        <v>185</v>
      </c>
      <c r="E165" s="55" t="s">
        <v>186</v>
      </c>
      <c r="F165" s="55" t="s">
        <v>187</v>
      </c>
      <c r="G165" s="66"/>
      <c r="H165" s="70" t="s">
        <v>188</v>
      </c>
      <c r="I165" s="70" t="s">
        <v>189</v>
      </c>
      <c r="J165" s="69" t="s">
        <v>190</v>
      </c>
      <c r="K165" s="70" t="s">
        <v>191</v>
      </c>
      <c r="L165" s="69" t="s">
        <v>192</v>
      </c>
      <c r="M165" s="67" t="s">
        <v>193</v>
      </c>
    </row>
    <row x14ac:dyDescent="0.25" r="166" customHeight="1" ht="17.25">
      <c r="A166" s="1"/>
      <c r="B166" s="62">
        <v>419</v>
      </c>
      <c r="C166" s="71">
        <v>27.102625298329354</v>
      </c>
      <c r="D166" s="62">
        <v>18</v>
      </c>
      <c r="E166" s="62">
        <v>59</v>
      </c>
      <c r="F166" s="71">
        <v>7.726885132889611</v>
      </c>
      <c r="G166" s="66"/>
      <c r="H166" s="70" t="s">
        <v>194</v>
      </c>
      <c r="I166" s="68">
        <f>B166</f>
      </c>
      <c r="J166" s="72">
        <f>C166</f>
      </c>
      <c r="K166" s="68">
        <f>D166</f>
      </c>
      <c r="L166" s="68">
        <f>E166</f>
      </c>
      <c r="M166" s="73">
        <f>F166</f>
      </c>
    </row>
    <row x14ac:dyDescent="0.25" r="167" customHeight="1" ht="17.25">
      <c r="A167" s="1"/>
      <c r="B167" s="54"/>
      <c r="C167" s="55"/>
      <c r="D167" s="55"/>
      <c r="E167" s="55"/>
      <c r="F167" s="55"/>
      <c r="G167" s="66"/>
      <c r="H167" s="54"/>
      <c r="I167" s="57"/>
      <c r="J167" s="58"/>
      <c r="K167" s="57"/>
      <c r="L167" s="58"/>
      <c r="M167" s="55"/>
    </row>
    <row x14ac:dyDescent="0.25" r="168" customHeight="1" ht="17.25">
      <c r="A168" s="1"/>
      <c r="B168" s="54"/>
      <c r="C168" s="55"/>
      <c r="D168" s="55"/>
      <c r="E168" s="55"/>
      <c r="F168" s="55"/>
      <c r="G168" s="56"/>
      <c r="H168" s="54"/>
      <c r="I168" s="57"/>
      <c r="J168" s="58"/>
      <c r="K168" s="57"/>
      <c r="L168" s="58"/>
      <c r="M168" s="55"/>
    </row>
    <row x14ac:dyDescent="0.25" r="169" customHeight="1" ht="17.25">
      <c r="A169" s="1"/>
      <c r="B169" s="54" t="s">
        <v>74</v>
      </c>
      <c r="C169" s="55" t="s">
        <v>195</v>
      </c>
      <c r="D169" s="55"/>
      <c r="E169" s="63" t="s">
        <v>196</v>
      </c>
      <c r="F169" s="64" t="s">
        <v>169</v>
      </c>
      <c r="G169" s="65" t="s">
        <v>23</v>
      </c>
      <c r="H169" s="54"/>
      <c r="I169" s="57"/>
      <c r="J169" s="58"/>
      <c r="K169" s="57"/>
      <c r="L169" s="58"/>
      <c r="M169" s="55"/>
    </row>
    <row x14ac:dyDescent="0.25" r="170" customHeight="1" ht="17.25">
      <c r="A170" s="1"/>
      <c r="B170" s="60" t="s">
        <v>197</v>
      </c>
      <c r="C170" s="62">
        <v>284</v>
      </c>
      <c r="D170" s="55"/>
      <c r="E170" s="55">
        <f>B170</f>
      </c>
      <c r="F170" s="62">
        <f>C170</f>
      </c>
      <c r="G170" s="66">
        <f>F170/GETPIVOTDATA("Sexo",$B$141)</f>
      </c>
      <c r="H170" s="54"/>
      <c r="I170" s="57"/>
      <c r="J170" s="58"/>
      <c r="K170" s="57"/>
      <c r="L170" s="58"/>
      <c r="M170" s="55"/>
    </row>
    <row x14ac:dyDescent="0.25" r="171" customHeight="1" ht="17.25">
      <c r="A171" s="1"/>
      <c r="B171" s="60" t="s">
        <v>198</v>
      </c>
      <c r="C171" s="62">
        <v>73</v>
      </c>
      <c r="D171" s="55"/>
      <c r="E171" s="55">
        <f>B171</f>
      </c>
      <c r="F171" s="62">
        <f>C171</f>
      </c>
      <c r="G171" s="66">
        <f>F171/GETPIVOTDATA("Sexo",$B$141)</f>
      </c>
      <c r="H171" s="54"/>
      <c r="I171" s="57"/>
      <c r="J171" s="58"/>
      <c r="K171" s="57"/>
      <c r="L171" s="58"/>
      <c r="M171" s="55"/>
    </row>
    <row x14ac:dyDescent="0.25" r="172" customHeight="1" ht="17.25">
      <c r="A172" s="1"/>
      <c r="B172" s="60" t="s">
        <v>199</v>
      </c>
      <c r="C172" s="62">
        <v>35</v>
      </c>
      <c r="D172" s="55"/>
      <c r="E172" s="55">
        <f>B172</f>
      </c>
      <c r="F172" s="62">
        <f>C172</f>
      </c>
      <c r="G172" s="66">
        <f>F172/GETPIVOTDATA("Sexo",$B$141)</f>
      </c>
      <c r="H172" s="54"/>
      <c r="I172" s="57"/>
      <c r="J172" s="58"/>
      <c r="K172" s="57"/>
      <c r="L172" s="58"/>
      <c r="M172" s="55"/>
    </row>
    <row x14ac:dyDescent="0.25" r="173" customHeight="1" ht="17.25">
      <c r="A173" s="1"/>
      <c r="B173" s="60" t="s">
        <v>200</v>
      </c>
      <c r="C173" s="62">
        <v>28</v>
      </c>
      <c r="D173" s="55"/>
      <c r="E173" s="55">
        <f>B173</f>
      </c>
      <c r="F173" s="62">
        <f>C173</f>
      </c>
      <c r="G173" s="66">
        <f>F173/GETPIVOTDATA("Sexo",$B$141)</f>
      </c>
      <c r="H173" s="54"/>
      <c r="I173" s="57"/>
      <c r="J173" s="58"/>
      <c r="K173" s="57"/>
      <c r="L173" s="58"/>
      <c r="M173" s="55"/>
    </row>
    <row x14ac:dyDescent="0.25" r="174" customHeight="1" ht="17.25">
      <c r="A174" s="1"/>
      <c r="B174" s="60" t="s">
        <v>154</v>
      </c>
      <c r="C174" s="62">
        <v>420</v>
      </c>
      <c r="D174" s="55"/>
      <c r="E174" s="67" t="s">
        <v>171</v>
      </c>
      <c r="F174" s="68">
        <f>C174</f>
      </c>
      <c r="G174" s="69">
        <f>F174/GETPIVOTDATA("Sexo",$B$141)</f>
      </c>
      <c r="H174" s="54"/>
      <c r="I174" s="57"/>
      <c r="J174" s="58"/>
      <c r="K174" s="57"/>
      <c r="L174" s="58"/>
      <c r="M174" s="55"/>
    </row>
    <row x14ac:dyDescent="0.25" r="175" customHeight="1" ht="17.25">
      <c r="A175" s="1"/>
      <c r="B175" s="54"/>
      <c r="C175" s="55"/>
      <c r="D175" s="55"/>
      <c r="E175" s="55"/>
      <c r="F175" s="55"/>
      <c r="G175" s="56"/>
      <c r="H175" s="54"/>
      <c r="I175" s="57"/>
      <c r="J175" s="58"/>
      <c r="K175" s="57"/>
      <c r="L175" s="58"/>
      <c r="M175" s="55"/>
    </row>
    <row x14ac:dyDescent="0.25" r="176" customHeight="1" ht="17.25">
      <c r="A176" s="1"/>
      <c r="B176" s="54" t="s">
        <v>74</v>
      </c>
      <c r="C176" s="55" t="s">
        <v>201</v>
      </c>
      <c r="D176" s="55"/>
      <c r="E176" s="63" t="s">
        <v>202</v>
      </c>
      <c r="F176" s="64" t="s">
        <v>169</v>
      </c>
      <c r="G176" s="65" t="s">
        <v>23</v>
      </c>
      <c r="H176" s="54"/>
      <c r="I176" s="57"/>
      <c r="J176" s="58"/>
      <c r="K176" s="57"/>
      <c r="L176" s="58"/>
      <c r="M176" s="55"/>
    </row>
    <row x14ac:dyDescent="0.25" r="177" customHeight="1" ht="17.25">
      <c r="A177" s="1"/>
      <c r="B177" s="60" t="s">
        <v>27</v>
      </c>
      <c r="C177" s="62">
        <v>357</v>
      </c>
      <c r="D177" s="55"/>
      <c r="E177" s="55">
        <f>B177</f>
      </c>
      <c r="F177" s="62">
        <f>C177</f>
      </c>
      <c r="G177" s="66">
        <f>F177/GETPIVOTDATA("Sexo",$B$141)</f>
      </c>
      <c r="H177" s="54"/>
      <c r="I177" s="57"/>
      <c r="J177" s="58"/>
      <c r="K177" s="57"/>
      <c r="L177" s="58"/>
      <c r="M177" s="55"/>
    </row>
    <row x14ac:dyDescent="0.25" r="178" customHeight="1" ht="17.25">
      <c r="A178" s="1"/>
      <c r="B178" s="60" t="s">
        <v>203</v>
      </c>
      <c r="C178" s="62">
        <v>63</v>
      </c>
      <c r="D178" s="55"/>
      <c r="E178" s="55">
        <f>B178</f>
      </c>
      <c r="F178" s="62">
        <f>C178</f>
      </c>
      <c r="G178" s="66">
        <f>F178/GETPIVOTDATA("Sexo",$B$141)</f>
      </c>
      <c r="H178" s="54"/>
      <c r="I178" s="57"/>
      <c r="J178" s="58"/>
      <c r="K178" s="57"/>
      <c r="L178" s="58"/>
      <c r="M178" s="55"/>
    </row>
    <row x14ac:dyDescent="0.25" r="179" customHeight="1" ht="17.25">
      <c r="A179" s="1"/>
      <c r="B179" s="60" t="s">
        <v>154</v>
      </c>
      <c r="C179" s="62">
        <v>420</v>
      </c>
      <c r="D179" s="55"/>
      <c r="E179" s="67" t="s">
        <v>171</v>
      </c>
      <c r="F179" s="68">
        <f>C179</f>
      </c>
      <c r="G179" s="69">
        <f>F179/GETPIVOTDATA("Sexo",$B$141)</f>
      </c>
      <c r="H179" s="54"/>
      <c r="I179" s="57"/>
      <c r="J179" s="58"/>
      <c r="K179" s="57"/>
      <c r="L179" s="58"/>
      <c r="M179" s="55"/>
    </row>
    <row x14ac:dyDescent="0.25" r="180" customHeight="1" ht="17.25">
      <c r="A180" s="1"/>
      <c r="B180" s="54"/>
      <c r="C180" s="55"/>
      <c r="D180" s="55"/>
      <c r="E180" s="55"/>
      <c r="F180" s="55"/>
      <c r="G180" s="56"/>
      <c r="H180" s="54"/>
      <c r="I180" s="57"/>
      <c r="J180" s="58"/>
      <c r="K180" s="57"/>
      <c r="L180" s="58"/>
      <c r="M180" s="55"/>
    </row>
    <row x14ac:dyDescent="0.25" r="181" customHeight="1" ht="17.25">
      <c r="A181" s="1"/>
      <c r="B181" s="54"/>
      <c r="C181" s="55"/>
      <c r="D181" s="55"/>
      <c r="E181" s="55"/>
      <c r="F181" s="55"/>
      <c r="G181" s="56"/>
      <c r="H181" s="54"/>
      <c r="I181" s="57"/>
      <c r="J181" s="58"/>
      <c r="K181" s="57"/>
      <c r="L181" s="58"/>
      <c r="M181" s="55"/>
    </row>
    <row x14ac:dyDescent="0.25" r="182" customHeight="1" ht="17.25">
      <c r="A182" s="1"/>
      <c r="B182" s="54" t="s">
        <v>74</v>
      </c>
      <c r="C182" s="55" t="s">
        <v>204</v>
      </c>
      <c r="D182" s="55"/>
      <c r="E182" s="63" t="s">
        <v>205</v>
      </c>
      <c r="F182" s="64" t="s">
        <v>169</v>
      </c>
      <c r="G182" s="65" t="s">
        <v>23</v>
      </c>
      <c r="H182" s="54"/>
      <c r="I182" s="57"/>
      <c r="J182" s="58"/>
      <c r="K182" s="57"/>
      <c r="L182" s="58"/>
      <c r="M182" s="55"/>
    </row>
    <row x14ac:dyDescent="0.25" r="183" customHeight="1" ht="17.25">
      <c r="A183" s="1"/>
      <c r="B183" s="60" t="s">
        <v>206</v>
      </c>
      <c r="C183" s="62">
        <v>262</v>
      </c>
      <c r="D183" s="55"/>
      <c r="E183" s="55">
        <f>B183</f>
      </c>
      <c r="F183" s="62">
        <f>C183</f>
      </c>
      <c r="G183" s="66">
        <f>F183/GETPIVOTDATA("Sexo",$B$141)</f>
      </c>
      <c r="H183" s="54"/>
      <c r="I183" s="57"/>
      <c r="J183" s="58"/>
      <c r="K183" s="57"/>
      <c r="L183" s="58"/>
      <c r="M183" s="55"/>
    </row>
    <row x14ac:dyDescent="0.25" r="184" customHeight="1" ht="17.25">
      <c r="A184" s="1"/>
      <c r="B184" s="60" t="s">
        <v>207</v>
      </c>
      <c r="C184" s="62">
        <v>95</v>
      </c>
      <c r="D184" s="55"/>
      <c r="E184" s="55">
        <f>B184</f>
      </c>
      <c r="F184" s="62">
        <f>C184</f>
      </c>
      <c r="G184" s="66">
        <f>F184/GETPIVOTDATA("Sexo",$B$141)</f>
      </c>
      <c r="H184" s="54"/>
      <c r="I184" s="57"/>
      <c r="J184" s="58"/>
      <c r="K184" s="57"/>
      <c r="L184" s="58"/>
      <c r="M184" s="55"/>
    </row>
    <row x14ac:dyDescent="0.25" r="185" customHeight="1" ht="17.25">
      <c r="A185" s="1"/>
      <c r="B185" s="60" t="s">
        <v>208</v>
      </c>
      <c r="C185" s="62">
        <v>63</v>
      </c>
      <c r="D185" s="55"/>
      <c r="E185" s="55">
        <f>B185</f>
      </c>
      <c r="F185" s="62">
        <f>C185</f>
      </c>
      <c r="G185" s="66">
        <f>F185/GETPIVOTDATA("Sexo",$B$141)</f>
      </c>
      <c r="H185" s="54"/>
      <c r="I185" s="57"/>
      <c r="J185" s="58"/>
      <c r="K185" s="57"/>
      <c r="L185" s="58"/>
      <c r="M185" s="55"/>
    </row>
    <row x14ac:dyDescent="0.25" r="186" customHeight="1" ht="17.25">
      <c r="A186" s="1"/>
      <c r="B186" s="60" t="s">
        <v>154</v>
      </c>
      <c r="C186" s="62">
        <v>420</v>
      </c>
      <c r="D186" s="55"/>
      <c r="E186" s="67" t="s">
        <v>171</v>
      </c>
      <c r="F186" s="68">
        <f>C186</f>
      </c>
      <c r="G186" s="69">
        <f>F186/GETPIVOTDATA("Sexo",$B$141)</f>
      </c>
      <c r="H186" s="54"/>
      <c r="I186" s="57"/>
      <c r="J186" s="58"/>
      <c r="K186" s="57"/>
      <c r="L186" s="58"/>
      <c r="M186" s="55"/>
    </row>
    <row x14ac:dyDescent="0.25" r="187" customHeight="1" ht="17.25">
      <c r="A187" s="1"/>
      <c r="B187" s="54"/>
      <c r="C187" s="55"/>
      <c r="D187" s="55"/>
      <c r="E187" s="55"/>
      <c r="F187" s="55"/>
      <c r="G187" s="56"/>
      <c r="H187" s="54"/>
      <c r="I187" s="57"/>
      <c r="J187" s="58"/>
      <c r="K187" s="57"/>
      <c r="L187" s="58"/>
      <c r="M187" s="55"/>
    </row>
    <row x14ac:dyDescent="0.25" r="188" customHeight="1" ht="17.25">
      <c r="A188" s="1"/>
      <c r="B188" s="54" t="s">
        <v>74</v>
      </c>
      <c r="C188" s="55" t="s">
        <v>209</v>
      </c>
      <c r="D188" s="55"/>
      <c r="E188" s="63" t="s">
        <v>210</v>
      </c>
      <c r="F188" s="64" t="s">
        <v>169</v>
      </c>
      <c r="G188" s="65" t="s">
        <v>23</v>
      </c>
      <c r="H188" s="54"/>
      <c r="I188" s="57"/>
      <c r="J188" s="58"/>
      <c r="K188" s="57"/>
      <c r="L188" s="58"/>
      <c r="M188" s="55"/>
    </row>
    <row x14ac:dyDescent="0.25" r="189" customHeight="1" ht="17.25">
      <c r="A189" s="1"/>
      <c r="B189" s="60" t="s">
        <v>35</v>
      </c>
      <c r="C189" s="62">
        <v>95</v>
      </c>
      <c r="D189" s="55"/>
      <c r="E189" s="55">
        <f>B189</f>
      </c>
      <c r="F189" s="62">
        <f>C189</f>
      </c>
      <c r="G189" s="66">
        <f>F189/GETPIVOTDATA("Sexo",$B$141)</f>
      </c>
      <c r="H189" s="54"/>
      <c r="I189" s="57"/>
      <c r="J189" s="58"/>
      <c r="K189" s="57"/>
      <c r="L189" s="58"/>
      <c r="M189" s="55"/>
    </row>
    <row x14ac:dyDescent="0.25" r="190" customHeight="1" ht="17.25">
      <c r="A190" s="1"/>
      <c r="B190" s="60" t="s">
        <v>154</v>
      </c>
      <c r="C190" s="62">
        <v>95</v>
      </c>
      <c r="D190" s="55"/>
      <c r="E190" s="55">
        <f>B190</f>
      </c>
      <c r="F190" s="62">
        <f>C190</f>
      </c>
      <c r="G190" s="66">
        <f>F190/GETPIVOTDATA("Sexo",$B$141)</f>
      </c>
      <c r="H190" s="54"/>
      <c r="I190" s="57"/>
      <c r="J190" s="58"/>
      <c r="K190" s="57"/>
      <c r="L190" s="58"/>
      <c r="M190" s="55"/>
    </row>
    <row x14ac:dyDescent="0.25" r="191" customHeight="1" ht="17.25">
      <c r="A191" s="1"/>
      <c r="B191" s="54"/>
      <c r="C191" s="55"/>
      <c r="D191" s="55"/>
      <c r="E191" s="67" t="s">
        <v>171</v>
      </c>
      <c r="F191" s="68">
        <f>C191</f>
      </c>
      <c r="G191" s="69">
        <f>F191/GETPIVOTDATA("Sexo",$B$141)</f>
      </c>
      <c r="H191" s="54"/>
      <c r="I191" s="57"/>
      <c r="J191" s="58"/>
      <c r="K191" s="57"/>
      <c r="L191" s="58"/>
      <c r="M191" s="55"/>
    </row>
    <row x14ac:dyDescent="0.25" r="192" customHeight="1" ht="17.25">
      <c r="A192" s="1"/>
      <c r="B192" s="54"/>
      <c r="C192" s="55"/>
      <c r="D192" s="55"/>
      <c r="E192" s="55"/>
      <c r="F192" s="55"/>
      <c r="G192" s="56"/>
      <c r="H192" s="54"/>
      <c r="I192" s="57"/>
      <c r="J192" s="58"/>
      <c r="K192" s="57"/>
      <c r="L192" s="58"/>
      <c r="M192" s="55"/>
    </row>
    <row x14ac:dyDescent="0.25" r="193" customHeight="1" ht="17.25">
      <c r="A193" s="1"/>
      <c r="B193" s="54" t="s">
        <v>74</v>
      </c>
      <c r="C193" s="55" t="s">
        <v>211</v>
      </c>
      <c r="D193" s="55"/>
      <c r="E193" s="55"/>
      <c r="F193" s="55"/>
      <c r="G193" s="56"/>
      <c r="H193" s="54"/>
      <c r="I193" s="57"/>
      <c r="J193" s="58"/>
      <c r="K193" s="57"/>
      <c r="L193" s="58"/>
      <c r="M193" s="55"/>
    </row>
    <row x14ac:dyDescent="0.25" r="194" customHeight="1" ht="17.25">
      <c r="A194" s="1"/>
      <c r="B194" s="60" t="s">
        <v>206</v>
      </c>
      <c r="C194" s="62">
        <v>307</v>
      </c>
      <c r="D194" s="55"/>
      <c r="E194" s="55"/>
      <c r="F194" s="55"/>
      <c r="G194" s="56"/>
      <c r="H194" s="54"/>
      <c r="I194" s="57"/>
      <c r="J194" s="58"/>
      <c r="K194" s="57"/>
      <c r="L194" s="58"/>
      <c r="M194" s="55"/>
    </row>
    <row x14ac:dyDescent="0.25" r="195" customHeight="1" ht="17.25">
      <c r="A195" s="1"/>
      <c r="B195" s="60" t="s">
        <v>208</v>
      </c>
      <c r="C195" s="62">
        <v>63</v>
      </c>
      <c r="D195" s="55"/>
      <c r="E195" s="55"/>
      <c r="F195" s="55"/>
      <c r="G195" s="56"/>
      <c r="H195" s="54"/>
      <c r="I195" s="57"/>
      <c r="J195" s="58"/>
      <c r="K195" s="57"/>
      <c r="L195" s="58"/>
      <c r="M195" s="55"/>
    </row>
    <row x14ac:dyDescent="0.25" r="196" customHeight="1" ht="17.25">
      <c r="A196" s="1"/>
      <c r="B196" s="60" t="s">
        <v>28</v>
      </c>
      <c r="C196" s="62">
        <v>33</v>
      </c>
      <c r="D196" s="55"/>
      <c r="E196" s="55"/>
      <c r="F196" s="55"/>
      <c r="G196" s="56"/>
      <c r="H196" s="54"/>
      <c r="I196" s="57"/>
      <c r="J196" s="58"/>
      <c r="K196" s="57"/>
      <c r="L196" s="58"/>
      <c r="M196" s="55"/>
    </row>
    <row x14ac:dyDescent="0.25" r="197" customHeight="1" ht="17.25">
      <c r="A197" s="1"/>
      <c r="B197" s="60" t="s">
        <v>29</v>
      </c>
      <c r="C197" s="62">
        <v>9</v>
      </c>
      <c r="D197" s="55"/>
      <c r="E197" s="55"/>
      <c r="F197" s="55"/>
      <c r="G197" s="56"/>
      <c r="H197" s="54"/>
      <c r="I197" s="57"/>
      <c r="J197" s="58"/>
      <c r="K197" s="57"/>
      <c r="L197" s="58"/>
      <c r="M197" s="55"/>
    </row>
    <row x14ac:dyDescent="0.25" r="198" customHeight="1" ht="17.25">
      <c r="A198" s="1"/>
      <c r="B198" s="60" t="s">
        <v>212</v>
      </c>
      <c r="C198" s="62">
        <v>8</v>
      </c>
      <c r="D198" s="55"/>
      <c r="E198" s="55"/>
      <c r="F198" s="55"/>
      <c r="G198" s="56"/>
      <c r="H198" s="54"/>
      <c r="I198" s="57"/>
      <c r="J198" s="58"/>
      <c r="K198" s="57"/>
      <c r="L198" s="58"/>
      <c r="M198" s="55"/>
    </row>
    <row x14ac:dyDescent="0.25" r="199" customHeight="1" ht="17.25">
      <c r="A199" s="1"/>
      <c r="B199" s="60" t="s">
        <v>154</v>
      </c>
      <c r="C199" s="62">
        <v>420</v>
      </c>
      <c r="D199" s="55"/>
      <c r="E199" s="55"/>
      <c r="F199" s="55"/>
      <c r="G199" s="56"/>
      <c r="H199" s="54"/>
      <c r="I199" s="57"/>
      <c r="J199" s="58"/>
      <c r="K199" s="57"/>
      <c r="L199" s="58"/>
      <c r="M199" s="55"/>
    </row>
    <row x14ac:dyDescent="0.25" r="200" customHeight="1" ht="17.25">
      <c r="A200" s="1"/>
      <c r="B200" s="60"/>
      <c r="C200" s="55"/>
      <c r="D200" s="55"/>
      <c r="E200" s="55"/>
      <c r="F200" s="55"/>
      <c r="G200" s="56"/>
      <c r="H200" s="54"/>
      <c r="I200" s="57"/>
      <c r="J200" s="58"/>
      <c r="K200" s="57"/>
      <c r="L200" s="58"/>
      <c r="M200" s="55"/>
    </row>
    <row x14ac:dyDescent="0.25" r="201" customHeight="1" ht="17.25">
      <c r="A201" s="1"/>
      <c r="B201" s="60"/>
      <c r="C201" s="55"/>
      <c r="D201" s="55"/>
      <c r="E201" s="74" t="s">
        <v>213</v>
      </c>
      <c r="F201" s="64" t="s">
        <v>35</v>
      </c>
      <c r="G201" s="65" t="s">
        <v>23</v>
      </c>
      <c r="H201" s="26" t="s">
        <v>206</v>
      </c>
      <c r="I201" s="75" t="s">
        <v>23</v>
      </c>
      <c r="J201" s="58"/>
      <c r="K201" s="57"/>
      <c r="L201" s="58"/>
      <c r="M201" s="55"/>
    </row>
    <row x14ac:dyDescent="0.25" r="202" customHeight="1" ht="17.25">
      <c r="A202" s="1"/>
      <c r="B202" s="60"/>
      <c r="C202" s="55"/>
      <c r="D202" s="55"/>
      <c r="E202" s="76" t="s">
        <v>28</v>
      </c>
      <c r="F202" s="62">
        <f>COUNTIF(BD!$AU:$AU,Descritivo!F$201)</f>
      </c>
      <c r="G202" s="66">
        <f>F202/(F202+H202)</f>
      </c>
      <c r="H202" s="62">
        <f>COUNTIF(BD!$AU:$AU,Descritivo!H$201)</f>
      </c>
      <c r="I202" s="66">
        <f>H202/(F202+H202)</f>
      </c>
      <c r="J202" s="58"/>
      <c r="K202" s="57"/>
      <c r="L202" s="58"/>
      <c r="M202" s="55"/>
    </row>
    <row x14ac:dyDescent="0.25" r="203" customHeight="1" ht="17.25">
      <c r="A203" s="1"/>
      <c r="B203" s="60"/>
      <c r="C203" s="55"/>
      <c r="D203" s="55"/>
      <c r="E203" s="76" t="s">
        <v>29</v>
      </c>
      <c r="F203" s="62">
        <f>COUNTIF(BD!$AV:$AV,Descritivo!F$201)</f>
      </c>
      <c r="G203" s="66">
        <f>F203/(F203+H203)</f>
      </c>
      <c r="H203" s="62">
        <f>COUNTIF(BD!$AV:$AV,Descritivo!H$201)</f>
      </c>
      <c r="I203" s="66">
        <f>H203/(F203+H203)</f>
      </c>
      <c r="J203" s="58"/>
      <c r="K203" s="57"/>
      <c r="L203" s="58"/>
      <c r="M203" s="55"/>
    </row>
    <row x14ac:dyDescent="0.25" r="204" customHeight="1" ht="17.25">
      <c r="A204" s="1"/>
      <c r="B204" s="60"/>
      <c r="C204" s="55"/>
      <c r="D204" s="55"/>
      <c r="E204" s="76" t="s">
        <v>214</v>
      </c>
      <c r="F204" s="62">
        <f>COUNTIF(BD!$AW:$AW,Descritivo!F$201)</f>
      </c>
      <c r="G204" s="66">
        <f>F204/(F204+H204)</f>
      </c>
      <c r="H204" s="62">
        <f>COUNTIF(BD!$AW:$AW,Descritivo!H$201)</f>
      </c>
      <c r="I204" s="66">
        <f>H204/(F204+H204)</f>
      </c>
      <c r="J204" s="58"/>
      <c r="K204" s="57"/>
      <c r="L204" s="58"/>
      <c r="M204" s="55"/>
    </row>
    <row x14ac:dyDescent="0.25" r="205" customHeight="1" ht="17.25">
      <c r="A205" s="1"/>
      <c r="B205" s="60"/>
      <c r="C205" s="55"/>
      <c r="D205" s="55"/>
      <c r="E205" s="77" t="s">
        <v>208</v>
      </c>
      <c r="F205" s="78">
        <f>COUNTIF(BD!$AX:$AX,Descritivo!F$201)</f>
      </c>
      <c r="G205" s="79">
        <f>F205/(F205+H205)</f>
      </c>
      <c r="H205" s="80">
        <f>COUNTIF(BD!$AX:$AX,Descritivo!H$201)</f>
      </c>
      <c r="I205" s="79">
        <f>H205/(F205+H205)</f>
      </c>
      <c r="J205" s="58"/>
      <c r="K205" s="57"/>
      <c r="L205" s="58"/>
      <c r="M205" s="55"/>
    </row>
    <row x14ac:dyDescent="0.25" r="206" customHeight="1" ht="17.25">
      <c r="A206" s="1"/>
      <c r="B206" s="60"/>
      <c r="C206" s="55"/>
      <c r="D206" s="55"/>
      <c r="E206" s="55"/>
      <c r="F206" s="55"/>
      <c r="G206" s="56"/>
      <c r="H206" s="54"/>
      <c r="I206" s="57"/>
      <c r="J206" s="58"/>
      <c r="K206" s="57"/>
      <c r="L206" s="58"/>
      <c r="M206" s="55"/>
    </row>
    <row x14ac:dyDescent="0.25" r="207" customHeight="1" ht="17.25">
      <c r="A207" s="1"/>
      <c r="B207" s="54" t="s">
        <v>74</v>
      </c>
      <c r="C207" s="55" t="s">
        <v>215</v>
      </c>
      <c r="D207" s="55"/>
      <c r="E207" s="63" t="s">
        <v>216</v>
      </c>
      <c r="F207" s="64" t="s">
        <v>169</v>
      </c>
      <c r="G207" s="65" t="s">
        <v>23</v>
      </c>
      <c r="H207" s="54"/>
      <c r="I207" s="57"/>
      <c r="J207" s="58"/>
      <c r="K207" s="57"/>
      <c r="L207" s="58"/>
      <c r="M207" s="55"/>
    </row>
    <row x14ac:dyDescent="0.25" r="208" customHeight="1" ht="17.25">
      <c r="A208" s="1"/>
      <c r="B208" s="60" t="s">
        <v>35</v>
      </c>
      <c r="C208" s="62">
        <v>50</v>
      </c>
      <c r="D208" s="55"/>
      <c r="E208" s="55">
        <f>B208</f>
      </c>
      <c r="F208" s="62">
        <f>C208</f>
      </c>
      <c r="G208" s="66">
        <f>F208/GETPIVOTDATA("Sexo",$B$141)</f>
      </c>
      <c r="H208" s="54"/>
      <c r="I208" s="57"/>
      <c r="J208" s="58"/>
      <c r="K208" s="57"/>
      <c r="L208" s="58"/>
      <c r="M208" s="55"/>
    </row>
    <row x14ac:dyDescent="0.25" r="209" customHeight="1" ht="17.25">
      <c r="A209" s="1"/>
      <c r="B209" s="60" t="s">
        <v>206</v>
      </c>
      <c r="C209" s="62">
        <v>307</v>
      </c>
      <c r="D209" s="55"/>
      <c r="E209" s="55">
        <f>B209</f>
      </c>
      <c r="F209" s="62">
        <f>C209</f>
      </c>
      <c r="G209" s="66">
        <f>F209/GETPIVOTDATA("Sexo",$B$141)</f>
      </c>
      <c r="H209" s="54"/>
      <c r="I209" s="57"/>
      <c r="J209" s="58"/>
      <c r="K209" s="57"/>
      <c r="L209" s="58"/>
      <c r="M209" s="55"/>
    </row>
    <row x14ac:dyDescent="0.25" r="210" customHeight="1" ht="17.25">
      <c r="A210" s="1"/>
      <c r="B210" s="60" t="s">
        <v>208</v>
      </c>
      <c r="C210" s="62">
        <v>63</v>
      </c>
      <c r="D210" s="55"/>
      <c r="E210" s="55">
        <f>B210</f>
      </c>
      <c r="F210" s="62">
        <f>C210</f>
      </c>
      <c r="G210" s="66">
        <f>F210/GETPIVOTDATA("Sexo",$B$141)</f>
      </c>
      <c r="H210" s="54"/>
      <c r="I210" s="57"/>
      <c r="J210" s="58"/>
      <c r="K210" s="57"/>
      <c r="L210" s="58"/>
      <c r="M210" s="55"/>
    </row>
    <row x14ac:dyDescent="0.25" r="211" customHeight="1" ht="17.25">
      <c r="A211" s="1"/>
      <c r="B211" s="60" t="s">
        <v>154</v>
      </c>
      <c r="C211" s="62">
        <v>420</v>
      </c>
      <c r="D211" s="55"/>
      <c r="E211" s="67" t="s">
        <v>171</v>
      </c>
      <c r="F211" s="68">
        <f>C211</f>
      </c>
      <c r="G211" s="69">
        <f>F211/GETPIVOTDATA("Sexo",$B$141)</f>
      </c>
      <c r="H211" s="54"/>
      <c r="I211" s="57"/>
      <c r="J211" s="58"/>
      <c r="K211" s="57"/>
      <c r="L211" s="58"/>
      <c r="M211" s="55"/>
    </row>
    <row x14ac:dyDescent="0.25" r="212" customHeight="1" ht="17.25">
      <c r="A212" s="1"/>
      <c r="B212" s="60"/>
      <c r="C212" s="55"/>
      <c r="D212" s="55"/>
      <c r="E212" s="55"/>
      <c r="F212" s="55"/>
      <c r="G212" s="56"/>
      <c r="H212" s="54"/>
      <c r="I212" s="57"/>
      <c r="J212" s="58"/>
      <c r="K212" s="57"/>
      <c r="L212" s="58"/>
      <c r="M212" s="55"/>
    </row>
    <row x14ac:dyDescent="0.25" r="213" customHeight="1" ht="17.25">
      <c r="A213" s="1"/>
      <c r="B213" s="54" t="s">
        <v>74</v>
      </c>
      <c r="C213" s="55" t="s">
        <v>217</v>
      </c>
      <c r="D213" s="55"/>
      <c r="E213" s="55"/>
      <c r="F213" s="55"/>
      <c r="G213" s="56"/>
      <c r="H213" s="54"/>
      <c r="I213" s="57"/>
      <c r="J213" s="58"/>
      <c r="K213" s="57"/>
      <c r="L213" s="58"/>
      <c r="M213" s="55"/>
    </row>
    <row x14ac:dyDescent="0.25" r="214" customHeight="1" ht="17.25">
      <c r="A214" s="1"/>
      <c r="B214" s="60" t="s">
        <v>206</v>
      </c>
      <c r="C214" s="62">
        <v>317</v>
      </c>
      <c r="D214" s="55"/>
      <c r="E214" s="55"/>
      <c r="F214" s="55"/>
      <c r="G214" s="56"/>
      <c r="H214" s="54"/>
      <c r="I214" s="57"/>
      <c r="J214" s="58"/>
      <c r="K214" s="57"/>
      <c r="L214" s="58"/>
      <c r="M214" s="55"/>
    </row>
    <row x14ac:dyDescent="0.25" r="215" customHeight="1" ht="17.25">
      <c r="A215" s="1"/>
      <c r="B215" s="60" t="s">
        <v>208</v>
      </c>
      <c r="C215" s="62">
        <v>63</v>
      </c>
      <c r="D215" s="55"/>
      <c r="E215" s="55"/>
      <c r="F215" s="55"/>
      <c r="G215" s="56"/>
      <c r="H215" s="54"/>
      <c r="I215" s="57"/>
      <c r="J215" s="58"/>
      <c r="K215" s="57"/>
      <c r="L215" s="58"/>
      <c r="M215" s="55"/>
    </row>
    <row x14ac:dyDescent="0.25" r="216" customHeight="1" ht="17.25">
      <c r="A216" s="1"/>
      <c r="B216" s="60" t="s">
        <v>30</v>
      </c>
      <c r="C216" s="62">
        <v>22</v>
      </c>
      <c r="D216" s="55"/>
      <c r="E216" s="55"/>
      <c r="F216" s="55"/>
      <c r="G216" s="56"/>
      <c r="H216" s="54"/>
      <c r="I216" s="57"/>
      <c r="J216" s="58"/>
      <c r="K216" s="57"/>
      <c r="L216" s="58"/>
      <c r="M216" s="55"/>
    </row>
    <row x14ac:dyDescent="0.25" r="217" customHeight="1" ht="17.25">
      <c r="A217" s="1"/>
      <c r="B217" s="60" t="s">
        <v>34</v>
      </c>
      <c r="C217" s="62">
        <v>9</v>
      </c>
      <c r="D217" s="55"/>
      <c r="E217" s="55"/>
      <c r="F217" s="55"/>
      <c r="G217" s="56"/>
      <c r="H217" s="54"/>
      <c r="I217" s="57"/>
      <c r="J217" s="58"/>
      <c r="K217" s="57"/>
      <c r="L217" s="58"/>
      <c r="M217" s="55"/>
    </row>
    <row x14ac:dyDescent="0.25" r="218" customHeight="1" ht="17.25">
      <c r="A218" s="1"/>
      <c r="B218" s="60" t="s">
        <v>32</v>
      </c>
      <c r="C218" s="62">
        <v>4</v>
      </c>
      <c r="D218" s="55"/>
      <c r="E218" s="55"/>
      <c r="F218" s="55"/>
      <c r="G218" s="56"/>
      <c r="H218" s="54"/>
      <c r="I218" s="57"/>
      <c r="J218" s="58"/>
      <c r="K218" s="57"/>
      <c r="L218" s="58"/>
      <c r="M218" s="55"/>
    </row>
    <row x14ac:dyDescent="0.25" r="219" customHeight="1" ht="17.25">
      <c r="A219" s="1"/>
      <c r="B219" s="60" t="s">
        <v>218</v>
      </c>
      <c r="C219" s="62">
        <v>3</v>
      </c>
      <c r="D219" s="55"/>
      <c r="E219" s="55"/>
      <c r="F219" s="55"/>
      <c r="G219" s="56"/>
      <c r="H219" s="54"/>
      <c r="I219" s="57"/>
      <c r="J219" s="58"/>
      <c r="K219" s="57"/>
      <c r="L219" s="58"/>
      <c r="M219" s="55"/>
    </row>
    <row x14ac:dyDescent="0.25" r="220" customHeight="1" ht="17.25">
      <c r="A220" s="1"/>
      <c r="B220" s="60" t="s">
        <v>219</v>
      </c>
      <c r="C220" s="62">
        <v>1</v>
      </c>
      <c r="D220" s="55"/>
      <c r="E220" s="55"/>
      <c r="F220" s="55"/>
      <c r="G220" s="56"/>
      <c r="H220" s="54"/>
      <c r="I220" s="57"/>
      <c r="J220" s="58"/>
      <c r="K220" s="57"/>
      <c r="L220" s="58"/>
      <c r="M220" s="55"/>
    </row>
    <row x14ac:dyDescent="0.25" r="221" customHeight="1" ht="17.25">
      <c r="A221" s="1"/>
      <c r="B221" s="60" t="s">
        <v>220</v>
      </c>
      <c r="C221" s="62">
        <v>1</v>
      </c>
      <c r="D221" s="55"/>
      <c r="E221" s="55"/>
      <c r="F221" s="55"/>
      <c r="G221" s="56"/>
      <c r="H221" s="54"/>
      <c r="I221" s="57"/>
      <c r="J221" s="58"/>
      <c r="K221" s="57"/>
      <c r="L221" s="58"/>
      <c r="M221" s="55"/>
    </row>
    <row x14ac:dyDescent="0.25" r="222" customHeight="1" ht="17.25">
      <c r="A222" s="1"/>
      <c r="B222" s="60" t="s">
        <v>154</v>
      </c>
      <c r="C222" s="62">
        <v>420</v>
      </c>
      <c r="D222" s="55"/>
      <c r="E222" s="55"/>
      <c r="F222" s="55"/>
      <c r="G222" s="56"/>
      <c r="H222" s="54"/>
      <c r="I222" s="57"/>
      <c r="J222" s="58"/>
      <c r="K222" s="57"/>
      <c r="L222" s="58"/>
      <c r="M222" s="55"/>
    </row>
    <row x14ac:dyDescent="0.25" r="223" customHeight="1" ht="17.25">
      <c r="A223" s="1"/>
      <c r="B223" s="60"/>
      <c r="C223" s="55"/>
      <c r="D223" s="55"/>
      <c r="E223" s="55"/>
      <c r="F223" s="55"/>
      <c r="G223" s="56"/>
      <c r="H223" s="54"/>
      <c r="I223" s="57"/>
      <c r="J223" s="58"/>
      <c r="K223" s="57"/>
      <c r="L223" s="58"/>
      <c r="M223" s="55"/>
    </row>
    <row x14ac:dyDescent="0.25" r="224" customHeight="1" ht="17.25">
      <c r="A224" s="1"/>
      <c r="B224" s="54"/>
      <c r="C224" s="55"/>
      <c r="D224" s="55"/>
      <c r="E224" s="55"/>
      <c r="F224" s="55"/>
      <c r="G224" s="56"/>
      <c r="H224" s="54"/>
      <c r="I224" s="57"/>
      <c r="J224" s="58"/>
      <c r="K224" s="57"/>
      <c r="L224" s="58"/>
      <c r="M224" s="55"/>
    </row>
    <row x14ac:dyDescent="0.25" r="225" customHeight="1" ht="17.25">
      <c r="A225" s="1"/>
      <c r="B225" s="54"/>
      <c r="C225" s="55"/>
      <c r="D225" s="55"/>
      <c r="E225" s="74" t="s">
        <v>14</v>
      </c>
      <c r="F225" s="64" t="s">
        <v>35</v>
      </c>
      <c r="G225" s="65" t="s">
        <v>23</v>
      </c>
      <c r="H225" s="26" t="s">
        <v>206</v>
      </c>
      <c r="I225" s="81" t="s">
        <v>23</v>
      </c>
      <c r="J225" s="58"/>
      <c r="K225" s="57"/>
      <c r="L225" s="58"/>
      <c r="M225" s="55"/>
    </row>
    <row x14ac:dyDescent="0.25" r="226" customHeight="1" ht="17.25">
      <c r="A226" s="1"/>
      <c r="B226" s="54"/>
      <c r="C226" s="55"/>
      <c r="D226" s="55"/>
      <c r="E226" s="82" t="s">
        <v>30</v>
      </c>
      <c r="F226" s="83">
        <f>COUNTIF(BD!$BA:$BA,Descritivo!F$225)</f>
      </c>
      <c r="G226" s="84">
        <f>F226/(F226+H226)</f>
      </c>
      <c r="H226" s="83">
        <f>COUNTIF(BD!$BA:$BA,Descritivo!H$225)</f>
      </c>
      <c r="I226" s="84">
        <f>H226/(F226+H226)</f>
      </c>
      <c r="J226" s="58"/>
      <c r="K226" s="57"/>
      <c r="L226" s="58"/>
      <c r="M226" s="55"/>
    </row>
    <row x14ac:dyDescent="0.25" r="227" customHeight="1" ht="17.25">
      <c r="A227" s="1"/>
      <c r="B227" s="54"/>
      <c r="C227" s="55"/>
      <c r="D227" s="55"/>
      <c r="E227" s="55" t="s">
        <v>31</v>
      </c>
      <c r="F227" s="85">
        <f>COUNTIF(BD!$BB:$BB,Descritivo!F$225)</f>
      </c>
      <c r="G227" s="66">
        <f>F227/(F227+H227)</f>
      </c>
      <c r="H227" s="62">
        <f>COUNTIF(BD!$BB:$BB,Descritivo!H$225)</f>
      </c>
      <c r="I227" s="66">
        <f>H227/(F227+H227)</f>
      </c>
      <c r="J227" s="58"/>
      <c r="K227" s="57"/>
      <c r="L227" s="58"/>
      <c r="M227" s="55"/>
    </row>
    <row x14ac:dyDescent="0.25" r="228" customHeight="1" ht="17.25">
      <c r="A228" s="1"/>
      <c r="B228" s="54"/>
      <c r="C228" s="55"/>
      <c r="D228" s="55"/>
      <c r="E228" s="55" t="s">
        <v>32</v>
      </c>
      <c r="F228" s="85">
        <f>COUNTIF(BD!$BC:$BC,Descritivo!F$225)</f>
      </c>
      <c r="G228" s="66">
        <f>F228/(F228+H228)</f>
      </c>
      <c r="H228" s="62">
        <f>COUNTIF(BD!$BC:$BC,Descritivo!H$225)</f>
      </c>
      <c r="I228" s="66">
        <f>H228/(F228+H228)</f>
      </c>
      <c r="J228" s="58"/>
      <c r="K228" s="57"/>
      <c r="L228" s="58"/>
      <c r="M228" s="55"/>
    </row>
    <row x14ac:dyDescent="0.25" r="229" customHeight="1" ht="17.25">
      <c r="A229" s="1"/>
      <c r="B229" s="54"/>
      <c r="C229" s="55"/>
      <c r="D229" s="55"/>
      <c r="E229" s="55" t="s">
        <v>33</v>
      </c>
      <c r="F229" s="85">
        <f>COUNTIF(BD!$BD:$BD,Descritivo!F$225)</f>
      </c>
      <c r="G229" s="66">
        <f>F229/(F229+H229)</f>
      </c>
      <c r="H229" s="62">
        <f>COUNTIF(BD!$BD:$BD,Descritivo!H$225)</f>
      </c>
      <c r="I229" s="66">
        <f>H229/(F229+H229)</f>
      </c>
      <c r="J229" s="58"/>
      <c r="K229" s="57"/>
      <c r="L229" s="58"/>
      <c r="M229" s="55"/>
    </row>
    <row x14ac:dyDescent="0.25" r="230" customHeight="1" ht="17.25">
      <c r="A230" s="1"/>
      <c r="B230" s="54"/>
      <c r="C230" s="55"/>
      <c r="D230" s="55"/>
      <c r="E230" s="55" t="s">
        <v>34</v>
      </c>
      <c r="F230" s="85">
        <f>COUNTIF(BD!$BE:$BE,Descritivo!F$225)</f>
      </c>
      <c r="G230" s="66">
        <f>F230/(F230+H230)</f>
      </c>
      <c r="H230" s="62">
        <f>COUNTIF(BD!$BE:$BE,Descritivo!H$225)</f>
      </c>
      <c r="I230" s="66">
        <f>H230/(F230+H230)</f>
      </c>
      <c r="J230" s="58"/>
      <c r="K230" s="57"/>
      <c r="L230" s="58"/>
      <c r="M230" s="55"/>
    </row>
    <row x14ac:dyDescent="0.25" r="231" customHeight="1" ht="17.25">
      <c r="A231" s="1"/>
      <c r="B231" s="54"/>
      <c r="C231" s="55"/>
      <c r="D231" s="55"/>
      <c r="E231" s="55" t="s">
        <v>214</v>
      </c>
      <c r="F231" s="85">
        <f>COUNTIF(BD!$BF:$BF,Descritivo!F$225)</f>
      </c>
      <c r="G231" s="66">
        <f>F231/(F231+H231)</f>
      </c>
      <c r="H231" s="62">
        <f>COUNTIF(BD!$BF:$BF,Descritivo!H$225)</f>
      </c>
      <c r="I231" s="66">
        <f>H231/(F231+H231)</f>
      </c>
      <c r="J231" s="58"/>
      <c r="K231" s="57"/>
      <c r="L231" s="58"/>
      <c r="M231" s="55"/>
    </row>
    <row x14ac:dyDescent="0.25" r="232" customHeight="1" ht="17.25">
      <c r="A232" s="1"/>
      <c r="B232" s="54"/>
      <c r="C232" s="55"/>
      <c r="D232" s="55"/>
      <c r="E232" s="86" t="s">
        <v>208</v>
      </c>
      <c r="F232" s="78">
        <f>COUNTIF(BD!$BG:$BG,Descritivo!F$225)</f>
      </c>
      <c r="G232" s="79">
        <f>F232/(F232+H232)</f>
      </c>
      <c r="H232" s="80">
        <f>COUNTIF(BD!$BG:$BG,Descritivo!H$225)</f>
      </c>
      <c r="I232" s="79">
        <f>H232/(F232+H232)</f>
      </c>
      <c r="J232" s="58"/>
      <c r="K232" s="57"/>
      <c r="L232" s="58"/>
      <c r="M232" s="55"/>
    </row>
    <row x14ac:dyDescent="0.25" r="233" customHeight="1" ht="17.25">
      <c r="A233" s="1"/>
      <c r="B233" s="54"/>
      <c r="C233" s="55"/>
      <c r="D233" s="55"/>
      <c r="E233" s="55"/>
      <c r="F233" s="55"/>
      <c r="G233" s="56"/>
      <c r="H233" s="54"/>
      <c r="I233" s="57"/>
      <c r="J233" s="58"/>
      <c r="K233" s="57"/>
      <c r="L233" s="58"/>
      <c r="M233" s="55"/>
    </row>
    <row x14ac:dyDescent="0.25" r="234" customHeight="1" ht="17.25">
      <c r="A234" s="1"/>
      <c r="B234" s="54"/>
      <c r="C234" s="55"/>
      <c r="D234" s="55"/>
      <c r="E234" s="55"/>
      <c r="F234" s="55"/>
      <c r="G234" s="56"/>
      <c r="H234" s="54"/>
      <c r="I234" s="57"/>
      <c r="J234" s="58"/>
      <c r="K234" s="57"/>
      <c r="L234" s="58"/>
      <c r="M234" s="55"/>
    </row>
    <row x14ac:dyDescent="0.25" r="235" customHeight="1" ht="17.25">
      <c r="A235" s="1"/>
      <c r="B235" s="54" t="s">
        <v>74</v>
      </c>
      <c r="C235" s="55" t="s">
        <v>221</v>
      </c>
      <c r="D235" s="55"/>
      <c r="E235" s="63" t="s">
        <v>222</v>
      </c>
      <c r="F235" s="64" t="s">
        <v>169</v>
      </c>
      <c r="G235" s="65" t="s">
        <v>23</v>
      </c>
      <c r="H235" s="54"/>
      <c r="I235" s="57"/>
      <c r="J235" s="58"/>
      <c r="K235" s="57"/>
      <c r="L235" s="58"/>
      <c r="M235" s="55"/>
    </row>
    <row x14ac:dyDescent="0.25" r="236" customHeight="1" ht="17.25">
      <c r="A236" s="1"/>
      <c r="B236" s="60" t="s">
        <v>35</v>
      </c>
      <c r="C236" s="62">
        <v>40</v>
      </c>
      <c r="D236" s="55"/>
      <c r="E236" s="55">
        <f>B236</f>
      </c>
      <c r="F236" s="62">
        <f>C236</f>
      </c>
      <c r="G236" s="84">
        <f>F236/GETPIVOTDATA("Sexo",$B$141)</f>
      </c>
      <c r="H236" s="54"/>
      <c r="I236" s="57"/>
      <c r="J236" s="58"/>
      <c r="K236" s="57"/>
      <c r="L236" s="58"/>
      <c r="M236" s="55"/>
    </row>
    <row x14ac:dyDescent="0.25" r="237" customHeight="1" ht="17.25">
      <c r="A237" s="1"/>
      <c r="B237" s="60" t="s">
        <v>206</v>
      </c>
      <c r="C237" s="62">
        <v>317</v>
      </c>
      <c r="D237" s="55"/>
      <c r="E237" s="55">
        <f>B237</f>
      </c>
      <c r="F237" s="62">
        <f>C237</f>
      </c>
      <c r="G237" s="66">
        <f>F237/GETPIVOTDATA("Sexo",$B$141)</f>
      </c>
      <c r="H237" s="54"/>
      <c r="I237" s="57"/>
      <c r="J237" s="58"/>
      <c r="K237" s="57"/>
      <c r="L237" s="58"/>
      <c r="M237" s="55"/>
    </row>
    <row x14ac:dyDescent="0.25" r="238" customHeight="1" ht="17.25">
      <c r="A238" s="1"/>
      <c r="B238" s="60" t="s">
        <v>208</v>
      </c>
      <c r="C238" s="62">
        <v>63</v>
      </c>
      <c r="D238" s="55"/>
      <c r="E238" s="55">
        <f>B238</f>
      </c>
      <c r="F238" s="62">
        <f>C238</f>
      </c>
      <c r="G238" s="66">
        <f>F238/GETPIVOTDATA("Sexo",$B$141)</f>
      </c>
      <c r="H238" s="54"/>
      <c r="I238" s="57"/>
      <c r="J238" s="58"/>
      <c r="K238" s="57"/>
      <c r="L238" s="58"/>
      <c r="M238" s="55"/>
    </row>
    <row x14ac:dyDescent="0.25" r="239" customHeight="1" ht="17.25">
      <c r="A239" s="1"/>
      <c r="B239" s="60" t="s">
        <v>154</v>
      </c>
      <c r="C239" s="62">
        <v>420</v>
      </c>
      <c r="D239" s="55"/>
      <c r="E239" s="67" t="s">
        <v>171</v>
      </c>
      <c r="F239" s="68">
        <f>C239</f>
      </c>
      <c r="G239" s="69">
        <f>F239/GETPIVOTDATA("Sexo",$B$141)</f>
      </c>
      <c r="H239" s="54"/>
      <c r="I239" s="57"/>
      <c r="J239" s="58"/>
      <c r="K239" s="57"/>
      <c r="L239" s="58"/>
      <c r="M239" s="55"/>
    </row>
    <row x14ac:dyDescent="0.25" r="240" customHeight="1" ht="17.25">
      <c r="A240" s="1"/>
      <c r="B240" s="54"/>
      <c r="C240" s="55"/>
      <c r="D240" s="55"/>
      <c r="E240" s="55"/>
      <c r="F240" s="55"/>
      <c r="G240" s="56"/>
      <c r="H240" s="54"/>
      <c r="I240" s="57"/>
      <c r="J240" s="58"/>
      <c r="K240" s="57"/>
      <c r="L240" s="58"/>
      <c r="M240" s="55"/>
    </row>
    <row x14ac:dyDescent="0.25" r="241" customHeight="1" ht="17.25">
      <c r="A241" s="1"/>
      <c r="B241" s="54"/>
      <c r="C241" s="55"/>
      <c r="D241" s="55"/>
      <c r="E241" s="55"/>
      <c r="F241" s="55"/>
      <c r="G241" s="56"/>
      <c r="H241" s="54"/>
      <c r="I241" s="57"/>
      <c r="J241" s="58"/>
      <c r="K241" s="57"/>
      <c r="L241" s="58"/>
      <c r="M241" s="55"/>
    </row>
    <row x14ac:dyDescent="0.25" r="242" customHeight="1" ht="17.25">
      <c r="A242" s="1"/>
      <c r="B242" s="54" t="s">
        <v>74</v>
      </c>
      <c r="C242" s="55" t="s">
        <v>223</v>
      </c>
      <c r="D242" s="55"/>
      <c r="E242" s="63" t="s">
        <v>224</v>
      </c>
      <c r="F242" s="64" t="s">
        <v>169</v>
      </c>
      <c r="G242" s="65" t="s">
        <v>23</v>
      </c>
      <c r="H242" s="54"/>
      <c r="I242" s="57"/>
      <c r="J242" s="58"/>
      <c r="K242" s="57"/>
      <c r="L242" s="58"/>
      <c r="M242" s="55"/>
    </row>
    <row x14ac:dyDescent="0.25" r="243" customHeight="1" ht="17.25">
      <c r="A243" s="1"/>
      <c r="B243" s="60" t="s">
        <v>35</v>
      </c>
      <c r="C243" s="62">
        <v>51</v>
      </c>
      <c r="D243" s="55"/>
      <c r="E243" s="55">
        <f>B243</f>
      </c>
      <c r="F243" s="62">
        <f>C243</f>
      </c>
      <c r="G243" s="84">
        <f>F243/GETPIVOTDATA("Sexo",$B$141)</f>
      </c>
      <c r="H243" s="54"/>
      <c r="I243" s="57"/>
      <c r="J243" s="58"/>
      <c r="K243" s="57"/>
      <c r="L243" s="58"/>
      <c r="M243" s="55"/>
    </row>
    <row x14ac:dyDescent="0.25" r="244" customHeight="1" ht="17.25">
      <c r="A244" s="1"/>
      <c r="B244" s="60" t="s">
        <v>206</v>
      </c>
      <c r="C244" s="62">
        <v>99</v>
      </c>
      <c r="D244" s="55"/>
      <c r="E244" s="55">
        <f>B244</f>
      </c>
      <c r="F244" s="62">
        <f>C244</f>
      </c>
      <c r="G244" s="66">
        <f>F244/GETPIVOTDATA("Sexo",$B$141)</f>
      </c>
      <c r="H244" s="54"/>
      <c r="I244" s="57"/>
      <c r="J244" s="58"/>
      <c r="K244" s="57"/>
      <c r="L244" s="58"/>
      <c r="M244" s="55"/>
    </row>
    <row x14ac:dyDescent="0.25" r="245" customHeight="1" ht="17.25">
      <c r="A245" s="1"/>
      <c r="B245" s="60" t="s">
        <v>208</v>
      </c>
      <c r="C245" s="62">
        <v>270</v>
      </c>
      <c r="D245" s="55"/>
      <c r="E245" s="55">
        <f>B245</f>
      </c>
      <c r="F245" s="62">
        <f>C245</f>
      </c>
      <c r="G245" s="79">
        <f>F245/GETPIVOTDATA("Sexo",$B$141)</f>
      </c>
      <c r="H245" s="54"/>
      <c r="I245" s="57"/>
      <c r="J245" s="58"/>
      <c r="K245" s="57"/>
      <c r="L245" s="58"/>
      <c r="M245" s="55"/>
    </row>
    <row x14ac:dyDescent="0.25" r="246" customHeight="1" ht="17.25">
      <c r="A246" s="1"/>
      <c r="B246" s="60" t="s">
        <v>154</v>
      </c>
      <c r="C246" s="62">
        <v>420</v>
      </c>
      <c r="D246" s="55"/>
      <c r="E246" s="67" t="s">
        <v>171</v>
      </c>
      <c r="F246" s="68">
        <f>C246</f>
      </c>
      <c r="G246" s="69">
        <f>F246/GETPIVOTDATA("Sexo",$B$141)</f>
      </c>
      <c r="H246" s="54"/>
      <c r="I246" s="57"/>
      <c r="J246" s="58"/>
      <c r="K246" s="57"/>
      <c r="L246" s="58"/>
      <c r="M246" s="55"/>
    </row>
    <row x14ac:dyDescent="0.25" r="247" customHeight="1" ht="17.25">
      <c r="A247" s="1"/>
      <c r="B247" s="54"/>
      <c r="C247" s="55"/>
      <c r="D247" s="55"/>
      <c r="E247" s="55"/>
      <c r="F247" s="55"/>
      <c r="G247" s="56"/>
      <c r="H247" s="54"/>
      <c r="I247" s="57"/>
      <c r="J247" s="58"/>
      <c r="K247" s="57"/>
      <c r="L247" s="58"/>
      <c r="M247" s="55"/>
    </row>
    <row x14ac:dyDescent="0.25" r="248" customHeight="1" ht="17.25">
      <c r="A248" s="1"/>
      <c r="B248" s="54" t="s">
        <v>74</v>
      </c>
      <c r="C248" s="55" t="s">
        <v>225</v>
      </c>
      <c r="D248" s="55"/>
      <c r="E248" s="63" t="s">
        <v>226</v>
      </c>
      <c r="F248" s="64" t="s">
        <v>169</v>
      </c>
      <c r="G248" s="65" t="s">
        <v>23</v>
      </c>
      <c r="H248" s="54"/>
      <c r="I248" s="57"/>
      <c r="J248" s="58"/>
      <c r="K248" s="57"/>
      <c r="L248" s="58"/>
      <c r="M248" s="55"/>
    </row>
    <row x14ac:dyDescent="0.25" r="249" customHeight="1" ht="17.25">
      <c r="A249" s="1"/>
      <c r="B249" s="60" t="s">
        <v>227</v>
      </c>
      <c r="C249" s="62">
        <v>250</v>
      </c>
      <c r="D249" s="55"/>
      <c r="E249" s="55">
        <f>B249</f>
      </c>
      <c r="F249" s="62">
        <f>C249</f>
      </c>
      <c r="G249" s="84">
        <f>F249/GETPIVOTDATA("Sexo",$B$141)</f>
      </c>
      <c r="H249" s="54"/>
      <c r="I249" s="57"/>
      <c r="J249" s="58"/>
      <c r="K249" s="57"/>
      <c r="L249" s="58"/>
      <c r="M249" s="55"/>
    </row>
    <row x14ac:dyDescent="0.25" r="250" customHeight="1" ht="17.25">
      <c r="A250" s="1"/>
      <c r="B250" s="60" t="s">
        <v>228</v>
      </c>
      <c r="C250" s="62">
        <v>29</v>
      </c>
      <c r="D250" s="55"/>
      <c r="E250" s="55">
        <f>B250</f>
      </c>
      <c r="F250" s="62">
        <f>C250</f>
      </c>
      <c r="G250" s="66">
        <f>F250/GETPIVOTDATA("Sexo",$B$141)</f>
      </c>
      <c r="H250" s="54"/>
      <c r="I250" s="57"/>
      <c r="J250" s="58"/>
      <c r="K250" s="57"/>
      <c r="L250" s="58"/>
      <c r="M250" s="55"/>
    </row>
    <row x14ac:dyDescent="0.25" r="251" customHeight="1" ht="17.25">
      <c r="A251" s="1"/>
      <c r="B251" s="60" t="s">
        <v>229</v>
      </c>
      <c r="C251" s="62">
        <v>29</v>
      </c>
      <c r="D251" s="55"/>
      <c r="E251" s="55">
        <f>B251</f>
      </c>
      <c r="F251" s="62">
        <f>C251</f>
      </c>
      <c r="G251" s="66">
        <f>F251/GETPIVOTDATA("Sexo",$B$141)</f>
      </c>
      <c r="H251" s="54"/>
      <c r="I251" s="57"/>
      <c r="J251" s="58"/>
      <c r="K251" s="57"/>
      <c r="L251" s="58"/>
      <c r="M251" s="55"/>
    </row>
    <row x14ac:dyDescent="0.25" r="252" customHeight="1" ht="17.25">
      <c r="A252" s="1"/>
      <c r="B252" s="60" t="s">
        <v>208</v>
      </c>
      <c r="C252" s="62">
        <v>112</v>
      </c>
      <c r="D252" s="55"/>
      <c r="E252" s="55">
        <f>B252</f>
      </c>
      <c r="F252" s="62">
        <f>C252</f>
      </c>
      <c r="G252" s="66">
        <f>F252/GETPIVOTDATA("Sexo",$B$141)</f>
      </c>
      <c r="H252" s="54"/>
      <c r="I252" s="57"/>
      <c r="J252" s="58"/>
      <c r="K252" s="57"/>
      <c r="L252" s="58"/>
      <c r="M252" s="55"/>
    </row>
    <row x14ac:dyDescent="0.25" r="253" customHeight="1" ht="17.25">
      <c r="A253" s="1"/>
      <c r="B253" s="60" t="s">
        <v>154</v>
      </c>
      <c r="C253" s="62">
        <v>420</v>
      </c>
      <c r="D253" s="55"/>
      <c r="E253" s="67" t="s">
        <v>171</v>
      </c>
      <c r="F253" s="68">
        <f>C253</f>
      </c>
      <c r="G253" s="69">
        <f>F253/GETPIVOTDATA("Sexo",$B$141)</f>
      </c>
      <c r="H253" s="54"/>
      <c r="I253" s="57"/>
      <c r="J253" s="58"/>
      <c r="K253" s="57"/>
      <c r="L253" s="58"/>
      <c r="M253" s="55"/>
    </row>
    <row x14ac:dyDescent="0.25" r="254" customHeight="1" ht="17.25">
      <c r="A254" s="1"/>
      <c r="B254" s="54"/>
      <c r="C254" s="55"/>
      <c r="D254" s="55"/>
      <c r="E254" s="55"/>
      <c r="F254" s="55"/>
      <c r="G254" s="56"/>
      <c r="H254" s="54"/>
      <c r="I254" s="57"/>
      <c r="J254" s="58"/>
      <c r="K254" s="57"/>
      <c r="L254" s="58"/>
      <c r="M254" s="55"/>
    </row>
    <row x14ac:dyDescent="0.25" r="255" customHeight="1" ht="17.25">
      <c r="A255" s="1"/>
      <c r="B255" s="54" t="s">
        <v>74</v>
      </c>
      <c r="C255" s="55" t="s">
        <v>230</v>
      </c>
      <c r="D255" s="55"/>
      <c r="E255" s="63" t="s">
        <v>231</v>
      </c>
      <c r="F255" s="64" t="s">
        <v>169</v>
      </c>
      <c r="G255" s="65" t="s">
        <v>23</v>
      </c>
      <c r="H255" s="54"/>
      <c r="I255" s="57"/>
      <c r="J255" s="58"/>
      <c r="K255" s="57"/>
      <c r="L255" s="58"/>
      <c r="M255" s="55"/>
    </row>
    <row x14ac:dyDescent="0.25" r="256" customHeight="1" ht="17.25">
      <c r="A256" s="1"/>
      <c r="B256" s="60" t="s">
        <v>37</v>
      </c>
      <c r="C256" s="62">
        <v>224</v>
      </c>
      <c r="D256" s="55"/>
      <c r="E256" s="55">
        <f>B256</f>
      </c>
      <c r="F256" s="62">
        <f>C256</f>
      </c>
      <c r="G256" s="84">
        <f>F256/GETPIVOTDATA("Sexo",$B$141)</f>
      </c>
      <c r="H256" s="54"/>
      <c r="I256" s="57"/>
      <c r="J256" s="58"/>
      <c r="K256" s="57"/>
      <c r="L256" s="58"/>
      <c r="M256" s="55"/>
    </row>
    <row x14ac:dyDescent="0.25" r="257" customHeight="1" ht="17.25">
      <c r="A257" s="1"/>
      <c r="B257" s="60" t="s">
        <v>228</v>
      </c>
      <c r="C257" s="62">
        <v>29</v>
      </c>
      <c r="D257" s="55"/>
      <c r="E257" s="55">
        <f>B257</f>
      </c>
      <c r="F257" s="62">
        <f>C257</f>
      </c>
      <c r="G257" s="66">
        <f>F257/GETPIVOTDATA("Sexo",$B$141)</f>
      </c>
      <c r="H257" s="54"/>
      <c r="I257" s="57"/>
      <c r="J257" s="58"/>
      <c r="K257" s="57"/>
      <c r="L257" s="58"/>
      <c r="M257" s="55"/>
    </row>
    <row x14ac:dyDescent="0.25" r="258" customHeight="1" ht="17.25">
      <c r="A258" s="1"/>
      <c r="B258" s="60" t="s">
        <v>229</v>
      </c>
      <c r="C258" s="62">
        <v>29</v>
      </c>
      <c r="D258" s="55"/>
      <c r="E258" s="55">
        <f>B258</f>
      </c>
      <c r="F258" s="62">
        <f>C258</f>
      </c>
      <c r="G258" s="66">
        <f>F258/GETPIVOTDATA("Sexo",$B$141)</f>
      </c>
      <c r="H258" s="54"/>
      <c r="I258" s="57"/>
      <c r="J258" s="58"/>
      <c r="K258" s="57"/>
      <c r="L258" s="58"/>
      <c r="M258" s="55"/>
    </row>
    <row x14ac:dyDescent="0.25" r="259" customHeight="1" ht="17.25">
      <c r="A259" s="1"/>
      <c r="B259" s="60" t="s">
        <v>208</v>
      </c>
      <c r="C259" s="62">
        <v>112</v>
      </c>
      <c r="D259" s="55"/>
      <c r="E259" s="55">
        <f>B259</f>
      </c>
      <c r="F259" s="62">
        <f>C259</f>
      </c>
      <c r="G259" s="66">
        <f>F259/GETPIVOTDATA("Sexo",$B$141)</f>
      </c>
      <c r="H259" s="54"/>
      <c r="I259" s="57"/>
      <c r="J259" s="58"/>
      <c r="K259" s="57"/>
      <c r="L259" s="58"/>
      <c r="M259" s="55"/>
    </row>
    <row x14ac:dyDescent="0.25" r="260" customHeight="1" ht="17.25">
      <c r="A260" s="1"/>
      <c r="B260" s="60" t="s">
        <v>232</v>
      </c>
      <c r="C260" s="62">
        <v>26</v>
      </c>
      <c r="D260" s="55"/>
      <c r="E260" s="55">
        <f>B260</f>
      </c>
      <c r="F260" s="62">
        <f>C260</f>
      </c>
      <c r="G260" s="66">
        <f>F260/GETPIVOTDATA("Sexo",$B$141)</f>
      </c>
      <c r="H260" s="54"/>
      <c r="I260" s="57"/>
      <c r="J260" s="58"/>
      <c r="K260" s="57"/>
      <c r="L260" s="58"/>
      <c r="M260" s="55"/>
    </row>
    <row x14ac:dyDescent="0.25" r="261" customHeight="1" ht="17.25">
      <c r="A261" s="1"/>
      <c r="B261" s="60" t="s">
        <v>154</v>
      </c>
      <c r="C261" s="62">
        <v>420</v>
      </c>
      <c r="D261" s="55"/>
      <c r="E261" s="67" t="s">
        <v>171</v>
      </c>
      <c r="F261" s="68">
        <f>C261</f>
      </c>
      <c r="G261" s="69">
        <f>F261/GETPIVOTDATA("Sexo",$B$141)</f>
      </c>
      <c r="H261" s="54"/>
      <c r="I261" s="57"/>
      <c r="J261" s="58"/>
      <c r="K261" s="57"/>
      <c r="L261" s="58"/>
      <c r="M261" s="55"/>
    </row>
    <row x14ac:dyDescent="0.25" r="262" customHeight="1" ht="17.25">
      <c r="A262" s="1"/>
      <c r="B262" s="54"/>
      <c r="C262" s="55"/>
      <c r="D262" s="55"/>
      <c r="E262" s="55"/>
      <c r="F262" s="55"/>
      <c r="G262" s="56"/>
      <c r="H262" s="54"/>
      <c r="I262" s="57"/>
      <c r="J262" s="58"/>
      <c r="K262" s="57"/>
      <c r="L262" s="58"/>
      <c r="M262" s="55"/>
    </row>
    <row x14ac:dyDescent="0.25" r="263" customHeight="1" ht="17.25">
      <c r="A263" s="1"/>
      <c r="B263" s="54" t="s">
        <v>74</v>
      </c>
      <c r="C263" s="55" t="s">
        <v>233</v>
      </c>
      <c r="D263" s="55"/>
      <c r="E263" s="55"/>
      <c r="F263" s="55"/>
      <c r="G263" s="56"/>
      <c r="H263" s="54"/>
      <c r="I263" s="57"/>
      <c r="J263" s="58"/>
      <c r="K263" s="57"/>
      <c r="L263" s="58"/>
      <c r="M263" s="55"/>
    </row>
    <row x14ac:dyDescent="0.25" r="264" customHeight="1" ht="17.25">
      <c r="A264" s="1"/>
      <c r="B264" s="60" t="s">
        <v>199</v>
      </c>
      <c r="C264" s="62">
        <v>35</v>
      </c>
      <c r="D264" s="55"/>
      <c r="E264" s="55"/>
      <c r="F264" s="55"/>
      <c r="G264" s="56"/>
      <c r="H264" s="54"/>
      <c r="I264" s="57"/>
      <c r="J264" s="58"/>
      <c r="K264" s="57"/>
      <c r="L264" s="58"/>
      <c r="M264" s="55"/>
    </row>
    <row x14ac:dyDescent="0.25" r="265" customHeight="1" ht="17.25">
      <c r="A265" s="1"/>
      <c r="B265" s="60" t="s">
        <v>200</v>
      </c>
      <c r="C265" s="62">
        <v>28</v>
      </c>
      <c r="D265" s="55"/>
      <c r="E265" s="55"/>
      <c r="F265" s="55"/>
      <c r="G265" s="56"/>
      <c r="H265" s="54"/>
      <c r="I265" s="57"/>
      <c r="J265" s="58"/>
      <c r="K265" s="57"/>
      <c r="L265" s="58"/>
      <c r="M265" s="55"/>
    </row>
    <row x14ac:dyDescent="0.25" r="266" customHeight="1" ht="17.25">
      <c r="A266" s="1"/>
      <c r="B266" s="60" t="s">
        <v>198</v>
      </c>
      <c r="C266" s="62">
        <v>73</v>
      </c>
      <c r="D266" s="55"/>
      <c r="E266" s="55"/>
      <c r="F266" s="55"/>
      <c r="G266" s="56"/>
      <c r="H266" s="54"/>
      <c r="I266" s="57"/>
      <c r="J266" s="58"/>
      <c r="K266" s="57"/>
      <c r="L266" s="58"/>
      <c r="M266" s="55"/>
    </row>
    <row x14ac:dyDescent="0.25" r="267" customHeight="1" ht="17.25">
      <c r="A267" s="1"/>
      <c r="B267" s="60" t="s">
        <v>197</v>
      </c>
      <c r="C267" s="62">
        <v>284</v>
      </c>
      <c r="D267" s="55"/>
      <c r="E267" s="55"/>
      <c r="F267" s="55"/>
      <c r="G267" s="56"/>
      <c r="H267" s="54"/>
      <c r="I267" s="57"/>
      <c r="J267" s="58"/>
      <c r="K267" s="57"/>
      <c r="L267" s="58"/>
      <c r="M267" s="55"/>
    </row>
    <row x14ac:dyDescent="0.25" r="268" customHeight="1" ht="17.25">
      <c r="A268" s="1"/>
      <c r="B268" s="60" t="s">
        <v>154</v>
      </c>
      <c r="C268" s="62">
        <v>420</v>
      </c>
      <c r="D268" s="55"/>
      <c r="E268" s="55"/>
      <c r="F268" s="55"/>
      <c r="G268" s="56"/>
      <c r="H268" s="54"/>
      <c r="I268" s="57"/>
      <c r="J268" s="58"/>
      <c r="K268" s="57"/>
      <c r="L268" s="58"/>
      <c r="M268" s="55"/>
    </row>
    <row x14ac:dyDescent="0.25" r="269" customHeight="1" ht="17.25">
      <c r="A269" s="1"/>
      <c r="B269" s="54"/>
      <c r="C269" s="55"/>
      <c r="D269" s="55"/>
      <c r="E269" s="55"/>
      <c r="F269" s="55"/>
      <c r="G269" s="56"/>
      <c r="H269" s="54"/>
      <c r="I269" s="57"/>
      <c r="J269" s="58"/>
      <c r="K269" s="57"/>
      <c r="L269" s="58"/>
      <c r="M269" s="55"/>
    </row>
    <row x14ac:dyDescent="0.25" r="270" customHeight="1" ht="17.25">
      <c r="A270" s="1"/>
      <c r="B270" s="54" t="s">
        <v>74</v>
      </c>
      <c r="C270" s="55" t="s">
        <v>234</v>
      </c>
      <c r="D270" s="55"/>
      <c r="E270" s="63" t="s">
        <v>235</v>
      </c>
      <c r="F270" s="64" t="s">
        <v>169</v>
      </c>
      <c r="G270" s="65" t="s">
        <v>23</v>
      </c>
      <c r="H270" s="54"/>
      <c r="I270" s="57"/>
      <c r="J270" s="58"/>
      <c r="K270" s="57"/>
      <c r="L270" s="58"/>
      <c r="M270" s="55"/>
    </row>
    <row x14ac:dyDescent="0.25" r="271" customHeight="1" ht="17.25">
      <c r="A271" s="1"/>
      <c r="B271" s="60" t="s">
        <v>236</v>
      </c>
      <c r="C271" s="62">
        <v>100</v>
      </c>
      <c r="D271" s="55"/>
      <c r="E271" s="55">
        <f>B271</f>
      </c>
      <c r="F271" s="62">
        <f>C271</f>
      </c>
      <c r="G271" s="66">
        <f>F271/GETPIVOTDATA("Sexo",$B$141)</f>
      </c>
      <c r="H271" s="54"/>
      <c r="I271" s="57"/>
      <c r="J271" s="58"/>
      <c r="K271" s="57"/>
      <c r="L271" s="58"/>
      <c r="M271" s="55"/>
    </row>
    <row x14ac:dyDescent="0.25" r="272" customHeight="1" ht="17.25">
      <c r="A272" s="1"/>
      <c r="B272" s="60" t="s">
        <v>237</v>
      </c>
      <c r="C272" s="62">
        <v>58</v>
      </c>
      <c r="D272" s="55"/>
      <c r="E272" s="55">
        <f>B272</f>
      </c>
      <c r="F272" s="62">
        <f>C272</f>
      </c>
      <c r="G272" s="66">
        <f>F272/GETPIVOTDATA("Sexo",$B$141)</f>
      </c>
      <c r="H272" s="54"/>
      <c r="I272" s="57"/>
      <c r="J272" s="58"/>
      <c r="K272" s="57"/>
      <c r="L272" s="58"/>
      <c r="M272" s="55"/>
    </row>
    <row x14ac:dyDescent="0.25" r="273" customHeight="1" ht="17.25">
      <c r="A273" s="1"/>
      <c r="B273" s="60" t="s">
        <v>206</v>
      </c>
      <c r="C273" s="62">
        <v>95</v>
      </c>
      <c r="D273" s="55"/>
      <c r="E273" s="55">
        <f>B273</f>
      </c>
      <c r="F273" s="62">
        <f>C273</f>
      </c>
      <c r="G273" s="66">
        <f>F273/GETPIVOTDATA("Sexo",$B$141)</f>
      </c>
      <c r="H273" s="54"/>
      <c r="I273" s="57"/>
      <c r="J273" s="58"/>
      <c r="K273" s="57"/>
      <c r="L273" s="58"/>
      <c r="M273" s="55"/>
    </row>
    <row x14ac:dyDescent="0.25" r="274" customHeight="1" ht="17.25">
      <c r="A274" s="1"/>
      <c r="B274" s="60" t="s">
        <v>238</v>
      </c>
      <c r="C274" s="62">
        <v>104</v>
      </c>
      <c r="D274" s="55"/>
      <c r="E274" s="55">
        <f>B274</f>
      </c>
      <c r="F274" s="62">
        <f>C274</f>
      </c>
      <c r="G274" s="66">
        <f>F274/GETPIVOTDATA("Sexo",$B$141)</f>
      </c>
      <c r="H274" s="54"/>
      <c r="I274" s="57"/>
      <c r="J274" s="58"/>
      <c r="K274" s="57"/>
      <c r="L274" s="58"/>
      <c r="M274" s="55"/>
    </row>
    <row x14ac:dyDescent="0.25" r="275" customHeight="1" ht="17.25">
      <c r="A275" s="1"/>
      <c r="B275" s="60" t="s">
        <v>208</v>
      </c>
      <c r="C275" s="62">
        <v>63</v>
      </c>
      <c r="D275" s="55"/>
      <c r="E275" s="55">
        <f>B275</f>
      </c>
      <c r="F275" s="62">
        <f>C275</f>
      </c>
      <c r="G275" s="66">
        <f>F275/GETPIVOTDATA("Sexo",$B$141)</f>
      </c>
      <c r="H275" s="54"/>
      <c r="I275" s="57"/>
      <c r="J275" s="58"/>
      <c r="K275" s="57"/>
      <c r="L275" s="58"/>
      <c r="M275" s="55"/>
    </row>
    <row x14ac:dyDescent="0.25" r="276" customHeight="1" ht="17.25">
      <c r="A276" s="1"/>
      <c r="B276" s="60" t="s">
        <v>154</v>
      </c>
      <c r="C276" s="62">
        <v>420</v>
      </c>
      <c r="D276" s="55"/>
      <c r="E276" s="67" t="s">
        <v>171</v>
      </c>
      <c r="F276" s="68">
        <f>C276</f>
      </c>
      <c r="G276" s="69">
        <f>F276/GETPIVOTDATA("Sexo",$B$141)</f>
      </c>
      <c r="H276" s="54"/>
      <c r="I276" s="57"/>
      <c r="J276" s="58"/>
      <c r="K276" s="57"/>
      <c r="L276" s="58"/>
      <c r="M276" s="55"/>
    </row>
    <row x14ac:dyDescent="0.25" r="277" customHeight="1" ht="17.25">
      <c r="A277" s="1"/>
      <c r="B277" s="54"/>
      <c r="C277" s="55"/>
      <c r="D277" s="55"/>
      <c r="E277" s="55"/>
      <c r="F277" s="55"/>
      <c r="G277" s="56"/>
      <c r="H277" s="54"/>
      <c r="I277" s="57"/>
      <c r="J277" s="58"/>
      <c r="K277" s="57"/>
      <c r="L277" s="58"/>
      <c r="M277" s="55"/>
    </row>
    <row x14ac:dyDescent="0.25" r="278" customHeight="1" ht="17.25">
      <c r="A278" s="1"/>
      <c r="B278" s="54" t="s">
        <v>74</v>
      </c>
      <c r="C278" s="55" t="s">
        <v>239</v>
      </c>
      <c r="D278" s="55"/>
      <c r="E278" s="63" t="s">
        <v>240</v>
      </c>
      <c r="F278" s="64" t="s">
        <v>169</v>
      </c>
      <c r="G278" s="65" t="s">
        <v>23</v>
      </c>
      <c r="H278" s="54"/>
      <c r="I278" s="57"/>
      <c r="J278" s="58"/>
      <c r="K278" s="57"/>
      <c r="L278" s="58"/>
      <c r="M278" s="55"/>
    </row>
    <row x14ac:dyDescent="0.25" r="279" customHeight="1" ht="17.25">
      <c r="A279" s="1"/>
      <c r="B279" s="60" t="s">
        <v>36</v>
      </c>
      <c r="C279" s="62">
        <v>158</v>
      </c>
      <c r="D279" s="55"/>
      <c r="E279" s="55" t="s">
        <v>36</v>
      </c>
      <c r="F279" s="83">
        <f>C279</f>
      </c>
      <c r="G279" s="84">
        <f>F279/GETPIVOTDATA("Sexo",$B$141)</f>
      </c>
      <c r="H279" s="54"/>
      <c r="I279" s="57"/>
      <c r="J279" s="58"/>
      <c r="K279" s="57"/>
      <c r="L279" s="58"/>
      <c r="M279" s="55"/>
    </row>
    <row x14ac:dyDescent="0.25" r="280" customHeight="1" ht="17.25">
      <c r="A280" s="1"/>
      <c r="B280" s="60" t="s">
        <v>206</v>
      </c>
      <c r="C280" s="62">
        <v>95</v>
      </c>
      <c r="D280" s="55"/>
      <c r="E280" s="55" t="s">
        <v>206</v>
      </c>
      <c r="F280" s="62">
        <f>C280</f>
      </c>
      <c r="G280" s="66">
        <f>F280/GETPIVOTDATA("Sexo",$B$141)</f>
      </c>
      <c r="H280" s="54"/>
      <c r="I280" s="57"/>
      <c r="J280" s="58"/>
      <c r="K280" s="57"/>
      <c r="L280" s="58"/>
      <c r="M280" s="55"/>
    </row>
    <row x14ac:dyDescent="0.25" r="281" customHeight="1" ht="17.25">
      <c r="A281" s="1"/>
      <c r="B281" s="60" t="s">
        <v>241</v>
      </c>
      <c r="C281" s="62">
        <v>167</v>
      </c>
      <c r="D281" s="55"/>
      <c r="E281" s="86" t="s">
        <v>241</v>
      </c>
      <c r="F281" s="80">
        <f>C281</f>
      </c>
      <c r="G281" s="79">
        <f>F281/GETPIVOTDATA("Sexo",$B$141)</f>
      </c>
      <c r="H281" s="54"/>
      <c r="I281" s="57"/>
      <c r="J281" s="58"/>
      <c r="K281" s="57"/>
      <c r="L281" s="58"/>
      <c r="M281" s="55"/>
    </row>
    <row x14ac:dyDescent="0.25" r="282" customHeight="1" ht="17.25">
      <c r="A282" s="1"/>
      <c r="B282" s="60" t="s">
        <v>154</v>
      </c>
      <c r="C282" s="62">
        <v>420</v>
      </c>
      <c r="D282" s="55"/>
      <c r="E282" s="67" t="s">
        <v>171</v>
      </c>
      <c r="F282" s="68">
        <f>C282</f>
      </c>
      <c r="G282" s="69">
        <f>F282/GETPIVOTDATA("Sexo",$B$141)</f>
      </c>
      <c r="H282" s="54"/>
      <c r="I282" s="57"/>
      <c r="J282" s="58"/>
      <c r="K282" s="57"/>
      <c r="L282" s="58"/>
      <c r="M282" s="55"/>
    </row>
    <row x14ac:dyDescent="0.25" r="283" customHeight="1" ht="17.25">
      <c r="A283" s="1"/>
      <c r="B283" s="54"/>
      <c r="C283" s="55"/>
      <c r="D283" s="55"/>
      <c r="E283" s="55"/>
      <c r="F283" s="55"/>
      <c r="G283" s="56"/>
      <c r="H283" s="54"/>
      <c r="I283" s="57"/>
      <c r="J283" s="58"/>
      <c r="K283" s="57"/>
      <c r="L283" s="58"/>
      <c r="M283" s="55"/>
    </row>
    <row x14ac:dyDescent="0.25" r="284" customHeight="1" ht="17.25">
      <c r="A284" s="1"/>
      <c r="B284" s="54" t="s">
        <v>242</v>
      </c>
      <c r="C284" s="55" t="s">
        <v>243</v>
      </c>
      <c r="D284" s="55" t="s">
        <v>244</v>
      </c>
      <c r="E284" s="55" t="s">
        <v>245</v>
      </c>
      <c r="F284" s="55" t="s">
        <v>246</v>
      </c>
      <c r="G284" s="56"/>
      <c r="H284" s="70" t="s">
        <v>188</v>
      </c>
      <c r="I284" s="70" t="s">
        <v>189</v>
      </c>
      <c r="J284" s="69" t="s">
        <v>190</v>
      </c>
      <c r="K284" s="70" t="s">
        <v>191</v>
      </c>
      <c r="L284" s="69" t="s">
        <v>192</v>
      </c>
      <c r="M284" s="67" t="s">
        <v>193</v>
      </c>
    </row>
    <row x14ac:dyDescent="0.25" r="285" customHeight="1" ht="17.25">
      <c r="A285" s="1"/>
      <c r="B285" s="62">
        <v>420</v>
      </c>
      <c r="C285" s="71">
        <v>49.77087301587301</v>
      </c>
      <c r="D285" s="62">
        <v>0</v>
      </c>
      <c r="E285" s="62">
        <v>372</v>
      </c>
      <c r="F285" s="71">
        <v>44.67997653462004</v>
      </c>
      <c r="G285" s="56"/>
      <c r="H285" s="70" t="s">
        <v>247</v>
      </c>
      <c r="I285" s="68">
        <f>B285</f>
      </c>
      <c r="J285" s="72">
        <f>C285</f>
      </c>
      <c r="K285" s="68">
        <f>D285</f>
      </c>
      <c r="L285" s="68">
        <f>E285</f>
      </c>
      <c r="M285" s="73">
        <f>F285</f>
      </c>
    </row>
    <row x14ac:dyDescent="0.25" r="286" customHeight="1" ht="17.25">
      <c r="A286" s="1"/>
      <c r="B286" s="54"/>
      <c r="C286" s="55"/>
      <c r="D286" s="55"/>
      <c r="E286" s="55"/>
      <c r="F286" s="55"/>
      <c r="G286" s="56"/>
      <c r="H286" s="54" t="s">
        <v>248</v>
      </c>
      <c r="I286" s="57"/>
      <c r="J286" s="58"/>
      <c r="K286" s="57"/>
      <c r="L286" s="58"/>
      <c r="M286" s="55"/>
    </row>
    <row x14ac:dyDescent="0.25" r="287" customHeight="1" ht="17.25">
      <c r="A287" s="1"/>
      <c r="B287" s="54"/>
      <c r="C287" s="55"/>
      <c r="D287" s="55"/>
      <c r="E287" s="55"/>
      <c r="F287" s="55"/>
      <c r="G287" s="56"/>
      <c r="H287" s="54"/>
      <c r="I287" s="57"/>
      <c r="J287" s="58"/>
      <c r="K287" s="57"/>
      <c r="L287" s="58"/>
      <c r="M287" s="55"/>
    </row>
    <row x14ac:dyDescent="0.25" r="288" customHeight="1" ht="17.25">
      <c r="A288" s="1"/>
      <c r="B288" s="54"/>
      <c r="C288" s="55"/>
      <c r="D288" s="55"/>
      <c r="E288" s="55"/>
      <c r="F288" s="55"/>
      <c r="G288" s="56"/>
      <c r="H288" s="54"/>
      <c r="I288" s="57"/>
      <c r="J288" s="58"/>
      <c r="K288" s="57"/>
      <c r="L288" s="58"/>
      <c r="M288" s="55"/>
    </row>
    <row x14ac:dyDescent="0.25" r="289" customHeight="1" ht="17.25">
      <c r="A289" s="1"/>
      <c r="B289" s="54" t="s">
        <v>249</v>
      </c>
      <c r="C289" s="55" t="s">
        <v>250</v>
      </c>
      <c r="D289" s="55"/>
      <c r="E289" s="55"/>
      <c r="F289" s="55"/>
      <c r="G289" s="56"/>
      <c r="H289" s="54"/>
      <c r="I289" s="57"/>
      <c r="J289" s="58"/>
      <c r="K289" s="57"/>
      <c r="L289" s="58"/>
      <c r="M289" s="55"/>
    </row>
    <row x14ac:dyDescent="0.25" r="290" customHeight="1" ht="17.25">
      <c r="A290" s="1"/>
      <c r="B290" s="54"/>
      <c r="C290" s="55"/>
      <c r="D290" s="55"/>
      <c r="E290" s="55"/>
      <c r="F290" s="55"/>
      <c r="G290" s="56"/>
      <c r="H290" s="54"/>
      <c r="I290" s="57"/>
      <c r="J290" s="58"/>
      <c r="K290" s="57"/>
      <c r="L290" s="58"/>
      <c r="M290" s="55"/>
    </row>
    <row x14ac:dyDescent="0.25" r="291" customHeight="1" ht="17.25">
      <c r="A291" s="1"/>
      <c r="B291" s="54" t="s">
        <v>242</v>
      </c>
      <c r="C291" s="55" t="s">
        <v>243</v>
      </c>
      <c r="D291" s="55" t="s">
        <v>244</v>
      </c>
      <c r="E291" s="55" t="s">
        <v>245</v>
      </c>
      <c r="F291" s="55" t="s">
        <v>246</v>
      </c>
      <c r="G291" s="56"/>
      <c r="H291" s="70" t="s">
        <v>188</v>
      </c>
      <c r="I291" s="70" t="s">
        <v>189</v>
      </c>
      <c r="J291" s="69" t="s">
        <v>190</v>
      </c>
      <c r="K291" s="70" t="s">
        <v>191</v>
      </c>
      <c r="L291" s="69" t="s">
        <v>192</v>
      </c>
      <c r="M291" s="67" t="s">
        <v>193</v>
      </c>
    </row>
    <row x14ac:dyDescent="0.25" r="292" customHeight="1" ht="17.25">
      <c r="A292" s="1"/>
      <c r="B292" s="62">
        <v>359</v>
      </c>
      <c r="C292" s="71">
        <v>58.22776230269265</v>
      </c>
      <c r="D292" s="62">
        <v>4</v>
      </c>
      <c r="E292" s="62">
        <v>372</v>
      </c>
      <c r="F292" s="71">
        <v>42.92610861303909</v>
      </c>
      <c r="G292" s="56"/>
      <c r="H292" s="70" t="s">
        <v>247</v>
      </c>
      <c r="I292" s="68">
        <f>B292</f>
      </c>
      <c r="J292" s="72">
        <f>C292</f>
      </c>
      <c r="K292" s="68">
        <f>D292</f>
      </c>
      <c r="L292" s="68">
        <f>E292</f>
      </c>
      <c r="M292" s="73">
        <f>F292</f>
      </c>
    </row>
    <row x14ac:dyDescent="0.25" r="293" customHeight="1" ht="17.25">
      <c r="A293" s="1"/>
      <c r="B293" s="54"/>
      <c r="C293" s="55"/>
      <c r="D293" s="55"/>
      <c r="E293" s="55"/>
      <c r="F293" s="55"/>
      <c r="G293" s="56"/>
      <c r="H293" s="54" t="s">
        <v>251</v>
      </c>
      <c r="I293" s="57"/>
      <c r="J293" s="58"/>
      <c r="K293" s="57"/>
      <c r="L293" s="58"/>
      <c r="M293" s="55"/>
    </row>
    <row x14ac:dyDescent="0.25" r="294" customHeight="1" ht="17.25">
      <c r="A294" s="1"/>
      <c r="B294" s="54"/>
      <c r="C294" s="55"/>
      <c r="D294" s="55"/>
      <c r="E294" s="55"/>
      <c r="F294" s="55"/>
      <c r="G294" s="56"/>
      <c r="H294" s="54"/>
      <c r="I294" s="57"/>
      <c r="J294" s="58"/>
      <c r="K294" s="57"/>
      <c r="L294" s="58"/>
      <c r="M294" s="55"/>
    </row>
    <row x14ac:dyDescent="0.25" r="295" customHeight="1" ht="17.25">
      <c r="A295" s="1"/>
      <c r="B295" s="54" t="s">
        <v>252</v>
      </c>
      <c r="C295" s="55" t="s">
        <v>253</v>
      </c>
      <c r="D295" s="55" t="s">
        <v>254</v>
      </c>
      <c r="E295" s="55" t="s">
        <v>255</v>
      </c>
      <c r="F295" s="55" t="s">
        <v>256</v>
      </c>
      <c r="G295" s="56"/>
      <c r="H295" s="70" t="s">
        <v>188</v>
      </c>
      <c r="I295" s="70" t="s">
        <v>189</v>
      </c>
      <c r="J295" s="69" t="s">
        <v>190</v>
      </c>
      <c r="K295" s="70" t="s">
        <v>191</v>
      </c>
      <c r="L295" s="69" t="s">
        <v>192</v>
      </c>
      <c r="M295" s="67" t="s">
        <v>193</v>
      </c>
    </row>
    <row x14ac:dyDescent="0.25" r="296" customHeight="1" ht="17.25">
      <c r="A296" s="1"/>
      <c r="B296" s="62">
        <v>420</v>
      </c>
      <c r="C296" s="71">
        <v>45.049523809523784</v>
      </c>
      <c r="D296" s="62">
        <v>0</v>
      </c>
      <c r="E296" s="62">
        <v>180</v>
      </c>
      <c r="F296" s="71">
        <v>31.976659186581458</v>
      </c>
      <c r="G296" s="56"/>
      <c r="H296" s="70" t="s">
        <v>257</v>
      </c>
      <c r="I296" s="68">
        <f>B296</f>
      </c>
      <c r="J296" s="72">
        <f>C296</f>
      </c>
      <c r="K296" s="68">
        <f>D296</f>
      </c>
      <c r="L296" s="68">
        <f>E296</f>
      </c>
      <c r="M296" s="73">
        <f>F296</f>
      </c>
    </row>
    <row x14ac:dyDescent="0.25" r="297" customHeight="1" ht="17.25">
      <c r="A297" s="1"/>
      <c r="B297" s="54"/>
      <c r="C297" s="55"/>
      <c r="D297" s="55"/>
      <c r="E297" s="55"/>
      <c r="F297" s="55"/>
      <c r="G297" s="56"/>
      <c r="H297" s="54" t="s">
        <v>258</v>
      </c>
      <c r="I297" s="57"/>
      <c r="J297" s="58"/>
      <c r="K297" s="57"/>
      <c r="L297" s="58"/>
      <c r="M297" s="55"/>
    </row>
    <row x14ac:dyDescent="0.25" r="298" customHeight="1" ht="17.25">
      <c r="A298" s="1"/>
      <c r="B298" s="54"/>
      <c r="C298" s="55"/>
      <c r="D298" s="55"/>
      <c r="E298" s="55"/>
      <c r="F298" s="55"/>
      <c r="G298" s="56"/>
      <c r="H298" s="54"/>
      <c r="I298" s="57"/>
      <c r="J298" s="58"/>
      <c r="K298" s="57"/>
      <c r="L298" s="58"/>
      <c r="M298" s="55"/>
    </row>
    <row x14ac:dyDescent="0.25" r="299" customHeight="1" ht="17.25">
      <c r="A299" s="1"/>
      <c r="B299" s="54"/>
      <c r="C299" s="55"/>
      <c r="D299" s="55"/>
      <c r="E299" s="55"/>
      <c r="F299" s="55"/>
      <c r="G299" s="56"/>
      <c r="H299" s="54"/>
      <c r="I299" s="57"/>
      <c r="J299" s="58"/>
      <c r="K299" s="57"/>
      <c r="L299" s="58"/>
      <c r="M299" s="55"/>
    </row>
    <row x14ac:dyDescent="0.25" r="300" customHeight="1" ht="17.25">
      <c r="A300" s="1"/>
      <c r="B300" s="54" t="s">
        <v>259</v>
      </c>
      <c r="C300" s="55" t="s">
        <v>250</v>
      </c>
      <c r="D300" s="55"/>
      <c r="E300" s="55"/>
      <c r="F300" s="55"/>
      <c r="G300" s="56"/>
      <c r="H300" s="54"/>
      <c r="I300" s="57"/>
      <c r="J300" s="58"/>
      <c r="K300" s="57"/>
      <c r="L300" s="58"/>
      <c r="M300" s="55"/>
    </row>
    <row x14ac:dyDescent="0.25" r="301" customHeight="1" ht="17.25">
      <c r="A301" s="1"/>
      <c r="B301" s="54"/>
      <c r="C301" s="55"/>
      <c r="D301" s="55"/>
      <c r="E301" s="55"/>
      <c r="F301" s="55"/>
      <c r="G301" s="56"/>
      <c r="H301" s="54"/>
      <c r="I301" s="57"/>
      <c r="J301" s="58"/>
      <c r="K301" s="57"/>
      <c r="L301" s="58"/>
      <c r="M301" s="55"/>
    </row>
    <row x14ac:dyDescent="0.25" r="302" customHeight="1" ht="17.25">
      <c r="A302" s="1"/>
      <c r="B302" s="54" t="s">
        <v>252</v>
      </c>
      <c r="C302" s="55" t="s">
        <v>253</v>
      </c>
      <c r="D302" s="55" t="s">
        <v>254</v>
      </c>
      <c r="E302" s="55" t="s">
        <v>255</v>
      </c>
      <c r="F302" s="55" t="s">
        <v>256</v>
      </c>
      <c r="G302" s="56"/>
      <c r="H302" s="70" t="s">
        <v>188</v>
      </c>
      <c r="I302" s="70" t="s">
        <v>189</v>
      </c>
      <c r="J302" s="69" t="s">
        <v>190</v>
      </c>
      <c r="K302" s="70" t="s">
        <v>191</v>
      </c>
      <c r="L302" s="69" t="s">
        <v>192</v>
      </c>
      <c r="M302" s="67" t="s">
        <v>193</v>
      </c>
    </row>
    <row x14ac:dyDescent="0.25" r="303" customHeight="1" ht="17.25">
      <c r="A303" s="1"/>
      <c r="B303" s="62">
        <v>357</v>
      </c>
      <c r="C303" s="71">
        <v>52.99943977591033</v>
      </c>
      <c r="D303" s="62">
        <v>20</v>
      </c>
      <c r="E303" s="62">
        <v>180</v>
      </c>
      <c r="F303" s="71">
        <v>27.945148470371205</v>
      </c>
      <c r="G303" s="56"/>
      <c r="H303" s="70" t="s">
        <v>257</v>
      </c>
      <c r="I303" s="68">
        <f>B303</f>
      </c>
      <c r="J303" s="72">
        <f>C303</f>
      </c>
      <c r="K303" s="73">
        <f>D303</f>
      </c>
      <c r="L303" s="68">
        <f>E303</f>
      </c>
      <c r="M303" s="73">
        <f>F303</f>
      </c>
    </row>
    <row x14ac:dyDescent="0.25" r="304" customHeight="1" ht="17.25">
      <c r="A304" s="1"/>
      <c r="B304" s="54"/>
      <c r="C304" s="55"/>
      <c r="D304" s="55"/>
      <c r="E304" s="55"/>
      <c r="F304" s="55"/>
      <c r="G304" s="56"/>
      <c r="H304" s="54" t="s">
        <v>260</v>
      </c>
      <c r="I304" s="57"/>
      <c r="J304" s="58"/>
      <c r="K304" s="57"/>
      <c r="L304" s="58"/>
      <c r="M304" s="55"/>
    </row>
    <row x14ac:dyDescent="0.25" r="305" customHeight="1" ht="17.25">
      <c r="A305" s="1"/>
      <c r="B305" s="54"/>
      <c r="C305" s="55"/>
      <c r="D305" s="55"/>
      <c r="E305" s="55"/>
      <c r="F305" s="55"/>
      <c r="G305" s="56"/>
      <c r="H305" s="54"/>
      <c r="I305" s="57"/>
      <c r="J305" s="58"/>
      <c r="K305" s="57"/>
      <c r="L305" s="58"/>
      <c r="M305" s="55"/>
    </row>
    <row x14ac:dyDescent="0.25" r="306" customHeight="1" ht="17.25">
      <c r="A306" s="1"/>
      <c r="B306" s="54" t="s">
        <v>261</v>
      </c>
      <c r="C306" s="55" t="s">
        <v>262</v>
      </c>
      <c r="D306" s="55" t="s">
        <v>263</v>
      </c>
      <c r="E306" s="55" t="s">
        <v>264</v>
      </c>
      <c r="F306" s="55" t="s">
        <v>265</v>
      </c>
      <c r="G306" s="56"/>
      <c r="H306" s="70" t="s">
        <v>188</v>
      </c>
      <c r="I306" s="70" t="s">
        <v>189</v>
      </c>
      <c r="J306" s="69" t="s">
        <v>190</v>
      </c>
      <c r="K306" s="70" t="s">
        <v>191</v>
      </c>
      <c r="L306" s="69" t="s">
        <v>192</v>
      </c>
      <c r="M306" s="67" t="s">
        <v>193</v>
      </c>
    </row>
    <row x14ac:dyDescent="0.25" r="307" customHeight="1" ht="17.25">
      <c r="A307" s="1"/>
      <c r="B307" s="62">
        <v>420</v>
      </c>
      <c r="C307" s="71">
        <v>3323.871380952379</v>
      </c>
      <c r="D307" s="62">
        <v>0</v>
      </c>
      <c r="E307" s="62">
        <v>209300</v>
      </c>
      <c r="F307" s="71">
        <v>21777.78313826368</v>
      </c>
      <c r="G307" s="56"/>
      <c r="H307" s="70" t="s">
        <v>5</v>
      </c>
      <c r="I307" s="68">
        <f>B307</f>
      </c>
      <c r="J307" s="72">
        <f>C307</f>
      </c>
      <c r="K307" s="73">
        <f>D307</f>
      </c>
      <c r="L307" s="68">
        <f>E307</f>
      </c>
      <c r="M307" s="73">
        <f>F307</f>
      </c>
    </row>
    <row x14ac:dyDescent="0.25" r="308" customHeight="1" ht="17.25">
      <c r="A308" s="1"/>
      <c r="B308" s="54"/>
      <c r="C308" s="55"/>
      <c r="D308" s="55"/>
      <c r="E308" s="55"/>
      <c r="F308" s="55"/>
      <c r="G308" s="56"/>
      <c r="H308" s="54" t="s">
        <v>266</v>
      </c>
      <c r="I308" s="57"/>
      <c r="J308" s="58"/>
      <c r="K308" s="57"/>
      <c r="L308" s="58"/>
      <c r="M308" s="55"/>
    </row>
    <row x14ac:dyDescent="0.25" r="309" customHeight="1" ht="17.25">
      <c r="A309" s="1"/>
      <c r="B309" s="54"/>
      <c r="C309" s="55"/>
      <c r="D309" s="55"/>
      <c r="E309" s="55"/>
      <c r="F309" s="55"/>
      <c r="G309" s="56"/>
      <c r="H309" s="54"/>
      <c r="I309" s="57"/>
      <c r="J309" s="58"/>
      <c r="K309" s="57"/>
      <c r="L309" s="58"/>
      <c r="M309" s="55"/>
    </row>
    <row x14ac:dyDescent="0.25" r="310" customHeight="1" ht="17.25">
      <c r="A310" s="1"/>
      <c r="B310" s="54" t="s">
        <v>5</v>
      </c>
      <c r="C310" s="55" t="s">
        <v>250</v>
      </c>
      <c r="D310" s="55"/>
      <c r="E310" s="55"/>
      <c r="F310" s="55"/>
      <c r="G310" s="56"/>
      <c r="H310" s="54"/>
      <c r="I310" s="57"/>
      <c r="J310" s="58"/>
      <c r="K310" s="57"/>
      <c r="L310" s="58"/>
      <c r="M310" s="55"/>
    </row>
    <row x14ac:dyDescent="0.25" r="311" customHeight="1" ht="17.25">
      <c r="A311" s="1"/>
      <c r="B311" s="54"/>
      <c r="C311" s="55"/>
      <c r="D311" s="55"/>
      <c r="E311" s="55"/>
      <c r="F311" s="55"/>
      <c r="G311" s="56"/>
      <c r="H311" s="54"/>
      <c r="I311" s="57"/>
      <c r="J311" s="58"/>
      <c r="K311" s="57"/>
      <c r="L311" s="58"/>
      <c r="M311" s="55"/>
    </row>
    <row x14ac:dyDescent="0.25" r="312" customHeight="1" ht="17.25">
      <c r="A312" s="1"/>
      <c r="B312" s="54" t="s">
        <v>261</v>
      </c>
      <c r="C312" s="55" t="s">
        <v>262</v>
      </c>
      <c r="D312" s="55" t="s">
        <v>263</v>
      </c>
      <c r="E312" s="55" t="s">
        <v>264</v>
      </c>
      <c r="F312" s="55" t="s">
        <v>265</v>
      </c>
      <c r="G312" s="56"/>
      <c r="H312" s="70" t="s">
        <v>188</v>
      </c>
      <c r="I312" s="70" t="s">
        <v>189</v>
      </c>
      <c r="J312" s="69" t="s">
        <v>190</v>
      </c>
      <c r="K312" s="70" t="s">
        <v>191</v>
      </c>
      <c r="L312" s="69" t="s">
        <v>192</v>
      </c>
      <c r="M312" s="67" t="s">
        <v>193</v>
      </c>
    </row>
    <row x14ac:dyDescent="0.25" r="313" customHeight="1" ht="17.25">
      <c r="A313" s="1"/>
      <c r="B313" s="62">
        <v>290</v>
      </c>
      <c r="C313" s="71">
        <v>4813.882689655172</v>
      </c>
      <c r="D313" s="71">
        <v>0.7</v>
      </c>
      <c r="E313" s="62">
        <v>209300</v>
      </c>
      <c r="F313" s="71">
        <v>26084.757099483144</v>
      </c>
      <c r="G313" s="56"/>
      <c r="H313" s="70" t="s">
        <v>5</v>
      </c>
      <c r="I313" s="68">
        <f>B313</f>
      </c>
      <c r="J313" s="72">
        <f>C313</f>
      </c>
      <c r="K313" s="73">
        <f>D313</f>
      </c>
      <c r="L313" s="68">
        <f>E313</f>
      </c>
      <c r="M313" s="73">
        <f>F313</f>
      </c>
    </row>
    <row x14ac:dyDescent="0.25" r="314" customHeight="1" ht="17.25">
      <c r="A314" s="1"/>
      <c r="B314" s="54"/>
      <c r="C314" s="55"/>
      <c r="D314" s="55"/>
      <c r="E314" s="55"/>
      <c r="F314" s="55"/>
      <c r="G314" s="56"/>
      <c r="H314" s="54" t="s">
        <v>267</v>
      </c>
      <c r="I314" s="57"/>
      <c r="J314" s="58"/>
      <c r="K314" s="57"/>
      <c r="L314" s="58"/>
      <c r="M314" s="55"/>
    </row>
    <row x14ac:dyDescent="0.25" r="315" customHeight="1" ht="17.25">
      <c r="A315" s="1"/>
      <c r="B315" s="54"/>
      <c r="C315" s="55"/>
      <c r="D315" s="55"/>
      <c r="E315" s="55"/>
      <c r="F315" s="55"/>
      <c r="G315" s="56"/>
      <c r="H315" s="54"/>
      <c r="I315" s="57"/>
      <c r="J315" s="58"/>
      <c r="K315" s="57"/>
      <c r="L315" s="58"/>
      <c r="M315" s="55"/>
    </row>
    <row x14ac:dyDescent="0.25" r="316" customHeight="1" ht="17.25">
      <c r="A316" s="1"/>
      <c r="B316" s="54"/>
      <c r="C316" s="55"/>
      <c r="D316" s="55"/>
      <c r="E316" s="55"/>
      <c r="F316" s="55"/>
      <c r="G316" s="56"/>
      <c r="H316" s="54"/>
      <c r="I316" s="57"/>
      <c r="J316" s="58"/>
      <c r="K316" s="57"/>
      <c r="L316" s="58"/>
      <c r="M316" s="55"/>
    </row>
    <row x14ac:dyDescent="0.25" r="317" customHeight="1" ht="17.25">
      <c r="A317" s="1"/>
      <c r="B317" s="54"/>
      <c r="C317" s="55"/>
      <c r="D317" s="55"/>
      <c r="E317" s="55"/>
      <c r="F317" s="55"/>
      <c r="G317" s="56"/>
      <c r="H317" s="54"/>
      <c r="I317" s="57"/>
      <c r="J317" s="58"/>
      <c r="K317" s="57"/>
      <c r="L317" s="58"/>
      <c r="M317" s="55"/>
    </row>
    <row x14ac:dyDescent="0.25" r="318" customHeight="1" ht="17.25">
      <c r="A318" s="1"/>
      <c r="B318" s="54"/>
      <c r="C318" s="55"/>
      <c r="D318" s="55"/>
      <c r="E318" s="55"/>
      <c r="F318" s="55"/>
      <c r="G318" s="56"/>
      <c r="H318" s="54"/>
      <c r="I318" s="57"/>
      <c r="J318" s="58"/>
      <c r="K318" s="57"/>
      <c r="L318" s="58"/>
      <c r="M318" s="55"/>
    </row>
    <row x14ac:dyDescent="0.25" r="319" customHeight="1" ht="17.25">
      <c r="A319" s="1"/>
      <c r="B319" s="54"/>
      <c r="C319" s="55"/>
      <c r="D319" s="55"/>
      <c r="E319" s="55"/>
      <c r="F319" s="55"/>
      <c r="G319" s="56"/>
      <c r="H319" s="54"/>
      <c r="I319" s="57"/>
      <c r="J319" s="58"/>
      <c r="K319" s="57"/>
      <c r="L319" s="58"/>
      <c r="M319" s="55"/>
    </row>
    <row x14ac:dyDescent="0.25" r="320" customHeight="1" ht="17.25">
      <c r="A320" s="1"/>
      <c r="B320" s="54" t="s">
        <v>268</v>
      </c>
      <c r="C320" s="55" t="s">
        <v>269</v>
      </c>
      <c r="D320" s="55" t="s">
        <v>270</v>
      </c>
      <c r="E320" s="55" t="s">
        <v>271</v>
      </c>
      <c r="F320" s="55" t="s">
        <v>272</v>
      </c>
      <c r="G320" s="56"/>
      <c r="H320" s="70" t="s">
        <v>188</v>
      </c>
      <c r="I320" s="70" t="s">
        <v>189</v>
      </c>
      <c r="J320" s="69" t="s">
        <v>190</v>
      </c>
      <c r="K320" s="70" t="s">
        <v>191</v>
      </c>
      <c r="L320" s="69" t="s">
        <v>192</v>
      </c>
      <c r="M320" s="67" t="s">
        <v>193</v>
      </c>
    </row>
    <row x14ac:dyDescent="0.25" r="321" customHeight="1" ht="17.25">
      <c r="A321" s="1"/>
      <c r="B321" s="62">
        <v>420</v>
      </c>
      <c r="C321" s="71">
        <v>860.444047619048</v>
      </c>
      <c r="D321" s="62">
        <v>0</v>
      </c>
      <c r="E321" s="62">
        <v>45962</v>
      </c>
      <c r="F321" s="62">
        <v>420</v>
      </c>
      <c r="G321" s="56"/>
      <c r="H321" s="70" t="s">
        <v>6</v>
      </c>
      <c r="I321" s="68">
        <f>B321</f>
      </c>
      <c r="J321" s="72">
        <f>C321</f>
      </c>
      <c r="K321" s="73">
        <f>D321</f>
      </c>
      <c r="L321" s="68">
        <f>E321</f>
      </c>
      <c r="M321" s="73">
        <f>F321</f>
      </c>
    </row>
    <row x14ac:dyDescent="0.25" r="322" customHeight="1" ht="17.25">
      <c r="A322" s="1"/>
      <c r="B322" s="54"/>
      <c r="C322" s="55"/>
      <c r="D322" s="55"/>
      <c r="E322" s="55"/>
      <c r="F322" s="55"/>
      <c r="G322" s="56"/>
      <c r="H322" s="54" t="s">
        <v>266</v>
      </c>
      <c r="I322" s="57"/>
      <c r="J322" s="58"/>
      <c r="K322" s="57"/>
      <c r="L322" s="58"/>
      <c r="M322" s="55"/>
    </row>
    <row x14ac:dyDescent="0.25" r="323" customHeight="1" ht="17.25">
      <c r="A323" s="1"/>
      <c r="B323" s="54"/>
      <c r="C323" s="55"/>
      <c r="D323" s="55"/>
      <c r="E323" s="55"/>
      <c r="F323" s="55"/>
      <c r="G323" s="56"/>
      <c r="H323" s="54"/>
      <c r="I323" s="57"/>
      <c r="J323" s="58"/>
      <c r="K323" s="57"/>
      <c r="L323" s="58"/>
      <c r="M323" s="55"/>
    </row>
    <row x14ac:dyDescent="0.25" r="324" customHeight="1" ht="17.25">
      <c r="A324" s="1"/>
      <c r="B324" s="54" t="s">
        <v>6</v>
      </c>
      <c r="C324" s="55" t="s">
        <v>250</v>
      </c>
      <c r="D324" s="55"/>
      <c r="E324" s="55"/>
      <c r="F324" s="55"/>
      <c r="G324" s="56"/>
      <c r="H324" s="54"/>
      <c r="I324" s="57"/>
      <c r="J324" s="58"/>
      <c r="K324" s="57"/>
      <c r="L324" s="58"/>
      <c r="M324" s="55"/>
    </row>
    <row x14ac:dyDescent="0.25" r="325" customHeight="1" ht="17.25">
      <c r="A325" s="1"/>
      <c r="B325" s="54"/>
      <c r="C325" s="55"/>
      <c r="D325" s="55"/>
      <c r="E325" s="55"/>
      <c r="F325" s="55"/>
      <c r="G325" s="56"/>
      <c r="H325" s="54"/>
      <c r="I325" s="57"/>
      <c r="J325" s="58"/>
      <c r="K325" s="57"/>
      <c r="L325" s="58"/>
      <c r="M325" s="55"/>
    </row>
    <row x14ac:dyDescent="0.25" r="326" customHeight="1" ht="17.25">
      <c r="A326" s="1"/>
      <c r="B326" s="54" t="s">
        <v>268</v>
      </c>
      <c r="C326" s="55" t="s">
        <v>269</v>
      </c>
      <c r="D326" s="55" t="s">
        <v>270</v>
      </c>
      <c r="E326" s="55" t="s">
        <v>271</v>
      </c>
      <c r="F326" s="55" t="s">
        <v>272</v>
      </c>
      <c r="G326" s="56"/>
      <c r="H326" s="70" t="s">
        <v>188</v>
      </c>
      <c r="I326" s="70" t="s">
        <v>189</v>
      </c>
      <c r="J326" s="69" t="s">
        <v>190</v>
      </c>
      <c r="K326" s="70" t="s">
        <v>191</v>
      </c>
      <c r="L326" s="69" t="s">
        <v>192</v>
      </c>
      <c r="M326" s="67" t="s">
        <v>193</v>
      </c>
    </row>
    <row x14ac:dyDescent="0.25" r="327" customHeight="1" ht="17.25">
      <c r="A327" s="1"/>
      <c r="B327" s="62">
        <v>314</v>
      </c>
      <c r="C327" s="71">
        <v>1150.912420382164</v>
      </c>
      <c r="D327" s="71">
        <v>0.3</v>
      </c>
      <c r="E327" s="62">
        <v>45962</v>
      </c>
      <c r="F327" s="62">
        <v>314</v>
      </c>
      <c r="G327" s="56"/>
      <c r="H327" s="70" t="s">
        <v>6</v>
      </c>
      <c r="I327" s="68">
        <f>B327</f>
      </c>
      <c r="J327" s="72">
        <f>C327</f>
      </c>
      <c r="K327" s="73">
        <f>D327</f>
      </c>
      <c r="L327" s="68">
        <f>E327</f>
      </c>
      <c r="M327" s="73">
        <f>F327</f>
      </c>
    </row>
    <row x14ac:dyDescent="0.25" r="328" customHeight="1" ht="17.25">
      <c r="A328" s="1"/>
      <c r="B328" s="54"/>
      <c r="C328" s="55"/>
      <c r="D328" s="55"/>
      <c r="E328" s="55"/>
      <c r="F328" s="55"/>
      <c r="G328" s="56"/>
      <c r="H328" s="54" t="s">
        <v>267</v>
      </c>
      <c r="I328" s="57"/>
      <c r="J328" s="58"/>
      <c r="K328" s="57"/>
      <c r="L328" s="58"/>
      <c r="M328" s="55"/>
    </row>
    <row x14ac:dyDescent="0.25" r="329" customHeight="1" ht="17.25">
      <c r="A329" s="1"/>
      <c r="B329" s="54"/>
      <c r="C329" s="55"/>
      <c r="D329" s="55"/>
      <c r="E329" s="55"/>
      <c r="F329" s="55"/>
      <c r="G329" s="56"/>
      <c r="H329" s="54"/>
      <c r="I329" s="57"/>
      <c r="J329" s="58"/>
      <c r="K329" s="57"/>
      <c r="L329" s="58"/>
      <c r="M329" s="55"/>
    </row>
    <row x14ac:dyDescent="0.25" r="330" customHeight="1" ht="17.25">
      <c r="A330" s="1"/>
      <c r="B330" s="54" t="s">
        <v>273</v>
      </c>
      <c r="C330" s="55" t="s">
        <v>274</v>
      </c>
      <c r="D330" s="55" t="s">
        <v>275</v>
      </c>
      <c r="E330" s="55" t="s">
        <v>276</v>
      </c>
      <c r="F330" s="55" t="s">
        <v>277</v>
      </c>
      <c r="G330" s="56"/>
      <c r="H330" s="70" t="s">
        <v>188</v>
      </c>
      <c r="I330" s="70" t="s">
        <v>189</v>
      </c>
      <c r="J330" s="69" t="s">
        <v>190</v>
      </c>
      <c r="K330" s="70" t="s">
        <v>191</v>
      </c>
      <c r="L330" s="69" t="s">
        <v>192</v>
      </c>
      <c r="M330" s="67" t="s">
        <v>193</v>
      </c>
    </row>
    <row x14ac:dyDescent="0.25" r="331" customHeight="1" ht="17.25">
      <c r="A331" s="1"/>
      <c r="B331" s="62">
        <v>420</v>
      </c>
      <c r="C331" s="71">
        <v>40.49492857142857</v>
      </c>
      <c r="D331" s="62">
        <v>0</v>
      </c>
      <c r="E331" s="71">
        <v>3334.6</v>
      </c>
      <c r="F331" s="71">
        <v>231.09518115275267</v>
      </c>
      <c r="G331" s="56"/>
      <c r="H331" s="70" t="s">
        <v>7</v>
      </c>
      <c r="I331" s="68">
        <f>B331</f>
      </c>
      <c r="J331" s="72">
        <f>C331</f>
      </c>
      <c r="K331" s="73">
        <f>D331</f>
      </c>
      <c r="L331" s="73">
        <f>E331</f>
      </c>
      <c r="M331" s="73">
        <f>F331</f>
      </c>
    </row>
    <row x14ac:dyDescent="0.25" r="332" customHeight="1" ht="17.25">
      <c r="A332" s="1"/>
      <c r="B332" s="54"/>
      <c r="C332" s="55"/>
      <c r="D332" s="55"/>
      <c r="E332" s="55"/>
      <c r="F332" s="55"/>
      <c r="G332" s="56"/>
      <c r="H332" s="54" t="s">
        <v>266</v>
      </c>
      <c r="I332" s="57"/>
      <c r="J332" s="58"/>
      <c r="K332" s="57"/>
      <c r="L332" s="58"/>
      <c r="M332" s="55"/>
    </row>
    <row x14ac:dyDescent="0.25" r="333" customHeight="1" ht="17.25">
      <c r="A333" s="1"/>
      <c r="B333" s="54" t="s">
        <v>7</v>
      </c>
      <c r="C333" s="55" t="s">
        <v>250</v>
      </c>
      <c r="D333" s="55"/>
      <c r="E333" s="55"/>
      <c r="F333" s="55"/>
      <c r="G333" s="56"/>
      <c r="H333" s="54"/>
      <c r="I333" s="57"/>
      <c r="J333" s="58"/>
      <c r="K333" s="57"/>
      <c r="L333" s="58"/>
      <c r="M333" s="55"/>
    </row>
    <row x14ac:dyDescent="0.25" r="334" customHeight="1" ht="17.25">
      <c r="A334" s="1"/>
      <c r="B334" s="54"/>
      <c r="C334" s="55"/>
      <c r="D334" s="55"/>
      <c r="E334" s="55"/>
      <c r="F334" s="55"/>
      <c r="G334" s="56"/>
      <c r="H334" s="54"/>
      <c r="I334" s="57"/>
      <c r="J334" s="58"/>
      <c r="K334" s="57"/>
      <c r="L334" s="58"/>
      <c r="M334" s="55"/>
    </row>
    <row x14ac:dyDescent="0.25" r="335" customHeight="1" ht="17.25">
      <c r="A335" s="1"/>
      <c r="B335" s="54" t="s">
        <v>273</v>
      </c>
      <c r="C335" s="55" t="s">
        <v>274</v>
      </c>
      <c r="D335" s="55" t="s">
        <v>275</v>
      </c>
      <c r="E335" s="55" t="s">
        <v>276</v>
      </c>
      <c r="F335" s="55" t="s">
        <v>277</v>
      </c>
      <c r="G335" s="56"/>
      <c r="H335" s="70" t="s">
        <v>188</v>
      </c>
      <c r="I335" s="70" t="s">
        <v>189</v>
      </c>
      <c r="J335" s="69" t="s">
        <v>190</v>
      </c>
      <c r="K335" s="70" t="s">
        <v>191</v>
      </c>
      <c r="L335" s="69" t="s">
        <v>192</v>
      </c>
      <c r="M335" s="67" t="s">
        <v>193</v>
      </c>
    </row>
    <row x14ac:dyDescent="0.25" r="336" customHeight="1" ht="17.25">
      <c r="A336" s="1"/>
      <c r="B336" s="62">
        <v>157</v>
      </c>
      <c r="C336" s="71">
        <v>108.33038216560512</v>
      </c>
      <c r="D336" s="71">
        <v>0.05</v>
      </c>
      <c r="E336" s="71">
        <v>3334.6</v>
      </c>
      <c r="F336" s="71">
        <v>368.84218705969806</v>
      </c>
      <c r="G336" s="56"/>
      <c r="H336" s="70" t="s">
        <v>7</v>
      </c>
      <c r="I336" s="68">
        <f>B336</f>
      </c>
      <c r="J336" s="72">
        <f>C336</f>
      </c>
      <c r="K336" s="73">
        <f>D336</f>
      </c>
      <c r="L336" s="73">
        <f>E336</f>
      </c>
      <c r="M336" s="73">
        <f>F336</f>
      </c>
    </row>
    <row x14ac:dyDescent="0.25" r="337" customHeight="1" ht="17.25">
      <c r="A337" s="1"/>
      <c r="B337" s="54"/>
      <c r="C337" s="55"/>
      <c r="D337" s="55"/>
      <c r="E337" s="55"/>
      <c r="F337" s="55"/>
      <c r="G337" s="56"/>
      <c r="H337" s="54" t="s">
        <v>267</v>
      </c>
      <c r="I337" s="57"/>
      <c r="J337" s="58"/>
      <c r="K337" s="57"/>
      <c r="L337" s="58"/>
      <c r="M337" s="55"/>
    </row>
    <row x14ac:dyDescent="0.25" r="338" customHeight="1" ht="17.25">
      <c r="A338" s="1"/>
      <c r="B338" s="54"/>
      <c r="C338" s="55"/>
      <c r="D338" s="55"/>
      <c r="E338" s="55"/>
      <c r="F338" s="55"/>
      <c r="G338" s="56"/>
      <c r="H338" s="54"/>
      <c r="I338" s="57"/>
      <c r="J338" s="58"/>
      <c r="K338" s="57"/>
      <c r="L338" s="58"/>
      <c r="M338" s="55"/>
    </row>
    <row x14ac:dyDescent="0.25" r="339" customHeight="1" ht="17.25">
      <c r="A339" s="1"/>
      <c r="B339" s="54" t="s">
        <v>278</v>
      </c>
      <c r="C339" s="55" t="s">
        <v>279</v>
      </c>
      <c r="D339" s="55" t="s">
        <v>280</v>
      </c>
      <c r="E339" s="55" t="s">
        <v>281</v>
      </c>
      <c r="F339" s="55" t="s">
        <v>282</v>
      </c>
      <c r="G339" s="56"/>
      <c r="H339" s="70" t="s">
        <v>188</v>
      </c>
      <c r="I339" s="70" t="s">
        <v>189</v>
      </c>
      <c r="J339" s="69" t="s">
        <v>190</v>
      </c>
      <c r="K339" s="70" t="s">
        <v>191</v>
      </c>
      <c r="L339" s="69" t="s">
        <v>192</v>
      </c>
      <c r="M339" s="67" t="s">
        <v>193</v>
      </c>
    </row>
    <row x14ac:dyDescent="0.25" r="340" customHeight="1" ht="17.25">
      <c r="A340" s="1"/>
      <c r="B340" s="62">
        <v>420</v>
      </c>
      <c r="C340" s="71">
        <v>1.8973809523809524</v>
      </c>
      <c r="D340" s="62">
        <v>0</v>
      </c>
      <c r="E340" s="71">
        <v>246.3</v>
      </c>
      <c r="F340" s="71">
        <v>20.78150379653647</v>
      </c>
      <c r="G340" s="56"/>
      <c r="H340" s="70" t="s">
        <v>8</v>
      </c>
      <c r="I340" s="68">
        <f>B340</f>
      </c>
      <c r="J340" s="72">
        <f>C340</f>
      </c>
      <c r="K340" s="73">
        <f>D340</f>
      </c>
      <c r="L340" s="73">
        <f>E340</f>
      </c>
      <c r="M340" s="73">
        <f>F340</f>
      </c>
    </row>
    <row x14ac:dyDescent="0.25" r="341" customHeight="1" ht="17.25">
      <c r="A341" s="1"/>
      <c r="B341" s="54"/>
      <c r="C341" s="55"/>
      <c r="D341" s="55"/>
      <c r="E341" s="55"/>
      <c r="F341" s="55"/>
      <c r="G341" s="56"/>
      <c r="H341" s="54" t="s">
        <v>266</v>
      </c>
      <c r="I341" s="57"/>
      <c r="J341" s="58"/>
      <c r="K341" s="57"/>
      <c r="L341" s="58"/>
      <c r="M341" s="55"/>
    </row>
    <row x14ac:dyDescent="0.25" r="342" customHeight="1" ht="17.25">
      <c r="A342" s="1"/>
      <c r="B342" s="54" t="s">
        <v>8</v>
      </c>
      <c r="C342" s="55" t="s">
        <v>250</v>
      </c>
      <c r="D342" s="55"/>
      <c r="E342" s="55"/>
      <c r="F342" s="55"/>
      <c r="G342" s="56"/>
      <c r="H342" s="54"/>
      <c r="I342" s="57"/>
      <c r="J342" s="58"/>
      <c r="K342" s="57"/>
      <c r="L342" s="58"/>
      <c r="M342" s="55"/>
    </row>
    <row x14ac:dyDescent="0.25" r="343" customHeight="1" ht="17.25">
      <c r="A343" s="1"/>
      <c r="B343" s="54"/>
      <c r="C343" s="55"/>
      <c r="D343" s="55"/>
      <c r="E343" s="55"/>
      <c r="F343" s="55"/>
      <c r="G343" s="56"/>
      <c r="H343" s="54"/>
      <c r="I343" s="57"/>
      <c r="J343" s="58"/>
      <c r="K343" s="57"/>
      <c r="L343" s="58"/>
      <c r="M343" s="55"/>
    </row>
    <row x14ac:dyDescent="0.25" r="344" customHeight="1" ht="17.25">
      <c r="A344" s="1"/>
      <c r="B344" s="54" t="s">
        <v>278</v>
      </c>
      <c r="C344" s="55" t="s">
        <v>279</v>
      </c>
      <c r="D344" s="55" t="s">
        <v>280</v>
      </c>
      <c r="E344" s="55" t="s">
        <v>281</v>
      </c>
      <c r="F344" s="55" t="s">
        <v>282</v>
      </c>
      <c r="G344" s="56"/>
      <c r="H344" s="70" t="s">
        <v>188</v>
      </c>
      <c r="I344" s="70" t="s">
        <v>189</v>
      </c>
      <c r="J344" s="69" t="s">
        <v>190</v>
      </c>
      <c r="K344" s="70" t="s">
        <v>191</v>
      </c>
      <c r="L344" s="69" t="s">
        <v>192</v>
      </c>
      <c r="M344" s="67" t="s">
        <v>193</v>
      </c>
    </row>
    <row x14ac:dyDescent="0.25" r="345" customHeight="1" ht="17.25">
      <c r="A345" s="1"/>
      <c r="B345" s="62">
        <v>13</v>
      </c>
      <c r="C345" s="71">
        <v>61.300000000000004</v>
      </c>
      <c r="D345" s="71">
        <v>0.4</v>
      </c>
      <c r="E345" s="71">
        <v>246.3</v>
      </c>
      <c r="F345" s="71">
        <v>105.52091419871861</v>
      </c>
      <c r="G345" s="56"/>
      <c r="H345" s="70" t="s">
        <v>8</v>
      </c>
      <c r="I345" s="68">
        <f>B345</f>
      </c>
      <c r="J345" s="72">
        <f>C345</f>
      </c>
      <c r="K345" s="73">
        <f>D345</f>
      </c>
      <c r="L345" s="73">
        <f>E345</f>
      </c>
      <c r="M345" s="73">
        <f>F345</f>
      </c>
    </row>
    <row x14ac:dyDescent="0.25" r="346" customHeight="1" ht="17.25">
      <c r="A346" s="1"/>
      <c r="B346" s="54"/>
      <c r="C346" s="55"/>
      <c r="D346" s="55"/>
      <c r="E346" s="55"/>
      <c r="F346" s="55"/>
      <c r="G346" s="56"/>
      <c r="H346" s="54" t="s">
        <v>267</v>
      </c>
      <c r="I346" s="57"/>
      <c r="J346" s="58"/>
      <c r="K346" s="57"/>
      <c r="L346" s="58"/>
      <c r="M346" s="55"/>
    </row>
    <row x14ac:dyDescent="0.25" r="347" customHeight="1" ht="17.25">
      <c r="A347" s="1"/>
      <c r="B347" s="54"/>
      <c r="C347" s="55"/>
      <c r="D347" s="55"/>
      <c r="E347" s="55"/>
      <c r="F347" s="55"/>
      <c r="G347" s="56"/>
      <c r="H347" s="54"/>
      <c r="I347" s="57"/>
      <c r="J347" s="58"/>
      <c r="K347" s="57"/>
      <c r="L347" s="58"/>
      <c r="M347" s="55"/>
    </row>
    <row x14ac:dyDescent="0.25" r="348" customHeight="1" ht="17.25">
      <c r="A348" s="1"/>
      <c r="B348" s="54" t="s">
        <v>283</v>
      </c>
      <c r="C348" s="55" t="s">
        <v>284</v>
      </c>
      <c r="D348" s="55" t="s">
        <v>285</v>
      </c>
      <c r="E348" s="55" t="s">
        <v>286</v>
      </c>
      <c r="F348" s="55" t="s">
        <v>287</v>
      </c>
      <c r="G348" s="56"/>
      <c r="H348" s="70" t="s">
        <v>188</v>
      </c>
      <c r="I348" s="70" t="s">
        <v>189</v>
      </c>
      <c r="J348" s="69" t="s">
        <v>190</v>
      </c>
      <c r="K348" s="70" t="s">
        <v>191</v>
      </c>
      <c r="L348" s="69" t="s">
        <v>192</v>
      </c>
      <c r="M348" s="67" t="s">
        <v>193</v>
      </c>
    </row>
    <row x14ac:dyDescent="0.25" r="349" customHeight="1" ht="17.25">
      <c r="A349" s="1"/>
      <c r="B349" s="62">
        <v>420</v>
      </c>
      <c r="C349" s="71">
        <v>0.028095238095238093</v>
      </c>
      <c r="D349" s="62">
        <v>0</v>
      </c>
      <c r="E349" s="71">
        <v>10.4</v>
      </c>
      <c r="F349" s="71">
        <v>0.5082340528567884</v>
      </c>
      <c r="G349" s="56"/>
      <c r="H349" s="70" t="s">
        <v>9</v>
      </c>
      <c r="I349" s="68">
        <f>B349</f>
      </c>
      <c r="J349" s="72">
        <f>C349</f>
      </c>
      <c r="K349" s="73">
        <f>D349</f>
      </c>
      <c r="L349" s="73">
        <f>E349</f>
      </c>
      <c r="M349" s="73">
        <f>F349</f>
      </c>
    </row>
    <row x14ac:dyDescent="0.25" r="350" customHeight="1" ht="17.25">
      <c r="A350" s="1"/>
      <c r="B350" s="54"/>
      <c r="C350" s="55"/>
      <c r="D350" s="55"/>
      <c r="E350" s="55"/>
      <c r="F350" s="55"/>
      <c r="G350" s="56"/>
      <c r="H350" s="54" t="s">
        <v>266</v>
      </c>
      <c r="I350" s="57"/>
      <c r="J350" s="58"/>
      <c r="K350" s="57"/>
      <c r="L350" s="58"/>
      <c r="M350" s="55"/>
    </row>
    <row x14ac:dyDescent="0.25" r="351" customHeight="1" ht="17.25">
      <c r="A351" s="1"/>
      <c r="B351" s="54" t="s">
        <v>9</v>
      </c>
      <c r="C351" s="55" t="s">
        <v>250</v>
      </c>
      <c r="D351" s="55"/>
      <c r="E351" s="55"/>
      <c r="F351" s="55"/>
      <c r="G351" s="56"/>
      <c r="H351" s="54"/>
      <c r="I351" s="57"/>
      <c r="J351" s="58"/>
      <c r="K351" s="57"/>
      <c r="L351" s="58"/>
      <c r="M351" s="55"/>
    </row>
    <row x14ac:dyDescent="0.25" r="352" customHeight="1" ht="17.25">
      <c r="A352" s="1"/>
      <c r="B352" s="54"/>
      <c r="C352" s="55"/>
      <c r="D352" s="55"/>
      <c r="E352" s="55"/>
      <c r="F352" s="55"/>
      <c r="G352" s="56"/>
      <c r="H352" s="54"/>
      <c r="I352" s="57"/>
      <c r="J352" s="58"/>
      <c r="K352" s="57"/>
      <c r="L352" s="58"/>
      <c r="M352" s="55"/>
    </row>
    <row x14ac:dyDescent="0.25" r="353" customHeight="1" ht="17.25">
      <c r="A353" s="1"/>
      <c r="B353" s="54" t="s">
        <v>283</v>
      </c>
      <c r="C353" s="55" t="s">
        <v>284</v>
      </c>
      <c r="D353" s="55" t="s">
        <v>285</v>
      </c>
      <c r="E353" s="55" t="s">
        <v>286</v>
      </c>
      <c r="F353" s="55" t="s">
        <v>287</v>
      </c>
      <c r="G353" s="56"/>
      <c r="H353" s="70" t="s">
        <v>188</v>
      </c>
      <c r="I353" s="70" t="s">
        <v>189</v>
      </c>
      <c r="J353" s="69" t="s">
        <v>190</v>
      </c>
      <c r="K353" s="70" t="s">
        <v>191</v>
      </c>
      <c r="L353" s="69" t="s">
        <v>192</v>
      </c>
      <c r="M353" s="67" t="s">
        <v>193</v>
      </c>
    </row>
    <row x14ac:dyDescent="0.25" r="354" customHeight="1" ht="17.25">
      <c r="A354" s="1"/>
      <c r="B354" s="62">
        <v>8</v>
      </c>
      <c r="C354" s="71">
        <v>1.4749999999999999</v>
      </c>
      <c r="D354" s="71">
        <v>0.1</v>
      </c>
      <c r="E354" s="71">
        <v>10.4</v>
      </c>
      <c r="F354" s="71">
        <v>3.608620630814891</v>
      </c>
      <c r="G354" s="56"/>
      <c r="H354" s="70" t="s">
        <v>9</v>
      </c>
      <c r="I354" s="68">
        <f>B354</f>
      </c>
      <c r="J354" s="72">
        <f>C354</f>
      </c>
      <c r="K354" s="73">
        <f>D354</f>
      </c>
      <c r="L354" s="73">
        <f>E354</f>
      </c>
      <c r="M354" s="73">
        <f>F354</f>
      </c>
    </row>
    <row x14ac:dyDescent="0.25" r="355" customHeight="1" ht="17.25">
      <c r="A355" s="1"/>
      <c r="B355" s="54"/>
      <c r="C355" s="55"/>
      <c r="D355" s="55"/>
      <c r="E355" s="55"/>
      <c r="F355" s="55"/>
      <c r="G355" s="56"/>
      <c r="H355" s="54" t="s">
        <v>267</v>
      </c>
      <c r="I355" s="57"/>
      <c r="J355" s="58"/>
      <c r="K355" s="57"/>
      <c r="L355" s="58"/>
      <c r="M355" s="55"/>
    </row>
    <row x14ac:dyDescent="0.25" r="356" customHeight="1" ht="17.25">
      <c r="A356" s="1"/>
      <c r="B356" s="54"/>
      <c r="C356" s="55"/>
      <c r="D356" s="55"/>
      <c r="E356" s="55"/>
      <c r="F356" s="55"/>
      <c r="G356" s="56"/>
      <c r="H356" s="54"/>
      <c r="I356" s="57"/>
      <c r="J356" s="58"/>
      <c r="K356" s="57"/>
      <c r="L356" s="58"/>
      <c r="M356" s="55"/>
    </row>
    <row x14ac:dyDescent="0.25" r="357" customHeight="1" ht="17.25">
      <c r="A357" s="1"/>
      <c r="B357" s="54"/>
      <c r="C357" s="55"/>
      <c r="D357" s="55"/>
      <c r="E357" s="55"/>
      <c r="F357" s="55"/>
      <c r="G357" s="56"/>
      <c r="H357" s="54"/>
      <c r="I357" s="57"/>
      <c r="J357" s="58"/>
      <c r="K357" s="57"/>
      <c r="L357" s="58"/>
      <c r="M357" s="55"/>
    </row>
    <row x14ac:dyDescent="0.25" r="358" customHeight="1" ht="17.25">
      <c r="A358" s="1"/>
      <c r="B358" s="54"/>
      <c r="C358" s="55"/>
      <c r="D358" s="55"/>
      <c r="E358" s="55"/>
      <c r="F358" s="55"/>
      <c r="G358" s="56"/>
      <c r="H358" s="54"/>
      <c r="I358" s="57"/>
      <c r="J358" s="58"/>
      <c r="K358" s="57"/>
      <c r="L358" s="58"/>
      <c r="M358" s="55"/>
    </row>
    <row x14ac:dyDescent="0.25" r="359" customHeight="1" ht="17.25">
      <c r="A359" s="1"/>
      <c r="B359" s="54"/>
      <c r="C359" s="55"/>
      <c r="D359" s="55"/>
      <c r="E359" s="55"/>
      <c r="F359" s="55"/>
      <c r="G359" s="56"/>
      <c r="H359" s="70" t="s">
        <v>10</v>
      </c>
      <c r="I359" s="87" t="s">
        <v>35</v>
      </c>
      <c r="J359" s="69" t="s">
        <v>23</v>
      </c>
      <c r="K359" s="68" t="s">
        <v>206</v>
      </c>
      <c r="L359" s="69" t="s">
        <v>23</v>
      </c>
      <c r="M359" s="55"/>
    </row>
    <row x14ac:dyDescent="0.25" r="360" customHeight="1" ht="17.25">
      <c r="A360" s="1"/>
      <c r="B360" s="54"/>
      <c r="C360" s="55"/>
      <c r="D360" s="55"/>
      <c r="E360" s="55"/>
      <c r="F360" s="55"/>
      <c r="G360" s="56"/>
      <c r="H360" s="54" t="s">
        <v>288</v>
      </c>
      <c r="I360" s="85">
        <f>COUNTIF(BD!$AC:$AC,Descritivo!I$359)</f>
      </c>
      <c r="J360" s="66">
        <f>I360/(I360+K360)</f>
      </c>
      <c r="K360" s="62">
        <f>COUNTIF(BD!$AC:$AC,Descritivo!K$359)</f>
      </c>
      <c r="L360" s="66">
        <f>K360/(I360+K360)</f>
      </c>
      <c r="M360" s="55"/>
    </row>
    <row x14ac:dyDescent="0.25" r="361" customHeight="1" ht="17.25">
      <c r="A361" s="1"/>
      <c r="B361" s="54"/>
      <c r="C361" s="55"/>
      <c r="D361" s="55"/>
      <c r="E361" s="55"/>
      <c r="F361" s="55"/>
      <c r="G361" s="56"/>
      <c r="H361" s="54" t="s">
        <v>289</v>
      </c>
      <c r="I361" s="85">
        <f>COUNTIF(BD!$AD:$AD,Descritivo!I$359)</f>
      </c>
      <c r="J361" s="66">
        <f>I361/(I361+K361)</f>
      </c>
      <c r="K361" s="62">
        <f>COUNTIF(BD!$AD:$AD,Descritivo!K$359)</f>
      </c>
      <c r="L361" s="66">
        <f>K361/(I361+K361)</f>
      </c>
      <c r="M361" s="55"/>
    </row>
    <row x14ac:dyDescent="0.25" r="362" customHeight="1" ht="17.25">
      <c r="A362" s="1"/>
      <c r="B362" s="54"/>
      <c r="C362" s="55"/>
      <c r="D362" s="55"/>
      <c r="E362" s="55"/>
      <c r="F362" s="55"/>
      <c r="G362" s="56"/>
      <c r="H362" s="54" t="s">
        <v>290</v>
      </c>
      <c r="I362" s="85">
        <f>COUNTIF(BD!$AE:$AE,Descritivo!I$359)</f>
      </c>
      <c r="J362" s="66">
        <f>I362/(I362+K362)</f>
      </c>
      <c r="K362" s="62">
        <f>COUNTIF(BD!$AE:$AE,Descritivo!K$359)</f>
      </c>
      <c r="L362" s="66">
        <f>K362/(I362+K362)</f>
      </c>
      <c r="M362" s="55"/>
    </row>
    <row x14ac:dyDescent="0.25" r="363" customHeight="1" ht="17.25">
      <c r="A363" s="1"/>
      <c r="B363" s="54"/>
      <c r="C363" s="55"/>
      <c r="D363" s="55"/>
      <c r="E363" s="55"/>
      <c r="F363" s="55"/>
      <c r="G363" s="56"/>
      <c r="H363" s="54" t="s">
        <v>291</v>
      </c>
      <c r="I363" s="85">
        <f>COUNTIF(BD!$AF:$AF,Descritivo!I$359)</f>
      </c>
      <c r="J363" s="66">
        <f>I363/(I363+K363)</f>
      </c>
      <c r="K363" s="62">
        <f>COUNTIF(BD!$AF:$AF,Descritivo!K$359)</f>
      </c>
      <c r="L363" s="66">
        <f>K363/(I363+K363)</f>
      </c>
      <c r="M363" s="55"/>
    </row>
    <row x14ac:dyDescent="0.25" r="364" customHeight="1" ht="17.25">
      <c r="A364" s="1"/>
      <c r="B364" s="54"/>
      <c r="C364" s="55"/>
      <c r="D364" s="55"/>
      <c r="E364" s="55"/>
      <c r="F364" s="55"/>
      <c r="G364" s="56"/>
      <c r="H364" s="54" t="s">
        <v>292</v>
      </c>
      <c r="I364" s="85">
        <f>COUNTIF(BD!$AG:$AG,Descritivo!I$359)</f>
      </c>
      <c r="J364" s="66">
        <f>I364/(I364+K364)</f>
      </c>
      <c r="K364" s="62">
        <f>COUNTIF(BD!$AG:$AG,Descritivo!K$359)</f>
      </c>
      <c r="L364" s="66">
        <f>K364/(I364+K364)</f>
      </c>
      <c r="M364" s="55"/>
    </row>
    <row x14ac:dyDescent="0.25" r="365" customHeight="1" ht="17.25">
      <c r="A365" s="1"/>
      <c r="B365" s="54"/>
      <c r="C365" s="55"/>
      <c r="D365" s="55"/>
      <c r="E365" s="55"/>
      <c r="F365" s="55"/>
      <c r="G365" s="56"/>
      <c r="H365" s="88" t="s">
        <v>293</v>
      </c>
      <c r="I365" s="78">
        <f>COUNTIF(BD!$AH:$AH,Descritivo!I$359)</f>
      </c>
      <c r="J365" s="79">
        <f>I365/(I365+K365)</f>
      </c>
      <c r="K365" s="80">
        <f>COUNTIF(BD!$AH:$AH,Descritivo!K$359)</f>
      </c>
      <c r="L365" s="79">
        <f>K365/(I365+K365)</f>
      </c>
      <c r="M365" s="5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U36"/>
  <sheetViews>
    <sheetView workbookViewId="0"/>
  </sheetViews>
  <sheetFormatPr defaultRowHeight="15" x14ac:dyDescent="0.25"/>
  <cols>
    <col min="1" max="1" style="47" width="12.43357142857143" customWidth="1" bestFit="1"/>
    <col min="2" max="2" style="48" width="16.290714285714284" customWidth="1" bestFit="1"/>
    <col min="3" max="3" style="49" width="14.719285714285713" customWidth="1" bestFit="1"/>
    <col min="4" max="4" style="49" width="12.862142857142858" customWidth="1" bestFit="1"/>
    <col min="5" max="5" style="50" width="7.005" customWidth="1" bestFit="1"/>
    <col min="6" max="6" style="49" width="25.576428571428572" customWidth="1" bestFit="1"/>
    <col min="7" max="7" style="50" width="10.290714285714287" customWidth="1" bestFit="1"/>
    <col min="8" max="8" style="51" width="16.433571428571426" customWidth="1" bestFit="1"/>
    <col min="9" max="9" style="52" width="5.576428571428571" customWidth="1" bestFit="1"/>
    <col min="10" max="10" style="51" width="13.005" customWidth="1" bestFit="1"/>
    <col min="11" max="11" style="49" width="3.5764285714285715" customWidth="1" bestFit="1"/>
    <col min="12" max="12" style="51" width="13.005" customWidth="1" bestFit="1"/>
    <col min="13" max="13" style="49" width="3.5764285714285715" customWidth="1" bestFit="1"/>
    <col min="14" max="14" style="51" width="13.005" customWidth="1" bestFit="1"/>
    <col min="15" max="15" style="49" width="3.5764285714285715" customWidth="1" bestFit="1"/>
    <col min="16" max="16" style="53" width="13.005" customWidth="1" bestFit="1"/>
    <col min="17" max="17" style="49" width="3.5764285714285715" customWidth="1" bestFit="1"/>
    <col min="18" max="18" style="53" width="13.005" customWidth="1" bestFit="1"/>
    <col min="19" max="19" style="49" width="13.290714285714287" customWidth="1" bestFit="1"/>
    <col min="20" max="20" style="49" width="23.433571428571426" customWidth="1" bestFit="1"/>
    <col min="21" max="21" style="50" width="7.719285714285714" customWidth="1" bestFit="1"/>
    <col min="22" max="22" style="49" width="12.862142857142858" customWidth="1" bestFit="1"/>
    <col min="23" max="23" style="50" width="4.576428571428571" customWidth="1" bestFit="1"/>
    <col min="24" max="24" style="49" width="12.862142857142858" customWidth="1" bestFit="1"/>
    <col min="25" max="25" style="50" width="6.433571428571429" customWidth="1" bestFit="1"/>
    <col min="26" max="26" style="49" width="12.147857142857141" customWidth="1" bestFit="1"/>
    <col min="27" max="27" style="50" width="9.147857142857141" customWidth="1" bestFit="1"/>
    <col min="28" max="28" style="49" width="12.862142857142858" customWidth="1" bestFit="1"/>
    <col min="29" max="29" style="50" width="9.147857142857141" customWidth="1" bestFit="1"/>
    <col min="30" max="30" style="49" width="12.862142857142858" customWidth="1" bestFit="1"/>
    <col min="31" max="31" style="50" width="9.147857142857141" customWidth="1" bestFit="1"/>
    <col min="32" max="32" style="49" width="11.43357142857143" customWidth="1" bestFit="1"/>
    <col min="33" max="33" style="50" width="9.147857142857141" customWidth="1" bestFit="1"/>
    <col min="34" max="34" style="49" width="16.005" customWidth="1" bestFit="1"/>
    <col min="35" max="35" style="50" width="9.147857142857141" customWidth="1" bestFit="1"/>
    <col min="36" max="36" style="49" width="9.147857142857141" customWidth="1" bestFit="1"/>
    <col min="37" max="37" style="50" width="9.147857142857141" customWidth="1" bestFit="1"/>
    <col min="38" max="38" style="49" width="22.005" customWidth="1" bestFit="1"/>
    <col min="39" max="39" style="50" width="5.719285714285714" customWidth="1" bestFit="1"/>
    <col min="40" max="40" style="49" width="9.43357142857143" customWidth="1" bestFit="1"/>
    <col min="41" max="41" style="51" width="9.43357142857143" customWidth="1" bestFit="1"/>
    <col min="42" max="42" style="49" width="7.433571428571429" customWidth="1" bestFit="1"/>
    <col min="43" max="43" style="51" width="12.290714285714287" customWidth="1" bestFit="1"/>
    <col min="44" max="44" style="49" width="12.147857142857141" customWidth="1" bestFit="1"/>
    <col min="45" max="45" style="50" width="9.147857142857141" customWidth="1" bestFit="1"/>
    <col min="46" max="46" style="49" width="11.147857142857141" customWidth="1" bestFit="1"/>
    <col min="47" max="47" style="50" width="12.43357142857143" customWidth="1" bestFit="1"/>
  </cols>
  <sheetData>
    <row x14ac:dyDescent="0.25" r="1" customHeight="1" ht="17.25">
      <c r="A1" s="1"/>
      <c r="B1" s="2"/>
      <c r="C1" s="3"/>
      <c r="D1" s="3"/>
      <c r="E1" s="4"/>
      <c r="F1" s="3"/>
      <c r="G1" s="4"/>
      <c r="H1" s="5"/>
      <c r="I1" s="6"/>
      <c r="J1" s="5"/>
      <c r="K1" s="3"/>
      <c r="L1" s="5"/>
      <c r="M1" s="3"/>
      <c r="N1" s="5"/>
      <c r="O1" s="3"/>
      <c r="P1" s="7"/>
      <c r="Q1" s="3"/>
      <c r="R1" s="7"/>
      <c r="S1" s="3"/>
      <c r="T1" s="3"/>
      <c r="U1" s="4"/>
      <c r="V1" s="3"/>
      <c r="W1" s="4"/>
      <c r="X1" s="3"/>
      <c r="Y1" s="4"/>
      <c r="Z1" s="3"/>
      <c r="AA1" s="4"/>
      <c r="AB1" s="3"/>
      <c r="AC1" s="4"/>
      <c r="AD1" s="3"/>
      <c r="AE1" s="4"/>
      <c r="AF1" s="3"/>
      <c r="AG1" s="4"/>
      <c r="AH1" s="3"/>
      <c r="AI1" s="4"/>
      <c r="AJ1" s="3"/>
      <c r="AK1" s="4"/>
      <c r="AL1" s="3"/>
      <c r="AM1" s="4"/>
      <c r="AN1" s="3"/>
      <c r="AO1" s="5"/>
      <c r="AP1" s="3"/>
      <c r="AQ1" s="5"/>
      <c r="AR1" s="3"/>
      <c r="AS1" s="4"/>
      <c r="AT1" s="3"/>
      <c r="AU1" s="4"/>
    </row>
    <row x14ac:dyDescent="0.25" r="2" customHeight="1" ht="17.25">
      <c r="A2" s="1"/>
      <c r="B2" s="2"/>
      <c r="C2" s="3"/>
      <c r="D2" s="3"/>
      <c r="E2" s="4"/>
      <c r="F2" s="3"/>
      <c r="G2" s="4"/>
      <c r="H2" s="5"/>
      <c r="I2" s="8" t="s">
        <v>0</v>
      </c>
      <c r="J2" s="5"/>
      <c r="K2" s="3"/>
      <c r="L2" s="5"/>
      <c r="M2" s="3"/>
      <c r="N2" s="5"/>
      <c r="O2" s="3"/>
      <c r="P2" s="7"/>
      <c r="Q2" s="3"/>
      <c r="R2" s="7"/>
      <c r="S2" s="3"/>
      <c r="T2" s="3"/>
      <c r="U2" s="4"/>
      <c r="V2" s="3"/>
      <c r="W2" s="4"/>
      <c r="X2" s="3"/>
      <c r="Y2" s="4"/>
      <c r="Z2" s="3"/>
      <c r="AA2" s="4"/>
      <c r="AB2" s="3"/>
      <c r="AC2" s="4"/>
      <c r="AD2" s="3"/>
      <c r="AE2" s="4"/>
      <c r="AF2" s="3"/>
      <c r="AG2" s="4"/>
      <c r="AH2" s="3"/>
      <c r="AI2" s="4"/>
      <c r="AJ2" s="3"/>
      <c r="AK2" s="4"/>
      <c r="AL2" s="3"/>
      <c r="AM2" s="4"/>
      <c r="AN2" s="9" t="s">
        <v>1</v>
      </c>
      <c r="AO2" s="5"/>
      <c r="AP2" s="3"/>
      <c r="AQ2" s="5"/>
      <c r="AR2" s="3"/>
      <c r="AS2" s="4"/>
      <c r="AT2" s="3"/>
      <c r="AU2" s="4"/>
    </row>
    <row x14ac:dyDescent="0.25" r="3" customHeight="1" ht="17.25">
      <c r="A3" s="1"/>
      <c r="B3" s="2"/>
      <c r="C3" s="3"/>
      <c r="D3" s="10" t="s">
        <v>2</v>
      </c>
      <c r="E3" s="11"/>
      <c r="F3" s="10" t="s">
        <v>3</v>
      </c>
      <c r="G3" s="11"/>
      <c r="H3" s="12" t="s">
        <v>4</v>
      </c>
      <c r="I3" s="13" t="s">
        <v>5</v>
      </c>
      <c r="J3" s="14"/>
      <c r="K3" s="15" t="s">
        <v>6</v>
      </c>
      <c r="L3" s="14"/>
      <c r="M3" s="15" t="s">
        <v>7</v>
      </c>
      <c r="N3" s="14"/>
      <c r="O3" s="15" t="s">
        <v>8</v>
      </c>
      <c r="P3" s="16"/>
      <c r="Q3" s="15" t="s">
        <v>9</v>
      </c>
      <c r="R3" s="16"/>
      <c r="S3" s="17" t="s">
        <v>10</v>
      </c>
      <c r="T3" s="18" t="s">
        <v>11</v>
      </c>
      <c r="U3" s="19"/>
      <c r="V3" s="20" t="s">
        <v>12</v>
      </c>
      <c r="W3" s="11"/>
      <c r="X3" s="10"/>
      <c r="Y3" s="21"/>
      <c r="Z3" s="18" t="s">
        <v>13</v>
      </c>
      <c r="AA3" s="19"/>
      <c r="AB3" s="15"/>
      <c r="AC3" s="19"/>
      <c r="AD3" s="15"/>
      <c r="AE3" s="19"/>
      <c r="AF3" s="15"/>
      <c r="AG3" s="19"/>
      <c r="AH3" s="15"/>
      <c r="AI3" s="22"/>
      <c r="AJ3" s="20" t="s">
        <v>14</v>
      </c>
      <c r="AK3" s="21"/>
      <c r="AL3" s="20" t="s">
        <v>15</v>
      </c>
      <c r="AM3" s="21"/>
      <c r="AN3" s="18" t="s">
        <v>16</v>
      </c>
      <c r="AO3" s="14"/>
      <c r="AP3" s="15" t="s">
        <v>17</v>
      </c>
      <c r="AQ3" s="23"/>
      <c r="AR3" s="18" t="s">
        <v>18</v>
      </c>
      <c r="AS3" s="22"/>
      <c r="AT3" s="20" t="s">
        <v>19</v>
      </c>
      <c r="AU3" s="21"/>
    </row>
    <row x14ac:dyDescent="0.25" r="4" customHeight="1" ht="17.25">
      <c r="A4" s="1"/>
      <c r="B4" s="24" t="s">
        <v>20</v>
      </c>
      <c r="C4" s="25" t="s">
        <v>21</v>
      </c>
      <c r="D4" s="26" t="s">
        <v>22</v>
      </c>
      <c r="E4" s="27" t="s">
        <v>23</v>
      </c>
      <c r="F4" s="26" t="s">
        <v>24</v>
      </c>
      <c r="G4" s="28" t="s">
        <v>23</v>
      </c>
      <c r="H4" s="29" t="s">
        <v>25</v>
      </c>
      <c r="I4" s="30" t="s">
        <v>26</v>
      </c>
      <c r="J4" s="29" t="s">
        <v>25</v>
      </c>
      <c r="K4" s="25" t="s">
        <v>26</v>
      </c>
      <c r="L4" s="29" t="s">
        <v>25</v>
      </c>
      <c r="M4" s="25" t="s">
        <v>26</v>
      </c>
      <c r="N4" s="29" t="s">
        <v>25</v>
      </c>
      <c r="O4" s="25" t="s">
        <v>26</v>
      </c>
      <c r="P4" s="31" t="s">
        <v>25</v>
      </c>
      <c r="Q4" s="25" t="s">
        <v>26</v>
      </c>
      <c r="R4" s="31" t="s">
        <v>25</v>
      </c>
      <c r="S4" s="32" t="s">
        <v>26</v>
      </c>
      <c r="T4" s="25" t="s">
        <v>27</v>
      </c>
      <c r="U4" s="27" t="s">
        <v>23</v>
      </c>
      <c r="V4" s="33" t="s">
        <v>28</v>
      </c>
      <c r="W4" s="27" t="s">
        <v>23</v>
      </c>
      <c r="X4" s="25" t="s">
        <v>29</v>
      </c>
      <c r="Y4" s="34" t="s">
        <v>23</v>
      </c>
      <c r="Z4" s="33" t="s">
        <v>30</v>
      </c>
      <c r="AA4" s="27" t="s">
        <v>23</v>
      </c>
      <c r="AB4" s="25" t="s">
        <v>31</v>
      </c>
      <c r="AC4" s="27" t="s">
        <v>23</v>
      </c>
      <c r="AD4" s="25" t="s">
        <v>32</v>
      </c>
      <c r="AE4" s="27" t="s">
        <v>23</v>
      </c>
      <c r="AF4" s="25" t="s">
        <v>33</v>
      </c>
      <c r="AG4" s="27" t="s">
        <v>23</v>
      </c>
      <c r="AH4" s="25" t="s">
        <v>34</v>
      </c>
      <c r="AI4" s="34" t="s">
        <v>23</v>
      </c>
      <c r="AJ4" s="33" t="s">
        <v>35</v>
      </c>
      <c r="AK4" s="34" t="s">
        <v>23</v>
      </c>
      <c r="AL4" s="33" t="s">
        <v>36</v>
      </c>
      <c r="AM4" s="34" t="s">
        <v>23</v>
      </c>
      <c r="AN4" s="33" t="s">
        <v>26</v>
      </c>
      <c r="AO4" s="29" t="s">
        <v>25</v>
      </c>
      <c r="AP4" s="15" t="s">
        <v>26</v>
      </c>
      <c r="AQ4" s="23" t="s">
        <v>25</v>
      </c>
      <c r="AR4" s="33" t="s">
        <v>35</v>
      </c>
      <c r="AS4" s="34" t="s">
        <v>23</v>
      </c>
      <c r="AT4" s="33" t="s">
        <v>37</v>
      </c>
      <c r="AU4" s="34" t="s">
        <v>23</v>
      </c>
    </row>
    <row x14ac:dyDescent="0.25" r="5" customHeight="1" ht="17.25">
      <c r="A5" s="1"/>
      <c r="B5" s="35" t="s">
        <v>38</v>
      </c>
      <c r="C5" s="36">
        <f>COUNTIF(BD!G:G,'Panorama (res. por Vara)'!B5)</f>
      </c>
      <c r="D5" s="36">
        <f>COUNTIFS(BD!G:G,'Panorama (res. por Vara)'!B5,BD!K:K,$D$4)</f>
      </c>
      <c r="E5" s="37">
        <f>D5/C5</f>
      </c>
      <c r="F5" s="36">
        <f>COUNTIFS(BD!G:G,'Panorama (res. por Vara)'!B5,BD!O:O,$F$4)</f>
      </c>
      <c r="G5" s="37">
        <f>F5/C5</f>
      </c>
      <c r="H5" s="38">
        <f>SUMIF(BD!G:G,'Panorama (res. por Vara)'!B5,BD!M:M)/C5</f>
      </c>
      <c r="I5" s="39">
        <f>COUNTIFS(BD!G:G,'Panorama (res. por Vara)'!B5,BD!S:S,"&gt;0")</f>
      </c>
      <c r="J5" s="40">
        <f>SUMIF(BD!G:G,'Panorama (res. por Vara)'!B5,BD!S:S)/I5</f>
      </c>
      <c r="K5" s="36">
        <f>COUNTIFS(BD!G:G,'Panorama (res. por Vara)'!B5,BD!U:U,"&gt;0")</f>
      </c>
      <c r="L5" s="40">
        <f>SUMIF(BD!G:G,'Panorama (res. por Vara)'!B5,BD!U:U)/K5</f>
      </c>
      <c r="M5" s="36">
        <f>COUNTIFS(BD!G:G,'Panorama (res. por Vara)'!B5,BD!W:W,"&gt;0")</f>
      </c>
      <c r="N5" s="40">
        <f>SUMIF(BD!G:G,'Panorama (res. por Vara)'!B5,BD!W:W)/M5</f>
      </c>
      <c r="O5" s="36">
        <f>COUNTIFS(BD!G:G,'Panorama (res. por Vara)'!B5,BD!Y:Y,"&gt;0")</f>
      </c>
      <c r="P5" s="41">
        <f>IF(O5=0,"-",SUMIF(BD!G:G,'Panorama (res. por Vara)'!B5,BD!Y:Y)/O5)</f>
      </c>
      <c r="Q5" s="36">
        <f>COUNTIFS(BD!G:G,'Panorama (res. por Vara)'!B5,BD!AA:AA,"&gt;0")</f>
      </c>
      <c r="R5" s="41">
        <f>IF(Q5=0,"-",SUMIF(BD!G:G,'Panorama (res. por Vara)'!B5,BD!AA:AA)/Q5)</f>
      </c>
      <c r="S5" s="42">
        <f>COUNTIFS(BD!G:G,'Panorama (res. por Vara)'!B5,BD!AB:AB,"&lt;&gt;0")</f>
      </c>
      <c r="T5" s="36">
        <f>COUNTIFS(BD!G:G,'Panorama (res. por Vara)'!B5,BD!AM:AM,'Panorama (res. por Vara)'!$T$4)</f>
      </c>
      <c r="U5" s="37">
        <f>T5/C5</f>
      </c>
      <c r="V5" s="43">
        <f>COUNTIFS(BD!G:G,'Panorama (res. por Vara)'!B5,BD!AU:AU,"sim")</f>
      </c>
      <c r="W5" s="44">
        <f>V5/C5</f>
      </c>
      <c r="X5" s="36">
        <f>COUNTIFS(BD!G:G,'Panorama (res. por Vara)'!B5,BD!AV:AV,"sim")</f>
      </c>
      <c r="Y5" s="45">
        <f>X5/C5</f>
      </c>
      <c r="Z5" s="43">
        <f>COUNTIFS(BD!G:G,'Panorama (res. por Vara)'!B5,BD!BA:BA,"sim")</f>
      </c>
      <c r="AA5" s="44">
        <f>Z5/$C5</f>
      </c>
      <c r="AB5" s="36">
        <f>COUNTIFS(BD!G:G,'Panorama (res. por Vara)'!B5,BD!BB:BB,"sim")</f>
      </c>
      <c r="AC5" s="44">
        <f>AB5/$C5</f>
      </c>
      <c r="AD5" s="36">
        <f>COUNTIFS(BD!G:G,'Panorama (res. por Vara)'!B5,BD!BC:BC,"sim")</f>
      </c>
      <c r="AE5" s="44">
        <f>AD5/$C5</f>
      </c>
      <c r="AF5" s="36">
        <f>COUNTIFS(BD!G:G,'Panorama (res. por Vara)'!B5,BD!BD:BD,"sim")</f>
      </c>
      <c r="AG5" s="44">
        <f>AF5/$C5</f>
      </c>
      <c r="AH5" s="36">
        <f>COUNTIFS(BD!G:G,'Panorama (res. por Vara)'!B5,BD!BE:BE,"sim")</f>
      </c>
      <c r="AI5" s="46">
        <f>AH5/$C5</f>
      </c>
      <c r="AJ5" s="43">
        <f>COUNTIFS(BD!G:G,'Panorama (res. por Vara)'!B5,BD!BH:BH,"sim")</f>
      </c>
      <c r="AK5" s="45">
        <f>AJ5/C5</f>
      </c>
      <c r="AL5" s="43">
        <f>COUNTIFS(BD!G:G,'Panorama (res. por Vara)'!B5,BD!BJ:BJ,'Panorama (res. por Vara)'!$AL$4)</f>
      </c>
      <c r="AM5" s="45">
        <f>AL5/C5</f>
      </c>
      <c r="AN5" s="43">
        <f>COUNTIFS(BD!G:G,'Panorama (res. por Vara)'!B5,BD!BL:BL,"&gt;0")</f>
      </c>
      <c r="AO5" s="40">
        <f>SUMIF(BD!G:G,'Panorama (res. por Vara)'!B5,BD!BL:BL)/AN5</f>
      </c>
      <c r="AP5" s="36">
        <f>COUNTIFS(BD!G:G,'Panorama (res. por Vara)'!B5,BD!BP:BP,"&gt;0")</f>
      </c>
      <c r="AQ5" s="38">
        <f>SUMIF(BD!G:G,'Panorama (res. por Vara)'!B5,BD!BP:BP)/AP5</f>
      </c>
      <c r="AR5" s="43">
        <f>COUNTIFS(BD!G:G,'Panorama (res. por Vara)'!B5,BD!BQ:BQ,"Sim")</f>
      </c>
      <c r="AS5" s="45">
        <f>AR5/C5</f>
      </c>
      <c r="AT5" s="43">
        <f>COUNTIFS(BD!G:G,'Panorama (res. por Vara)'!B5,BD!BS:BS,"Fechado")</f>
      </c>
      <c r="AU5" s="45">
        <f>AT5/C5</f>
      </c>
    </row>
    <row x14ac:dyDescent="0.25" r="6" customHeight="1" ht="17.25">
      <c r="A6" s="1"/>
      <c r="B6" s="35" t="s">
        <v>39</v>
      </c>
      <c r="C6" s="36">
        <f>COUNTIF(BD!G:G,'Panorama (res. por Vara)'!B6)</f>
      </c>
      <c r="D6" s="36">
        <f>COUNTIFS(BD!G:G,'Panorama (res. por Vara)'!B6,BD!K:K,$D$4)</f>
      </c>
      <c r="E6" s="37">
        <f>D6/C6</f>
      </c>
      <c r="F6" s="36">
        <f>COUNTIFS(BD!G:G,'Panorama (res. por Vara)'!B6,BD!O:O,$F$4)</f>
      </c>
      <c r="G6" s="37">
        <f>F6/C6</f>
      </c>
      <c r="H6" s="38">
        <f>SUMIF(BD!G:G,'Panorama (res. por Vara)'!B6,BD!M:M)/C6</f>
      </c>
      <c r="I6" s="39">
        <f>COUNTIFS(BD!G:G,'Panorama (res. por Vara)'!B6,BD!S:S,"&gt;0")</f>
      </c>
      <c r="J6" s="40">
        <f>SUMIF(BD!G:G,'Panorama (res. por Vara)'!B6,BD!S:S)/I6</f>
      </c>
      <c r="K6" s="36">
        <f>COUNTIFS(BD!G:G,'Panorama (res. por Vara)'!B6,BD!U:U,"&gt;0")</f>
      </c>
      <c r="L6" s="40">
        <f>SUMIF(BD!G:G,'Panorama (res. por Vara)'!B6,BD!U:U)/K6</f>
      </c>
      <c r="M6" s="36">
        <f>COUNTIFS(BD!G:G,'Panorama (res. por Vara)'!B6,BD!W:W,"&gt;0")</f>
      </c>
      <c r="N6" s="40">
        <f>SUMIF(BD!G:G,'Panorama (res. por Vara)'!B6,BD!W:W)/M6</f>
      </c>
      <c r="O6" s="36">
        <f>COUNTIFS(BD!G:G,'Panorama (res. por Vara)'!B6,BD!Y:Y,"&gt;0")</f>
      </c>
      <c r="P6" s="41">
        <f>IF(O6=0,"-",SUMIF(BD!G:G,'Panorama (res. por Vara)'!B6,BD!Y:Y)/O6)</f>
      </c>
      <c r="Q6" s="36">
        <f>COUNTIFS(BD!G:G,'Panorama (res. por Vara)'!B6,BD!AA:AA,"&gt;0")</f>
      </c>
      <c r="R6" s="41">
        <f>IF(Q6=0,"-",SUMIF(BD!G:G,'Panorama (res. por Vara)'!B6,BD!AA:AA)/Q6)</f>
      </c>
      <c r="S6" s="42">
        <f>COUNTIFS(BD!G:G,'Panorama (res. por Vara)'!B6,BD!AB:AB,"&lt;&gt;0")</f>
      </c>
      <c r="T6" s="36">
        <f>COUNTIFS(BD!G:G,'Panorama (res. por Vara)'!B6,BD!AM:AM,'Panorama (res. por Vara)'!$T$4)</f>
      </c>
      <c r="U6" s="37">
        <f>T6/C6</f>
      </c>
      <c r="V6" s="43">
        <f>COUNTIFS(BD!G:G,'Panorama (res. por Vara)'!B6,BD!AU:AU,"sim")</f>
      </c>
      <c r="W6" s="44">
        <f>V6/C6</f>
      </c>
      <c r="X6" s="36">
        <f>COUNTIFS(BD!G:G,'Panorama (res. por Vara)'!B6,BD!AV:AV,"sim")</f>
      </c>
      <c r="Y6" s="45">
        <f>X6/C6</f>
      </c>
      <c r="Z6" s="43">
        <f>COUNTIFS(BD!G:G,'Panorama (res. por Vara)'!B6,BD!BA:BA,"sim")</f>
      </c>
      <c r="AA6" s="44">
        <f>Z6/$C6</f>
      </c>
      <c r="AB6" s="36">
        <f>COUNTIFS(BD!G:G,'Panorama (res. por Vara)'!B6,BD!BB:BB,"sim")</f>
      </c>
      <c r="AC6" s="44">
        <f>AB6/$C6</f>
      </c>
      <c r="AD6" s="36">
        <f>COUNTIFS(BD!G:G,'Panorama (res. por Vara)'!B6,BD!BC:BC,"sim")</f>
      </c>
      <c r="AE6" s="44">
        <f>AD6/$C6</f>
      </c>
      <c r="AF6" s="36">
        <f>COUNTIFS(BD!G:G,'Panorama (res. por Vara)'!B6,BD!BD:BD,"sim")</f>
      </c>
      <c r="AG6" s="44">
        <f>AF6/$C6</f>
      </c>
      <c r="AH6" s="36">
        <f>COUNTIFS(BD!G:G,'Panorama (res. por Vara)'!B6,BD!BE:BE,"sim")</f>
      </c>
      <c r="AI6" s="46">
        <f>AH6/$C6</f>
      </c>
      <c r="AJ6" s="43">
        <f>COUNTIFS(BD!G:G,'Panorama (res. por Vara)'!B6,BD!BH:BH,"sim")</f>
      </c>
      <c r="AK6" s="45">
        <f>AJ6/C6</f>
      </c>
      <c r="AL6" s="43">
        <f>COUNTIFS(BD!G:G,'Panorama (res. por Vara)'!B6,BD!BJ:BJ,'Panorama (res. por Vara)'!$AL$4)</f>
      </c>
      <c r="AM6" s="45">
        <f>AL6/C6</f>
      </c>
      <c r="AN6" s="43">
        <f>COUNTIFS(BD!G:G,'Panorama (res. por Vara)'!B6,BD!BL:BL,"&gt;0")</f>
      </c>
      <c r="AO6" s="40">
        <f>SUMIF(BD!G:G,'Panorama (res. por Vara)'!B6,BD!BL:BL)/AN6</f>
      </c>
      <c r="AP6" s="36">
        <f>COUNTIFS(BD!G:G,'Panorama (res. por Vara)'!B6,BD!BP:BP,"&gt;0")</f>
      </c>
      <c r="AQ6" s="38">
        <f>SUMIF(BD!G:G,'Panorama (res. por Vara)'!B6,BD!BP:BP)/AP6</f>
      </c>
      <c r="AR6" s="43">
        <f>COUNTIFS(BD!G:G,'Panorama (res. por Vara)'!B6,BD!BQ:BQ,"Sim")</f>
      </c>
      <c r="AS6" s="45">
        <f>AR6/C6</f>
      </c>
      <c r="AT6" s="43">
        <f>COUNTIFS(BD!G:G,'Panorama (res. por Vara)'!B6,BD!BS:BS,"Fechado")</f>
      </c>
      <c r="AU6" s="45">
        <f>AT6/C6</f>
      </c>
    </row>
    <row x14ac:dyDescent="0.25" r="7" customHeight="1" ht="17.25">
      <c r="A7" s="1"/>
      <c r="B7" s="35" t="s">
        <v>40</v>
      </c>
      <c r="C7" s="36">
        <f>COUNTIF(BD!G:G,'Panorama (res. por Vara)'!B7)</f>
      </c>
      <c r="D7" s="36">
        <f>COUNTIFS(BD!G:G,'Panorama (res. por Vara)'!B7,BD!K:K,$D$4)</f>
      </c>
      <c r="E7" s="37">
        <f>D7/C7</f>
      </c>
      <c r="F7" s="36">
        <f>COUNTIFS(BD!G:G,'Panorama (res. por Vara)'!B7,BD!O:O,$F$4)</f>
      </c>
      <c r="G7" s="37">
        <f>F7/C7</f>
      </c>
      <c r="H7" s="38">
        <f>SUMIF(BD!G:G,'Panorama (res. por Vara)'!B7,BD!M:M)/C7</f>
      </c>
      <c r="I7" s="39">
        <f>COUNTIFS(BD!G:G,'Panorama (res. por Vara)'!B7,BD!S:S,"&gt;0")</f>
      </c>
      <c r="J7" s="40">
        <f>SUMIF(BD!G:G,'Panorama (res. por Vara)'!B7,BD!S:S)/I7</f>
      </c>
      <c r="K7" s="36">
        <f>COUNTIFS(BD!G:G,'Panorama (res. por Vara)'!B7,BD!U:U,"&gt;0")</f>
      </c>
      <c r="L7" s="40">
        <f>SUMIF(BD!G:G,'Panorama (res. por Vara)'!B7,BD!U:U)/K7</f>
      </c>
      <c r="M7" s="36">
        <f>COUNTIFS(BD!G:G,'Panorama (res. por Vara)'!B7,BD!W:W,"&gt;0")</f>
      </c>
      <c r="N7" s="40">
        <f>SUMIF(BD!G:G,'Panorama (res. por Vara)'!B7,BD!W:W)/M7</f>
      </c>
      <c r="O7" s="36">
        <f>COUNTIFS(BD!G:G,'Panorama (res. por Vara)'!B7,BD!Y:Y,"&gt;0")</f>
      </c>
      <c r="P7" s="41">
        <f>IF(O7=0,"-",SUMIF(BD!G:G,'Panorama (res. por Vara)'!B7,BD!Y:Y)/O7)</f>
      </c>
      <c r="Q7" s="36">
        <f>COUNTIFS(BD!G:G,'Panorama (res. por Vara)'!B7,BD!AA:AA,"&gt;0")</f>
      </c>
      <c r="R7" s="41">
        <f>IF(Q7=0,"-",SUMIF(BD!G:G,'Panorama (res. por Vara)'!B7,BD!AA:AA)/Q7)</f>
      </c>
      <c r="S7" s="42">
        <f>COUNTIFS(BD!G:G,'Panorama (res. por Vara)'!B7,BD!AB:AB,"&lt;&gt;0")</f>
      </c>
      <c r="T7" s="36">
        <f>COUNTIFS(BD!G:G,'Panorama (res. por Vara)'!B7,BD!AM:AM,'Panorama (res. por Vara)'!$T$4)</f>
      </c>
      <c r="U7" s="37">
        <f>T7/C7</f>
      </c>
      <c r="V7" s="43">
        <f>COUNTIFS(BD!G:G,'Panorama (res. por Vara)'!B7,BD!AU:AU,"sim")</f>
      </c>
      <c r="W7" s="44">
        <f>V7/C7</f>
      </c>
      <c r="X7" s="36">
        <f>COUNTIFS(BD!G:G,'Panorama (res. por Vara)'!B7,BD!AV:AV,"sim")</f>
      </c>
      <c r="Y7" s="45">
        <f>X7/C7</f>
      </c>
      <c r="Z7" s="43">
        <f>COUNTIFS(BD!G:G,'Panorama (res. por Vara)'!B7,BD!BA:BA,"sim")</f>
      </c>
      <c r="AA7" s="44">
        <f>Z7/$C7</f>
      </c>
      <c r="AB7" s="36">
        <f>COUNTIFS(BD!G:G,'Panorama (res. por Vara)'!B7,BD!BB:BB,"sim")</f>
      </c>
      <c r="AC7" s="44">
        <f>AB7/$C7</f>
      </c>
      <c r="AD7" s="36">
        <f>COUNTIFS(BD!G:G,'Panorama (res. por Vara)'!B7,BD!BC:BC,"sim")</f>
      </c>
      <c r="AE7" s="44">
        <f>AD7/$C7</f>
      </c>
      <c r="AF7" s="36">
        <f>COUNTIFS(BD!G:G,'Panorama (res. por Vara)'!B7,BD!BD:BD,"sim")</f>
      </c>
      <c r="AG7" s="44">
        <f>AF7/$C7</f>
      </c>
      <c r="AH7" s="36">
        <f>COUNTIFS(BD!G:G,'Panorama (res. por Vara)'!B7,BD!BE:BE,"sim")</f>
      </c>
      <c r="AI7" s="46">
        <f>AH7/$C7</f>
      </c>
      <c r="AJ7" s="43">
        <f>COUNTIFS(BD!G:G,'Panorama (res. por Vara)'!B7,BD!BH:BH,"sim")</f>
      </c>
      <c r="AK7" s="45">
        <f>AJ7/C7</f>
      </c>
      <c r="AL7" s="43">
        <f>COUNTIFS(BD!G:G,'Panorama (res. por Vara)'!B7,BD!BJ:BJ,'Panorama (res. por Vara)'!$AL$4)</f>
      </c>
      <c r="AM7" s="45">
        <f>AL7/C7</f>
      </c>
      <c r="AN7" s="43">
        <f>COUNTIFS(BD!G:G,'Panorama (res. por Vara)'!B7,BD!BL:BL,"&gt;0")</f>
      </c>
      <c r="AO7" s="40">
        <f>SUMIF(BD!G:G,'Panorama (res. por Vara)'!B7,BD!BL:BL)/AN7</f>
      </c>
      <c r="AP7" s="36">
        <f>COUNTIFS(BD!G:G,'Panorama (res. por Vara)'!B7,BD!BP:BP,"&gt;0")</f>
      </c>
      <c r="AQ7" s="38">
        <f>SUMIF(BD!G:G,'Panorama (res. por Vara)'!B7,BD!BP:BP)/AP7</f>
      </c>
      <c r="AR7" s="43">
        <f>COUNTIFS(BD!G:G,'Panorama (res. por Vara)'!B7,BD!BQ:BQ,"Sim")</f>
      </c>
      <c r="AS7" s="45">
        <f>AR7/C7</f>
      </c>
      <c r="AT7" s="43">
        <f>COUNTIFS(BD!G:G,'Panorama (res. por Vara)'!B7,BD!BS:BS,"Fechado")</f>
      </c>
      <c r="AU7" s="45">
        <f>AT7/C7</f>
      </c>
    </row>
    <row x14ac:dyDescent="0.25" r="8" customHeight="1" ht="17.25">
      <c r="A8" s="1"/>
      <c r="B8" s="35" t="s">
        <v>41</v>
      </c>
      <c r="C8" s="36">
        <f>COUNTIF(BD!G:G,'Panorama (res. por Vara)'!B8)</f>
      </c>
      <c r="D8" s="36">
        <f>COUNTIFS(BD!G:G,'Panorama (res. por Vara)'!B8,BD!K:K,$D$4)</f>
      </c>
      <c r="E8" s="37">
        <f>D8/C8</f>
      </c>
      <c r="F8" s="36">
        <f>COUNTIFS(BD!G:G,'Panorama (res. por Vara)'!B8,BD!O:O,$F$4)</f>
      </c>
      <c r="G8" s="37">
        <f>F8/C8</f>
      </c>
      <c r="H8" s="38">
        <f>SUMIF(BD!G:G,'Panorama (res. por Vara)'!B8,BD!M:M)/C8</f>
      </c>
      <c r="I8" s="39">
        <f>COUNTIFS(BD!G:G,'Panorama (res. por Vara)'!B8,BD!S:S,"&gt;0")</f>
      </c>
      <c r="J8" s="40">
        <f>SUMIF(BD!G:G,'Panorama (res. por Vara)'!B8,BD!S:S)/I8</f>
      </c>
      <c r="K8" s="36">
        <f>COUNTIFS(BD!G:G,'Panorama (res. por Vara)'!B8,BD!U:U,"&gt;0")</f>
      </c>
      <c r="L8" s="40">
        <f>SUMIF(BD!G:G,'Panorama (res. por Vara)'!B8,BD!U:U)/K8</f>
      </c>
      <c r="M8" s="36">
        <f>COUNTIFS(BD!G:G,'Panorama (res. por Vara)'!B8,BD!W:W,"&gt;0")</f>
      </c>
      <c r="N8" s="40">
        <f>SUMIF(BD!G:G,'Panorama (res. por Vara)'!B8,BD!W:W)/M8</f>
      </c>
      <c r="O8" s="36">
        <f>COUNTIFS(BD!G:G,'Panorama (res. por Vara)'!B8,BD!Y:Y,"&gt;0")</f>
      </c>
      <c r="P8" s="41">
        <f>IF(O8=0,"-",SUMIF(BD!G:G,'Panorama (res. por Vara)'!B8,BD!Y:Y)/O8)</f>
      </c>
      <c r="Q8" s="36">
        <f>COUNTIFS(BD!G:G,'Panorama (res. por Vara)'!B8,BD!AA:AA,"&gt;0")</f>
      </c>
      <c r="R8" s="41">
        <f>IF(Q8=0,"-",SUMIF(BD!G:G,'Panorama (res. por Vara)'!B8,BD!AA:AA)/Q8)</f>
      </c>
      <c r="S8" s="42">
        <f>COUNTIFS(BD!G:G,'Panorama (res. por Vara)'!B8,BD!AB:AB,"&lt;&gt;0")</f>
      </c>
      <c r="T8" s="36">
        <f>COUNTIFS(BD!G:G,'Panorama (res. por Vara)'!B8,BD!AM:AM,'Panorama (res. por Vara)'!$T$4)</f>
      </c>
      <c r="U8" s="37">
        <f>T8/C8</f>
      </c>
      <c r="V8" s="43">
        <f>COUNTIFS(BD!G:G,'Panorama (res. por Vara)'!B8,BD!AU:AU,"sim")</f>
      </c>
      <c r="W8" s="44">
        <f>V8/C8</f>
      </c>
      <c r="X8" s="36">
        <f>COUNTIFS(BD!G:G,'Panorama (res. por Vara)'!B8,BD!AV:AV,"sim")</f>
      </c>
      <c r="Y8" s="45">
        <f>X8/C8</f>
      </c>
      <c r="Z8" s="43">
        <f>COUNTIFS(BD!G:G,'Panorama (res. por Vara)'!B8,BD!BA:BA,"sim")</f>
      </c>
      <c r="AA8" s="44">
        <f>Z8/$C8</f>
      </c>
      <c r="AB8" s="36">
        <f>COUNTIFS(BD!G:G,'Panorama (res. por Vara)'!B8,BD!BB:BB,"sim")</f>
      </c>
      <c r="AC8" s="44">
        <f>AB8/$C8</f>
      </c>
      <c r="AD8" s="36">
        <f>COUNTIFS(BD!G:G,'Panorama (res. por Vara)'!B8,BD!BC:BC,"sim")</f>
      </c>
      <c r="AE8" s="44">
        <f>AD8/$C8</f>
      </c>
      <c r="AF8" s="36">
        <f>COUNTIFS(BD!G:G,'Panorama (res. por Vara)'!B8,BD!BD:BD,"sim")</f>
      </c>
      <c r="AG8" s="44">
        <f>AF8/$C8</f>
      </c>
      <c r="AH8" s="36">
        <f>COUNTIFS(BD!G:G,'Panorama (res. por Vara)'!B8,BD!BE:BE,"sim")</f>
      </c>
      <c r="AI8" s="46">
        <f>AH8/$C8</f>
      </c>
      <c r="AJ8" s="43">
        <f>COUNTIFS(BD!G:G,'Panorama (res. por Vara)'!B8,BD!BH:BH,"sim")</f>
      </c>
      <c r="AK8" s="45">
        <f>AJ8/C8</f>
      </c>
      <c r="AL8" s="43">
        <f>COUNTIFS(BD!G:G,'Panorama (res. por Vara)'!B8,BD!BJ:BJ,'Panorama (res. por Vara)'!$AL$4)</f>
      </c>
      <c r="AM8" s="45">
        <f>AL8/C8</f>
      </c>
      <c r="AN8" s="43">
        <f>COUNTIFS(BD!G:G,'Panorama (res. por Vara)'!B8,BD!BL:BL,"&gt;0")</f>
      </c>
      <c r="AO8" s="40">
        <f>SUMIF(BD!G:G,'Panorama (res. por Vara)'!B8,BD!BL:BL)/AN8</f>
      </c>
      <c r="AP8" s="36">
        <f>COUNTIFS(BD!G:G,'Panorama (res. por Vara)'!B8,BD!BP:BP,"&gt;0")</f>
      </c>
      <c r="AQ8" s="38">
        <f>SUMIF(BD!G:G,'Panorama (res. por Vara)'!B8,BD!BP:BP)/AP8</f>
      </c>
      <c r="AR8" s="43">
        <f>COUNTIFS(BD!G:G,'Panorama (res. por Vara)'!B8,BD!BQ:BQ,"Sim")</f>
      </c>
      <c r="AS8" s="45">
        <f>AR8/C8</f>
      </c>
      <c r="AT8" s="43">
        <f>COUNTIFS(BD!G:G,'Panorama (res. por Vara)'!B8,BD!BS:BS,"Fechado")</f>
      </c>
      <c r="AU8" s="45">
        <f>AT8/C8</f>
      </c>
    </row>
    <row x14ac:dyDescent="0.25" r="9" customHeight="1" ht="17.25">
      <c r="A9" s="1"/>
      <c r="B9" s="35" t="s">
        <v>42</v>
      </c>
      <c r="C9" s="36">
        <f>COUNTIF(BD!G:G,'Panorama (res. por Vara)'!B9)</f>
      </c>
      <c r="D9" s="36">
        <f>COUNTIFS(BD!G:G,'Panorama (res. por Vara)'!B9,BD!K:K,$D$4)</f>
      </c>
      <c r="E9" s="37">
        <f>D9/C9</f>
      </c>
      <c r="F9" s="36">
        <f>COUNTIFS(BD!G:G,'Panorama (res. por Vara)'!B9,BD!O:O,$F$4)</f>
      </c>
      <c r="G9" s="37">
        <f>F9/C9</f>
      </c>
      <c r="H9" s="38">
        <f>SUMIF(BD!G:G,'Panorama (res. por Vara)'!B9,BD!M:M)/C9</f>
      </c>
      <c r="I9" s="39">
        <f>COUNTIFS(BD!G:G,'Panorama (res. por Vara)'!B9,BD!S:S,"&gt;0")</f>
      </c>
      <c r="J9" s="40">
        <f>SUMIF(BD!G:G,'Panorama (res. por Vara)'!B9,BD!S:S)/I9</f>
      </c>
      <c r="K9" s="36">
        <f>COUNTIFS(BD!G:G,'Panorama (res. por Vara)'!B9,BD!U:U,"&gt;0")</f>
      </c>
      <c r="L9" s="40">
        <f>SUMIF(BD!G:G,'Panorama (res. por Vara)'!B9,BD!U:U)/K9</f>
      </c>
      <c r="M9" s="36">
        <f>COUNTIFS(BD!G:G,'Panorama (res. por Vara)'!B9,BD!W:W,"&gt;0")</f>
      </c>
      <c r="N9" s="40">
        <f>SUMIF(BD!G:G,'Panorama (res. por Vara)'!B9,BD!W:W)/M9</f>
      </c>
      <c r="O9" s="36">
        <f>COUNTIFS(BD!G:G,'Panorama (res. por Vara)'!B9,BD!Y:Y,"&gt;0")</f>
      </c>
      <c r="P9" s="41">
        <f>IF(O9=0,"-",SUMIF(BD!G:G,'Panorama (res. por Vara)'!B9,BD!Y:Y)/O9)</f>
      </c>
      <c r="Q9" s="36">
        <f>COUNTIFS(BD!G:G,'Panorama (res. por Vara)'!B9,BD!AA:AA,"&gt;0")</f>
      </c>
      <c r="R9" s="41">
        <f>IF(Q9=0,"-",SUMIF(BD!G:G,'Panorama (res. por Vara)'!B9,BD!AA:AA)/Q9)</f>
      </c>
      <c r="S9" s="42">
        <f>COUNTIFS(BD!G:G,'Panorama (res. por Vara)'!B9,BD!AB:AB,"&lt;&gt;0")</f>
      </c>
      <c r="T9" s="36">
        <f>COUNTIFS(BD!G:G,'Panorama (res. por Vara)'!B9,BD!AM:AM,'Panorama (res. por Vara)'!$T$4)</f>
      </c>
      <c r="U9" s="37">
        <f>T9/C9</f>
      </c>
      <c r="V9" s="43">
        <f>COUNTIFS(BD!G:G,'Panorama (res. por Vara)'!B9,BD!AU:AU,"sim")</f>
      </c>
      <c r="W9" s="44">
        <f>V9/C9</f>
      </c>
      <c r="X9" s="36">
        <f>COUNTIFS(BD!G:G,'Panorama (res. por Vara)'!B9,BD!AV:AV,"sim")</f>
      </c>
      <c r="Y9" s="45">
        <f>X9/C9</f>
      </c>
      <c r="Z9" s="43">
        <f>COUNTIFS(BD!G:G,'Panorama (res. por Vara)'!B9,BD!BA:BA,"sim")</f>
      </c>
      <c r="AA9" s="44">
        <f>Z9/$C9</f>
      </c>
      <c r="AB9" s="36">
        <f>COUNTIFS(BD!G:G,'Panorama (res. por Vara)'!B9,BD!BB:BB,"sim")</f>
      </c>
      <c r="AC9" s="44">
        <f>AB9/$C9</f>
      </c>
      <c r="AD9" s="36">
        <f>COUNTIFS(BD!G:G,'Panorama (res. por Vara)'!B9,BD!BC:BC,"sim")</f>
      </c>
      <c r="AE9" s="44">
        <f>AD9/$C9</f>
      </c>
      <c r="AF9" s="36">
        <f>COUNTIFS(BD!G:G,'Panorama (res. por Vara)'!B9,BD!BD:BD,"sim")</f>
      </c>
      <c r="AG9" s="44">
        <f>AF9/$C9</f>
      </c>
      <c r="AH9" s="36">
        <f>COUNTIFS(BD!G:G,'Panorama (res. por Vara)'!B9,BD!BE:BE,"sim")</f>
      </c>
      <c r="AI9" s="46">
        <f>AH9/$C9</f>
      </c>
      <c r="AJ9" s="43">
        <f>COUNTIFS(BD!G:G,'Panorama (res. por Vara)'!B9,BD!BH:BH,"sim")</f>
      </c>
      <c r="AK9" s="45">
        <f>AJ9/C9</f>
      </c>
      <c r="AL9" s="43">
        <f>COUNTIFS(BD!G:G,'Panorama (res. por Vara)'!B9,BD!BJ:BJ,'Panorama (res. por Vara)'!$AL$4)</f>
      </c>
      <c r="AM9" s="45">
        <f>AL9/C9</f>
      </c>
      <c r="AN9" s="43">
        <f>COUNTIFS(BD!G:G,'Panorama (res. por Vara)'!B9,BD!BL:BL,"&gt;0")</f>
      </c>
      <c r="AO9" s="40">
        <f>SUMIF(BD!G:G,'Panorama (res. por Vara)'!B9,BD!BL:BL)/AN9</f>
      </c>
      <c r="AP9" s="36">
        <f>COUNTIFS(BD!G:G,'Panorama (res. por Vara)'!B9,BD!BP:BP,"&gt;0")</f>
      </c>
      <c r="AQ9" s="38">
        <f>SUMIF(BD!G:G,'Panorama (res. por Vara)'!B9,BD!BP:BP)/AP9</f>
      </c>
      <c r="AR9" s="43">
        <f>COUNTIFS(BD!G:G,'Panorama (res. por Vara)'!B9,BD!BQ:BQ,"Sim")</f>
      </c>
      <c r="AS9" s="45">
        <f>AR9/C9</f>
      </c>
      <c r="AT9" s="43">
        <f>COUNTIFS(BD!G:G,'Panorama (res. por Vara)'!B9,BD!BS:BS,"Fechado")</f>
      </c>
      <c r="AU9" s="45">
        <f>AT9/C9</f>
      </c>
    </row>
    <row x14ac:dyDescent="0.25" r="10" customHeight="1" ht="17.25">
      <c r="A10" s="1"/>
      <c r="B10" s="35" t="s">
        <v>43</v>
      </c>
      <c r="C10" s="36">
        <f>COUNTIF(BD!G:G,'Panorama (res. por Vara)'!B10)</f>
      </c>
      <c r="D10" s="36">
        <f>COUNTIFS(BD!G:G,'Panorama (res. por Vara)'!B10,BD!K:K,$D$4)</f>
      </c>
      <c r="E10" s="37">
        <f>D10/C10</f>
      </c>
      <c r="F10" s="36">
        <f>COUNTIFS(BD!G:G,'Panorama (res. por Vara)'!B10,BD!O:O,$F$4)</f>
      </c>
      <c r="G10" s="37">
        <f>F10/C10</f>
      </c>
      <c r="H10" s="38">
        <f>SUMIF(BD!G:G,'Panorama (res. por Vara)'!B10,BD!M:M)/C10</f>
      </c>
      <c r="I10" s="39">
        <f>COUNTIFS(BD!G:G,'Panorama (res. por Vara)'!B10,BD!S:S,"&gt;0")</f>
      </c>
      <c r="J10" s="40">
        <f>SUMIF(BD!G:G,'Panorama (res. por Vara)'!B10,BD!S:S)/I10</f>
      </c>
      <c r="K10" s="36">
        <f>COUNTIFS(BD!G:G,'Panorama (res. por Vara)'!B10,BD!U:U,"&gt;0")</f>
      </c>
      <c r="L10" s="40">
        <f>SUMIF(BD!G:G,'Panorama (res. por Vara)'!B10,BD!U:U)/K10</f>
      </c>
      <c r="M10" s="36">
        <f>COUNTIFS(BD!G:G,'Panorama (res. por Vara)'!B10,BD!W:W,"&gt;0")</f>
      </c>
      <c r="N10" s="40">
        <f>SUMIF(BD!G:G,'Panorama (res. por Vara)'!B10,BD!W:W)/M10</f>
      </c>
      <c r="O10" s="36">
        <f>COUNTIFS(BD!G:G,'Panorama (res. por Vara)'!B10,BD!Y:Y,"&gt;0")</f>
      </c>
      <c r="P10" s="41">
        <f>IF(O10=0,"-",SUMIF(BD!G:G,'Panorama (res. por Vara)'!B10,BD!Y:Y)/O10)</f>
      </c>
      <c r="Q10" s="36">
        <f>COUNTIFS(BD!G:G,'Panorama (res. por Vara)'!B10,BD!AA:AA,"&gt;0")</f>
      </c>
      <c r="R10" s="41">
        <f>IF(Q10=0,"-",SUMIF(BD!G:G,'Panorama (res. por Vara)'!B10,BD!AA:AA)/Q10)</f>
      </c>
      <c r="S10" s="42">
        <f>COUNTIFS(BD!G:G,'Panorama (res. por Vara)'!B10,BD!AB:AB,"&lt;&gt;0")</f>
      </c>
      <c r="T10" s="36">
        <f>COUNTIFS(BD!G:G,'Panorama (res. por Vara)'!B10,BD!AM:AM,'Panorama (res. por Vara)'!$T$4)</f>
      </c>
      <c r="U10" s="37">
        <f>T10/C10</f>
      </c>
      <c r="V10" s="43">
        <f>COUNTIFS(BD!G:G,'Panorama (res. por Vara)'!B10,BD!AU:AU,"sim")</f>
      </c>
      <c r="W10" s="44">
        <f>V10/C10</f>
      </c>
      <c r="X10" s="36">
        <f>COUNTIFS(BD!G:G,'Panorama (res. por Vara)'!B10,BD!AV:AV,"sim")</f>
      </c>
      <c r="Y10" s="45">
        <f>X10/C10</f>
      </c>
      <c r="Z10" s="43">
        <f>COUNTIFS(BD!G:G,'Panorama (res. por Vara)'!B10,BD!BA:BA,"sim")</f>
      </c>
      <c r="AA10" s="44">
        <f>Z10/$C10</f>
      </c>
      <c r="AB10" s="36">
        <f>COUNTIFS(BD!G:G,'Panorama (res. por Vara)'!B10,BD!BB:BB,"sim")</f>
      </c>
      <c r="AC10" s="44">
        <f>AB10/$C10</f>
      </c>
      <c r="AD10" s="36">
        <f>COUNTIFS(BD!G:G,'Panorama (res. por Vara)'!B10,BD!BC:BC,"sim")</f>
      </c>
      <c r="AE10" s="44">
        <f>AD10/$C10</f>
      </c>
      <c r="AF10" s="36">
        <f>COUNTIFS(BD!G:G,'Panorama (res. por Vara)'!B10,BD!BD:BD,"sim")</f>
      </c>
      <c r="AG10" s="44">
        <f>AF10/$C10</f>
      </c>
      <c r="AH10" s="36">
        <f>COUNTIFS(BD!G:G,'Panorama (res. por Vara)'!B10,BD!BE:BE,"sim")</f>
      </c>
      <c r="AI10" s="46">
        <f>AH10/$C10</f>
      </c>
      <c r="AJ10" s="43">
        <f>COUNTIFS(BD!G:G,'Panorama (res. por Vara)'!B10,BD!BH:BH,"sim")</f>
      </c>
      <c r="AK10" s="45">
        <f>AJ10/C10</f>
      </c>
      <c r="AL10" s="43">
        <f>COUNTIFS(BD!G:G,'Panorama (res. por Vara)'!B10,BD!BJ:BJ,'Panorama (res. por Vara)'!$AL$4)</f>
      </c>
      <c r="AM10" s="45">
        <f>AL10/C10</f>
      </c>
      <c r="AN10" s="43">
        <f>COUNTIFS(BD!G:G,'Panorama (res. por Vara)'!B10,BD!BL:BL,"&gt;0")</f>
      </c>
      <c r="AO10" s="40">
        <f>SUMIF(BD!G:G,'Panorama (res. por Vara)'!B10,BD!BL:BL)/AN10</f>
      </c>
      <c r="AP10" s="36">
        <f>COUNTIFS(BD!G:G,'Panorama (res. por Vara)'!B10,BD!BP:BP,"&gt;0")</f>
      </c>
      <c r="AQ10" s="38">
        <f>SUMIF(BD!G:G,'Panorama (res. por Vara)'!B10,BD!BP:BP)/AP10</f>
      </c>
      <c r="AR10" s="43">
        <f>COUNTIFS(BD!G:G,'Panorama (res. por Vara)'!B10,BD!BQ:BQ,"Sim")</f>
      </c>
      <c r="AS10" s="45">
        <f>AR10/C10</f>
      </c>
      <c r="AT10" s="43">
        <f>COUNTIFS(BD!G:G,'Panorama (res. por Vara)'!B10,BD!BS:BS,"Fechado")</f>
      </c>
      <c r="AU10" s="45">
        <f>AT10/C10</f>
      </c>
    </row>
    <row x14ac:dyDescent="0.25" r="11" customHeight="1" ht="17.25">
      <c r="A11" s="1"/>
      <c r="B11" s="35" t="s">
        <v>44</v>
      </c>
      <c r="C11" s="36">
        <f>COUNTIF(BD!G:G,'Panorama (res. por Vara)'!B11)</f>
      </c>
      <c r="D11" s="36">
        <f>COUNTIFS(BD!G:G,'Panorama (res. por Vara)'!B11,BD!K:K,$D$4)</f>
      </c>
      <c r="E11" s="37">
        <f>D11/C11</f>
      </c>
      <c r="F11" s="36">
        <f>COUNTIFS(BD!G:G,'Panorama (res. por Vara)'!B11,BD!O:O,$F$4)</f>
      </c>
      <c r="G11" s="37">
        <f>F11/C11</f>
      </c>
      <c r="H11" s="38">
        <f>SUMIF(BD!G:G,'Panorama (res. por Vara)'!B11,BD!M:M)/C11</f>
      </c>
      <c r="I11" s="39">
        <f>COUNTIFS(BD!G:G,'Panorama (res. por Vara)'!B11,BD!S:S,"&gt;0")</f>
      </c>
      <c r="J11" s="40">
        <f>SUMIF(BD!G:G,'Panorama (res. por Vara)'!B11,BD!S:S)/I11</f>
      </c>
      <c r="K11" s="36">
        <f>COUNTIFS(BD!G:G,'Panorama (res. por Vara)'!B11,BD!U:U,"&gt;0")</f>
      </c>
      <c r="L11" s="40">
        <f>SUMIF(BD!G:G,'Panorama (res. por Vara)'!B11,BD!U:U)/K11</f>
      </c>
      <c r="M11" s="36">
        <f>COUNTIFS(BD!G:G,'Panorama (res. por Vara)'!B11,BD!W:W,"&gt;0")</f>
      </c>
      <c r="N11" s="40">
        <f>SUMIF(BD!G:G,'Panorama (res. por Vara)'!B11,BD!W:W)/M11</f>
      </c>
      <c r="O11" s="36">
        <f>COUNTIFS(BD!G:G,'Panorama (res. por Vara)'!B11,BD!Y:Y,"&gt;0")</f>
      </c>
      <c r="P11" s="41">
        <f>IF(O11=0,"-",SUMIF(BD!G:G,'Panorama (res. por Vara)'!B11,BD!Y:Y)/O11)</f>
      </c>
      <c r="Q11" s="36">
        <f>COUNTIFS(BD!G:G,'Panorama (res. por Vara)'!B11,BD!AA:AA,"&gt;0")</f>
      </c>
      <c r="R11" s="41">
        <f>IF(Q11=0,"-",SUMIF(BD!G:G,'Panorama (res. por Vara)'!B11,BD!AA:AA)/Q11)</f>
      </c>
      <c r="S11" s="42">
        <f>COUNTIFS(BD!G:G,'Panorama (res. por Vara)'!B11,BD!AB:AB,"&lt;&gt;0")</f>
      </c>
      <c r="T11" s="36">
        <f>COUNTIFS(BD!G:G,'Panorama (res. por Vara)'!B11,BD!AM:AM,'Panorama (res. por Vara)'!$T$4)</f>
      </c>
      <c r="U11" s="37">
        <f>T11/C11</f>
      </c>
      <c r="V11" s="43">
        <f>COUNTIFS(BD!G:G,'Panorama (res. por Vara)'!B11,BD!AU:AU,"sim")</f>
      </c>
      <c r="W11" s="44">
        <f>V11/C11</f>
      </c>
      <c r="X11" s="36">
        <f>COUNTIFS(BD!G:G,'Panorama (res. por Vara)'!B11,BD!AV:AV,"sim")</f>
      </c>
      <c r="Y11" s="45">
        <f>X11/C11</f>
      </c>
      <c r="Z11" s="43">
        <f>COUNTIFS(BD!G:G,'Panorama (res. por Vara)'!B11,BD!BA:BA,"sim")</f>
      </c>
      <c r="AA11" s="44">
        <f>Z11/$C11</f>
      </c>
      <c r="AB11" s="36">
        <f>COUNTIFS(BD!G:G,'Panorama (res. por Vara)'!B11,BD!BB:BB,"sim")</f>
      </c>
      <c r="AC11" s="44">
        <f>AB11/$C11</f>
      </c>
      <c r="AD11" s="36">
        <f>COUNTIFS(BD!G:G,'Panorama (res. por Vara)'!B11,BD!BC:BC,"sim")</f>
      </c>
      <c r="AE11" s="44">
        <f>AD11/$C11</f>
      </c>
      <c r="AF11" s="36">
        <f>COUNTIFS(BD!G:G,'Panorama (res. por Vara)'!B11,BD!BD:BD,"sim")</f>
      </c>
      <c r="AG11" s="44">
        <f>AF11/$C11</f>
      </c>
      <c r="AH11" s="36">
        <f>COUNTIFS(BD!G:G,'Panorama (res. por Vara)'!B11,BD!BE:BE,"sim")</f>
      </c>
      <c r="AI11" s="46">
        <f>AH11/$C11</f>
      </c>
      <c r="AJ11" s="43">
        <f>COUNTIFS(BD!G:G,'Panorama (res. por Vara)'!B11,BD!BH:BH,"sim")</f>
      </c>
      <c r="AK11" s="45">
        <f>AJ11/C11</f>
      </c>
      <c r="AL11" s="43">
        <f>COUNTIFS(BD!G:G,'Panorama (res. por Vara)'!B11,BD!BJ:BJ,'Panorama (res. por Vara)'!$AL$4)</f>
      </c>
      <c r="AM11" s="45">
        <f>AL11/C11</f>
      </c>
      <c r="AN11" s="43">
        <f>COUNTIFS(BD!G:G,'Panorama (res. por Vara)'!B11,BD!BL:BL,"&gt;0")</f>
      </c>
      <c r="AO11" s="40">
        <f>SUMIF(BD!G:G,'Panorama (res. por Vara)'!B11,BD!BL:BL)/AN11</f>
      </c>
      <c r="AP11" s="36">
        <f>COUNTIFS(BD!G:G,'Panorama (res. por Vara)'!B11,BD!BP:BP,"&gt;0")</f>
      </c>
      <c r="AQ11" s="38">
        <f>SUMIF(BD!G:G,'Panorama (res. por Vara)'!B11,BD!BP:BP)/AP11</f>
      </c>
      <c r="AR11" s="43">
        <f>COUNTIFS(BD!G:G,'Panorama (res. por Vara)'!B11,BD!BQ:BQ,"Sim")</f>
      </c>
      <c r="AS11" s="45">
        <f>AR11/C11</f>
      </c>
      <c r="AT11" s="43">
        <f>COUNTIFS(BD!G:G,'Panorama (res. por Vara)'!B11,BD!BS:BS,"Fechado")</f>
      </c>
      <c r="AU11" s="45">
        <f>AT11/C11</f>
      </c>
    </row>
    <row x14ac:dyDescent="0.25" r="12" customHeight="1" ht="17.25">
      <c r="A12" s="1"/>
      <c r="B12" s="35" t="s">
        <v>45</v>
      </c>
      <c r="C12" s="36">
        <f>COUNTIF(BD!G:G,'Panorama (res. por Vara)'!B12)</f>
      </c>
      <c r="D12" s="36">
        <f>COUNTIFS(BD!G:G,'Panorama (res. por Vara)'!B12,BD!K:K,$D$4)</f>
      </c>
      <c r="E12" s="37">
        <f>D12/C12</f>
      </c>
      <c r="F12" s="36">
        <f>COUNTIFS(BD!G:G,'Panorama (res. por Vara)'!B12,BD!O:O,$F$4)</f>
      </c>
      <c r="G12" s="37">
        <f>F12/C12</f>
      </c>
      <c r="H12" s="38">
        <f>SUMIF(BD!G:G,'Panorama (res. por Vara)'!B12,BD!M:M)/C12</f>
      </c>
      <c r="I12" s="39">
        <f>COUNTIFS(BD!G:G,'Panorama (res. por Vara)'!B12,BD!S:S,"&gt;0")</f>
      </c>
      <c r="J12" s="40">
        <f>SUMIF(BD!G:G,'Panorama (res. por Vara)'!B12,BD!S:S)/I12</f>
      </c>
      <c r="K12" s="36">
        <f>COUNTIFS(BD!G:G,'Panorama (res. por Vara)'!B12,BD!U:U,"&gt;0")</f>
      </c>
      <c r="L12" s="40">
        <f>SUMIF(BD!G:G,'Panorama (res. por Vara)'!B12,BD!U:U)/K12</f>
      </c>
      <c r="M12" s="36">
        <f>COUNTIFS(BD!G:G,'Panorama (res. por Vara)'!B12,BD!W:W,"&gt;0")</f>
      </c>
      <c r="N12" s="40">
        <f>SUMIF(BD!G:G,'Panorama (res. por Vara)'!B12,BD!W:W)/M12</f>
      </c>
      <c r="O12" s="36">
        <f>COUNTIFS(BD!G:G,'Panorama (res. por Vara)'!B12,BD!Y:Y,"&gt;0")</f>
      </c>
      <c r="P12" s="41">
        <f>IF(O12=0,"-",SUMIF(BD!G:G,'Panorama (res. por Vara)'!B12,BD!Y:Y)/O12)</f>
      </c>
      <c r="Q12" s="36">
        <f>COUNTIFS(BD!G:G,'Panorama (res. por Vara)'!B12,BD!AA:AA,"&gt;0")</f>
      </c>
      <c r="R12" s="41">
        <f>IF(Q12=0,"-",SUMIF(BD!G:G,'Panorama (res. por Vara)'!B12,BD!AA:AA)/Q12)</f>
      </c>
      <c r="S12" s="42">
        <f>COUNTIFS(BD!G:G,'Panorama (res. por Vara)'!B12,BD!AB:AB,"&lt;&gt;0")</f>
      </c>
      <c r="T12" s="36">
        <f>COUNTIFS(BD!G:G,'Panorama (res. por Vara)'!B12,BD!AM:AM,'Panorama (res. por Vara)'!$T$4)</f>
      </c>
      <c r="U12" s="37">
        <f>T12/C12</f>
      </c>
      <c r="V12" s="43">
        <f>COUNTIFS(BD!G:G,'Panorama (res. por Vara)'!B12,BD!AU:AU,"sim")</f>
      </c>
      <c r="W12" s="44">
        <f>V12/C12</f>
      </c>
      <c r="X12" s="36">
        <f>COUNTIFS(BD!G:G,'Panorama (res. por Vara)'!B12,BD!AV:AV,"sim")</f>
      </c>
      <c r="Y12" s="45">
        <f>X12/C12</f>
      </c>
      <c r="Z12" s="43">
        <f>COUNTIFS(BD!G:G,'Panorama (res. por Vara)'!B12,BD!BA:BA,"sim")</f>
      </c>
      <c r="AA12" s="44">
        <f>Z12/$C12</f>
      </c>
      <c r="AB12" s="36">
        <f>COUNTIFS(BD!G:G,'Panorama (res. por Vara)'!B12,BD!BB:BB,"sim")</f>
      </c>
      <c r="AC12" s="44">
        <f>AB12/$C12</f>
      </c>
      <c r="AD12" s="36">
        <f>COUNTIFS(BD!G:G,'Panorama (res. por Vara)'!B12,BD!BC:BC,"sim")</f>
      </c>
      <c r="AE12" s="44">
        <f>AD12/$C12</f>
      </c>
      <c r="AF12" s="36">
        <f>COUNTIFS(BD!G:G,'Panorama (res. por Vara)'!B12,BD!BD:BD,"sim")</f>
      </c>
      <c r="AG12" s="44">
        <f>AF12/$C12</f>
      </c>
      <c r="AH12" s="36">
        <f>COUNTIFS(BD!G:G,'Panorama (res. por Vara)'!B12,BD!BE:BE,"sim")</f>
      </c>
      <c r="AI12" s="46">
        <f>AH12/$C12</f>
      </c>
      <c r="AJ12" s="43">
        <f>COUNTIFS(BD!G:G,'Panorama (res. por Vara)'!B12,BD!BH:BH,"sim")</f>
      </c>
      <c r="AK12" s="45">
        <f>AJ12/C12</f>
      </c>
      <c r="AL12" s="43">
        <f>COUNTIFS(BD!G:G,'Panorama (res. por Vara)'!B12,BD!BJ:BJ,'Panorama (res. por Vara)'!$AL$4)</f>
      </c>
      <c r="AM12" s="45">
        <f>AL12/C12</f>
      </c>
      <c r="AN12" s="43">
        <f>COUNTIFS(BD!G:G,'Panorama (res. por Vara)'!B12,BD!BL:BL,"&gt;0")</f>
      </c>
      <c r="AO12" s="40">
        <f>SUMIF(BD!G:G,'Panorama (res. por Vara)'!B12,BD!BL:BL)/AN12</f>
      </c>
      <c r="AP12" s="36">
        <f>COUNTIFS(BD!G:G,'Panorama (res. por Vara)'!B12,BD!BP:BP,"&gt;0")</f>
      </c>
      <c r="AQ12" s="38">
        <f>SUMIF(BD!G:G,'Panorama (res. por Vara)'!B12,BD!BP:BP)/AP12</f>
      </c>
      <c r="AR12" s="43">
        <f>COUNTIFS(BD!G:G,'Panorama (res. por Vara)'!B12,BD!BQ:BQ,"Sim")</f>
      </c>
      <c r="AS12" s="45">
        <f>AR12/C12</f>
      </c>
      <c r="AT12" s="43">
        <f>COUNTIFS(BD!G:G,'Panorama (res. por Vara)'!B12,BD!BS:BS,"Fechado")</f>
      </c>
      <c r="AU12" s="45">
        <f>AT12/C12</f>
      </c>
    </row>
    <row x14ac:dyDescent="0.25" r="13" customHeight="1" ht="17.25">
      <c r="A13" s="1"/>
      <c r="B13" s="35" t="s">
        <v>46</v>
      </c>
      <c r="C13" s="36">
        <f>COUNTIF(BD!G:G,'Panorama (res. por Vara)'!B13)</f>
      </c>
      <c r="D13" s="36">
        <f>COUNTIFS(BD!G:G,'Panorama (res. por Vara)'!B13,BD!K:K,$D$4)</f>
      </c>
      <c r="E13" s="37">
        <f>D13/C13</f>
      </c>
      <c r="F13" s="36">
        <f>COUNTIFS(BD!G:G,'Panorama (res. por Vara)'!B13,BD!O:O,$F$4)</f>
      </c>
      <c r="G13" s="37">
        <f>F13/C13</f>
      </c>
      <c r="H13" s="38">
        <f>SUMIF(BD!G:G,'Panorama (res. por Vara)'!B13,BD!M:M)/C13</f>
      </c>
      <c r="I13" s="39">
        <f>COUNTIFS(BD!G:G,'Panorama (res. por Vara)'!B13,BD!S:S,"&gt;0")</f>
      </c>
      <c r="J13" s="40">
        <f>SUMIF(BD!G:G,'Panorama (res. por Vara)'!B13,BD!S:S)/I13</f>
      </c>
      <c r="K13" s="36">
        <f>COUNTIFS(BD!G:G,'Panorama (res. por Vara)'!B13,BD!U:U,"&gt;0")</f>
      </c>
      <c r="L13" s="40">
        <f>SUMIF(BD!G:G,'Panorama (res. por Vara)'!B13,BD!U:U)/K13</f>
      </c>
      <c r="M13" s="36">
        <f>COUNTIFS(BD!G:G,'Panorama (res. por Vara)'!B13,BD!W:W,"&gt;0")</f>
      </c>
      <c r="N13" s="40">
        <f>SUMIF(BD!G:G,'Panorama (res. por Vara)'!B13,BD!W:W)/M13</f>
      </c>
      <c r="O13" s="36">
        <f>COUNTIFS(BD!G:G,'Panorama (res. por Vara)'!B13,BD!Y:Y,"&gt;0")</f>
      </c>
      <c r="P13" s="41">
        <f>IF(O13=0,"-",SUMIF(BD!G:G,'Panorama (res. por Vara)'!B13,BD!Y:Y)/O13)</f>
      </c>
      <c r="Q13" s="36">
        <f>COUNTIFS(BD!G:G,'Panorama (res. por Vara)'!B13,BD!AA:AA,"&gt;0")</f>
      </c>
      <c r="R13" s="41">
        <f>IF(Q13=0,"-",SUMIF(BD!G:G,'Panorama (res. por Vara)'!B13,BD!AA:AA)/Q13)</f>
      </c>
      <c r="S13" s="42">
        <f>COUNTIFS(BD!G:G,'Panorama (res. por Vara)'!B13,BD!AB:AB,"&lt;&gt;0")</f>
      </c>
      <c r="T13" s="36">
        <f>COUNTIFS(BD!G:G,'Panorama (res. por Vara)'!B13,BD!AM:AM,'Panorama (res. por Vara)'!$T$4)</f>
      </c>
      <c r="U13" s="37">
        <f>T13/C13</f>
      </c>
      <c r="V13" s="43">
        <f>COUNTIFS(BD!G:G,'Panorama (res. por Vara)'!B13,BD!AU:AU,"sim")</f>
      </c>
      <c r="W13" s="44">
        <f>V13/C13</f>
      </c>
      <c r="X13" s="36">
        <f>COUNTIFS(BD!G:G,'Panorama (res. por Vara)'!B13,BD!AV:AV,"sim")</f>
      </c>
      <c r="Y13" s="45">
        <f>X13/C13</f>
      </c>
      <c r="Z13" s="43">
        <f>COUNTIFS(BD!G:G,'Panorama (res. por Vara)'!B13,BD!BA:BA,"sim")</f>
      </c>
      <c r="AA13" s="44">
        <f>Z13/$C13</f>
      </c>
      <c r="AB13" s="36">
        <f>COUNTIFS(BD!G:G,'Panorama (res. por Vara)'!B13,BD!BB:BB,"sim")</f>
      </c>
      <c r="AC13" s="44">
        <f>AB13/$C13</f>
      </c>
      <c r="AD13" s="36">
        <f>COUNTIFS(BD!G:G,'Panorama (res. por Vara)'!B13,BD!BC:BC,"sim")</f>
      </c>
      <c r="AE13" s="44">
        <f>AD13/$C13</f>
      </c>
      <c r="AF13" s="36">
        <f>COUNTIFS(BD!G:G,'Panorama (res. por Vara)'!B13,BD!BD:BD,"sim")</f>
      </c>
      <c r="AG13" s="44">
        <f>AF13/$C13</f>
      </c>
      <c r="AH13" s="36">
        <f>COUNTIFS(BD!G:G,'Panorama (res. por Vara)'!B13,BD!BE:BE,"sim")</f>
      </c>
      <c r="AI13" s="46">
        <f>AH13/$C13</f>
      </c>
      <c r="AJ13" s="43">
        <f>COUNTIFS(BD!G:G,'Panorama (res. por Vara)'!B13,BD!BH:BH,"sim")</f>
      </c>
      <c r="AK13" s="45">
        <f>AJ13/C13</f>
      </c>
      <c r="AL13" s="43">
        <f>COUNTIFS(BD!G:G,'Panorama (res. por Vara)'!B13,BD!BJ:BJ,'Panorama (res. por Vara)'!$AL$4)</f>
      </c>
      <c r="AM13" s="45">
        <f>AL13/C13</f>
      </c>
      <c r="AN13" s="43">
        <f>COUNTIFS(BD!G:G,'Panorama (res. por Vara)'!B13,BD!BL:BL,"&gt;0")</f>
      </c>
      <c r="AO13" s="40">
        <f>SUMIF(BD!G:G,'Panorama (res. por Vara)'!B13,BD!BL:BL)/AN13</f>
      </c>
      <c r="AP13" s="36">
        <f>COUNTIFS(BD!G:G,'Panorama (res. por Vara)'!B13,BD!BP:BP,"&gt;0")</f>
      </c>
      <c r="AQ13" s="38">
        <f>SUMIF(BD!G:G,'Panorama (res. por Vara)'!B13,BD!BP:BP)/AP13</f>
      </c>
      <c r="AR13" s="43">
        <f>COUNTIFS(BD!G:G,'Panorama (res. por Vara)'!B13,BD!BQ:BQ,"Sim")</f>
      </c>
      <c r="AS13" s="45">
        <f>AR13/C13</f>
      </c>
      <c r="AT13" s="43">
        <f>COUNTIFS(BD!G:G,'Panorama (res. por Vara)'!B13,BD!BS:BS,"Fechado")</f>
      </c>
      <c r="AU13" s="45">
        <f>AT13/C13</f>
      </c>
    </row>
    <row x14ac:dyDescent="0.25" r="14" customHeight="1" ht="17.25">
      <c r="A14" s="1"/>
      <c r="B14" s="35" t="s">
        <v>47</v>
      </c>
      <c r="C14" s="36">
        <f>COUNTIF(BD!G:G,'Panorama (res. por Vara)'!B14)</f>
      </c>
      <c r="D14" s="36">
        <f>COUNTIFS(BD!G:G,'Panorama (res. por Vara)'!B14,BD!K:K,$D$4)</f>
      </c>
      <c r="E14" s="37">
        <f>D14/C14</f>
      </c>
      <c r="F14" s="36">
        <f>COUNTIFS(BD!G:G,'Panorama (res. por Vara)'!B14,BD!O:O,$F$4)</f>
      </c>
      <c r="G14" s="37">
        <f>F14/C14</f>
      </c>
      <c r="H14" s="38">
        <f>SUMIF(BD!G:G,'Panorama (res. por Vara)'!B14,BD!M:M)/C14</f>
      </c>
      <c r="I14" s="39">
        <f>COUNTIFS(BD!G:G,'Panorama (res. por Vara)'!B14,BD!S:S,"&gt;0")</f>
      </c>
      <c r="J14" s="40">
        <f>SUMIF(BD!G:G,'Panorama (res. por Vara)'!B14,BD!S:S)/I14</f>
      </c>
      <c r="K14" s="36">
        <f>COUNTIFS(BD!G:G,'Panorama (res. por Vara)'!B14,BD!U:U,"&gt;0")</f>
      </c>
      <c r="L14" s="40">
        <f>SUMIF(BD!G:G,'Panorama (res. por Vara)'!B14,BD!U:U)/K14</f>
      </c>
      <c r="M14" s="36">
        <f>COUNTIFS(BD!G:G,'Panorama (res. por Vara)'!B14,BD!W:W,"&gt;0")</f>
      </c>
      <c r="N14" s="40">
        <f>SUMIF(BD!G:G,'Panorama (res. por Vara)'!B14,BD!W:W)/M14</f>
      </c>
      <c r="O14" s="36">
        <f>COUNTIFS(BD!G:G,'Panorama (res. por Vara)'!B14,BD!Y:Y,"&gt;0")</f>
      </c>
      <c r="P14" s="41">
        <f>IF(O14=0,"-",SUMIF(BD!G:G,'Panorama (res. por Vara)'!B14,BD!Y:Y)/O14)</f>
      </c>
      <c r="Q14" s="36">
        <f>COUNTIFS(BD!G:G,'Panorama (res. por Vara)'!B14,BD!AA:AA,"&gt;0")</f>
      </c>
      <c r="R14" s="41">
        <f>IF(Q14=0,"-",SUMIF(BD!G:G,'Panorama (res. por Vara)'!B14,BD!AA:AA)/Q14)</f>
      </c>
      <c r="S14" s="42">
        <f>COUNTIFS(BD!G:G,'Panorama (res. por Vara)'!B14,BD!AB:AB,"&lt;&gt;0")</f>
      </c>
      <c r="T14" s="36">
        <f>COUNTIFS(BD!G:G,'Panorama (res. por Vara)'!B14,BD!AM:AM,'Panorama (res. por Vara)'!$T$4)</f>
      </c>
      <c r="U14" s="37">
        <f>T14/C14</f>
      </c>
      <c r="V14" s="43">
        <f>COUNTIFS(BD!G:G,'Panorama (res. por Vara)'!B14,BD!AU:AU,"sim")</f>
      </c>
      <c r="W14" s="44">
        <f>V14/C14</f>
      </c>
      <c r="X14" s="36">
        <f>COUNTIFS(BD!G:G,'Panorama (res. por Vara)'!B14,BD!AV:AV,"sim")</f>
      </c>
      <c r="Y14" s="45">
        <f>X14/C14</f>
      </c>
      <c r="Z14" s="43">
        <f>COUNTIFS(BD!G:G,'Panorama (res. por Vara)'!B14,BD!BA:BA,"sim")</f>
      </c>
      <c r="AA14" s="44">
        <f>Z14/$C14</f>
      </c>
      <c r="AB14" s="36">
        <f>COUNTIFS(BD!G:G,'Panorama (res. por Vara)'!B14,BD!BB:BB,"sim")</f>
      </c>
      <c r="AC14" s="44">
        <f>AB14/$C14</f>
      </c>
      <c r="AD14" s="36">
        <f>COUNTIFS(BD!G:G,'Panorama (res. por Vara)'!B14,BD!BC:BC,"sim")</f>
      </c>
      <c r="AE14" s="44">
        <f>AD14/$C14</f>
      </c>
      <c r="AF14" s="36">
        <f>COUNTIFS(BD!G:G,'Panorama (res. por Vara)'!B14,BD!BD:BD,"sim")</f>
      </c>
      <c r="AG14" s="44">
        <f>AF14/$C14</f>
      </c>
      <c r="AH14" s="36">
        <f>COUNTIFS(BD!G:G,'Panorama (res. por Vara)'!B14,BD!BE:BE,"sim")</f>
      </c>
      <c r="AI14" s="46">
        <f>AH14/$C14</f>
      </c>
      <c r="AJ14" s="43">
        <f>COUNTIFS(BD!G:G,'Panorama (res. por Vara)'!B14,BD!BH:BH,"sim")</f>
      </c>
      <c r="AK14" s="45">
        <f>AJ14/C14</f>
      </c>
      <c r="AL14" s="43">
        <f>COUNTIFS(BD!G:G,'Panorama (res. por Vara)'!B14,BD!BJ:BJ,'Panorama (res. por Vara)'!$AL$4)</f>
      </c>
      <c r="AM14" s="45">
        <f>AL14/C14</f>
      </c>
      <c r="AN14" s="43">
        <f>COUNTIFS(BD!G:G,'Panorama (res. por Vara)'!B14,BD!BL:BL,"&gt;0")</f>
      </c>
      <c r="AO14" s="40">
        <f>SUMIF(BD!G:G,'Panorama (res. por Vara)'!B14,BD!BL:BL)/AN14</f>
      </c>
      <c r="AP14" s="36">
        <f>COUNTIFS(BD!G:G,'Panorama (res. por Vara)'!B14,BD!BP:BP,"&gt;0")</f>
      </c>
      <c r="AQ14" s="38">
        <f>SUMIF(BD!G:G,'Panorama (res. por Vara)'!B14,BD!BP:BP)/AP14</f>
      </c>
      <c r="AR14" s="43">
        <f>COUNTIFS(BD!G:G,'Panorama (res. por Vara)'!B14,BD!BQ:BQ,"Sim")</f>
      </c>
      <c r="AS14" s="45">
        <f>AR14/C14</f>
      </c>
      <c r="AT14" s="43">
        <f>COUNTIFS(BD!G:G,'Panorama (res. por Vara)'!B14,BD!BS:BS,"Fechado")</f>
      </c>
      <c r="AU14" s="45">
        <f>AT14/C14</f>
      </c>
    </row>
    <row x14ac:dyDescent="0.25" r="15" customHeight="1" ht="17.25">
      <c r="A15" s="1"/>
      <c r="B15" s="35" t="s">
        <v>48</v>
      </c>
      <c r="C15" s="36">
        <f>COUNTIF(BD!G:G,'Panorama (res. por Vara)'!B15)</f>
      </c>
      <c r="D15" s="36">
        <f>COUNTIFS(BD!G:G,'Panorama (res. por Vara)'!B15,BD!K:K,$D$4)</f>
      </c>
      <c r="E15" s="37">
        <f>D15/C15</f>
      </c>
      <c r="F15" s="36">
        <f>COUNTIFS(BD!G:G,'Panorama (res. por Vara)'!B15,BD!O:O,$F$4)</f>
      </c>
      <c r="G15" s="37">
        <f>F15/C15</f>
      </c>
      <c r="H15" s="38">
        <f>SUMIF(BD!G:G,'Panorama (res. por Vara)'!B15,BD!M:M)/C15</f>
      </c>
      <c r="I15" s="39">
        <f>COUNTIFS(BD!G:G,'Panorama (res. por Vara)'!B15,BD!S:S,"&gt;0")</f>
      </c>
      <c r="J15" s="40">
        <f>SUMIF(BD!G:G,'Panorama (res. por Vara)'!B15,BD!S:S)/I15</f>
      </c>
      <c r="K15" s="36">
        <f>COUNTIFS(BD!G:G,'Panorama (res. por Vara)'!B15,BD!U:U,"&gt;0")</f>
      </c>
      <c r="L15" s="40">
        <f>SUMIF(BD!G:G,'Panorama (res. por Vara)'!B15,BD!U:U)/K15</f>
      </c>
      <c r="M15" s="36">
        <f>COUNTIFS(BD!G:G,'Panorama (res. por Vara)'!B15,BD!W:W,"&gt;0")</f>
      </c>
      <c r="N15" s="40">
        <f>SUMIF(BD!G:G,'Panorama (res. por Vara)'!B15,BD!W:W)/M15</f>
      </c>
      <c r="O15" s="36">
        <f>COUNTIFS(BD!G:G,'Panorama (res. por Vara)'!B15,BD!Y:Y,"&gt;0")</f>
      </c>
      <c r="P15" s="41">
        <f>IF(O15=0,"-",SUMIF(BD!G:G,'Panorama (res. por Vara)'!B15,BD!Y:Y)/O15)</f>
      </c>
      <c r="Q15" s="36">
        <f>COUNTIFS(BD!G:G,'Panorama (res. por Vara)'!B15,BD!AA:AA,"&gt;0")</f>
      </c>
      <c r="R15" s="41">
        <f>IF(Q15=0,"-",SUMIF(BD!G:G,'Panorama (res. por Vara)'!B15,BD!AA:AA)/Q15)</f>
      </c>
      <c r="S15" s="42">
        <f>COUNTIFS(BD!G:G,'Panorama (res. por Vara)'!B15,BD!AB:AB,"&lt;&gt;0")</f>
      </c>
      <c r="T15" s="36">
        <f>COUNTIFS(BD!G:G,'Panorama (res. por Vara)'!B15,BD!AM:AM,'Panorama (res. por Vara)'!$T$4)</f>
      </c>
      <c r="U15" s="37">
        <f>T15/C15</f>
      </c>
      <c r="V15" s="43">
        <f>COUNTIFS(BD!G:G,'Panorama (res. por Vara)'!B15,BD!AU:AU,"sim")</f>
      </c>
      <c r="W15" s="44">
        <f>V15/C15</f>
      </c>
      <c r="X15" s="36">
        <f>COUNTIFS(BD!G:G,'Panorama (res. por Vara)'!B15,BD!AV:AV,"sim")</f>
      </c>
      <c r="Y15" s="45">
        <f>X15/C15</f>
      </c>
      <c r="Z15" s="43">
        <f>COUNTIFS(BD!G:G,'Panorama (res. por Vara)'!B15,BD!BA:BA,"sim")</f>
      </c>
      <c r="AA15" s="44">
        <f>Z15/$C15</f>
      </c>
      <c r="AB15" s="36">
        <f>COUNTIFS(BD!G:G,'Panorama (res. por Vara)'!B15,BD!BB:BB,"sim")</f>
      </c>
      <c r="AC15" s="44">
        <f>AB15/$C15</f>
      </c>
      <c r="AD15" s="36">
        <f>COUNTIFS(BD!G:G,'Panorama (res. por Vara)'!B15,BD!BC:BC,"sim")</f>
      </c>
      <c r="AE15" s="44">
        <f>AD15/$C15</f>
      </c>
      <c r="AF15" s="36">
        <f>COUNTIFS(BD!G:G,'Panorama (res. por Vara)'!B15,BD!BD:BD,"sim")</f>
      </c>
      <c r="AG15" s="44">
        <f>AF15/$C15</f>
      </c>
      <c r="AH15" s="36">
        <f>COUNTIFS(BD!G:G,'Panorama (res. por Vara)'!B15,BD!BE:BE,"sim")</f>
      </c>
      <c r="AI15" s="46">
        <f>AH15/$C15</f>
      </c>
      <c r="AJ15" s="43">
        <f>COUNTIFS(BD!G:G,'Panorama (res. por Vara)'!B15,BD!BH:BH,"sim")</f>
      </c>
      <c r="AK15" s="45">
        <f>AJ15/C15</f>
      </c>
      <c r="AL15" s="43">
        <f>COUNTIFS(BD!G:G,'Panorama (res. por Vara)'!B15,BD!BJ:BJ,'Panorama (res. por Vara)'!$AL$4)</f>
      </c>
      <c r="AM15" s="45">
        <f>AL15/C15</f>
      </c>
      <c r="AN15" s="43">
        <f>COUNTIFS(BD!G:G,'Panorama (res. por Vara)'!B15,BD!BL:BL,"&gt;0")</f>
      </c>
      <c r="AO15" s="40">
        <f>SUMIF(BD!G:G,'Panorama (res. por Vara)'!B15,BD!BL:BL)/AN15</f>
      </c>
      <c r="AP15" s="36">
        <f>COUNTIFS(BD!G:G,'Panorama (res. por Vara)'!B15,BD!BP:BP,"&gt;0")</f>
      </c>
      <c r="AQ15" s="38">
        <f>SUMIF(BD!G:G,'Panorama (res. por Vara)'!B15,BD!BP:BP)/AP15</f>
      </c>
      <c r="AR15" s="43">
        <f>COUNTIFS(BD!G:G,'Panorama (res. por Vara)'!B15,BD!BQ:BQ,"Sim")</f>
      </c>
      <c r="AS15" s="45">
        <f>AR15/C15</f>
      </c>
      <c r="AT15" s="43">
        <f>COUNTIFS(BD!G:G,'Panorama (res. por Vara)'!B15,BD!BS:BS,"Fechado")</f>
      </c>
      <c r="AU15" s="45">
        <f>AT15/C15</f>
      </c>
    </row>
    <row x14ac:dyDescent="0.25" r="16" customHeight="1" ht="17.25">
      <c r="A16" s="1"/>
      <c r="B16" s="35" t="s">
        <v>49</v>
      </c>
      <c r="C16" s="36">
        <f>COUNTIF(BD!G:G,'Panorama (res. por Vara)'!B16)</f>
      </c>
      <c r="D16" s="36">
        <f>COUNTIFS(BD!G:G,'Panorama (res. por Vara)'!B16,BD!K:K,$D$4)</f>
      </c>
      <c r="E16" s="37">
        <f>D16/C16</f>
      </c>
      <c r="F16" s="36">
        <f>COUNTIFS(BD!G:G,'Panorama (res. por Vara)'!B16,BD!O:O,$F$4)</f>
      </c>
      <c r="G16" s="37">
        <f>F16/C16</f>
      </c>
      <c r="H16" s="38">
        <f>SUMIF(BD!G:G,'Panorama (res. por Vara)'!B16,BD!M:M)/C16</f>
      </c>
      <c r="I16" s="39">
        <f>COUNTIFS(BD!G:G,'Panorama (res. por Vara)'!B16,BD!S:S,"&gt;0")</f>
      </c>
      <c r="J16" s="40">
        <f>SUMIF(BD!G:G,'Panorama (res. por Vara)'!B16,BD!S:S)/I16</f>
      </c>
      <c r="K16" s="36">
        <f>COUNTIFS(BD!G:G,'Panorama (res. por Vara)'!B16,BD!U:U,"&gt;0")</f>
      </c>
      <c r="L16" s="40">
        <f>SUMIF(BD!G:G,'Panorama (res. por Vara)'!B16,BD!U:U)/K16</f>
      </c>
      <c r="M16" s="36">
        <f>COUNTIFS(BD!G:G,'Panorama (res. por Vara)'!B16,BD!W:W,"&gt;0")</f>
      </c>
      <c r="N16" s="40">
        <f>SUMIF(BD!G:G,'Panorama (res. por Vara)'!B16,BD!W:W)/M16</f>
      </c>
      <c r="O16" s="36">
        <f>COUNTIFS(BD!G:G,'Panorama (res. por Vara)'!B16,BD!Y:Y,"&gt;0")</f>
      </c>
      <c r="P16" s="41">
        <f>IF(O16=0,"-",SUMIF(BD!G:G,'Panorama (res. por Vara)'!B16,BD!Y:Y)/O16)</f>
      </c>
      <c r="Q16" s="36">
        <f>COUNTIFS(BD!G:G,'Panorama (res. por Vara)'!B16,BD!AA:AA,"&gt;0")</f>
      </c>
      <c r="R16" s="41">
        <f>IF(Q16=0,"-",SUMIF(BD!G:G,'Panorama (res. por Vara)'!B16,BD!AA:AA)/Q16)</f>
      </c>
      <c r="S16" s="42">
        <f>COUNTIFS(BD!G:G,'Panorama (res. por Vara)'!B16,BD!AB:AB,"&lt;&gt;0")</f>
      </c>
      <c r="T16" s="36">
        <f>COUNTIFS(BD!G:G,'Panorama (res. por Vara)'!B16,BD!AM:AM,'Panorama (res. por Vara)'!$T$4)</f>
      </c>
      <c r="U16" s="37">
        <f>T16/C16</f>
      </c>
      <c r="V16" s="43">
        <f>COUNTIFS(BD!G:G,'Panorama (res. por Vara)'!B16,BD!AU:AU,"sim")</f>
      </c>
      <c r="W16" s="44">
        <f>V16/C16</f>
      </c>
      <c r="X16" s="36">
        <f>COUNTIFS(BD!G:G,'Panorama (res. por Vara)'!B16,BD!AV:AV,"sim")</f>
      </c>
      <c r="Y16" s="45">
        <f>X16/C16</f>
      </c>
      <c r="Z16" s="43">
        <f>COUNTIFS(BD!G:G,'Panorama (res. por Vara)'!B16,BD!BA:BA,"sim")</f>
      </c>
      <c r="AA16" s="44">
        <f>Z16/$C16</f>
      </c>
      <c r="AB16" s="36">
        <f>COUNTIFS(BD!G:G,'Panorama (res. por Vara)'!B16,BD!BB:BB,"sim")</f>
      </c>
      <c r="AC16" s="44">
        <f>AB16/$C16</f>
      </c>
      <c r="AD16" s="36">
        <f>COUNTIFS(BD!G:G,'Panorama (res. por Vara)'!B16,BD!BC:BC,"sim")</f>
      </c>
      <c r="AE16" s="44">
        <f>AD16/$C16</f>
      </c>
      <c r="AF16" s="36">
        <f>COUNTIFS(BD!G:G,'Panorama (res. por Vara)'!B16,BD!BD:BD,"sim")</f>
      </c>
      <c r="AG16" s="44">
        <f>AF16/$C16</f>
      </c>
      <c r="AH16" s="36">
        <f>COUNTIFS(BD!G:G,'Panorama (res. por Vara)'!B16,BD!BE:BE,"sim")</f>
      </c>
      <c r="AI16" s="46">
        <f>AH16/$C16</f>
      </c>
      <c r="AJ16" s="43">
        <f>COUNTIFS(BD!G:G,'Panorama (res. por Vara)'!B16,BD!BH:BH,"sim")</f>
      </c>
      <c r="AK16" s="45">
        <f>AJ16/C16</f>
      </c>
      <c r="AL16" s="43">
        <f>COUNTIFS(BD!G:G,'Panorama (res. por Vara)'!B16,BD!BJ:BJ,'Panorama (res. por Vara)'!$AL$4)</f>
      </c>
      <c r="AM16" s="45">
        <f>AL16/C16</f>
      </c>
      <c r="AN16" s="43">
        <f>COUNTIFS(BD!G:G,'Panorama (res. por Vara)'!B16,BD!BL:BL,"&gt;0")</f>
      </c>
      <c r="AO16" s="40">
        <f>SUMIF(BD!G:G,'Panorama (res. por Vara)'!B16,BD!BL:BL)/AN16</f>
      </c>
      <c r="AP16" s="36">
        <f>COUNTIFS(BD!G:G,'Panorama (res. por Vara)'!B16,BD!BP:BP,"&gt;0")</f>
      </c>
      <c r="AQ16" s="38">
        <f>SUMIF(BD!G:G,'Panorama (res. por Vara)'!B16,BD!BP:BP)/AP16</f>
      </c>
      <c r="AR16" s="43">
        <f>COUNTIFS(BD!G:G,'Panorama (res. por Vara)'!B16,BD!BQ:BQ,"Sim")</f>
      </c>
      <c r="AS16" s="45">
        <f>AR16/C16</f>
      </c>
      <c r="AT16" s="43">
        <f>COUNTIFS(BD!G:G,'Panorama (res. por Vara)'!B16,BD!BS:BS,"Fechado")</f>
      </c>
      <c r="AU16" s="45">
        <f>AT16/C16</f>
      </c>
    </row>
    <row x14ac:dyDescent="0.25" r="17" customHeight="1" ht="17.25">
      <c r="A17" s="1"/>
      <c r="B17" s="35" t="s">
        <v>50</v>
      </c>
      <c r="C17" s="36">
        <f>COUNTIF(BD!G:G,'Panorama (res. por Vara)'!B17)</f>
      </c>
      <c r="D17" s="36">
        <f>COUNTIFS(BD!G:G,'Panorama (res. por Vara)'!B17,BD!K:K,$D$4)</f>
      </c>
      <c r="E17" s="37">
        <f>D17/C17</f>
      </c>
      <c r="F17" s="36">
        <f>COUNTIFS(BD!G:G,'Panorama (res. por Vara)'!B17,BD!O:O,$F$4)</f>
      </c>
      <c r="G17" s="37">
        <f>F17/C17</f>
      </c>
      <c r="H17" s="38">
        <f>SUMIF(BD!G:G,'Panorama (res. por Vara)'!B17,BD!M:M)/C17</f>
      </c>
      <c r="I17" s="39">
        <f>COUNTIFS(BD!G:G,'Panorama (res. por Vara)'!B17,BD!S:S,"&gt;0")</f>
      </c>
      <c r="J17" s="40">
        <f>SUMIF(BD!G:G,'Panorama (res. por Vara)'!B17,BD!S:S)/I17</f>
      </c>
      <c r="K17" s="36">
        <f>COUNTIFS(BD!G:G,'Panorama (res. por Vara)'!B17,BD!U:U,"&gt;0")</f>
      </c>
      <c r="L17" s="40">
        <f>SUMIF(BD!G:G,'Panorama (res. por Vara)'!B17,BD!U:U)/K17</f>
      </c>
      <c r="M17" s="36">
        <f>COUNTIFS(BD!G:G,'Panorama (res. por Vara)'!B17,BD!W:W,"&gt;0")</f>
      </c>
      <c r="N17" s="40">
        <f>SUMIF(BD!G:G,'Panorama (res. por Vara)'!B17,BD!W:W)/M17</f>
      </c>
      <c r="O17" s="36">
        <f>COUNTIFS(BD!G:G,'Panorama (res. por Vara)'!B17,BD!Y:Y,"&gt;0")</f>
      </c>
      <c r="P17" s="41">
        <f>IF(O17=0,"-",SUMIF(BD!G:G,'Panorama (res. por Vara)'!B17,BD!Y:Y)/O17)</f>
      </c>
      <c r="Q17" s="36">
        <f>COUNTIFS(BD!G:G,'Panorama (res. por Vara)'!B17,BD!AA:AA,"&gt;0")</f>
      </c>
      <c r="R17" s="41">
        <f>IF(Q17=0,"-",SUMIF(BD!G:G,'Panorama (res. por Vara)'!B17,BD!AA:AA)/Q17)</f>
      </c>
      <c r="S17" s="42">
        <f>COUNTIFS(BD!G:G,'Panorama (res. por Vara)'!B17,BD!AB:AB,"&lt;&gt;0")</f>
      </c>
      <c r="T17" s="36">
        <f>COUNTIFS(BD!G:G,'Panorama (res. por Vara)'!B17,BD!AM:AM,'Panorama (res. por Vara)'!$T$4)</f>
      </c>
      <c r="U17" s="37">
        <f>T17/C17</f>
      </c>
      <c r="V17" s="43">
        <f>COUNTIFS(BD!G:G,'Panorama (res. por Vara)'!B17,BD!AU:AU,"sim")</f>
      </c>
      <c r="W17" s="44">
        <f>V17/C17</f>
      </c>
      <c r="X17" s="36">
        <f>COUNTIFS(BD!G:G,'Panorama (res. por Vara)'!B17,BD!AV:AV,"sim")</f>
      </c>
      <c r="Y17" s="45">
        <f>X17/C17</f>
      </c>
      <c r="Z17" s="43">
        <f>COUNTIFS(BD!G:G,'Panorama (res. por Vara)'!B17,BD!BA:BA,"sim")</f>
      </c>
      <c r="AA17" s="44">
        <f>Z17/$C17</f>
      </c>
      <c r="AB17" s="36">
        <f>COUNTIFS(BD!G:G,'Panorama (res. por Vara)'!B17,BD!BB:BB,"sim")</f>
      </c>
      <c r="AC17" s="44">
        <f>AB17/$C17</f>
      </c>
      <c r="AD17" s="36">
        <f>COUNTIFS(BD!G:G,'Panorama (res. por Vara)'!B17,BD!BC:BC,"sim")</f>
      </c>
      <c r="AE17" s="44">
        <f>AD17/$C17</f>
      </c>
      <c r="AF17" s="36">
        <f>COUNTIFS(BD!G:G,'Panorama (res. por Vara)'!B17,BD!BD:BD,"sim")</f>
      </c>
      <c r="AG17" s="44">
        <f>AF17/$C17</f>
      </c>
      <c r="AH17" s="36">
        <f>COUNTIFS(BD!G:G,'Panorama (res. por Vara)'!B17,BD!BE:BE,"sim")</f>
      </c>
      <c r="AI17" s="46">
        <f>AH17/$C17</f>
      </c>
      <c r="AJ17" s="43">
        <f>COUNTIFS(BD!G:G,'Panorama (res. por Vara)'!B17,BD!BH:BH,"sim")</f>
      </c>
      <c r="AK17" s="45">
        <f>AJ17/C17</f>
      </c>
      <c r="AL17" s="43">
        <f>COUNTIFS(BD!G:G,'Panorama (res. por Vara)'!B17,BD!BJ:BJ,'Panorama (res. por Vara)'!$AL$4)</f>
      </c>
      <c r="AM17" s="45">
        <f>AL17/C17</f>
      </c>
      <c r="AN17" s="43">
        <f>COUNTIFS(BD!G:G,'Panorama (res. por Vara)'!B17,BD!BL:BL,"&gt;0")</f>
      </c>
      <c r="AO17" s="40">
        <f>SUMIF(BD!G:G,'Panorama (res. por Vara)'!B17,BD!BL:BL)/AN17</f>
      </c>
      <c r="AP17" s="36">
        <f>COUNTIFS(BD!G:G,'Panorama (res. por Vara)'!B17,BD!BP:BP,"&gt;0")</f>
      </c>
      <c r="AQ17" s="38">
        <f>SUMIF(BD!G:G,'Panorama (res. por Vara)'!B17,BD!BP:BP)/AP17</f>
      </c>
      <c r="AR17" s="43">
        <f>COUNTIFS(BD!G:G,'Panorama (res. por Vara)'!B17,BD!BQ:BQ,"Sim")</f>
      </c>
      <c r="AS17" s="45">
        <f>AR17/C17</f>
      </c>
      <c r="AT17" s="43">
        <f>COUNTIFS(BD!G:G,'Panorama (res. por Vara)'!B17,BD!BS:BS,"Fechado")</f>
      </c>
      <c r="AU17" s="45">
        <f>AT17/C17</f>
      </c>
    </row>
    <row x14ac:dyDescent="0.25" r="18" customHeight="1" ht="17.25">
      <c r="A18" s="1"/>
      <c r="B18" s="35" t="s">
        <v>51</v>
      </c>
      <c r="C18" s="36">
        <f>COUNTIF(BD!G:G,'Panorama (res. por Vara)'!B18)</f>
      </c>
      <c r="D18" s="36">
        <f>COUNTIFS(BD!G:G,'Panorama (res. por Vara)'!B18,BD!K:K,$D$4)</f>
      </c>
      <c r="E18" s="37">
        <f>D18/C18</f>
      </c>
      <c r="F18" s="36">
        <f>COUNTIFS(BD!G:G,'Panorama (res. por Vara)'!B18,BD!O:O,$F$4)</f>
      </c>
      <c r="G18" s="37">
        <f>F18/C18</f>
      </c>
      <c r="H18" s="38">
        <f>SUMIF(BD!G:G,'Panorama (res. por Vara)'!B18,BD!M:M)/C18</f>
      </c>
      <c r="I18" s="39">
        <f>COUNTIFS(BD!G:G,'Panorama (res. por Vara)'!B18,BD!S:S,"&gt;0")</f>
      </c>
      <c r="J18" s="40">
        <f>SUMIF(BD!G:G,'Panorama (res. por Vara)'!B18,BD!S:S)/I18</f>
      </c>
      <c r="K18" s="36">
        <f>COUNTIFS(BD!G:G,'Panorama (res. por Vara)'!B18,BD!U:U,"&gt;0")</f>
      </c>
      <c r="L18" s="40">
        <f>SUMIF(BD!G:G,'Panorama (res. por Vara)'!B18,BD!U:U)/K18</f>
      </c>
      <c r="M18" s="36">
        <f>COUNTIFS(BD!G:G,'Panorama (res. por Vara)'!B18,BD!W:W,"&gt;0")</f>
      </c>
      <c r="N18" s="40">
        <f>SUMIF(BD!G:G,'Panorama (res. por Vara)'!B18,BD!W:W)/M18</f>
      </c>
      <c r="O18" s="36">
        <f>COUNTIFS(BD!G:G,'Panorama (res. por Vara)'!B18,BD!Y:Y,"&gt;0")</f>
      </c>
      <c r="P18" s="41">
        <f>IF(O18=0,"-",SUMIF(BD!G:G,'Panorama (res. por Vara)'!B18,BD!Y:Y)/O18)</f>
      </c>
      <c r="Q18" s="36">
        <f>COUNTIFS(BD!G:G,'Panorama (res. por Vara)'!B18,BD!AA:AA,"&gt;0")</f>
      </c>
      <c r="R18" s="41">
        <f>IF(Q18=0,"-",SUMIF(BD!G:G,'Panorama (res. por Vara)'!B18,BD!AA:AA)/Q18)</f>
      </c>
      <c r="S18" s="42">
        <f>COUNTIFS(BD!G:G,'Panorama (res. por Vara)'!B18,BD!AB:AB,"&lt;&gt;0")</f>
      </c>
      <c r="T18" s="36">
        <f>COUNTIFS(BD!G:G,'Panorama (res. por Vara)'!B18,BD!AM:AM,'Panorama (res. por Vara)'!$T$4)</f>
      </c>
      <c r="U18" s="37">
        <f>T18/C18</f>
      </c>
      <c r="V18" s="43">
        <f>COUNTIFS(BD!G:G,'Panorama (res. por Vara)'!B18,BD!AU:AU,"sim")</f>
      </c>
      <c r="W18" s="44">
        <f>V18/C18</f>
      </c>
      <c r="X18" s="36">
        <f>COUNTIFS(BD!G:G,'Panorama (res. por Vara)'!B18,BD!AV:AV,"sim")</f>
      </c>
      <c r="Y18" s="45">
        <f>X18/C18</f>
      </c>
      <c r="Z18" s="43">
        <f>COUNTIFS(BD!G:G,'Panorama (res. por Vara)'!B18,BD!BA:BA,"sim")</f>
      </c>
      <c r="AA18" s="44">
        <f>Z18/$C18</f>
      </c>
      <c r="AB18" s="36">
        <f>COUNTIFS(BD!G:G,'Panorama (res. por Vara)'!B18,BD!BB:BB,"sim")</f>
      </c>
      <c r="AC18" s="44">
        <f>AB18/$C18</f>
      </c>
      <c r="AD18" s="36">
        <f>COUNTIFS(BD!G:G,'Panorama (res. por Vara)'!B18,BD!BC:BC,"sim")</f>
      </c>
      <c r="AE18" s="44">
        <f>AD18/$C18</f>
      </c>
      <c r="AF18" s="36">
        <f>COUNTIFS(BD!G:G,'Panorama (res. por Vara)'!B18,BD!BD:BD,"sim")</f>
      </c>
      <c r="AG18" s="44">
        <f>AF18/$C18</f>
      </c>
      <c r="AH18" s="36">
        <f>COUNTIFS(BD!G:G,'Panorama (res. por Vara)'!B18,BD!BE:BE,"sim")</f>
      </c>
      <c r="AI18" s="46">
        <f>AH18/$C18</f>
      </c>
      <c r="AJ18" s="43">
        <f>COUNTIFS(BD!G:G,'Panorama (res. por Vara)'!B18,BD!BH:BH,"sim")</f>
      </c>
      <c r="AK18" s="45">
        <f>AJ18/C18</f>
      </c>
      <c r="AL18" s="43">
        <f>COUNTIFS(BD!G:G,'Panorama (res. por Vara)'!B18,BD!BJ:BJ,'Panorama (res. por Vara)'!$AL$4)</f>
      </c>
      <c r="AM18" s="45">
        <f>AL18/C18</f>
      </c>
      <c r="AN18" s="43">
        <f>COUNTIFS(BD!G:G,'Panorama (res. por Vara)'!B18,BD!BL:BL,"&gt;0")</f>
      </c>
      <c r="AO18" s="40">
        <f>SUMIF(BD!G:G,'Panorama (res. por Vara)'!B18,BD!BL:BL)/AN18</f>
      </c>
      <c r="AP18" s="36">
        <f>COUNTIFS(BD!G:G,'Panorama (res. por Vara)'!B18,BD!BP:BP,"&gt;0")</f>
      </c>
      <c r="AQ18" s="38">
        <f>SUMIF(BD!G:G,'Panorama (res. por Vara)'!B18,BD!BP:BP)/AP18</f>
      </c>
      <c r="AR18" s="43">
        <f>COUNTIFS(BD!G:G,'Panorama (res. por Vara)'!B18,BD!BQ:BQ,"Sim")</f>
      </c>
      <c r="AS18" s="45">
        <f>AR18/C18</f>
      </c>
      <c r="AT18" s="43">
        <f>COUNTIFS(BD!G:G,'Panorama (res. por Vara)'!B18,BD!BS:BS,"Fechado")</f>
      </c>
      <c r="AU18" s="45">
        <f>AT18/C18</f>
      </c>
    </row>
    <row x14ac:dyDescent="0.25" r="19" customHeight="1" ht="17.25">
      <c r="A19" s="1"/>
      <c r="B19" s="35" t="s">
        <v>52</v>
      </c>
      <c r="C19" s="36">
        <f>COUNTIF(BD!G:G,'Panorama (res. por Vara)'!B19)</f>
      </c>
      <c r="D19" s="36">
        <f>COUNTIFS(BD!G:G,'Panorama (res. por Vara)'!B19,BD!K:K,$D$4)</f>
      </c>
      <c r="E19" s="37">
        <f>D19/C19</f>
      </c>
      <c r="F19" s="36">
        <f>COUNTIFS(BD!G:G,'Panorama (res. por Vara)'!B19,BD!O:O,$F$4)</f>
      </c>
      <c r="G19" s="37">
        <f>F19/C19</f>
      </c>
      <c r="H19" s="38">
        <f>SUMIF(BD!G:G,'Panorama (res. por Vara)'!B19,BD!M:M)/C19</f>
      </c>
      <c r="I19" s="39">
        <f>COUNTIFS(BD!G:G,'Panorama (res. por Vara)'!B19,BD!S:S,"&gt;0")</f>
      </c>
      <c r="J19" s="40">
        <f>SUMIF(BD!G:G,'Panorama (res. por Vara)'!B19,BD!S:S)/I19</f>
      </c>
      <c r="K19" s="36">
        <f>COUNTIFS(BD!G:G,'Panorama (res. por Vara)'!B19,BD!U:U,"&gt;0")</f>
      </c>
      <c r="L19" s="40">
        <f>SUMIF(BD!G:G,'Panorama (res. por Vara)'!B19,BD!U:U)/K19</f>
      </c>
      <c r="M19" s="36">
        <f>COUNTIFS(BD!G:G,'Panorama (res. por Vara)'!B19,BD!W:W,"&gt;0")</f>
      </c>
      <c r="N19" s="40">
        <f>SUMIF(BD!G:G,'Panorama (res. por Vara)'!B19,BD!W:W)/M19</f>
      </c>
      <c r="O19" s="36">
        <f>COUNTIFS(BD!G:G,'Panorama (res. por Vara)'!B19,BD!Y:Y,"&gt;0")</f>
      </c>
      <c r="P19" s="41">
        <f>IF(O19=0,"-",SUMIF(BD!G:G,'Panorama (res. por Vara)'!B19,BD!Y:Y)/O19)</f>
      </c>
      <c r="Q19" s="36">
        <f>COUNTIFS(BD!G:G,'Panorama (res. por Vara)'!B19,BD!AA:AA,"&gt;0")</f>
      </c>
      <c r="R19" s="41">
        <f>IF(Q19=0,"-",SUMIF(BD!G:G,'Panorama (res. por Vara)'!B19,BD!AA:AA)/Q19)</f>
      </c>
      <c r="S19" s="42">
        <f>COUNTIFS(BD!G:G,'Panorama (res. por Vara)'!B19,BD!AB:AB,"&lt;&gt;0")</f>
      </c>
      <c r="T19" s="36">
        <f>COUNTIFS(BD!G:G,'Panorama (res. por Vara)'!B19,BD!AM:AM,'Panorama (res. por Vara)'!$T$4)</f>
      </c>
      <c r="U19" s="37">
        <f>T19/C19</f>
      </c>
      <c r="V19" s="43">
        <f>COUNTIFS(BD!G:G,'Panorama (res. por Vara)'!B19,BD!AU:AU,"sim")</f>
      </c>
      <c r="W19" s="44">
        <f>V19/C19</f>
      </c>
      <c r="X19" s="36">
        <f>COUNTIFS(BD!G:G,'Panorama (res. por Vara)'!B19,BD!AV:AV,"sim")</f>
      </c>
      <c r="Y19" s="45">
        <f>X19/C19</f>
      </c>
      <c r="Z19" s="43">
        <f>COUNTIFS(BD!G:G,'Panorama (res. por Vara)'!B19,BD!BA:BA,"sim")</f>
      </c>
      <c r="AA19" s="44">
        <f>Z19/$C19</f>
      </c>
      <c r="AB19" s="36">
        <f>COUNTIFS(BD!G:G,'Panorama (res. por Vara)'!B19,BD!BB:BB,"sim")</f>
      </c>
      <c r="AC19" s="44">
        <f>AB19/$C19</f>
      </c>
      <c r="AD19" s="36">
        <f>COUNTIFS(BD!G:G,'Panorama (res. por Vara)'!B19,BD!BC:BC,"sim")</f>
      </c>
      <c r="AE19" s="44">
        <f>AD19/$C19</f>
      </c>
      <c r="AF19" s="36">
        <f>COUNTIFS(BD!G:G,'Panorama (res. por Vara)'!B19,BD!BD:BD,"sim")</f>
      </c>
      <c r="AG19" s="44">
        <f>AF19/$C19</f>
      </c>
      <c r="AH19" s="36">
        <f>COUNTIFS(BD!G:G,'Panorama (res. por Vara)'!B19,BD!BE:BE,"sim")</f>
      </c>
      <c r="AI19" s="46">
        <f>AH19/$C19</f>
      </c>
      <c r="AJ19" s="43">
        <f>COUNTIFS(BD!G:G,'Panorama (res. por Vara)'!B19,BD!BH:BH,"sim")</f>
      </c>
      <c r="AK19" s="45">
        <f>AJ19/C19</f>
      </c>
      <c r="AL19" s="43">
        <f>COUNTIFS(BD!G:G,'Panorama (res. por Vara)'!B19,BD!BJ:BJ,'Panorama (res. por Vara)'!$AL$4)</f>
      </c>
      <c r="AM19" s="45">
        <f>AL19/C19</f>
      </c>
      <c r="AN19" s="43">
        <f>COUNTIFS(BD!G:G,'Panorama (res. por Vara)'!B19,BD!BL:BL,"&gt;0")</f>
      </c>
      <c r="AO19" s="40">
        <f>SUMIF(BD!G:G,'Panorama (res. por Vara)'!B19,BD!BL:BL)/AN19</f>
      </c>
      <c r="AP19" s="36">
        <f>COUNTIFS(BD!G:G,'Panorama (res. por Vara)'!B19,BD!BP:BP,"&gt;0")</f>
      </c>
      <c r="AQ19" s="38">
        <f>SUMIF(BD!G:G,'Panorama (res. por Vara)'!B19,BD!BP:BP)/AP19</f>
      </c>
      <c r="AR19" s="43">
        <f>COUNTIFS(BD!G:G,'Panorama (res. por Vara)'!B19,BD!BQ:BQ,"Sim")</f>
      </c>
      <c r="AS19" s="45">
        <f>AR19/C19</f>
      </c>
      <c r="AT19" s="43">
        <f>COUNTIFS(BD!G:G,'Panorama (res. por Vara)'!B19,BD!BS:BS,"Fechado")</f>
      </c>
      <c r="AU19" s="45">
        <f>AT19/C19</f>
      </c>
    </row>
    <row x14ac:dyDescent="0.25" r="20" customHeight="1" ht="17.25">
      <c r="A20" s="1"/>
      <c r="B20" s="35" t="s">
        <v>53</v>
      </c>
      <c r="C20" s="36">
        <f>COUNTIF(BD!G:G,'Panorama (res. por Vara)'!B20)</f>
      </c>
      <c r="D20" s="36">
        <f>COUNTIFS(BD!G:G,'Panorama (res. por Vara)'!B20,BD!K:K,$D$4)</f>
      </c>
      <c r="E20" s="37">
        <f>D20/C20</f>
      </c>
      <c r="F20" s="36">
        <f>COUNTIFS(BD!G:G,'Panorama (res. por Vara)'!B20,BD!O:O,$F$4)</f>
      </c>
      <c r="G20" s="37">
        <f>F20/C20</f>
      </c>
      <c r="H20" s="38">
        <f>SUMIF(BD!G:G,'Panorama (res. por Vara)'!B20,BD!M:M)/C20</f>
      </c>
      <c r="I20" s="39">
        <f>COUNTIFS(BD!G:G,'Panorama (res. por Vara)'!B20,BD!S:S,"&gt;0")</f>
      </c>
      <c r="J20" s="40">
        <f>SUMIF(BD!G:G,'Panorama (res. por Vara)'!B20,BD!S:S)/I20</f>
      </c>
      <c r="K20" s="36">
        <f>COUNTIFS(BD!G:G,'Panorama (res. por Vara)'!B20,BD!U:U,"&gt;0")</f>
      </c>
      <c r="L20" s="40">
        <f>SUMIF(BD!G:G,'Panorama (res. por Vara)'!B20,BD!U:U)/K20</f>
      </c>
      <c r="M20" s="36">
        <f>COUNTIFS(BD!G:G,'Panorama (res. por Vara)'!B20,BD!W:W,"&gt;0")</f>
      </c>
      <c r="N20" s="40">
        <f>SUMIF(BD!G:G,'Panorama (res. por Vara)'!B20,BD!W:W)/M20</f>
      </c>
      <c r="O20" s="36">
        <f>COUNTIFS(BD!G:G,'Panorama (res. por Vara)'!B20,BD!Y:Y,"&gt;0")</f>
      </c>
      <c r="P20" s="41">
        <f>IF(O20=0,"-",SUMIF(BD!G:G,'Panorama (res. por Vara)'!B20,BD!Y:Y)/O20)</f>
      </c>
      <c r="Q20" s="36">
        <f>COUNTIFS(BD!G:G,'Panorama (res. por Vara)'!B20,BD!AA:AA,"&gt;0")</f>
      </c>
      <c r="R20" s="41">
        <f>IF(Q20=0,"-",SUMIF(BD!G:G,'Panorama (res. por Vara)'!B20,BD!AA:AA)/Q20)</f>
      </c>
      <c r="S20" s="42">
        <f>COUNTIFS(BD!G:G,'Panorama (res. por Vara)'!B20,BD!AB:AB,"&lt;&gt;0")</f>
      </c>
      <c r="T20" s="36">
        <f>COUNTIFS(BD!G:G,'Panorama (res. por Vara)'!B20,BD!AM:AM,'Panorama (res. por Vara)'!$T$4)</f>
      </c>
      <c r="U20" s="37">
        <f>T20/C20</f>
      </c>
      <c r="V20" s="43">
        <f>COUNTIFS(BD!G:G,'Panorama (res. por Vara)'!B20,BD!AU:AU,"sim")</f>
      </c>
      <c r="W20" s="44">
        <f>V20/C20</f>
      </c>
      <c r="X20" s="36">
        <f>COUNTIFS(BD!G:G,'Panorama (res. por Vara)'!B20,BD!AV:AV,"sim")</f>
      </c>
      <c r="Y20" s="45">
        <f>X20/C20</f>
      </c>
      <c r="Z20" s="43">
        <f>COUNTIFS(BD!G:G,'Panorama (res. por Vara)'!B20,BD!BA:BA,"sim")</f>
      </c>
      <c r="AA20" s="44">
        <f>Z20/$C20</f>
      </c>
      <c r="AB20" s="36">
        <f>COUNTIFS(BD!G:G,'Panorama (res. por Vara)'!B20,BD!BB:BB,"sim")</f>
      </c>
      <c r="AC20" s="44">
        <f>AB20/$C20</f>
      </c>
      <c r="AD20" s="36">
        <f>COUNTIFS(BD!G:G,'Panorama (res. por Vara)'!B20,BD!BC:BC,"sim")</f>
      </c>
      <c r="AE20" s="44">
        <f>AD20/$C20</f>
      </c>
      <c r="AF20" s="36">
        <f>COUNTIFS(BD!G:G,'Panorama (res. por Vara)'!B20,BD!BD:BD,"sim")</f>
      </c>
      <c r="AG20" s="44">
        <f>AF20/$C20</f>
      </c>
      <c r="AH20" s="36">
        <f>COUNTIFS(BD!G:G,'Panorama (res. por Vara)'!B20,BD!BE:BE,"sim")</f>
      </c>
      <c r="AI20" s="46">
        <f>AH20/$C20</f>
      </c>
      <c r="AJ20" s="43">
        <f>COUNTIFS(BD!G:G,'Panorama (res. por Vara)'!B20,BD!BH:BH,"sim")</f>
      </c>
      <c r="AK20" s="45">
        <f>AJ20/C20</f>
      </c>
      <c r="AL20" s="43">
        <f>COUNTIFS(BD!G:G,'Panorama (res. por Vara)'!B20,BD!BJ:BJ,'Panorama (res. por Vara)'!$AL$4)</f>
      </c>
      <c r="AM20" s="45">
        <f>AL20/C20</f>
      </c>
      <c r="AN20" s="43">
        <f>COUNTIFS(BD!G:G,'Panorama (res. por Vara)'!B20,BD!BL:BL,"&gt;0")</f>
      </c>
      <c r="AO20" s="40">
        <f>SUMIF(BD!G:G,'Panorama (res. por Vara)'!B20,BD!BL:BL)/AN20</f>
      </c>
      <c r="AP20" s="36">
        <f>COUNTIFS(BD!G:G,'Panorama (res. por Vara)'!B20,BD!BP:BP,"&gt;0")</f>
      </c>
      <c r="AQ20" s="38">
        <f>SUMIF(BD!G:G,'Panorama (res. por Vara)'!B20,BD!BP:BP)/AP20</f>
      </c>
      <c r="AR20" s="43">
        <f>COUNTIFS(BD!G:G,'Panorama (res. por Vara)'!B20,BD!BQ:BQ,"Sim")</f>
      </c>
      <c r="AS20" s="45">
        <f>AR20/C20</f>
      </c>
      <c r="AT20" s="43">
        <f>COUNTIFS(BD!G:G,'Panorama (res. por Vara)'!B20,BD!BS:BS,"Fechado")</f>
      </c>
      <c r="AU20" s="45">
        <f>AT20/C20</f>
      </c>
    </row>
    <row x14ac:dyDescent="0.25" r="21" customHeight="1" ht="17.25">
      <c r="A21" s="1"/>
      <c r="B21" s="35" t="s">
        <v>54</v>
      </c>
      <c r="C21" s="36">
        <f>COUNTIF(BD!G:G,'Panorama (res. por Vara)'!B21)</f>
      </c>
      <c r="D21" s="36">
        <f>COUNTIFS(BD!G:G,'Panorama (res. por Vara)'!B21,BD!K:K,$D$4)</f>
      </c>
      <c r="E21" s="37">
        <f>D21/C21</f>
      </c>
      <c r="F21" s="36">
        <f>COUNTIFS(BD!G:G,'Panorama (res. por Vara)'!B21,BD!O:O,$F$4)</f>
      </c>
      <c r="G21" s="37">
        <f>F21/C21</f>
      </c>
      <c r="H21" s="38">
        <f>SUMIF(BD!G:G,'Panorama (res. por Vara)'!B21,BD!M:M)/C21</f>
      </c>
      <c r="I21" s="39">
        <f>COUNTIFS(BD!G:G,'Panorama (res. por Vara)'!B21,BD!S:S,"&gt;0")</f>
      </c>
      <c r="J21" s="40">
        <f>SUMIF(BD!G:G,'Panorama (res. por Vara)'!B21,BD!S:S)/I21</f>
      </c>
      <c r="K21" s="36">
        <f>COUNTIFS(BD!G:G,'Panorama (res. por Vara)'!B21,BD!U:U,"&gt;0")</f>
      </c>
      <c r="L21" s="40">
        <f>SUMIF(BD!G:G,'Panorama (res. por Vara)'!B21,BD!U:U)/K21</f>
      </c>
      <c r="M21" s="36">
        <f>COUNTIFS(BD!G:G,'Panorama (res. por Vara)'!B21,BD!W:W,"&gt;0")</f>
      </c>
      <c r="N21" s="40">
        <f>SUMIF(BD!G:G,'Panorama (res. por Vara)'!B21,BD!W:W)/M21</f>
      </c>
      <c r="O21" s="36">
        <f>COUNTIFS(BD!G:G,'Panorama (res. por Vara)'!B21,BD!Y:Y,"&gt;0")</f>
      </c>
      <c r="P21" s="41">
        <f>IF(O21=0,"-",SUMIF(BD!G:G,'Panorama (res. por Vara)'!B21,BD!Y:Y)/O21)</f>
      </c>
      <c r="Q21" s="36">
        <f>COUNTIFS(BD!G:G,'Panorama (res. por Vara)'!B21,BD!AA:AA,"&gt;0")</f>
      </c>
      <c r="R21" s="41">
        <f>IF(Q21=0,"-",SUMIF(BD!G:G,'Panorama (res. por Vara)'!B21,BD!AA:AA)/Q21)</f>
      </c>
      <c r="S21" s="42">
        <f>COUNTIFS(BD!G:G,'Panorama (res. por Vara)'!B21,BD!AB:AB,"&lt;&gt;0")</f>
      </c>
      <c r="T21" s="36">
        <f>COUNTIFS(BD!G:G,'Panorama (res. por Vara)'!B21,BD!AM:AM,'Panorama (res. por Vara)'!$T$4)</f>
      </c>
      <c r="U21" s="37">
        <f>T21/C21</f>
      </c>
      <c r="V21" s="43">
        <f>COUNTIFS(BD!G:G,'Panorama (res. por Vara)'!B21,BD!AU:AU,"sim")</f>
      </c>
      <c r="W21" s="44">
        <f>V21/C21</f>
      </c>
      <c r="X21" s="36">
        <f>COUNTIFS(BD!G:G,'Panorama (res. por Vara)'!B21,BD!AV:AV,"sim")</f>
      </c>
      <c r="Y21" s="45">
        <f>X21/C21</f>
      </c>
      <c r="Z21" s="43">
        <f>COUNTIFS(BD!G:G,'Panorama (res. por Vara)'!B21,BD!BA:BA,"sim")</f>
      </c>
      <c r="AA21" s="44">
        <f>Z21/$C21</f>
      </c>
      <c r="AB21" s="36">
        <f>COUNTIFS(BD!G:G,'Panorama (res. por Vara)'!B21,BD!BB:BB,"sim")</f>
      </c>
      <c r="AC21" s="44">
        <f>AB21/$C21</f>
      </c>
      <c r="AD21" s="36">
        <f>COUNTIFS(BD!G:G,'Panorama (res. por Vara)'!B21,BD!BC:BC,"sim")</f>
      </c>
      <c r="AE21" s="44">
        <f>AD21/$C21</f>
      </c>
      <c r="AF21" s="36">
        <f>COUNTIFS(BD!G:G,'Panorama (res. por Vara)'!B21,BD!BD:BD,"sim")</f>
      </c>
      <c r="AG21" s="44">
        <f>AF21/$C21</f>
      </c>
      <c r="AH21" s="36">
        <f>COUNTIFS(BD!G:G,'Panorama (res. por Vara)'!B21,BD!BE:BE,"sim")</f>
      </c>
      <c r="AI21" s="46">
        <f>AH21/$C21</f>
      </c>
      <c r="AJ21" s="43">
        <f>COUNTIFS(BD!G:G,'Panorama (res. por Vara)'!B21,BD!BH:BH,"sim")</f>
      </c>
      <c r="AK21" s="45">
        <f>AJ21/C21</f>
      </c>
      <c r="AL21" s="43">
        <f>COUNTIFS(BD!G:G,'Panorama (res. por Vara)'!B21,BD!BJ:BJ,'Panorama (res. por Vara)'!$AL$4)</f>
      </c>
      <c r="AM21" s="45">
        <f>AL21/C21</f>
      </c>
      <c r="AN21" s="43">
        <f>COUNTIFS(BD!G:G,'Panorama (res. por Vara)'!B21,BD!BL:BL,"&gt;0")</f>
      </c>
      <c r="AO21" s="40">
        <f>SUMIF(BD!G:G,'Panorama (res. por Vara)'!B21,BD!BL:BL)/AN21</f>
      </c>
      <c r="AP21" s="36">
        <f>COUNTIFS(BD!G:G,'Panorama (res. por Vara)'!B21,BD!BP:BP,"&gt;0")</f>
      </c>
      <c r="AQ21" s="38">
        <f>SUMIF(BD!G:G,'Panorama (res. por Vara)'!B21,BD!BP:BP)/AP21</f>
      </c>
      <c r="AR21" s="43">
        <f>COUNTIFS(BD!G:G,'Panorama (res. por Vara)'!B21,BD!BQ:BQ,"Sim")</f>
      </c>
      <c r="AS21" s="45">
        <f>AR21/C21</f>
      </c>
      <c r="AT21" s="43">
        <f>COUNTIFS(BD!G:G,'Panorama (res. por Vara)'!B21,BD!BS:BS,"Fechado")</f>
      </c>
      <c r="AU21" s="45">
        <f>AT21/C21</f>
      </c>
    </row>
    <row x14ac:dyDescent="0.25" r="22" customHeight="1" ht="17.25">
      <c r="A22" s="1"/>
      <c r="B22" s="35" t="s">
        <v>55</v>
      </c>
      <c r="C22" s="36">
        <f>COUNTIF(BD!G:G,'Panorama (res. por Vara)'!B22)</f>
      </c>
      <c r="D22" s="36">
        <f>COUNTIFS(BD!G:G,'Panorama (res. por Vara)'!B22,BD!K:K,$D$4)</f>
      </c>
      <c r="E22" s="37">
        <f>D22/C22</f>
      </c>
      <c r="F22" s="36">
        <f>COUNTIFS(BD!G:G,'Panorama (res. por Vara)'!B22,BD!O:O,$F$4)</f>
      </c>
      <c r="G22" s="37">
        <f>F22/C22</f>
      </c>
      <c r="H22" s="38">
        <f>SUMIF(BD!G:G,'Panorama (res. por Vara)'!B22,BD!M:M)/C22</f>
      </c>
      <c r="I22" s="39">
        <f>COUNTIFS(BD!G:G,'Panorama (res. por Vara)'!B22,BD!S:S,"&gt;0")</f>
      </c>
      <c r="J22" s="40">
        <f>SUMIF(BD!G:G,'Panorama (res. por Vara)'!B22,BD!S:S)/I22</f>
      </c>
      <c r="K22" s="36">
        <f>COUNTIFS(BD!G:G,'Panorama (res. por Vara)'!B22,BD!U:U,"&gt;0")</f>
      </c>
      <c r="L22" s="40">
        <f>SUMIF(BD!G:G,'Panorama (res. por Vara)'!B22,BD!U:U)/K22</f>
      </c>
      <c r="M22" s="36">
        <f>COUNTIFS(BD!G:G,'Panorama (res. por Vara)'!B22,BD!W:W,"&gt;0")</f>
      </c>
      <c r="N22" s="40">
        <f>SUMIF(BD!G:G,'Panorama (res. por Vara)'!B22,BD!W:W)/M22</f>
      </c>
      <c r="O22" s="36">
        <f>COUNTIFS(BD!G:G,'Panorama (res. por Vara)'!B22,BD!Y:Y,"&gt;0")</f>
      </c>
      <c r="P22" s="41">
        <f>IF(O22=0,"-",SUMIF(BD!G:G,'Panorama (res. por Vara)'!B22,BD!Y:Y)/O22)</f>
      </c>
      <c r="Q22" s="36">
        <f>COUNTIFS(BD!G:G,'Panorama (res. por Vara)'!B22,BD!AA:AA,"&gt;0")</f>
      </c>
      <c r="R22" s="41">
        <f>IF(Q22=0,"-",SUMIF(BD!G:G,'Panorama (res. por Vara)'!B22,BD!AA:AA)/Q22)</f>
      </c>
      <c r="S22" s="42">
        <f>COUNTIFS(BD!G:G,'Panorama (res. por Vara)'!B22,BD!AB:AB,"&lt;&gt;0")</f>
      </c>
      <c r="T22" s="36">
        <f>COUNTIFS(BD!G:G,'Panorama (res. por Vara)'!B22,BD!AM:AM,'Panorama (res. por Vara)'!$T$4)</f>
      </c>
      <c r="U22" s="37">
        <f>T22/C22</f>
      </c>
      <c r="V22" s="43">
        <f>COUNTIFS(BD!G:G,'Panorama (res. por Vara)'!B22,BD!AU:AU,"sim")</f>
      </c>
      <c r="W22" s="44">
        <f>V22/C22</f>
      </c>
      <c r="X22" s="36">
        <f>COUNTIFS(BD!G:G,'Panorama (res. por Vara)'!B22,BD!AV:AV,"sim")</f>
      </c>
      <c r="Y22" s="45">
        <f>X22/C22</f>
      </c>
      <c r="Z22" s="43">
        <f>COUNTIFS(BD!G:G,'Panorama (res. por Vara)'!B22,BD!BA:BA,"sim")</f>
      </c>
      <c r="AA22" s="44">
        <f>Z22/$C22</f>
      </c>
      <c r="AB22" s="36">
        <f>COUNTIFS(BD!G:G,'Panorama (res. por Vara)'!B22,BD!BB:BB,"sim")</f>
      </c>
      <c r="AC22" s="44">
        <f>AB22/$C22</f>
      </c>
      <c r="AD22" s="36">
        <f>COUNTIFS(BD!G:G,'Panorama (res. por Vara)'!B22,BD!BC:BC,"sim")</f>
      </c>
      <c r="AE22" s="44">
        <f>AD22/$C22</f>
      </c>
      <c r="AF22" s="36">
        <f>COUNTIFS(BD!G:G,'Panorama (res. por Vara)'!B22,BD!BD:BD,"sim")</f>
      </c>
      <c r="AG22" s="44">
        <f>AF22/$C22</f>
      </c>
      <c r="AH22" s="36">
        <f>COUNTIFS(BD!G:G,'Panorama (res. por Vara)'!B22,BD!BE:BE,"sim")</f>
      </c>
      <c r="AI22" s="46">
        <f>AH22/$C22</f>
      </c>
      <c r="AJ22" s="43">
        <f>COUNTIFS(BD!G:G,'Panorama (res. por Vara)'!B22,BD!BH:BH,"sim")</f>
      </c>
      <c r="AK22" s="45">
        <f>AJ22/C22</f>
      </c>
      <c r="AL22" s="43">
        <f>COUNTIFS(BD!G:G,'Panorama (res. por Vara)'!B22,BD!BJ:BJ,'Panorama (res. por Vara)'!$AL$4)</f>
      </c>
      <c r="AM22" s="45">
        <f>AL22/C22</f>
      </c>
      <c r="AN22" s="43">
        <f>COUNTIFS(BD!G:G,'Panorama (res. por Vara)'!B22,BD!BL:BL,"&gt;0")</f>
      </c>
      <c r="AO22" s="40">
        <f>SUMIF(BD!G:G,'Panorama (res. por Vara)'!B22,BD!BL:BL)/AN22</f>
      </c>
      <c r="AP22" s="36">
        <f>COUNTIFS(BD!G:G,'Panorama (res. por Vara)'!B22,BD!BP:BP,"&gt;0")</f>
      </c>
      <c r="AQ22" s="38">
        <f>SUMIF(BD!G:G,'Panorama (res. por Vara)'!B22,BD!BP:BP)/AP22</f>
      </c>
      <c r="AR22" s="43">
        <f>COUNTIFS(BD!G:G,'Panorama (res. por Vara)'!B22,BD!BQ:BQ,"Sim")</f>
      </c>
      <c r="AS22" s="45">
        <f>AR22/C22</f>
      </c>
      <c r="AT22" s="43">
        <f>COUNTIFS(BD!G:G,'Panorama (res. por Vara)'!B22,BD!BS:BS,"Fechado")</f>
      </c>
      <c r="AU22" s="45">
        <f>AT22/C22</f>
      </c>
    </row>
    <row x14ac:dyDescent="0.25" r="23" customHeight="1" ht="17.25">
      <c r="A23" s="1"/>
      <c r="B23" s="35" t="s">
        <v>56</v>
      </c>
      <c r="C23" s="36">
        <f>COUNTIF(BD!G:G,'Panorama (res. por Vara)'!B23)</f>
      </c>
      <c r="D23" s="36">
        <f>COUNTIFS(BD!G:G,'Panorama (res. por Vara)'!B23,BD!K:K,$D$4)</f>
      </c>
      <c r="E23" s="37">
        <f>D23/C23</f>
      </c>
      <c r="F23" s="36">
        <f>COUNTIFS(BD!G:G,'Panorama (res. por Vara)'!B23,BD!O:O,$F$4)</f>
      </c>
      <c r="G23" s="37">
        <f>F23/C23</f>
      </c>
      <c r="H23" s="38">
        <f>SUMIF(BD!G:G,'Panorama (res. por Vara)'!B23,BD!M:M)/C23</f>
      </c>
      <c r="I23" s="39">
        <f>COUNTIFS(BD!G:G,'Panorama (res. por Vara)'!B23,BD!S:S,"&gt;0")</f>
      </c>
      <c r="J23" s="40">
        <f>SUMIF(BD!G:G,'Panorama (res. por Vara)'!B23,BD!S:S)/I23</f>
      </c>
      <c r="K23" s="36">
        <f>COUNTIFS(BD!G:G,'Panorama (res. por Vara)'!B23,BD!U:U,"&gt;0")</f>
      </c>
      <c r="L23" s="40">
        <f>SUMIF(BD!G:G,'Panorama (res. por Vara)'!B23,BD!U:U)/K23</f>
      </c>
      <c r="M23" s="36">
        <f>COUNTIFS(BD!G:G,'Panorama (res. por Vara)'!B23,BD!W:W,"&gt;0")</f>
      </c>
      <c r="N23" s="40">
        <f>SUMIF(BD!G:G,'Panorama (res. por Vara)'!B23,BD!W:W)/M23</f>
      </c>
      <c r="O23" s="36">
        <f>COUNTIFS(BD!G:G,'Panorama (res. por Vara)'!B23,BD!Y:Y,"&gt;0")</f>
      </c>
      <c r="P23" s="41">
        <f>IF(O23=0,"-",SUMIF(BD!G:G,'Panorama (res. por Vara)'!B23,BD!Y:Y)/O23)</f>
      </c>
      <c r="Q23" s="36">
        <f>COUNTIFS(BD!G:G,'Panorama (res. por Vara)'!B23,BD!AA:AA,"&gt;0")</f>
      </c>
      <c r="R23" s="41">
        <f>IF(Q23=0,"-",SUMIF(BD!G:G,'Panorama (res. por Vara)'!B23,BD!AA:AA)/Q23)</f>
      </c>
      <c r="S23" s="42">
        <f>COUNTIFS(BD!G:G,'Panorama (res. por Vara)'!B23,BD!AB:AB,"&lt;&gt;0")</f>
      </c>
      <c r="T23" s="36">
        <f>COUNTIFS(BD!G:G,'Panorama (res. por Vara)'!B23,BD!AM:AM,'Panorama (res. por Vara)'!$T$4)</f>
      </c>
      <c r="U23" s="37">
        <f>T23/C23</f>
      </c>
      <c r="V23" s="43">
        <f>COUNTIFS(BD!G:G,'Panorama (res. por Vara)'!B23,BD!AU:AU,"sim")</f>
      </c>
      <c r="W23" s="44">
        <f>V23/C23</f>
      </c>
      <c r="X23" s="36">
        <f>COUNTIFS(BD!G:G,'Panorama (res. por Vara)'!B23,BD!AV:AV,"sim")</f>
      </c>
      <c r="Y23" s="45">
        <f>X23/C23</f>
      </c>
      <c r="Z23" s="43">
        <f>COUNTIFS(BD!G:G,'Panorama (res. por Vara)'!B23,BD!BA:BA,"sim")</f>
      </c>
      <c r="AA23" s="44">
        <f>Z23/$C23</f>
      </c>
      <c r="AB23" s="36">
        <f>COUNTIFS(BD!G:G,'Panorama (res. por Vara)'!B23,BD!BB:BB,"sim")</f>
      </c>
      <c r="AC23" s="44">
        <f>AB23/$C23</f>
      </c>
      <c r="AD23" s="36">
        <f>COUNTIFS(BD!G:G,'Panorama (res. por Vara)'!B23,BD!BC:BC,"sim")</f>
      </c>
      <c r="AE23" s="44">
        <f>AD23/$C23</f>
      </c>
      <c r="AF23" s="36">
        <f>COUNTIFS(BD!G:G,'Panorama (res. por Vara)'!B23,BD!BD:BD,"sim")</f>
      </c>
      <c r="AG23" s="44">
        <f>AF23/$C23</f>
      </c>
      <c r="AH23" s="36">
        <f>COUNTIFS(BD!G:G,'Panorama (res. por Vara)'!B23,BD!BE:BE,"sim")</f>
      </c>
      <c r="AI23" s="46">
        <f>AH23/$C23</f>
      </c>
      <c r="AJ23" s="43">
        <f>COUNTIFS(BD!G:G,'Panorama (res. por Vara)'!B23,BD!BH:BH,"sim")</f>
      </c>
      <c r="AK23" s="45">
        <f>AJ23/C23</f>
      </c>
      <c r="AL23" s="43">
        <f>COUNTIFS(BD!G:G,'Panorama (res. por Vara)'!B23,BD!BJ:BJ,'Panorama (res. por Vara)'!$AL$4)</f>
      </c>
      <c r="AM23" s="45">
        <f>AL23/C23</f>
      </c>
      <c r="AN23" s="43">
        <f>COUNTIFS(BD!G:G,'Panorama (res. por Vara)'!B23,BD!BL:BL,"&gt;0")</f>
      </c>
      <c r="AO23" s="40">
        <f>SUMIF(BD!G:G,'Panorama (res. por Vara)'!B23,BD!BL:BL)/AN23</f>
      </c>
      <c r="AP23" s="36">
        <f>COUNTIFS(BD!G:G,'Panorama (res. por Vara)'!B23,BD!BP:BP,"&gt;0")</f>
      </c>
      <c r="AQ23" s="38">
        <f>SUMIF(BD!G:G,'Panorama (res. por Vara)'!B23,BD!BP:BP)/AP23</f>
      </c>
      <c r="AR23" s="43">
        <f>COUNTIFS(BD!G:G,'Panorama (res. por Vara)'!B23,BD!BQ:BQ,"Sim")</f>
      </c>
      <c r="AS23" s="45">
        <f>AR23/C23</f>
      </c>
      <c r="AT23" s="43">
        <f>COUNTIFS(BD!G:G,'Panorama (res. por Vara)'!B23,BD!BS:BS,"Fechado")</f>
      </c>
      <c r="AU23" s="45">
        <f>AT23/C23</f>
      </c>
    </row>
    <row x14ac:dyDescent="0.25" r="24" customHeight="1" ht="17.25">
      <c r="A24" s="1"/>
      <c r="B24" s="35" t="s">
        <v>57</v>
      </c>
      <c r="C24" s="36">
        <f>COUNTIF(BD!G:G,'Panorama (res. por Vara)'!B24)</f>
      </c>
      <c r="D24" s="36">
        <f>COUNTIFS(BD!G:G,'Panorama (res. por Vara)'!B24,BD!K:K,$D$4)</f>
      </c>
      <c r="E24" s="37">
        <f>D24/C24</f>
      </c>
      <c r="F24" s="36">
        <f>COUNTIFS(BD!G:G,'Panorama (res. por Vara)'!B24,BD!O:O,$F$4)</f>
      </c>
      <c r="G24" s="37">
        <f>F24/C24</f>
      </c>
      <c r="H24" s="38">
        <f>SUMIF(BD!G:G,'Panorama (res. por Vara)'!B24,BD!M:M)/C24</f>
      </c>
      <c r="I24" s="39">
        <f>COUNTIFS(BD!G:G,'Panorama (res. por Vara)'!B24,BD!S:S,"&gt;0")</f>
      </c>
      <c r="J24" s="40">
        <f>SUMIF(BD!G:G,'Panorama (res. por Vara)'!B24,BD!S:S)/I24</f>
      </c>
      <c r="K24" s="36">
        <f>COUNTIFS(BD!G:G,'Panorama (res. por Vara)'!B24,BD!U:U,"&gt;0")</f>
      </c>
      <c r="L24" s="40">
        <f>SUMIF(BD!G:G,'Panorama (res. por Vara)'!B24,BD!U:U)/K24</f>
      </c>
      <c r="M24" s="36">
        <f>COUNTIFS(BD!G:G,'Panorama (res. por Vara)'!B24,BD!W:W,"&gt;0")</f>
      </c>
      <c r="N24" s="40">
        <f>SUMIF(BD!G:G,'Panorama (res. por Vara)'!B24,BD!W:W)/M24</f>
      </c>
      <c r="O24" s="36">
        <f>COUNTIFS(BD!G:G,'Panorama (res. por Vara)'!B24,BD!Y:Y,"&gt;0")</f>
      </c>
      <c r="P24" s="41">
        <f>IF(O24=0,"-",SUMIF(BD!G:G,'Panorama (res. por Vara)'!B24,BD!Y:Y)/O24)</f>
      </c>
      <c r="Q24" s="36">
        <f>COUNTIFS(BD!G:G,'Panorama (res. por Vara)'!B24,BD!AA:AA,"&gt;0")</f>
      </c>
      <c r="R24" s="41">
        <f>IF(Q24=0,"-",SUMIF(BD!G:G,'Panorama (res. por Vara)'!B24,BD!AA:AA)/Q24)</f>
      </c>
      <c r="S24" s="42">
        <f>COUNTIFS(BD!G:G,'Panorama (res. por Vara)'!B24,BD!AB:AB,"&lt;&gt;0")</f>
      </c>
      <c r="T24" s="36">
        <f>COUNTIFS(BD!G:G,'Panorama (res. por Vara)'!B24,BD!AM:AM,'Panorama (res. por Vara)'!$T$4)</f>
      </c>
      <c r="U24" s="37">
        <f>T24/C24</f>
      </c>
      <c r="V24" s="43">
        <f>COUNTIFS(BD!G:G,'Panorama (res. por Vara)'!B24,BD!AU:AU,"sim")</f>
      </c>
      <c r="W24" s="44">
        <f>V24/C24</f>
      </c>
      <c r="X24" s="36">
        <f>COUNTIFS(BD!G:G,'Panorama (res. por Vara)'!B24,BD!AV:AV,"sim")</f>
      </c>
      <c r="Y24" s="45">
        <f>X24/C24</f>
      </c>
      <c r="Z24" s="43">
        <f>COUNTIFS(BD!G:G,'Panorama (res. por Vara)'!B24,BD!BA:BA,"sim")</f>
      </c>
      <c r="AA24" s="44">
        <f>Z24/$C24</f>
      </c>
      <c r="AB24" s="36">
        <f>COUNTIFS(BD!G:G,'Panorama (res. por Vara)'!B24,BD!BB:BB,"sim")</f>
      </c>
      <c r="AC24" s="44">
        <f>AB24/$C24</f>
      </c>
      <c r="AD24" s="36">
        <f>COUNTIFS(BD!G:G,'Panorama (res. por Vara)'!B24,BD!BC:BC,"sim")</f>
      </c>
      <c r="AE24" s="44">
        <f>AD24/$C24</f>
      </c>
      <c r="AF24" s="36">
        <f>COUNTIFS(BD!G:G,'Panorama (res. por Vara)'!B24,BD!BD:BD,"sim")</f>
      </c>
      <c r="AG24" s="44">
        <f>AF24/$C24</f>
      </c>
      <c r="AH24" s="36">
        <f>COUNTIFS(BD!G:G,'Panorama (res. por Vara)'!B24,BD!BE:BE,"sim")</f>
      </c>
      <c r="AI24" s="46">
        <f>AH24/$C24</f>
      </c>
      <c r="AJ24" s="43">
        <f>COUNTIFS(BD!G:G,'Panorama (res. por Vara)'!B24,BD!BH:BH,"sim")</f>
      </c>
      <c r="AK24" s="45">
        <f>AJ24/C24</f>
      </c>
      <c r="AL24" s="43">
        <f>COUNTIFS(BD!G:G,'Panorama (res. por Vara)'!B24,BD!BJ:BJ,'Panorama (res. por Vara)'!$AL$4)</f>
      </c>
      <c r="AM24" s="45">
        <f>AL24/C24</f>
      </c>
      <c r="AN24" s="43">
        <f>COUNTIFS(BD!G:G,'Panorama (res. por Vara)'!B24,BD!BL:BL,"&gt;0")</f>
      </c>
      <c r="AO24" s="40">
        <f>SUMIF(BD!G:G,'Panorama (res. por Vara)'!B24,BD!BL:BL)/AN24</f>
      </c>
      <c r="AP24" s="36">
        <f>COUNTIFS(BD!G:G,'Panorama (res. por Vara)'!B24,BD!BP:BP,"&gt;0")</f>
      </c>
      <c r="AQ24" s="38">
        <f>SUMIF(BD!G:G,'Panorama (res. por Vara)'!B24,BD!BP:BP)/AP24</f>
      </c>
      <c r="AR24" s="43">
        <f>COUNTIFS(BD!G:G,'Panorama (res. por Vara)'!B24,BD!BQ:BQ,"Sim")</f>
      </c>
      <c r="AS24" s="45">
        <f>AR24/C24</f>
      </c>
      <c r="AT24" s="43">
        <f>COUNTIFS(BD!G:G,'Panorama (res. por Vara)'!B24,BD!BS:BS,"Fechado")</f>
      </c>
      <c r="AU24" s="45">
        <f>AT24/C24</f>
      </c>
    </row>
    <row x14ac:dyDescent="0.25" r="25" customHeight="1" ht="17.25">
      <c r="A25" s="1"/>
      <c r="B25" s="35" t="s">
        <v>58</v>
      </c>
      <c r="C25" s="36">
        <f>COUNTIF(BD!G:G,'Panorama (res. por Vara)'!B25)</f>
      </c>
      <c r="D25" s="36">
        <f>COUNTIFS(BD!G:G,'Panorama (res. por Vara)'!B25,BD!K:K,$D$4)</f>
      </c>
      <c r="E25" s="37">
        <f>D25/C25</f>
      </c>
      <c r="F25" s="36">
        <f>COUNTIFS(BD!G:G,'Panorama (res. por Vara)'!B25,BD!O:O,$F$4)</f>
      </c>
      <c r="G25" s="37">
        <f>F25/C25</f>
      </c>
      <c r="H25" s="38">
        <f>SUMIF(BD!G:G,'Panorama (res. por Vara)'!B25,BD!M:M)/C25</f>
      </c>
      <c r="I25" s="39">
        <f>COUNTIFS(BD!G:G,'Panorama (res. por Vara)'!B25,BD!S:S,"&gt;0")</f>
      </c>
      <c r="J25" s="40">
        <f>SUMIF(BD!G:G,'Panorama (res. por Vara)'!B25,BD!S:S)/I25</f>
      </c>
      <c r="K25" s="36">
        <f>COUNTIFS(BD!G:G,'Panorama (res. por Vara)'!B25,BD!U:U,"&gt;0")</f>
      </c>
      <c r="L25" s="40">
        <f>SUMIF(BD!G:G,'Panorama (res. por Vara)'!B25,BD!U:U)/K25</f>
      </c>
      <c r="M25" s="36">
        <f>COUNTIFS(BD!G:G,'Panorama (res. por Vara)'!B25,BD!W:W,"&gt;0")</f>
      </c>
      <c r="N25" s="40">
        <f>SUMIF(BD!G:G,'Panorama (res. por Vara)'!B25,BD!W:W)/M25</f>
      </c>
      <c r="O25" s="36">
        <f>COUNTIFS(BD!G:G,'Panorama (res. por Vara)'!B25,BD!Y:Y,"&gt;0")</f>
      </c>
      <c r="P25" s="41">
        <f>IF(O25=0,"-",SUMIF(BD!G:G,'Panorama (res. por Vara)'!B25,BD!Y:Y)/O25)</f>
      </c>
      <c r="Q25" s="36">
        <f>COUNTIFS(BD!G:G,'Panorama (res. por Vara)'!B25,BD!AA:AA,"&gt;0")</f>
      </c>
      <c r="R25" s="41">
        <f>IF(Q25=0,"-",SUMIF(BD!G:G,'Panorama (res. por Vara)'!B25,BD!AA:AA)/Q25)</f>
      </c>
      <c r="S25" s="42">
        <f>COUNTIFS(BD!G:G,'Panorama (res. por Vara)'!B25,BD!AB:AB,"&lt;&gt;0")</f>
      </c>
      <c r="T25" s="36">
        <f>COUNTIFS(BD!G:G,'Panorama (res. por Vara)'!B25,BD!AM:AM,'Panorama (res. por Vara)'!$T$4)</f>
      </c>
      <c r="U25" s="37">
        <f>T25/C25</f>
      </c>
      <c r="V25" s="43">
        <f>COUNTIFS(BD!G:G,'Panorama (res. por Vara)'!B25,BD!AU:AU,"sim")</f>
      </c>
      <c r="W25" s="44">
        <f>V25/C25</f>
      </c>
      <c r="X25" s="36">
        <f>COUNTIFS(BD!G:G,'Panorama (res. por Vara)'!B25,BD!AV:AV,"sim")</f>
      </c>
      <c r="Y25" s="45">
        <f>X25/C25</f>
      </c>
      <c r="Z25" s="43">
        <f>COUNTIFS(BD!G:G,'Panorama (res. por Vara)'!B25,BD!BA:BA,"sim")</f>
      </c>
      <c r="AA25" s="44">
        <f>Z25/$C25</f>
      </c>
      <c r="AB25" s="36">
        <f>COUNTIFS(BD!G:G,'Panorama (res. por Vara)'!B25,BD!BB:BB,"sim")</f>
      </c>
      <c r="AC25" s="44">
        <f>AB25/$C25</f>
      </c>
      <c r="AD25" s="36">
        <f>COUNTIFS(BD!G:G,'Panorama (res. por Vara)'!B25,BD!BC:BC,"sim")</f>
      </c>
      <c r="AE25" s="44">
        <f>AD25/$C25</f>
      </c>
      <c r="AF25" s="36">
        <f>COUNTIFS(BD!G:G,'Panorama (res. por Vara)'!B25,BD!BD:BD,"sim")</f>
      </c>
      <c r="AG25" s="44">
        <f>AF25/$C25</f>
      </c>
      <c r="AH25" s="36">
        <f>COUNTIFS(BD!G:G,'Panorama (res. por Vara)'!B25,BD!BE:BE,"sim")</f>
      </c>
      <c r="AI25" s="46">
        <f>AH25/$C25</f>
      </c>
      <c r="AJ25" s="43">
        <f>COUNTIFS(BD!G:G,'Panorama (res. por Vara)'!B25,BD!BH:BH,"sim")</f>
      </c>
      <c r="AK25" s="45">
        <f>AJ25/C25</f>
      </c>
      <c r="AL25" s="43">
        <f>COUNTIFS(BD!G:G,'Panorama (res. por Vara)'!B25,BD!BJ:BJ,'Panorama (res. por Vara)'!$AL$4)</f>
      </c>
      <c r="AM25" s="45">
        <f>AL25/C25</f>
      </c>
      <c r="AN25" s="43">
        <f>COUNTIFS(BD!G:G,'Panorama (res. por Vara)'!B25,BD!BL:BL,"&gt;0")</f>
      </c>
      <c r="AO25" s="40">
        <f>SUMIF(BD!G:G,'Panorama (res. por Vara)'!B25,BD!BL:BL)/AN25</f>
      </c>
      <c r="AP25" s="36">
        <f>COUNTIFS(BD!G:G,'Panorama (res. por Vara)'!B25,BD!BP:BP,"&gt;0")</f>
      </c>
      <c r="AQ25" s="38">
        <f>SUMIF(BD!G:G,'Panorama (res. por Vara)'!B25,BD!BP:BP)/AP25</f>
      </c>
      <c r="AR25" s="43">
        <f>COUNTIFS(BD!G:G,'Panorama (res. por Vara)'!B25,BD!BQ:BQ,"Sim")</f>
      </c>
      <c r="AS25" s="45">
        <f>AR25/C25</f>
      </c>
      <c r="AT25" s="43">
        <f>COUNTIFS(BD!G:G,'Panorama (res. por Vara)'!B25,BD!BS:BS,"Fechado")</f>
      </c>
      <c r="AU25" s="45">
        <f>AT25/C25</f>
      </c>
    </row>
    <row x14ac:dyDescent="0.25" r="26" customHeight="1" ht="17.25">
      <c r="A26" s="1"/>
      <c r="B26" s="35" t="s">
        <v>59</v>
      </c>
      <c r="C26" s="36">
        <f>COUNTIF(BD!G:G,'Panorama (res. por Vara)'!B26)</f>
      </c>
      <c r="D26" s="36">
        <f>COUNTIFS(BD!G:G,'Panorama (res. por Vara)'!B26,BD!K:K,$D$4)</f>
      </c>
      <c r="E26" s="37">
        <f>D26/C26</f>
      </c>
      <c r="F26" s="36">
        <f>COUNTIFS(BD!G:G,'Panorama (res. por Vara)'!B26,BD!O:O,$F$4)</f>
      </c>
      <c r="G26" s="37">
        <f>F26/C26</f>
      </c>
      <c r="H26" s="38">
        <f>SUMIF(BD!G:G,'Panorama (res. por Vara)'!B26,BD!M:M)/C26</f>
      </c>
      <c r="I26" s="39">
        <f>COUNTIFS(BD!G:G,'Panorama (res. por Vara)'!B26,BD!S:S,"&gt;0")</f>
      </c>
      <c r="J26" s="40">
        <f>SUMIF(BD!G:G,'Panorama (res. por Vara)'!B26,BD!S:S)/I26</f>
      </c>
      <c r="K26" s="36">
        <f>COUNTIFS(BD!G:G,'Panorama (res. por Vara)'!B26,BD!U:U,"&gt;0")</f>
      </c>
      <c r="L26" s="40">
        <f>SUMIF(BD!G:G,'Panorama (res. por Vara)'!B26,BD!U:U)/K26</f>
      </c>
      <c r="M26" s="36">
        <f>COUNTIFS(BD!G:G,'Panorama (res. por Vara)'!B26,BD!W:W,"&gt;0")</f>
      </c>
      <c r="N26" s="40">
        <f>SUMIF(BD!G:G,'Panorama (res. por Vara)'!B26,BD!W:W)/M26</f>
      </c>
      <c r="O26" s="36">
        <f>COUNTIFS(BD!G:G,'Panorama (res. por Vara)'!B26,BD!Y:Y,"&gt;0")</f>
      </c>
      <c r="P26" s="41">
        <f>IF(O26=0,"-",SUMIF(BD!G:G,'Panorama (res. por Vara)'!B26,BD!Y:Y)/O26)</f>
      </c>
      <c r="Q26" s="36">
        <f>COUNTIFS(BD!G:G,'Panorama (res. por Vara)'!B26,BD!AA:AA,"&gt;0")</f>
      </c>
      <c r="R26" s="41">
        <f>IF(Q26=0,"-",SUMIF(BD!G:G,'Panorama (res. por Vara)'!B26,BD!AA:AA)/Q26)</f>
      </c>
      <c r="S26" s="42">
        <f>COUNTIFS(BD!G:G,'Panorama (res. por Vara)'!B26,BD!AB:AB,"&lt;&gt;0")</f>
      </c>
      <c r="T26" s="36">
        <f>COUNTIFS(BD!G:G,'Panorama (res. por Vara)'!B26,BD!AM:AM,'Panorama (res. por Vara)'!$T$4)</f>
      </c>
      <c r="U26" s="37">
        <f>T26/C26</f>
      </c>
      <c r="V26" s="43">
        <f>COUNTIFS(BD!G:G,'Panorama (res. por Vara)'!B26,BD!AU:AU,"sim")</f>
      </c>
      <c r="W26" s="44">
        <f>V26/C26</f>
      </c>
      <c r="X26" s="36">
        <f>COUNTIFS(BD!G:G,'Panorama (res. por Vara)'!B26,BD!AV:AV,"sim")</f>
      </c>
      <c r="Y26" s="45">
        <f>X26/C26</f>
      </c>
      <c r="Z26" s="43">
        <f>COUNTIFS(BD!G:G,'Panorama (res. por Vara)'!B26,BD!BA:BA,"sim")</f>
      </c>
      <c r="AA26" s="44">
        <f>Z26/$C26</f>
      </c>
      <c r="AB26" s="36">
        <f>COUNTIFS(BD!G:G,'Panorama (res. por Vara)'!B26,BD!BB:BB,"sim")</f>
      </c>
      <c r="AC26" s="44">
        <f>AB26/$C26</f>
      </c>
      <c r="AD26" s="36">
        <f>COUNTIFS(BD!G:G,'Panorama (res. por Vara)'!B26,BD!BC:BC,"sim")</f>
      </c>
      <c r="AE26" s="44">
        <f>AD26/$C26</f>
      </c>
      <c r="AF26" s="36">
        <f>COUNTIFS(BD!G:G,'Panorama (res. por Vara)'!B26,BD!BD:BD,"sim")</f>
      </c>
      <c r="AG26" s="44">
        <f>AF26/$C26</f>
      </c>
      <c r="AH26" s="36">
        <f>COUNTIFS(BD!G:G,'Panorama (res. por Vara)'!B26,BD!BE:BE,"sim")</f>
      </c>
      <c r="AI26" s="46">
        <f>AH26/$C26</f>
      </c>
      <c r="AJ26" s="43">
        <f>COUNTIFS(BD!G:G,'Panorama (res. por Vara)'!B26,BD!BH:BH,"sim")</f>
      </c>
      <c r="AK26" s="45">
        <f>AJ26/C26</f>
      </c>
      <c r="AL26" s="43">
        <f>COUNTIFS(BD!G:G,'Panorama (res. por Vara)'!B26,BD!BJ:BJ,'Panorama (res. por Vara)'!$AL$4)</f>
      </c>
      <c r="AM26" s="45">
        <f>AL26/C26</f>
      </c>
      <c r="AN26" s="43">
        <f>COUNTIFS(BD!G:G,'Panorama (res. por Vara)'!B26,BD!BL:BL,"&gt;0")</f>
      </c>
      <c r="AO26" s="40">
        <f>SUMIF(BD!G:G,'Panorama (res. por Vara)'!B26,BD!BL:BL)/AN26</f>
      </c>
      <c r="AP26" s="36">
        <f>COUNTIFS(BD!G:G,'Panorama (res. por Vara)'!B26,BD!BP:BP,"&gt;0")</f>
      </c>
      <c r="AQ26" s="38">
        <f>SUMIF(BD!G:G,'Panorama (res. por Vara)'!B26,BD!BP:BP)/AP26</f>
      </c>
      <c r="AR26" s="43">
        <f>COUNTIFS(BD!G:G,'Panorama (res. por Vara)'!B26,BD!BQ:BQ,"Sim")</f>
      </c>
      <c r="AS26" s="45">
        <f>AR26/C26</f>
      </c>
      <c r="AT26" s="43">
        <f>COUNTIFS(BD!G:G,'Panorama (res. por Vara)'!B26,BD!BS:BS,"Fechado")</f>
      </c>
      <c r="AU26" s="45">
        <f>AT26/C26</f>
      </c>
    </row>
    <row x14ac:dyDescent="0.25" r="27" customHeight="1" ht="17.25">
      <c r="A27" s="1"/>
      <c r="B27" s="35" t="s">
        <v>60</v>
      </c>
      <c r="C27" s="36">
        <f>COUNTIF(BD!G:G,'Panorama (res. por Vara)'!B27)</f>
      </c>
      <c r="D27" s="36">
        <f>COUNTIFS(BD!G:G,'Panorama (res. por Vara)'!B27,BD!K:K,$D$4)</f>
      </c>
      <c r="E27" s="37">
        <f>D27/C27</f>
      </c>
      <c r="F27" s="36">
        <f>COUNTIFS(BD!G:G,'Panorama (res. por Vara)'!B27,BD!O:O,$F$4)</f>
      </c>
      <c r="G27" s="37">
        <f>F27/C27</f>
      </c>
      <c r="H27" s="38">
        <f>SUMIF(BD!G:G,'Panorama (res. por Vara)'!B27,BD!M:M)/C27</f>
      </c>
      <c r="I27" s="39">
        <f>COUNTIFS(BD!G:G,'Panorama (res. por Vara)'!B27,BD!S:S,"&gt;0")</f>
      </c>
      <c r="J27" s="40">
        <f>SUMIF(BD!G:G,'Panorama (res. por Vara)'!B27,BD!S:S)/I27</f>
      </c>
      <c r="K27" s="36">
        <f>COUNTIFS(BD!G:G,'Panorama (res. por Vara)'!B27,BD!U:U,"&gt;0")</f>
      </c>
      <c r="L27" s="40">
        <f>SUMIF(BD!G:G,'Panorama (res. por Vara)'!B27,BD!U:U)/K27</f>
      </c>
      <c r="M27" s="36">
        <f>COUNTIFS(BD!G:G,'Panorama (res. por Vara)'!B27,BD!W:W,"&gt;0")</f>
      </c>
      <c r="N27" s="40">
        <f>SUMIF(BD!G:G,'Panorama (res. por Vara)'!B27,BD!W:W)/M27</f>
      </c>
      <c r="O27" s="36">
        <f>COUNTIFS(BD!G:G,'Panorama (res. por Vara)'!B27,BD!Y:Y,"&gt;0")</f>
      </c>
      <c r="P27" s="41">
        <f>IF(O27=0,"-",SUMIF(BD!G:G,'Panorama (res. por Vara)'!B27,BD!Y:Y)/O27)</f>
      </c>
      <c r="Q27" s="36">
        <f>COUNTIFS(BD!G:G,'Panorama (res. por Vara)'!B27,BD!AA:AA,"&gt;0")</f>
      </c>
      <c r="R27" s="41">
        <f>IF(Q27=0,"-",SUMIF(BD!G:G,'Panorama (res. por Vara)'!B27,BD!AA:AA)/Q27)</f>
      </c>
      <c r="S27" s="42">
        <f>COUNTIFS(BD!G:G,'Panorama (res. por Vara)'!B27,BD!AB:AB,"&lt;&gt;0")</f>
      </c>
      <c r="T27" s="36">
        <f>COUNTIFS(BD!G:G,'Panorama (res. por Vara)'!B27,BD!AM:AM,'Panorama (res. por Vara)'!$T$4)</f>
      </c>
      <c r="U27" s="37">
        <f>T27/C27</f>
      </c>
      <c r="V27" s="43">
        <f>COUNTIFS(BD!G:G,'Panorama (res. por Vara)'!B27,BD!AU:AU,"sim")</f>
      </c>
      <c r="W27" s="44">
        <f>V27/C27</f>
      </c>
      <c r="X27" s="36">
        <f>COUNTIFS(BD!G:G,'Panorama (res. por Vara)'!B27,BD!AV:AV,"sim")</f>
      </c>
      <c r="Y27" s="45">
        <f>X27/C27</f>
      </c>
      <c r="Z27" s="43">
        <f>COUNTIFS(BD!G:G,'Panorama (res. por Vara)'!B27,BD!BA:BA,"sim")</f>
      </c>
      <c r="AA27" s="44">
        <f>Z27/$C27</f>
      </c>
      <c r="AB27" s="36">
        <f>COUNTIFS(BD!G:G,'Panorama (res. por Vara)'!B27,BD!BB:BB,"sim")</f>
      </c>
      <c r="AC27" s="44">
        <f>AB27/$C27</f>
      </c>
      <c r="AD27" s="36">
        <f>COUNTIFS(BD!G:G,'Panorama (res. por Vara)'!B27,BD!BC:BC,"sim")</f>
      </c>
      <c r="AE27" s="44">
        <f>AD27/$C27</f>
      </c>
      <c r="AF27" s="36">
        <f>COUNTIFS(BD!G:G,'Panorama (res. por Vara)'!B27,BD!BD:BD,"sim")</f>
      </c>
      <c r="AG27" s="44">
        <f>AF27/$C27</f>
      </c>
      <c r="AH27" s="36">
        <f>COUNTIFS(BD!G:G,'Panorama (res. por Vara)'!B27,BD!BE:BE,"sim")</f>
      </c>
      <c r="AI27" s="46">
        <f>AH27/$C27</f>
      </c>
      <c r="AJ27" s="43">
        <f>COUNTIFS(BD!G:G,'Panorama (res. por Vara)'!B27,BD!BH:BH,"sim")</f>
      </c>
      <c r="AK27" s="45">
        <f>AJ27/C27</f>
      </c>
      <c r="AL27" s="43">
        <f>COUNTIFS(BD!G:G,'Panorama (res. por Vara)'!B27,BD!BJ:BJ,'Panorama (res. por Vara)'!$AL$4)</f>
      </c>
      <c r="AM27" s="45">
        <f>AL27/C27</f>
      </c>
      <c r="AN27" s="43">
        <f>COUNTIFS(BD!G:G,'Panorama (res. por Vara)'!B27,BD!BL:BL,"&gt;0")</f>
      </c>
      <c r="AO27" s="40">
        <f>SUMIF(BD!G:G,'Panorama (res. por Vara)'!B27,BD!BL:BL)/AN27</f>
      </c>
      <c r="AP27" s="36">
        <f>COUNTIFS(BD!G:G,'Panorama (res. por Vara)'!B27,BD!BP:BP,"&gt;0")</f>
      </c>
      <c r="AQ27" s="38">
        <f>SUMIF(BD!G:G,'Panorama (res. por Vara)'!B27,BD!BP:BP)/AP27</f>
      </c>
      <c r="AR27" s="43">
        <f>COUNTIFS(BD!G:G,'Panorama (res. por Vara)'!B27,BD!BQ:BQ,"Sim")</f>
      </c>
      <c r="AS27" s="45">
        <f>AR27/C27</f>
      </c>
      <c r="AT27" s="43">
        <f>COUNTIFS(BD!G:G,'Panorama (res. por Vara)'!B27,BD!BS:BS,"Fechado")</f>
      </c>
      <c r="AU27" s="45">
        <f>AT27/C27</f>
      </c>
    </row>
    <row x14ac:dyDescent="0.25" r="28" customHeight="1" ht="17.25">
      <c r="A28" s="1"/>
      <c r="B28" s="35" t="s">
        <v>61</v>
      </c>
      <c r="C28" s="36">
        <f>COUNTIF(BD!G:G,'Panorama (res. por Vara)'!B28)</f>
      </c>
      <c r="D28" s="36">
        <f>COUNTIFS(BD!G:G,'Panorama (res. por Vara)'!B28,BD!K:K,$D$4)</f>
      </c>
      <c r="E28" s="37">
        <f>D28/C28</f>
      </c>
      <c r="F28" s="36">
        <f>COUNTIFS(BD!G:G,'Panorama (res. por Vara)'!B28,BD!O:O,$F$4)</f>
      </c>
      <c r="G28" s="37">
        <f>F28/C28</f>
      </c>
      <c r="H28" s="38">
        <f>SUMIF(BD!G:G,'Panorama (res. por Vara)'!B28,BD!M:M)/C28</f>
      </c>
      <c r="I28" s="39">
        <f>COUNTIFS(BD!G:G,'Panorama (res. por Vara)'!B28,BD!S:S,"&gt;0")</f>
      </c>
      <c r="J28" s="40">
        <f>SUMIF(BD!G:G,'Panorama (res. por Vara)'!B28,BD!S:S)/I28</f>
      </c>
      <c r="K28" s="36">
        <f>COUNTIFS(BD!G:G,'Panorama (res. por Vara)'!B28,BD!U:U,"&gt;0")</f>
      </c>
      <c r="L28" s="40">
        <f>SUMIF(BD!G:G,'Panorama (res. por Vara)'!B28,BD!U:U)/K28</f>
      </c>
      <c r="M28" s="36">
        <f>COUNTIFS(BD!G:G,'Panorama (res. por Vara)'!B28,BD!W:W,"&gt;0")</f>
      </c>
      <c r="N28" s="40">
        <f>SUMIF(BD!G:G,'Panorama (res. por Vara)'!B28,BD!W:W)/M28</f>
      </c>
      <c r="O28" s="36">
        <f>COUNTIFS(BD!G:G,'Panorama (res. por Vara)'!B28,BD!Y:Y,"&gt;0")</f>
      </c>
      <c r="P28" s="41">
        <f>IF(O28=0,"-",SUMIF(BD!G:G,'Panorama (res. por Vara)'!B28,BD!Y:Y)/O28)</f>
      </c>
      <c r="Q28" s="36">
        <f>COUNTIFS(BD!G:G,'Panorama (res. por Vara)'!B28,BD!AA:AA,"&gt;0")</f>
      </c>
      <c r="R28" s="41">
        <f>IF(Q28=0,"-",SUMIF(BD!G:G,'Panorama (res. por Vara)'!B28,BD!AA:AA)/Q28)</f>
      </c>
      <c r="S28" s="42">
        <f>COUNTIFS(BD!G:G,'Panorama (res. por Vara)'!B28,BD!AB:AB,"&lt;&gt;0")</f>
      </c>
      <c r="T28" s="36">
        <f>COUNTIFS(BD!G:G,'Panorama (res. por Vara)'!B28,BD!AM:AM,'Panorama (res. por Vara)'!$T$4)</f>
      </c>
      <c r="U28" s="37">
        <f>T28/C28</f>
      </c>
      <c r="V28" s="43">
        <f>COUNTIFS(BD!G:G,'Panorama (res. por Vara)'!B28,BD!AU:AU,"sim")</f>
      </c>
      <c r="W28" s="44">
        <f>V28/C28</f>
      </c>
      <c r="X28" s="36">
        <f>COUNTIFS(BD!G:G,'Panorama (res. por Vara)'!B28,BD!AV:AV,"sim")</f>
      </c>
      <c r="Y28" s="45">
        <f>X28/C28</f>
      </c>
      <c r="Z28" s="43">
        <f>COUNTIFS(BD!G:G,'Panorama (res. por Vara)'!B28,BD!BA:BA,"sim")</f>
      </c>
      <c r="AA28" s="44">
        <f>Z28/$C28</f>
      </c>
      <c r="AB28" s="36">
        <f>COUNTIFS(BD!G:G,'Panorama (res. por Vara)'!B28,BD!BB:BB,"sim")</f>
      </c>
      <c r="AC28" s="44">
        <f>AB28/$C28</f>
      </c>
      <c r="AD28" s="36">
        <f>COUNTIFS(BD!G:G,'Panorama (res. por Vara)'!B28,BD!BC:BC,"sim")</f>
      </c>
      <c r="AE28" s="44">
        <f>AD28/$C28</f>
      </c>
      <c r="AF28" s="36">
        <f>COUNTIFS(BD!G:G,'Panorama (res. por Vara)'!B28,BD!BD:BD,"sim")</f>
      </c>
      <c r="AG28" s="44">
        <f>AF28/$C28</f>
      </c>
      <c r="AH28" s="36">
        <f>COUNTIFS(BD!G:G,'Panorama (res. por Vara)'!B28,BD!BE:BE,"sim")</f>
      </c>
      <c r="AI28" s="46">
        <f>AH28/$C28</f>
      </c>
      <c r="AJ28" s="43">
        <f>COUNTIFS(BD!G:G,'Panorama (res. por Vara)'!B28,BD!BH:BH,"sim")</f>
      </c>
      <c r="AK28" s="45">
        <f>AJ28/C28</f>
      </c>
      <c r="AL28" s="43">
        <f>COUNTIFS(BD!G:G,'Panorama (res. por Vara)'!B28,BD!BJ:BJ,'Panorama (res. por Vara)'!$AL$4)</f>
      </c>
      <c r="AM28" s="45">
        <f>AL28/C28</f>
      </c>
      <c r="AN28" s="43">
        <f>COUNTIFS(BD!G:G,'Panorama (res. por Vara)'!B28,BD!BL:BL,"&gt;0")</f>
      </c>
      <c r="AO28" s="40">
        <f>SUMIF(BD!G:G,'Panorama (res. por Vara)'!B28,BD!BL:BL)/AN28</f>
      </c>
      <c r="AP28" s="36">
        <f>COUNTIFS(BD!G:G,'Panorama (res. por Vara)'!B28,BD!BP:BP,"&gt;0")</f>
      </c>
      <c r="AQ28" s="38">
        <f>SUMIF(BD!G:G,'Panorama (res. por Vara)'!B28,BD!BP:BP)/AP28</f>
      </c>
      <c r="AR28" s="43">
        <f>COUNTIFS(BD!G:G,'Panorama (res. por Vara)'!B28,BD!BQ:BQ,"Sim")</f>
      </c>
      <c r="AS28" s="45">
        <f>AR28/C28</f>
      </c>
      <c r="AT28" s="43">
        <f>COUNTIFS(BD!G:G,'Panorama (res. por Vara)'!B28,BD!BS:BS,"Fechado")</f>
      </c>
      <c r="AU28" s="45">
        <f>AT28/C28</f>
      </c>
    </row>
    <row x14ac:dyDescent="0.25" r="29" customHeight="1" ht="17.25">
      <c r="A29" s="1"/>
      <c r="B29" s="35" t="s">
        <v>62</v>
      </c>
      <c r="C29" s="36">
        <f>COUNTIF(BD!G:G,'Panorama (res. por Vara)'!B29)</f>
      </c>
      <c r="D29" s="36">
        <f>COUNTIFS(BD!G:G,'Panorama (res. por Vara)'!B29,BD!K:K,$D$4)</f>
      </c>
      <c r="E29" s="37">
        <f>D29/C29</f>
      </c>
      <c r="F29" s="36">
        <f>COUNTIFS(BD!G:G,'Panorama (res. por Vara)'!B29,BD!O:O,$F$4)</f>
      </c>
      <c r="G29" s="37">
        <f>F29/C29</f>
      </c>
      <c r="H29" s="38">
        <f>SUMIF(BD!G:G,'Panorama (res. por Vara)'!B29,BD!M:M)/C29</f>
      </c>
      <c r="I29" s="39">
        <f>COUNTIFS(BD!G:G,'Panorama (res. por Vara)'!B29,BD!S:S,"&gt;0")</f>
      </c>
      <c r="J29" s="40">
        <f>SUMIF(BD!G:G,'Panorama (res. por Vara)'!B29,BD!S:S)/I29</f>
      </c>
      <c r="K29" s="36">
        <f>COUNTIFS(BD!G:G,'Panorama (res. por Vara)'!B29,BD!U:U,"&gt;0")</f>
      </c>
      <c r="L29" s="40">
        <f>SUMIF(BD!G:G,'Panorama (res. por Vara)'!B29,BD!U:U)/K29</f>
      </c>
      <c r="M29" s="36">
        <f>COUNTIFS(BD!G:G,'Panorama (res. por Vara)'!B29,BD!W:W,"&gt;0")</f>
      </c>
      <c r="N29" s="40">
        <f>SUMIF(BD!G:G,'Panorama (res. por Vara)'!B29,BD!W:W)/M29</f>
      </c>
      <c r="O29" s="36">
        <f>COUNTIFS(BD!G:G,'Panorama (res. por Vara)'!B29,BD!Y:Y,"&gt;0")</f>
      </c>
      <c r="P29" s="41">
        <f>IF(O29=0,"-",SUMIF(BD!G:G,'Panorama (res. por Vara)'!B29,BD!Y:Y)/O29)</f>
      </c>
      <c r="Q29" s="36">
        <f>COUNTIFS(BD!G:G,'Panorama (res. por Vara)'!B29,BD!AA:AA,"&gt;0")</f>
      </c>
      <c r="R29" s="41">
        <f>IF(Q29=0,"-",SUMIF(BD!G:G,'Panorama (res. por Vara)'!B29,BD!AA:AA)/Q29)</f>
      </c>
      <c r="S29" s="42">
        <f>COUNTIFS(BD!G:G,'Panorama (res. por Vara)'!B29,BD!AB:AB,"&lt;&gt;0")</f>
      </c>
      <c r="T29" s="36">
        <f>COUNTIFS(BD!G:G,'Panorama (res. por Vara)'!B29,BD!AM:AM,'Panorama (res. por Vara)'!$T$4)</f>
      </c>
      <c r="U29" s="37">
        <f>T29/C29</f>
      </c>
      <c r="V29" s="43">
        <f>COUNTIFS(BD!G:G,'Panorama (res. por Vara)'!B29,BD!AU:AU,"sim")</f>
      </c>
      <c r="W29" s="44">
        <f>V29/C29</f>
      </c>
      <c r="X29" s="36">
        <f>COUNTIFS(BD!G:G,'Panorama (res. por Vara)'!B29,BD!AV:AV,"sim")</f>
      </c>
      <c r="Y29" s="45">
        <f>X29/C29</f>
      </c>
      <c r="Z29" s="43">
        <f>COUNTIFS(BD!G:G,'Panorama (res. por Vara)'!B29,BD!BA:BA,"sim")</f>
      </c>
      <c r="AA29" s="44">
        <f>Z29/$C29</f>
      </c>
      <c r="AB29" s="36">
        <f>COUNTIFS(BD!G:G,'Panorama (res. por Vara)'!B29,BD!BB:BB,"sim")</f>
      </c>
      <c r="AC29" s="44">
        <f>AB29/$C29</f>
      </c>
      <c r="AD29" s="36">
        <f>COUNTIFS(BD!G:G,'Panorama (res. por Vara)'!B29,BD!BC:BC,"sim")</f>
      </c>
      <c r="AE29" s="44">
        <f>AD29/$C29</f>
      </c>
      <c r="AF29" s="36">
        <f>COUNTIFS(BD!G:G,'Panorama (res. por Vara)'!B29,BD!BD:BD,"sim")</f>
      </c>
      <c r="AG29" s="44">
        <f>AF29/$C29</f>
      </c>
      <c r="AH29" s="36">
        <f>COUNTIFS(BD!G:G,'Panorama (res. por Vara)'!B29,BD!BE:BE,"sim")</f>
      </c>
      <c r="AI29" s="46">
        <f>AH29/$C29</f>
      </c>
      <c r="AJ29" s="43">
        <f>COUNTIFS(BD!G:G,'Panorama (res. por Vara)'!B29,BD!BH:BH,"sim")</f>
      </c>
      <c r="AK29" s="45">
        <f>AJ29/C29</f>
      </c>
      <c r="AL29" s="43">
        <f>COUNTIFS(BD!G:G,'Panorama (res. por Vara)'!B29,BD!BJ:BJ,'Panorama (res. por Vara)'!$AL$4)</f>
      </c>
      <c r="AM29" s="45">
        <f>AL29/C29</f>
      </c>
      <c r="AN29" s="43">
        <f>COUNTIFS(BD!G:G,'Panorama (res. por Vara)'!B29,BD!BL:BL,"&gt;0")</f>
      </c>
      <c r="AO29" s="40">
        <f>SUMIF(BD!G:G,'Panorama (res. por Vara)'!B29,BD!BL:BL)/AN29</f>
      </c>
      <c r="AP29" s="36">
        <f>COUNTIFS(BD!G:G,'Panorama (res. por Vara)'!B29,BD!BP:BP,"&gt;0")</f>
      </c>
      <c r="AQ29" s="38">
        <f>SUMIF(BD!G:G,'Panorama (res. por Vara)'!B29,BD!BP:BP)/AP29</f>
      </c>
      <c r="AR29" s="43">
        <f>COUNTIFS(BD!G:G,'Panorama (res. por Vara)'!B29,BD!BQ:BQ,"Sim")</f>
      </c>
      <c r="AS29" s="45">
        <f>AR29/C29</f>
      </c>
      <c r="AT29" s="43">
        <f>COUNTIFS(BD!G:G,'Panorama (res. por Vara)'!B29,BD!BS:BS,"Fechado")</f>
      </c>
      <c r="AU29" s="45">
        <f>AT29/C29</f>
      </c>
    </row>
    <row x14ac:dyDescent="0.25" r="30" customHeight="1" ht="17.25">
      <c r="A30" s="1"/>
      <c r="B30" s="35" t="s">
        <v>63</v>
      </c>
      <c r="C30" s="36">
        <f>COUNTIF(BD!G:G,'Panorama (res. por Vara)'!B30)</f>
      </c>
      <c r="D30" s="36">
        <f>COUNTIFS(BD!G:G,'Panorama (res. por Vara)'!B30,BD!K:K,$D$4)</f>
      </c>
      <c r="E30" s="37">
        <f>D30/C30</f>
      </c>
      <c r="F30" s="36">
        <f>COUNTIFS(BD!G:G,'Panorama (res. por Vara)'!B30,BD!O:O,$F$4)</f>
      </c>
      <c r="G30" s="37">
        <f>F30/C30</f>
      </c>
      <c r="H30" s="38">
        <f>SUMIF(BD!G:G,'Panorama (res. por Vara)'!B30,BD!M:M)/C30</f>
      </c>
      <c r="I30" s="39">
        <f>COUNTIFS(BD!G:G,'Panorama (res. por Vara)'!B30,BD!S:S,"&gt;0")</f>
      </c>
      <c r="J30" s="40">
        <f>SUMIF(BD!G:G,'Panorama (res. por Vara)'!B30,BD!S:S)/I30</f>
      </c>
      <c r="K30" s="36">
        <f>COUNTIFS(BD!G:G,'Panorama (res. por Vara)'!B30,BD!U:U,"&gt;0")</f>
      </c>
      <c r="L30" s="40">
        <f>SUMIF(BD!G:G,'Panorama (res. por Vara)'!B30,BD!U:U)/K30</f>
      </c>
      <c r="M30" s="36">
        <f>COUNTIFS(BD!G:G,'Panorama (res. por Vara)'!B30,BD!W:W,"&gt;0")</f>
      </c>
      <c r="N30" s="40">
        <f>SUMIF(BD!G:G,'Panorama (res. por Vara)'!B30,BD!W:W)/M30</f>
      </c>
      <c r="O30" s="36">
        <f>COUNTIFS(BD!G:G,'Panorama (res. por Vara)'!B30,BD!Y:Y,"&gt;0")</f>
      </c>
      <c r="P30" s="41">
        <f>IF(O30=0,"-",SUMIF(BD!G:G,'Panorama (res. por Vara)'!B30,BD!Y:Y)/O30)</f>
      </c>
      <c r="Q30" s="36">
        <f>COUNTIFS(BD!G:G,'Panorama (res. por Vara)'!B30,BD!AA:AA,"&gt;0")</f>
      </c>
      <c r="R30" s="41">
        <f>IF(Q30=0,"-",SUMIF(BD!G:G,'Panorama (res. por Vara)'!B30,BD!AA:AA)/Q30)</f>
      </c>
      <c r="S30" s="42">
        <f>COUNTIFS(BD!G:G,'Panorama (res. por Vara)'!B30,BD!AB:AB,"&lt;&gt;0")</f>
      </c>
      <c r="T30" s="36">
        <f>COUNTIFS(BD!G:G,'Panorama (res. por Vara)'!B30,BD!AM:AM,'Panorama (res. por Vara)'!$T$4)</f>
      </c>
      <c r="U30" s="37">
        <f>T30/C30</f>
      </c>
      <c r="V30" s="43">
        <f>COUNTIFS(BD!G:G,'Panorama (res. por Vara)'!B30,BD!AU:AU,"sim")</f>
      </c>
      <c r="W30" s="44">
        <f>V30/C30</f>
      </c>
      <c r="X30" s="36">
        <f>COUNTIFS(BD!G:G,'Panorama (res. por Vara)'!B30,BD!AV:AV,"sim")</f>
      </c>
      <c r="Y30" s="45">
        <f>X30/C30</f>
      </c>
      <c r="Z30" s="43">
        <f>COUNTIFS(BD!G:G,'Panorama (res. por Vara)'!B30,BD!BA:BA,"sim")</f>
      </c>
      <c r="AA30" s="44">
        <f>Z30/$C30</f>
      </c>
      <c r="AB30" s="36">
        <f>COUNTIFS(BD!G:G,'Panorama (res. por Vara)'!B30,BD!BB:BB,"sim")</f>
      </c>
      <c r="AC30" s="44">
        <f>AB30/$C30</f>
      </c>
      <c r="AD30" s="36">
        <f>COUNTIFS(BD!G:G,'Panorama (res. por Vara)'!B30,BD!BC:BC,"sim")</f>
      </c>
      <c r="AE30" s="44">
        <f>AD30/$C30</f>
      </c>
      <c r="AF30" s="36">
        <f>COUNTIFS(BD!G:G,'Panorama (res. por Vara)'!B30,BD!BD:BD,"sim")</f>
      </c>
      <c r="AG30" s="44">
        <f>AF30/$C30</f>
      </c>
      <c r="AH30" s="36">
        <f>COUNTIFS(BD!G:G,'Panorama (res. por Vara)'!B30,BD!BE:BE,"sim")</f>
      </c>
      <c r="AI30" s="46">
        <f>AH30/$C30</f>
      </c>
      <c r="AJ30" s="43">
        <f>COUNTIFS(BD!G:G,'Panorama (res. por Vara)'!B30,BD!BH:BH,"sim")</f>
      </c>
      <c r="AK30" s="45">
        <f>AJ30/C30</f>
      </c>
      <c r="AL30" s="43">
        <f>COUNTIFS(BD!G:G,'Panorama (res. por Vara)'!B30,BD!BJ:BJ,'Panorama (res. por Vara)'!$AL$4)</f>
      </c>
      <c r="AM30" s="45">
        <f>AL30/C30</f>
      </c>
      <c r="AN30" s="43">
        <f>COUNTIFS(BD!G:G,'Panorama (res. por Vara)'!B30,BD!BL:BL,"&gt;0")</f>
      </c>
      <c r="AO30" s="40">
        <f>SUMIF(BD!G:G,'Panorama (res. por Vara)'!B30,BD!BL:BL)/AN30</f>
      </c>
      <c r="AP30" s="36">
        <f>COUNTIFS(BD!G:G,'Panorama (res. por Vara)'!B30,BD!BP:BP,"&gt;0")</f>
      </c>
      <c r="AQ30" s="38">
        <f>SUMIF(BD!G:G,'Panorama (res. por Vara)'!B30,BD!BP:BP)/AP30</f>
      </c>
      <c r="AR30" s="43">
        <f>COUNTIFS(BD!G:G,'Panorama (res. por Vara)'!B30,BD!BQ:BQ,"Sim")</f>
      </c>
      <c r="AS30" s="45">
        <f>AR30/C30</f>
      </c>
      <c r="AT30" s="43">
        <f>COUNTIFS(BD!G:G,'Panorama (res. por Vara)'!B30,BD!BS:BS,"Fechado")</f>
      </c>
      <c r="AU30" s="45">
        <f>AT30/C30</f>
      </c>
    </row>
    <row x14ac:dyDescent="0.25" r="31" customHeight="1" ht="17.25">
      <c r="A31" s="1"/>
      <c r="B31" s="35" t="s">
        <v>64</v>
      </c>
      <c r="C31" s="36">
        <f>COUNTIF(BD!G:G,'Panorama (res. por Vara)'!B31)</f>
      </c>
      <c r="D31" s="36">
        <f>COUNTIFS(BD!G:G,'Panorama (res. por Vara)'!B31,BD!K:K,$D$4)</f>
      </c>
      <c r="E31" s="37">
        <f>D31/C31</f>
      </c>
      <c r="F31" s="36">
        <f>COUNTIFS(BD!G:G,'Panorama (res. por Vara)'!B31,BD!O:O,$F$4)</f>
      </c>
      <c r="G31" s="37">
        <f>F31/C31</f>
      </c>
      <c r="H31" s="38">
        <f>SUMIF(BD!G:G,'Panorama (res. por Vara)'!B31,BD!M:M)/C31</f>
      </c>
      <c r="I31" s="39">
        <f>COUNTIFS(BD!G:G,'Panorama (res. por Vara)'!B31,BD!S:S,"&gt;0")</f>
      </c>
      <c r="J31" s="40">
        <f>SUMIF(BD!G:G,'Panorama (res. por Vara)'!B31,BD!S:S)/I31</f>
      </c>
      <c r="K31" s="36">
        <f>COUNTIFS(BD!G:G,'Panorama (res. por Vara)'!B31,BD!U:U,"&gt;0")</f>
      </c>
      <c r="L31" s="40">
        <f>SUMIF(BD!G:G,'Panorama (res. por Vara)'!B31,BD!U:U)/K31</f>
      </c>
      <c r="M31" s="36">
        <f>COUNTIFS(BD!G:G,'Panorama (res. por Vara)'!B31,BD!W:W,"&gt;0")</f>
      </c>
      <c r="N31" s="40">
        <f>SUMIF(BD!G:G,'Panorama (res. por Vara)'!B31,BD!W:W)/M31</f>
      </c>
      <c r="O31" s="36">
        <f>COUNTIFS(BD!G:G,'Panorama (res. por Vara)'!B31,BD!Y:Y,"&gt;0")</f>
      </c>
      <c r="P31" s="41">
        <f>IF(O31=0,"-",SUMIF(BD!G:G,'Panorama (res. por Vara)'!B31,BD!Y:Y)/O31)</f>
      </c>
      <c r="Q31" s="36">
        <f>COUNTIFS(BD!G:G,'Panorama (res. por Vara)'!B31,BD!AA:AA,"&gt;0")</f>
      </c>
      <c r="R31" s="41">
        <f>IF(Q31=0,"-",SUMIF(BD!G:G,'Panorama (res. por Vara)'!B31,BD!AA:AA)/Q31)</f>
      </c>
      <c r="S31" s="42">
        <f>COUNTIFS(BD!G:G,'Panorama (res. por Vara)'!B31,BD!AB:AB,"&lt;&gt;0")</f>
      </c>
      <c r="T31" s="36">
        <f>COUNTIFS(BD!G:G,'Panorama (res. por Vara)'!B31,BD!AM:AM,'Panorama (res. por Vara)'!$T$4)</f>
      </c>
      <c r="U31" s="37">
        <f>T31/C31</f>
      </c>
      <c r="V31" s="43">
        <f>COUNTIFS(BD!G:G,'Panorama (res. por Vara)'!B31,BD!AU:AU,"sim")</f>
      </c>
      <c r="W31" s="44">
        <f>V31/C31</f>
      </c>
      <c r="X31" s="36">
        <f>COUNTIFS(BD!G:G,'Panorama (res. por Vara)'!B31,BD!AV:AV,"sim")</f>
      </c>
      <c r="Y31" s="45">
        <f>X31/C31</f>
      </c>
      <c r="Z31" s="43">
        <f>COUNTIFS(BD!G:G,'Panorama (res. por Vara)'!B31,BD!BA:BA,"sim")</f>
      </c>
      <c r="AA31" s="44">
        <f>Z31/$C31</f>
      </c>
      <c r="AB31" s="36">
        <f>COUNTIFS(BD!G:G,'Panorama (res. por Vara)'!B31,BD!BB:BB,"sim")</f>
      </c>
      <c r="AC31" s="44">
        <f>AB31/$C31</f>
      </c>
      <c r="AD31" s="36">
        <f>COUNTIFS(BD!G:G,'Panorama (res. por Vara)'!B31,BD!BC:BC,"sim")</f>
      </c>
      <c r="AE31" s="44">
        <f>AD31/$C31</f>
      </c>
      <c r="AF31" s="36">
        <f>COUNTIFS(BD!G:G,'Panorama (res. por Vara)'!B31,BD!BD:BD,"sim")</f>
      </c>
      <c r="AG31" s="44">
        <f>AF31/$C31</f>
      </c>
      <c r="AH31" s="36">
        <f>COUNTIFS(BD!G:G,'Panorama (res. por Vara)'!B31,BD!BE:BE,"sim")</f>
      </c>
      <c r="AI31" s="46">
        <f>AH31/$C31</f>
      </c>
      <c r="AJ31" s="43">
        <f>COUNTIFS(BD!G:G,'Panorama (res. por Vara)'!B31,BD!BH:BH,"sim")</f>
      </c>
      <c r="AK31" s="45">
        <f>AJ31/C31</f>
      </c>
      <c r="AL31" s="43">
        <f>COUNTIFS(BD!G:G,'Panorama (res. por Vara)'!B31,BD!BJ:BJ,'Panorama (res. por Vara)'!$AL$4)</f>
      </c>
      <c r="AM31" s="45">
        <f>AL31/C31</f>
      </c>
      <c r="AN31" s="43">
        <f>COUNTIFS(BD!G:G,'Panorama (res. por Vara)'!B31,BD!BL:BL,"&gt;0")</f>
      </c>
      <c r="AO31" s="40">
        <f>SUMIF(BD!G:G,'Panorama (res. por Vara)'!B31,BD!BL:BL)/AN31</f>
      </c>
      <c r="AP31" s="36">
        <f>COUNTIFS(BD!G:G,'Panorama (res. por Vara)'!B31,BD!BP:BP,"&gt;0")</f>
      </c>
      <c r="AQ31" s="38">
        <f>SUMIF(BD!G:G,'Panorama (res. por Vara)'!B31,BD!BP:BP)/AP31</f>
      </c>
      <c r="AR31" s="43">
        <f>COUNTIFS(BD!G:G,'Panorama (res. por Vara)'!B31,BD!BQ:BQ,"Sim")</f>
      </c>
      <c r="AS31" s="45">
        <f>AR31/C31</f>
      </c>
      <c r="AT31" s="43">
        <f>COUNTIFS(BD!G:G,'Panorama (res. por Vara)'!B31,BD!BS:BS,"Fechado")</f>
      </c>
      <c r="AU31" s="45">
        <f>AT31/C31</f>
      </c>
    </row>
    <row x14ac:dyDescent="0.25" r="32" customHeight="1" ht="17.25">
      <c r="A32" s="1"/>
      <c r="B32" s="35" t="s">
        <v>65</v>
      </c>
      <c r="C32" s="36">
        <f>COUNTIF(BD!G:G,'Panorama (res. por Vara)'!B32)</f>
      </c>
      <c r="D32" s="36">
        <f>COUNTIFS(BD!G:G,'Panorama (res. por Vara)'!B32,BD!K:K,$D$4)</f>
      </c>
      <c r="E32" s="37">
        <f>D32/C32</f>
      </c>
      <c r="F32" s="36">
        <f>COUNTIFS(BD!G:G,'Panorama (res. por Vara)'!B32,BD!O:O,$F$4)</f>
      </c>
      <c r="G32" s="37">
        <f>F32/C32</f>
      </c>
      <c r="H32" s="38">
        <f>SUMIF(BD!G:G,'Panorama (res. por Vara)'!B32,BD!M:M)/C32</f>
      </c>
      <c r="I32" s="39">
        <f>COUNTIFS(BD!G:G,'Panorama (res. por Vara)'!B32,BD!S:S,"&gt;0")</f>
      </c>
      <c r="J32" s="40">
        <f>SUMIF(BD!G:G,'Panorama (res. por Vara)'!B32,BD!S:S)/I32</f>
      </c>
      <c r="K32" s="36">
        <f>COUNTIFS(BD!G:G,'Panorama (res. por Vara)'!B32,BD!U:U,"&gt;0")</f>
      </c>
      <c r="L32" s="40">
        <f>SUMIF(BD!G:G,'Panorama (res. por Vara)'!B32,BD!U:U)/K32</f>
      </c>
      <c r="M32" s="36">
        <f>COUNTIFS(BD!G:G,'Panorama (res. por Vara)'!B32,BD!W:W,"&gt;0")</f>
      </c>
      <c r="N32" s="40">
        <f>SUMIF(BD!G:G,'Panorama (res. por Vara)'!B32,BD!W:W)/M32</f>
      </c>
      <c r="O32" s="36">
        <f>COUNTIFS(BD!G:G,'Panorama (res. por Vara)'!B32,BD!Y:Y,"&gt;0")</f>
      </c>
      <c r="P32" s="41">
        <f>IF(O32=0,"-",SUMIF(BD!G:G,'Panorama (res. por Vara)'!B32,BD!Y:Y)/O32)</f>
      </c>
      <c r="Q32" s="36">
        <f>COUNTIFS(BD!G:G,'Panorama (res. por Vara)'!B32,BD!AA:AA,"&gt;0")</f>
      </c>
      <c r="R32" s="41">
        <f>IF(Q32=0,"-",SUMIF(BD!G:G,'Panorama (res. por Vara)'!B32,BD!AA:AA)/Q32)</f>
      </c>
      <c r="S32" s="42">
        <f>COUNTIFS(BD!G:G,'Panorama (res. por Vara)'!B32,BD!AB:AB,"&lt;&gt;0")</f>
      </c>
      <c r="T32" s="36">
        <f>COUNTIFS(BD!G:G,'Panorama (res. por Vara)'!B32,BD!AM:AM,'Panorama (res. por Vara)'!$T$4)</f>
      </c>
      <c r="U32" s="37">
        <f>T32/C32</f>
      </c>
      <c r="V32" s="43">
        <f>COUNTIFS(BD!G:G,'Panorama (res. por Vara)'!B32,BD!AU:AU,"sim")</f>
      </c>
      <c r="W32" s="44">
        <f>V32/C32</f>
      </c>
      <c r="X32" s="36">
        <f>COUNTIFS(BD!G:G,'Panorama (res. por Vara)'!B32,BD!AV:AV,"sim")</f>
      </c>
      <c r="Y32" s="45">
        <f>X32/C32</f>
      </c>
      <c r="Z32" s="43">
        <f>COUNTIFS(BD!G:G,'Panorama (res. por Vara)'!B32,BD!BA:BA,"sim")</f>
      </c>
      <c r="AA32" s="44">
        <f>Z32/$C32</f>
      </c>
      <c r="AB32" s="36">
        <f>COUNTIFS(BD!G:G,'Panorama (res. por Vara)'!B32,BD!BB:BB,"sim")</f>
      </c>
      <c r="AC32" s="44">
        <f>AB32/$C32</f>
      </c>
      <c r="AD32" s="36">
        <f>COUNTIFS(BD!G:G,'Panorama (res. por Vara)'!B32,BD!BC:BC,"sim")</f>
      </c>
      <c r="AE32" s="44">
        <f>AD32/$C32</f>
      </c>
      <c r="AF32" s="36">
        <f>COUNTIFS(BD!G:G,'Panorama (res. por Vara)'!B32,BD!BD:BD,"sim")</f>
      </c>
      <c r="AG32" s="44">
        <f>AF32/$C32</f>
      </c>
      <c r="AH32" s="36">
        <f>COUNTIFS(BD!G:G,'Panorama (res. por Vara)'!B32,BD!BE:BE,"sim")</f>
      </c>
      <c r="AI32" s="46">
        <f>AH32/$C32</f>
      </c>
      <c r="AJ32" s="43">
        <f>COUNTIFS(BD!G:G,'Panorama (res. por Vara)'!B32,BD!BH:BH,"sim")</f>
      </c>
      <c r="AK32" s="45">
        <f>AJ32/C32</f>
      </c>
      <c r="AL32" s="43">
        <f>COUNTIFS(BD!G:G,'Panorama (res. por Vara)'!B32,BD!BJ:BJ,'Panorama (res. por Vara)'!$AL$4)</f>
      </c>
      <c r="AM32" s="45">
        <f>AL32/C32</f>
      </c>
      <c r="AN32" s="43">
        <f>COUNTIFS(BD!G:G,'Panorama (res. por Vara)'!B32,BD!BL:BL,"&gt;0")</f>
      </c>
      <c r="AO32" s="40">
        <f>SUMIF(BD!G:G,'Panorama (res. por Vara)'!B32,BD!BL:BL)/AN32</f>
      </c>
      <c r="AP32" s="36">
        <f>COUNTIFS(BD!G:G,'Panorama (res. por Vara)'!B32,BD!BP:BP,"&gt;0")</f>
      </c>
      <c r="AQ32" s="38">
        <f>SUMIF(BD!G:G,'Panorama (res. por Vara)'!B32,BD!BP:BP)/AP32</f>
      </c>
      <c r="AR32" s="43">
        <f>COUNTIFS(BD!G:G,'Panorama (res. por Vara)'!B32,BD!BQ:BQ,"Sim")</f>
      </c>
      <c r="AS32" s="45">
        <f>AR32/C32</f>
      </c>
      <c r="AT32" s="43">
        <f>COUNTIFS(BD!G:G,'Panorama (res. por Vara)'!B32,BD!BS:BS,"Fechado")</f>
      </c>
      <c r="AU32" s="45">
        <f>AT32/C32</f>
      </c>
    </row>
    <row x14ac:dyDescent="0.25" r="33" customHeight="1" ht="17.25">
      <c r="A33" s="1"/>
      <c r="B33" s="35" t="s">
        <v>66</v>
      </c>
      <c r="C33" s="36">
        <f>COUNTIF(BD!G:G,'Panorama (res. por Vara)'!B33)</f>
      </c>
      <c r="D33" s="36">
        <f>COUNTIFS(BD!G:G,'Panorama (res. por Vara)'!B33,BD!K:K,$D$4)</f>
      </c>
      <c r="E33" s="37">
        <f>D33/C33</f>
      </c>
      <c r="F33" s="36">
        <f>COUNTIFS(BD!G:G,'Panorama (res. por Vara)'!B33,BD!O:O,$F$4)</f>
      </c>
      <c r="G33" s="37">
        <f>F33/C33</f>
      </c>
      <c r="H33" s="38">
        <f>SUMIF(BD!G:G,'Panorama (res. por Vara)'!B33,BD!M:M)/C33</f>
      </c>
      <c r="I33" s="39">
        <f>COUNTIFS(BD!G:G,'Panorama (res. por Vara)'!B33,BD!S:S,"&gt;0")</f>
      </c>
      <c r="J33" s="40">
        <f>SUMIF(BD!G:G,'Panorama (res. por Vara)'!B33,BD!S:S)/I33</f>
      </c>
      <c r="K33" s="36">
        <f>COUNTIFS(BD!G:G,'Panorama (res. por Vara)'!B33,BD!U:U,"&gt;0")</f>
      </c>
      <c r="L33" s="40">
        <f>SUMIF(BD!G:G,'Panorama (res. por Vara)'!B33,BD!U:U)/K33</f>
      </c>
      <c r="M33" s="36">
        <f>COUNTIFS(BD!G:G,'Panorama (res. por Vara)'!B33,BD!W:W,"&gt;0")</f>
      </c>
      <c r="N33" s="40">
        <f>SUMIF(BD!G:G,'Panorama (res. por Vara)'!B33,BD!W:W)/M33</f>
      </c>
      <c r="O33" s="36">
        <f>COUNTIFS(BD!G:G,'Panorama (res. por Vara)'!B33,BD!Y:Y,"&gt;0")</f>
      </c>
      <c r="P33" s="41">
        <f>IF(O33=0,"-",SUMIF(BD!G:G,'Panorama (res. por Vara)'!B33,BD!Y:Y)/O33)</f>
      </c>
      <c r="Q33" s="36">
        <f>COUNTIFS(BD!G:G,'Panorama (res. por Vara)'!B33,BD!AA:AA,"&gt;0")</f>
      </c>
      <c r="R33" s="41">
        <f>IF(Q33=0,"-",SUMIF(BD!G:G,'Panorama (res. por Vara)'!B33,BD!AA:AA)/Q33)</f>
      </c>
      <c r="S33" s="42">
        <f>COUNTIFS(BD!G:G,'Panorama (res. por Vara)'!B33,BD!AB:AB,"&lt;&gt;0")</f>
      </c>
      <c r="T33" s="36">
        <f>COUNTIFS(BD!G:G,'Panorama (res. por Vara)'!B33,BD!AM:AM,'Panorama (res. por Vara)'!$T$4)</f>
      </c>
      <c r="U33" s="37">
        <f>T33/C33</f>
      </c>
      <c r="V33" s="43">
        <f>COUNTIFS(BD!G:G,'Panorama (res. por Vara)'!B33,BD!AU:AU,"sim")</f>
      </c>
      <c r="W33" s="44">
        <f>V33/C33</f>
      </c>
      <c r="X33" s="36">
        <f>COUNTIFS(BD!G:G,'Panorama (res. por Vara)'!B33,BD!AV:AV,"sim")</f>
      </c>
      <c r="Y33" s="45">
        <f>X33/C33</f>
      </c>
      <c r="Z33" s="43">
        <f>COUNTIFS(BD!G:G,'Panorama (res. por Vara)'!B33,BD!BA:BA,"sim")</f>
      </c>
      <c r="AA33" s="44">
        <f>Z33/$C33</f>
      </c>
      <c r="AB33" s="36">
        <f>COUNTIFS(BD!G:G,'Panorama (res. por Vara)'!B33,BD!BB:BB,"sim")</f>
      </c>
      <c r="AC33" s="44">
        <f>AB33/$C33</f>
      </c>
      <c r="AD33" s="36">
        <f>COUNTIFS(BD!G:G,'Panorama (res. por Vara)'!B33,BD!BC:BC,"sim")</f>
      </c>
      <c r="AE33" s="44">
        <f>AD33/$C33</f>
      </c>
      <c r="AF33" s="36">
        <f>COUNTIFS(BD!G:G,'Panorama (res. por Vara)'!B33,BD!BD:BD,"sim")</f>
      </c>
      <c r="AG33" s="44">
        <f>AF33/$C33</f>
      </c>
      <c r="AH33" s="36">
        <f>COUNTIFS(BD!G:G,'Panorama (res. por Vara)'!B33,BD!BE:BE,"sim")</f>
      </c>
      <c r="AI33" s="46">
        <f>AH33/$C33</f>
      </c>
      <c r="AJ33" s="43">
        <f>COUNTIFS(BD!G:G,'Panorama (res. por Vara)'!B33,BD!BH:BH,"sim")</f>
      </c>
      <c r="AK33" s="45">
        <f>AJ33/C33</f>
      </c>
      <c r="AL33" s="43">
        <f>COUNTIFS(BD!G:G,'Panorama (res. por Vara)'!B33,BD!BJ:BJ,'Panorama (res. por Vara)'!$AL$4)</f>
      </c>
      <c r="AM33" s="45">
        <f>AL33/C33</f>
      </c>
      <c r="AN33" s="43">
        <f>COUNTIFS(BD!G:G,'Panorama (res. por Vara)'!B33,BD!BL:BL,"&gt;0")</f>
      </c>
      <c r="AO33" s="40">
        <f>SUMIF(BD!G:G,'Panorama (res. por Vara)'!B33,BD!BL:BL)/AN33</f>
      </c>
      <c r="AP33" s="36">
        <f>COUNTIFS(BD!G:G,'Panorama (res. por Vara)'!B33,BD!BP:BP,"&gt;0")</f>
      </c>
      <c r="AQ33" s="38">
        <f>SUMIF(BD!G:G,'Panorama (res. por Vara)'!B33,BD!BP:BP)/AP33</f>
      </c>
      <c r="AR33" s="43">
        <f>COUNTIFS(BD!G:G,'Panorama (res. por Vara)'!B33,BD!BQ:BQ,"Sim")</f>
      </c>
      <c r="AS33" s="45">
        <f>AR33/C33</f>
      </c>
      <c r="AT33" s="43">
        <f>COUNTIFS(BD!G:G,'Panorama (res. por Vara)'!B33,BD!BS:BS,"Fechado")</f>
      </c>
      <c r="AU33" s="45">
        <f>AT33/C33</f>
      </c>
    </row>
    <row x14ac:dyDescent="0.25" r="34" customHeight="1" ht="17.25">
      <c r="A34" s="1"/>
      <c r="B34" s="35" t="s">
        <v>67</v>
      </c>
      <c r="C34" s="36">
        <f>COUNTIF(BD!G:G,'Panorama (res. por Vara)'!B34)</f>
      </c>
      <c r="D34" s="36">
        <f>COUNTIFS(BD!G:G,'Panorama (res. por Vara)'!B34,BD!K:K,$D$4)</f>
      </c>
      <c r="E34" s="37">
        <f>D34/C34</f>
      </c>
      <c r="F34" s="36">
        <f>COUNTIFS(BD!G:G,'Panorama (res. por Vara)'!B34,BD!O:O,$F$4)</f>
      </c>
      <c r="G34" s="37">
        <f>F34/C34</f>
      </c>
      <c r="H34" s="38">
        <f>SUMIF(BD!G:G,'Panorama (res. por Vara)'!B34,BD!M:M)/C34</f>
      </c>
      <c r="I34" s="39">
        <f>COUNTIFS(BD!G:G,'Panorama (res. por Vara)'!B34,BD!S:S,"&gt;0")</f>
      </c>
      <c r="J34" s="40">
        <f>SUMIF(BD!G:G,'Panorama (res. por Vara)'!B34,BD!S:S)/I34</f>
      </c>
      <c r="K34" s="36">
        <f>COUNTIFS(BD!G:G,'Panorama (res. por Vara)'!B34,BD!U:U,"&gt;0")</f>
      </c>
      <c r="L34" s="40">
        <f>SUMIF(BD!G:G,'Panorama (res. por Vara)'!B34,BD!U:U)/K34</f>
      </c>
      <c r="M34" s="36">
        <f>COUNTIFS(BD!G:G,'Panorama (res. por Vara)'!B34,BD!W:W,"&gt;0")</f>
      </c>
      <c r="N34" s="40">
        <f>SUMIF(BD!G:G,'Panorama (res. por Vara)'!B34,BD!W:W)/M34</f>
      </c>
      <c r="O34" s="36">
        <f>COUNTIFS(BD!G:G,'Panorama (res. por Vara)'!B34,BD!Y:Y,"&gt;0")</f>
      </c>
      <c r="P34" s="41">
        <f>IF(O34=0,"-",SUMIF(BD!G:G,'Panorama (res. por Vara)'!B34,BD!Y:Y)/O34)</f>
      </c>
      <c r="Q34" s="36">
        <f>COUNTIFS(BD!G:G,'Panorama (res. por Vara)'!B34,BD!AA:AA,"&gt;0")</f>
      </c>
      <c r="R34" s="41">
        <f>IF(Q34=0,"-",SUMIF(BD!G:G,'Panorama (res. por Vara)'!B34,BD!AA:AA)/Q34)</f>
      </c>
      <c r="S34" s="42">
        <f>COUNTIFS(BD!G:G,'Panorama (res. por Vara)'!B34,BD!AB:AB,"&lt;&gt;0")</f>
      </c>
      <c r="T34" s="36">
        <f>COUNTIFS(BD!G:G,'Panorama (res. por Vara)'!B34,BD!AM:AM,'Panorama (res. por Vara)'!$T$4)</f>
      </c>
      <c r="U34" s="37">
        <f>T34/C34</f>
      </c>
      <c r="V34" s="43">
        <f>COUNTIFS(BD!G:G,'Panorama (res. por Vara)'!B34,BD!AU:AU,"sim")</f>
      </c>
      <c r="W34" s="44">
        <f>V34/C34</f>
      </c>
      <c r="X34" s="36">
        <f>COUNTIFS(BD!G:G,'Panorama (res. por Vara)'!B34,BD!AV:AV,"sim")</f>
      </c>
      <c r="Y34" s="45">
        <f>X34/C34</f>
      </c>
      <c r="Z34" s="43">
        <f>COUNTIFS(BD!G:G,'Panorama (res. por Vara)'!B34,BD!BA:BA,"sim")</f>
      </c>
      <c r="AA34" s="44">
        <f>Z34/$C34</f>
      </c>
      <c r="AB34" s="36">
        <f>COUNTIFS(BD!G:G,'Panorama (res. por Vara)'!B34,BD!BB:BB,"sim")</f>
      </c>
      <c r="AC34" s="44">
        <f>AB34/$C34</f>
      </c>
      <c r="AD34" s="36">
        <f>COUNTIFS(BD!G:G,'Panorama (res. por Vara)'!B34,BD!BC:BC,"sim")</f>
      </c>
      <c r="AE34" s="44">
        <f>AD34/$C34</f>
      </c>
      <c r="AF34" s="36">
        <f>COUNTIFS(BD!G:G,'Panorama (res. por Vara)'!B34,BD!BD:BD,"sim")</f>
      </c>
      <c r="AG34" s="44">
        <f>AF34/$C34</f>
      </c>
      <c r="AH34" s="36">
        <f>COUNTIFS(BD!G:G,'Panorama (res. por Vara)'!B34,BD!BE:BE,"sim")</f>
      </c>
      <c r="AI34" s="46">
        <f>AH34/$C34</f>
      </c>
      <c r="AJ34" s="43">
        <f>COUNTIFS(BD!G:G,'Panorama (res. por Vara)'!B34,BD!BH:BH,"sim")</f>
      </c>
      <c r="AK34" s="45">
        <f>AJ34/C34</f>
      </c>
      <c r="AL34" s="43">
        <f>COUNTIFS(BD!G:G,'Panorama (res. por Vara)'!B34,BD!BJ:BJ,'Panorama (res. por Vara)'!$AL$4)</f>
      </c>
      <c r="AM34" s="45">
        <f>AL34/C34</f>
      </c>
      <c r="AN34" s="43">
        <f>COUNTIFS(BD!G:G,'Panorama (res. por Vara)'!B34,BD!BL:BL,"&gt;0")</f>
      </c>
      <c r="AO34" s="40">
        <f>SUMIF(BD!G:G,'Panorama (res. por Vara)'!B34,BD!BL:BL)/AN34</f>
      </c>
      <c r="AP34" s="36">
        <f>COUNTIFS(BD!G:G,'Panorama (res. por Vara)'!B34,BD!BP:BP,"&gt;0")</f>
      </c>
      <c r="AQ34" s="38">
        <f>SUMIF(BD!G:G,'Panorama (res. por Vara)'!B34,BD!BP:BP)/AP34</f>
      </c>
      <c r="AR34" s="43">
        <f>COUNTIFS(BD!G:G,'Panorama (res. por Vara)'!B34,BD!BQ:BQ,"Sim")</f>
      </c>
      <c r="AS34" s="45">
        <f>AR34/C34</f>
      </c>
      <c r="AT34" s="43">
        <f>COUNTIFS(BD!G:G,'Panorama (res. por Vara)'!B34,BD!BS:BS,"Fechado")</f>
      </c>
      <c r="AU34" s="45">
        <f>AT34/C34</f>
      </c>
    </row>
    <row x14ac:dyDescent="0.25" r="35" customHeight="1" ht="17.25">
      <c r="A35" s="1"/>
      <c r="B35" s="35" t="s">
        <v>68</v>
      </c>
      <c r="C35" s="36">
        <f>COUNTIF(BD!G:G,'Panorama (res. por Vara)'!B35)</f>
      </c>
      <c r="D35" s="36">
        <f>COUNTIFS(BD!G:G,'Panorama (res. por Vara)'!B35,BD!K:K,$D$4)</f>
      </c>
      <c r="E35" s="37">
        <f>D35/C35</f>
      </c>
      <c r="F35" s="36">
        <f>COUNTIFS(BD!G:G,'Panorama (res. por Vara)'!B35,BD!O:O,$F$4)</f>
      </c>
      <c r="G35" s="37">
        <f>F35/C35</f>
      </c>
      <c r="H35" s="38">
        <f>SUMIF(BD!G:G,'Panorama (res. por Vara)'!B35,BD!M:M)/C35</f>
      </c>
      <c r="I35" s="39">
        <f>COUNTIFS(BD!G:G,'Panorama (res. por Vara)'!B35,BD!S:S,"&gt;0")</f>
      </c>
      <c r="J35" s="40">
        <f>SUMIF(BD!G:G,'Panorama (res. por Vara)'!B35,BD!S:S)/I35</f>
      </c>
      <c r="K35" s="36">
        <f>COUNTIFS(BD!G:G,'Panorama (res. por Vara)'!B35,BD!U:U,"&gt;0")</f>
      </c>
      <c r="L35" s="40">
        <f>SUMIF(BD!G:G,'Panorama (res. por Vara)'!B35,BD!U:U)/K35</f>
      </c>
      <c r="M35" s="36">
        <f>COUNTIFS(BD!G:G,'Panorama (res. por Vara)'!B35,BD!W:W,"&gt;0")</f>
      </c>
      <c r="N35" s="40">
        <f>SUMIF(BD!G:G,'Panorama (res. por Vara)'!B35,BD!W:W)/M35</f>
      </c>
      <c r="O35" s="36">
        <f>COUNTIFS(BD!G:G,'Panorama (res. por Vara)'!B35,BD!Y:Y,"&gt;0")</f>
      </c>
      <c r="P35" s="41">
        <f>IF(O35=0,"-",SUMIF(BD!G:G,'Panorama (res. por Vara)'!B35,BD!Y:Y)/O35)</f>
      </c>
      <c r="Q35" s="36">
        <f>COUNTIFS(BD!G:G,'Panorama (res. por Vara)'!B35,BD!AA:AA,"&gt;0")</f>
      </c>
      <c r="R35" s="41">
        <f>IF(Q35=0,"-",SUMIF(BD!G:G,'Panorama (res. por Vara)'!B35,BD!AA:AA)/Q35)</f>
      </c>
      <c r="S35" s="42">
        <f>COUNTIFS(BD!G:G,'Panorama (res. por Vara)'!B35,BD!AB:AB,"&lt;&gt;0")</f>
      </c>
      <c r="T35" s="36">
        <f>COUNTIFS(BD!G:G,'Panorama (res. por Vara)'!B35,BD!AM:AM,'Panorama (res. por Vara)'!$T$4)</f>
      </c>
      <c r="U35" s="37">
        <f>T35/C35</f>
      </c>
      <c r="V35" s="43">
        <f>COUNTIFS(BD!G:G,'Panorama (res. por Vara)'!B35,BD!AU:AU,"sim")</f>
      </c>
      <c r="W35" s="44">
        <f>V35/C35</f>
      </c>
      <c r="X35" s="36">
        <f>COUNTIFS(BD!G:G,'Panorama (res. por Vara)'!B35,BD!AV:AV,"sim")</f>
      </c>
      <c r="Y35" s="45">
        <f>X35/C35</f>
      </c>
      <c r="Z35" s="43">
        <f>COUNTIFS(BD!G:G,'Panorama (res. por Vara)'!B35,BD!BA:BA,"sim")</f>
      </c>
      <c r="AA35" s="44">
        <f>Z35/$C35</f>
      </c>
      <c r="AB35" s="36">
        <f>COUNTIFS(BD!G:G,'Panorama (res. por Vara)'!B35,BD!BB:BB,"sim")</f>
      </c>
      <c r="AC35" s="44">
        <f>AB35/$C35</f>
      </c>
      <c r="AD35" s="36">
        <f>COUNTIFS(BD!G:G,'Panorama (res. por Vara)'!B35,BD!BC:BC,"sim")</f>
      </c>
      <c r="AE35" s="44">
        <f>AD35/$C35</f>
      </c>
      <c r="AF35" s="36">
        <f>COUNTIFS(BD!G:G,'Panorama (res. por Vara)'!B35,BD!BD:BD,"sim")</f>
      </c>
      <c r="AG35" s="44">
        <f>AF35/$C35</f>
      </c>
      <c r="AH35" s="36">
        <f>COUNTIFS(BD!G:G,'Panorama (res. por Vara)'!B35,BD!BE:BE,"sim")</f>
      </c>
      <c r="AI35" s="46">
        <f>AH35/$C35</f>
      </c>
      <c r="AJ35" s="43">
        <f>COUNTIFS(BD!G:G,'Panorama (res. por Vara)'!B35,BD!BH:BH,"sim")</f>
      </c>
      <c r="AK35" s="45">
        <f>AJ35/C35</f>
      </c>
      <c r="AL35" s="43">
        <f>COUNTIFS(BD!G:G,'Panorama (res. por Vara)'!B35,BD!BJ:BJ,'Panorama (res. por Vara)'!$AL$4)</f>
      </c>
      <c r="AM35" s="45">
        <f>AL35/C35</f>
      </c>
      <c r="AN35" s="43">
        <f>COUNTIFS(BD!G:G,'Panorama (res. por Vara)'!B35,BD!BL:BL,"&gt;0")</f>
      </c>
      <c r="AO35" s="40">
        <f>SUMIF(BD!G:G,'Panorama (res. por Vara)'!B35,BD!BL:BL)/AN35</f>
      </c>
      <c r="AP35" s="36">
        <f>COUNTIFS(BD!G:G,'Panorama (res. por Vara)'!B35,BD!BP:BP,"&gt;0")</f>
      </c>
      <c r="AQ35" s="38">
        <f>SUMIF(BD!G:G,'Panorama (res. por Vara)'!B35,BD!BP:BP)/AP35</f>
      </c>
      <c r="AR35" s="43">
        <f>COUNTIFS(BD!G:G,'Panorama (res. por Vara)'!B35,BD!BQ:BQ,"Sim")</f>
      </c>
      <c r="AS35" s="45">
        <f>AR35/C35</f>
      </c>
      <c r="AT35" s="43">
        <f>COUNTIFS(BD!G:G,'Panorama (res. por Vara)'!B35,BD!BS:BS,"Fechado")</f>
      </c>
      <c r="AU35" s="45">
        <f>AT35/C35</f>
      </c>
    </row>
    <row x14ac:dyDescent="0.25" r="36" customHeight="1" ht="17.25">
      <c r="A36" s="1"/>
      <c r="B36" s="35" t="s">
        <v>69</v>
      </c>
      <c r="C36" s="36">
        <f>COUNTIF(BD!G:G,'Panorama (res. por Vara)'!B36)</f>
      </c>
      <c r="D36" s="36">
        <f>COUNTIFS(BD!G:G,'Panorama (res. por Vara)'!B36,BD!K:K,$D$4)</f>
      </c>
      <c r="E36" s="37">
        <f>D36/C36</f>
      </c>
      <c r="F36" s="36">
        <f>COUNTIFS(BD!G:G,'Panorama (res. por Vara)'!B36,BD!O:O,$F$4)</f>
      </c>
      <c r="G36" s="37">
        <f>F36/C36</f>
      </c>
      <c r="H36" s="38">
        <f>SUMIF(BD!G:G,'Panorama (res. por Vara)'!B36,BD!M:M)/C36</f>
      </c>
      <c r="I36" s="39">
        <f>COUNTIFS(BD!G:G,'Panorama (res. por Vara)'!B36,BD!S:S,"&gt;0")</f>
      </c>
      <c r="J36" s="40">
        <f>SUMIF(BD!G:G,'Panorama (res. por Vara)'!B36,BD!S:S)/I36</f>
      </c>
      <c r="K36" s="36">
        <f>COUNTIFS(BD!G:G,'Panorama (res. por Vara)'!B36,BD!U:U,"&gt;0")</f>
      </c>
      <c r="L36" s="40">
        <f>SUMIF(BD!G:G,'Panorama (res. por Vara)'!B36,BD!U:U)/K36</f>
      </c>
      <c r="M36" s="36">
        <f>COUNTIFS(BD!G:G,'Panorama (res. por Vara)'!B36,BD!W:W,"&gt;0")</f>
      </c>
      <c r="N36" s="40">
        <f>SUMIF(BD!G:G,'Panorama (res. por Vara)'!B36,BD!W:W)/M36</f>
      </c>
      <c r="O36" s="36">
        <f>COUNTIFS(BD!G:G,'Panorama (res. por Vara)'!B36,BD!Y:Y,"&gt;0")</f>
      </c>
      <c r="P36" s="41">
        <f>IF(O36=0,"-",SUMIF(BD!G:G,'Panorama (res. por Vara)'!B36,BD!Y:Y)/O36)</f>
      </c>
      <c r="Q36" s="36">
        <f>COUNTIFS(BD!G:G,'Panorama (res. por Vara)'!B36,BD!AA:AA,"&gt;0")</f>
      </c>
      <c r="R36" s="41">
        <f>IF(Q36=0,"-",SUMIF(BD!G:G,'Panorama (res. por Vara)'!B36,BD!AA:AA)/Q36)</f>
      </c>
      <c r="S36" s="42">
        <f>COUNTIFS(BD!G:G,'Panorama (res. por Vara)'!B36,BD!AB:AB,"&lt;&gt;0")</f>
      </c>
      <c r="T36" s="36">
        <f>COUNTIFS(BD!G:G,'Panorama (res. por Vara)'!B36,BD!AM:AM,'Panorama (res. por Vara)'!$T$4)</f>
      </c>
      <c r="U36" s="37">
        <f>T36/C36</f>
      </c>
      <c r="V36" s="43">
        <f>COUNTIFS(BD!G:G,'Panorama (res. por Vara)'!B36,BD!AU:AU,"sim")</f>
      </c>
      <c r="W36" s="44">
        <f>V36/C36</f>
      </c>
      <c r="X36" s="36">
        <f>COUNTIFS(BD!G:G,'Panorama (res. por Vara)'!B36,BD!AV:AV,"sim")</f>
      </c>
      <c r="Y36" s="45">
        <f>X36/C36</f>
      </c>
      <c r="Z36" s="43">
        <f>COUNTIFS(BD!G:G,'Panorama (res. por Vara)'!B36,BD!BA:BA,"sim")</f>
      </c>
      <c r="AA36" s="44">
        <f>Z36/$C36</f>
      </c>
      <c r="AB36" s="36">
        <f>COUNTIFS(BD!G:G,'Panorama (res. por Vara)'!B36,BD!BB:BB,"sim")</f>
      </c>
      <c r="AC36" s="44">
        <f>AB36/$C36</f>
      </c>
      <c r="AD36" s="36">
        <f>COUNTIFS(BD!G:G,'Panorama (res. por Vara)'!B36,BD!BC:BC,"sim")</f>
      </c>
      <c r="AE36" s="44">
        <f>AD36/$C36</f>
      </c>
      <c r="AF36" s="36">
        <f>COUNTIFS(BD!G:G,'Panorama (res. por Vara)'!B36,BD!BD:BD,"sim")</f>
      </c>
      <c r="AG36" s="44">
        <f>AF36/$C36</f>
      </c>
      <c r="AH36" s="36">
        <f>COUNTIFS(BD!G:G,'Panorama (res. por Vara)'!B36,BD!BE:BE,"sim")</f>
      </c>
      <c r="AI36" s="46">
        <f>AH36/$C36</f>
      </c>
      <c r="AJ36" s="43">
        <f>COUNTIFS(BD!G:G,'Panorama (res. por Vara)'!B36,BD!BH:BH,"sim")</f>
      </c>
      <c r="AK36" s="45">
        <f>AJ36/C36</f>
      </c>
      <c r="AL36" s="43">
        <f>COUNTIFS(BD!G:G,'Panorama (res. por Vara)'!B36,BD!BJ:BJ,'Panorama (res. por Vara)'!$AL$4)</f>
      </c>
      <c r="AM36" s="45">
        <f>AL36/C36</f>
      </c>
      <c r="AN36" s="43">
        <f>COUNTIFS(BD!G:G,'Panorama (res. por Vara)'!B36,BD!BL:BL,"&gt;0")</f>
      </c>
      <c r="AO36" s="40">
        <f>SUMIF(BD!G:G,'Panorama (res. por Vara)'!B36,BD!BL:BL)/AN36</f>
      </c>
      <c r="AP36" s="36">
        <f>COUNTIFS(BD!G:G,'Panorama (res. por Vara)'!B36,BD!BP:BP,"&gt;0")</f>
      </c>
      <c r="AQ36" s="38">
        <f>SUMIF(BD!G:G,'Panorama (res. por Vara)'!B36,BD!BP:BP)/AP36</f>
      </c>
      <c r="AR36" s="43">
        <f>COUNTIFS(BD!G:G,'Panorama (res. por Vara)'!B36,BD!BQ:BQ,"Sim")</f>
      </c>
      <c r="AS36" s="45">
        <f>AR36/C36</f>
      </c>
      <c r="AT36" s="43">
        <f>COUNTIFS(BD!G:G,'Panorama (res. por Vara)'!B36,BD!BS:BS,"Fechado")</f>
      </c>
      <c r="AU36" s="45">
        <f>AT36/C36</f>
      </c>
    </row>
  </sheetData>
  <mergeCells count="16">
    <mergeCell ref="D3:E3"/>
    <mergeCell ref="F3:G3"/>
    <mergeCell ref="I3:J3"/>
    <mergeCell ref="K3:L3"/>
    <mergeCell ref="M3:N3"/>
    <mergeCell ref="O3:P3"/>
    <mergeCell ref="Q3:R3"/>
    <mergeCell ref="T3:U3"/>
    <mergeCell ref="V3:Y3"/>
    <mergeCell ref="Z3:AI3"/>
    <mergeCell ref="AJ3:AK3"/>
    <mergeCell ref="AL3:AM3"/>
    <mergeCell ref="AN3:AO3"/>
    <mergeCell ref="AP3:AQ3"/>
    <mergeCell ref="AR3:AS3"/>
    <mergeCell ref="AT3:AU3"/>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6</vt:i4>
      </vt:variant>
    </vt:vector>
  </HeadingPairs>
  <TitlesOfParts>
    <vt:vector baseType="lpstr" size="6">
      <vt:lpstr>AplicQuest</vt:lpstr>
      <vt:lpstr>TJSP - Apenas p Complementação</vt:lpstr>
      <vt:lpstr>BD</vt:lpstr>
      <vt:lpstr>Objetivos</vt:lpstr>
      <vt:lpstr>Descritivo</vt:lpstr>
      <vt:lpstr>Panorama (res. por Vara)</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2025-02-27T17:40:04.431Z</dcterms:created>
  <dcterms:modified xsi:type="dcterms:W3CDTF">2025-02-27T17:40:04.431Z</dcterms:modified>
</cp:coreProperties>
</file>